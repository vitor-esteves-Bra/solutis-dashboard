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vitor.esteves\Downloads\Claude\Posicao Financeira\"/>
    </mc:Choice>
  </mc:AlternateContent>
  <xr:revisionPtr revIDLastSave="0" documentId="13_ncr:1_{FECDA4EE-C4E8-4238-A34F-1DBEB1D74F57}" xr6:coauthVersionLast="47" xr6:coauthVersionMax="47" xr10:uidLastSave="{00000000-0000-0000-0000-000000000000}"/>
  <bookViews>
    <workbookView xWindow="-108" yWindow="-108" windowWidth="23256" windowHeight="12456" firstSheet="1" activeTab="1" xr2:uid="{926ABF45-4F08-496C-B1DC-E7716A223861}"/>
  </bookViews>
  <sheets>
    <sheet name="PLANO DE CONTA" sheetId="1" state="hidden" r:id="rId1"/>
    <sheet name="RELATÓRIO" sheetId="9" r:id="rId2"/>
    <sheet name="Fluxo do Banco" sheetId="3" r:id="rId3"/>
  </sheets>
  <definedNames>
    <definedName name="_xlnm._FilterDatabase" localSheetId="2" hidden="1">'Fluxo do Banco'!$B$3:$AZ$1634</definedName>
    <definedName name="_xlnm.Print_Area" localSheetId="1">RELATÓRIO!$A$1:$K$42</definedName>
    <definedName name="DNOPE">'PLANO DE CONTA'!$P$4:$P$14</definedName>
    <definedName name="DOPE">'PLANO DE CONTA'!$N$4:$N$14</definedName>
    <definedName name="DRH">'PLANO DE CONTA'!$R$4:$R$14</definedName>
    <definedName name="IMP">'PLANO DE CONTA'!$T$4:$T$14</definedName>
    <definedName name="RNOP">'PLANO DE CONTA'!$L$4:$L$11</definedName>
    <definedName name="RPROD">'PLANO DE CONTA'!$H$4:$H$42</definedName>
    <definedName name="RSERV">'PLANO DE CONTA'!$J$4:$J$42</definedName>
  </definedNames>
  <calcPr calcId="191028"/>
  <pivotCaches>
    <pivotCache cacheId="40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9" l="1"/>
  <c r="B15" i="9"/>
  <c r="AY1467" i="3"/>
  <c r="AU1467" i="3"/>
  <c r="AM1467" i="3"/>
  <c r="AQ1467" i="3" s="1"/>
  <c r="B7" i="9" s="1"/>
  <c r="AJ1467" i="3"/>
  <c r="AV1467" i="3" s="1"/>
  <c r="C27" i="9" s="1"/>
  <c r="AG1467" i="3"/>
  <c r="AK1467" i="3" s="1"/>
  <c r="B6" i="9" s="1"/>
  <c r="AE1467" i="3"/>
  <c r="AA1467" i="3"/>
  <c r="U1467" i="3"/>
  <c r="Y1467" i="3" s="1"/>
  <c r="B9" i="9" s="1"/>
  <c r="P1467" i="3"/>
  <c r="O1467" i="3"/>
  <c r="S1467" i="3" s="1"/>
  <c r="B8" i="9" s="1"/>
  <c r="I1467" i="3"/>
  <c r="M1467" i="3" s="1"/>
  <c r="B10" i="9" s="1"/>
  <c r="D1467" i="3"/>
  <c r="AT1467" i="3" s="1"/>
  <c r="C15" i="9" s="1"/>
  <c r="C1467" i="3"/>
  <c r="AS1467" i="3" s="1"/>
  <c r="B1467" i="3"/>
  <c r="AY1466" i="3"/>
  <c r="AV1466" i="3"/>
  <c r="AU1466" i="3"/>
  <c r="AT1466" i="3"/>
  <c r="AY1465" i="3"/>
  <c r="AV1465" i="3"/>
  <c r="AU1465" i="3"/>
  <c r="AT1465" i="3"/>
  <c r="AY1464" i="3"/>
  <c r="AV1464" i="3"/>
  <c r="AU1464" i="3"/>
  <c r="AT1464" i="3"/>
  <c r="AY1463" i="3"/>
  <c r="AV1463" i="3"/>
  <c r="AU1463" i="3"/>
  <c r="AT1463" i="3"/>
  <c r="AG1463" i="3"/>
  <c r="AK1463" i="3" s="1"/>
  <c r="AG1464" i="3" s="1"/>
  <c r="AK1464" i="3" s="1"/>
  <c r="AG1465" i="3" s="1"/>
  <c r="AK1465" i="3" s="1"/>
  <c r="AG1466" i="3" s="1"/>
  <c r="AK1466" i="3" s="1"/>
  <c r="AA1463" i="3"/>
  <c r="AE1463" i="3" s="1"/>
  <c r="AA1464" i="3" s="1"/>
  <c r="AE1464" i="3" s="1"/>
  <c r="AA1465" i="3" s="1"/>
  <c r="AE1465" i="3" s="1"/>
  <c r="AA1466" i="3" s="1"/>
  <c r="AE1466" i="3" s="1"/>
  <c r="B1463" i="3"/>
  <c r="B1464" i="3" s="1"/>
  <c r="B1465" i="3" s="1"/>
  <c r="B1466" i="3" s="1"/>
  <c r="AY1462" i="3"/>
  <c r="AV1462" i="3"/>
  <c r="AU1462" i="3"/>
  <c r="J1462" i="3"/>
  <c r="AT1462" i="3" s="1"/>
  <c r="AY1461" i="3"/>
  <c r="AV1461" i="3"/>
  <c r="AU1461" i="3"/>
  <c r="AG1461" i="3"/>
  <c r="AK1461" i="3" s="1"/>
  <c r="AG1462" i="3" s="1"/>
  <c r="AK1462" i="3" s="1"/>
  <c r="J1461" i="3"/>
  <c r="AT1461" i="3" s="1"/>
  <c r="AY1460" i="3"/>
  <c r="AU1460" i="3"/>
  <c r="AM1460" i="3"/>
  <c r="AQ1460" i="3" s="1"/>
  <c r="AM1461" i="3" s="1"/>
  <c r="AQ1461" i="3" s="1"/>
  <c r="AG1460" i="3"/>
  <c r="AK1460" i="3" s="1"/>
  <c r="F1460" i="3"/>
  <c r="AV1460" i="3" s="1"/>
  <c r="D1460" i="3"/>
  <c r="AT1460" i="3" s="1"/>
  <c r="B1460" i="3"/>
  <c r="B1461" i="3" s="1"/>
  <c r="B1462" i="3" s="1"/>
  <c r="AY1459" i="3"/>
  <c r="K1459" i="3"/>
  <c r="AU1459" i="3" s="1"/>
  <c r="F1459" i="3"/>
  <c r="AV1459" i="3" s="1"/>
  <c r="D1459" i="3"/>
  <c r="AT1459" i="3" s="1"/>
  <c r="B1459" i="3"/>
  <c r="AY1458" i="3"/>
  <c r="AV1458" i="3"/>
  <c r="AU1458" i="3"/>
  <c r="AT1458" i="3"/>
  <c r="AM1458" i="3"/>
  <c r="AQ1458" i="3" s="1"/>
  <c r="AM1459" i="3" s="1"/>
  <c r="AQ1459" i="3" s="1"/>
  <c r="AG1458" i="3"/>
  <c r="AK1458" i="3" s="1"/>
  <c r="AG1459" i="3" s="1"/>
  <c r="AK1459" i="3" s="1"/>
  <c r="AA1458" i="3"/>
  <c r="AE1458" i="3" s="1"/>
  <c r="AA1459" i="3" s="1"/>
  <c r="AE1459" i="3" s="1"/>
  <c r="AA1460" i="3" s="1"/>
  <c r="AE1460" i="3" s="1"/>
  <c r="AA1461" i="3" s="1"/>
  <c r="AE1461" i="3" s="1"/>
  <c r="AA1462" i="3" s="1"/>
  <c r="AE1462" i="3" s="1"/>
  <c r="Y1458" i="3"/>
  <c r="U1459" i="3" s="1"/>
  <c r="Y1459" i="3" s="1"/>
  <c r="U1460" i="3" s="1"/>
  <c r="Y1460" i="3" s="1"/>
  <c r="U1461" i="3" s="1"/>
  <c r="Y1461" i="3" s="1"/>
  <c r="U1458" i="3"/>
  <c r="O1458" i="3"/>
  <c r="S1458" i="3" s="1"/>
  <c r="O1459" i="3" s="1"/>
  <c r="S1459" i="3" s="1"/>
  <c r="O1460" i="3" s="1"/>
  <c r="S1460" i="3" s="1"/>
  <c r="O1461" i="3" s="1"/>
  <c r="S1461" i="3" s="1"/>
  <c r="I1458" i="3"/>
  <c r="M1458" i="3" s="1"/>
  <c r="I1459" i="3" s="1"/>
  <c r="M1459" i="3" s="1"/>
  <c r="I1460" i="3" s="1"/>
  <c r="M1460" i="3" s="1"/>
  <c r="I1461" i="3" s="1"/>
  <c r="M1461" i="3" s="1"/>
  <c r="C1458" i="3"/>
  <c r="G1458" i="3" s="1"/>
  <c r="B1458" i="3"/>
  <c r="A24" i="9"/>
  <c r="A13" i="9"/>
  <c r="A11" i="9"/>
  <c r="AY1457" i="3"/>
  <c r="AV1457" i="3"/>
  <c r="AU1457" i="3"/>
  <c r="AT1457" i="3"/>
  <c r="AY1456" i="3"/>
  <c r="AU1456" i="3"/>
  <c r="AJ1456" i="3"/>
  <c r="L1456" i="3"/>
  <c r="J1456" i="3"/>
  <c r="F1456" i="3"/>
  <c r="AV1456" i="3" s="1"/>
  <c r="D1456" i="3"/>
  <c r="AT1456" i="3" s="1"/>
  <c r="AY1455" i="3"/>
  <c r="AH1455" i="3"/>
  <c r="AT1455" i="3" s="1"/>
  <c r="Q1455" i="3"/>
  <c r="L1455" i="3"/>
  <c r="AV1455" i="3" s="1"/>
  <c r="K1455" i="3"/>
  <c r="AU1455" i="3" s="1"/>
  <c r="E1455" i="3"/>
  <c r="D1455" i="3"/>
  <c r="B1455" i="3"/>
  <c r="B1456" i="3" s="1"/>
  <c r="B1457" i="3" s="1"/>
  <c r="AY1454" i="3"/>
  <c r="AU1454" i="3"/>
  <c r="J1454" i="3"/>
  <c r="AT1454" i="3" s="1"/>
  <c r="F1454" i="3"/>
  <c r="AV1454" i="3" s="1"/>
  <c r="AY1453" i="3"/>
  <c r="AT1453" i="3"/>
  <c r="Q1453" i="3"/>
  <c r="AU1453" i="3" s="1"/>
  <c r="F1453" i="3"/>
  <c r="AV1453" i="3" s="1"/>
  <c r="AY1452" i="3"/>
  <c r="AV1452" i="3"/>
  <c r="AU1452" i="3"/>
  <c r="AT1452" i="3"/>
  <c r="AY1451" i="3"/>
  <c r="AV1451" i="3"/>
  <c r="AU1451" i="3"/>
  <c r="AT1451" i="3"/>
  <c r="AY1450" i="3"/>
  <c r="AU1450" i="3"/>
  <c r="AT1450" i="3"/>
  <c r="F1450" i="3"/>
  <c r="AV1450" i="3" s="1"/>
  <c r="B1450" i="3"/>
  <c r="B1451" i="3" s="1"/>
  <c r="B1452" i="3" s="1"/>
  <c r="B1453" i="3" s="1"/>
  <c r="B1454" i="3" s="1"/>
  <c r="AY1449" i="3"/>
  <c r="AV1449" i="3"/>
  <c r="AU1449" i="3"/>
  <c r="AT1449" i="3"/>
  <c r="AY1448" i="3"/>
  <c r="AV1448" i="3"/>
  <c r="AT1448" i="3"/>
  <c r="K1448" i="3"/>
  <c r="AU1448" i="3" s="1"/>
  <c r="AY1447" i="3"/>
  <c r="K1447" i="3"/>
  <c r="J1447" i="3"/>
  <c r="AT1447" i="3" s="1"/>
  <c r="F1447" i="3"/>
  <c r="AV1447" i="3" s="1"/>
  <c r="E1447" i="3"/>
  <c r="AU1447" i="3" s="1"/>
  <c r="D1447" i="3"/>
  <c r="B1447" i="3"/>
  <c r="B1448" i="3" s="1"/>
  <c r="B1449" i="3" s="1"/>
  <c r="AY1446" i="3"/>
  <c r="AU1446" i="3"/>
  <c r="F1446" i="3"/>
  <c r="AV1446" i="3" s="1"/>
  <c r="D1446" i="3"/>
  <c r="AT1446" i="3" s="1"/>
  <c r="AY1445" i="3"/>
  <c r="AV1445" i="3"/>
  <c r="AU1445" i="3"/>
  <c r="AT1445" i="3"/>
  <c r="AY1444" i="3"/>
  <c r="AT1444" i="3"/>
  <c r="L1444" i="3"/>
  <c r="K1444" i="3"/>
  <c r="AU1444" i="3" s="1"/>
  <c r="F1444" i="3"/>
  <c r="AV1444" i="3" s="1"/>
  <c r="AY1443" i="3"/>
  <c r="AU1443" i="3"/>
  <c r="AT1443" i="3"/>
  <c r="P1443" i="3"/>
  <c r="F1443" i="3"/>
  <c r="AV1443" i="3" s="1"/>
  <c r="AY1441" i="3"/>
  <c r="AU1441" i="3"/>
  <c r="AT1441" i="3"/>
  <c r="F1441" i="3"/>
  <c r="AV1441" i="3" s="1"/>
  <c r="B1441" i="3"/>
  <c r="B1442" i="3" s="1"/>
  <c r="B1443" i="3" s="1"/>
  <c r="B1444" i="3" s="1"/>
  <c r="B1445" i="3" s="1"/>
  <c r="B1446" i="3" s="1"/>
  <c r="AY1442" i="3"/>
  <c r="AV1442" i="3"/>
  <c r="AU1442" i="3"/>
  <c r="P1442" i="3"/>
  <c r="D1442" i="3"/>
  <c r="AT1442" i="3" s="1"/>
  <c r="AY1440" i="3"/>
  <c r="AV1440" i="3"/>
  <c r="AU1440" i="3"/>
  <c r="J1440" i="3"/>
  <c r="AT1440" i="3" s="1"/>
  <c r="AY1439" i="3"/>
  <c r="AU1439" i="3"/>
  <c r="AT1439" i="3"/>
  <c r="F1439" i="3"/>
  <c r="AV1439" i="3" s="1"/>
  <c r="AY1437" i="3"/>
  <c r="AU1437" i="3"/>
  <c r="R1437" i="3"/>
  <c r="P1437" i="3"/>
  <c r="K1437" i="3"/>
  <c r="F1437" i="3"/>
  <c r="AV1437" i="3" s="1"/>
  <c r="D1437" i="3"/>
  <c r="AT1437" i="3" s="1"/>
  <c r="AY1436" i="3"/>
  <c r="AV1436" i="3"/>
  <c r="AU1436" i="3"/>
  <c r="AT1436" i="3"/>
  <c r="AY1435" i="3"/>
  <c r="AH1435" i="3"/>
  <c r="P1435" i="3"/>
  <c r="L1435" i="3"/>
  <c r="AV1435" i="3" s="1"/>
  <c r="K1435" i="3"/>
  <c r="AU1435" i="3" s="1"/>
  <c r="J1435" i="3"/>
  <c r="D1435" i="3"/>
  <c r="AT1435" i="3" s="1"/>
  <c r="B1434" i="3"/>
  <c r="B1435" i="3" s="1"/>
  <c r="B1436" i="3" s="1"/>
  <c r="B1437" i="3" s="1"/>
  <c r="F1434" i="3"/>
  <c r="J1434" i="3"/>
  <c r="P1434" i="3"/>
  <c r="Q1434" i="3"/>
  <c r="AJ1434" i="3"/>
  <c r="AT1434" i="3"/>
  <c r="AU1434" i="3"/>
  <c r="AV1434" i="3"/>
  <c r="AY1434" i="3"/>
  <c r="G1467" i="3" l="1"/>
  <c r="AM1462" i="3"/>
  <c r="AQ1462" i="3" s="1"/>
  <c r="AM1463" i="3" s="1"/>
  <c r="AQ1463" i="3" s="1"/>
  <c r="AM1464" i="3" s="1"/>
  <c r="AQ1464" i="3" s="1"/>
  <c r="AM1465" i="3" s="1"/>
  <c r="AQ1465" i="3" s="1"/>
  <c r="AM1466" i="3" s="1"/>
  <c r="AQ1466" i="3" s="1"/>
  <c r="I1462" i="3"/>
  <c r="M1462" i="3" s="1"/>
  <c r="I1463" i="3" s="1"/>
  <c r="M1463" i="3" s="1"/>
  <c r="I1464" i="3" s="1"/>
  <c r="M1464" i="3" s="1"/>
  <c r="I1465" i="3" s="1"/>
  <c r="M1465" i="3" s="1"/>
  <c r="I1466" i="3" s="1"/>
  <c r="M1466" i="3" s="1"/>
  <c r="O1462" i="3"/>
  <c r="S1462" i="3" s="1"/>
  <c r="O1463" i="3" s="1"/>
  <c r="S1463" i="3" s="1"/>
  <c r="O1464" i="3" s="1"/>
  <c r="S1464" i="3" s="1"/>
  <c r="O1465" i="3" s="1"/>
  <c r="S1465" i="3" s="1"/>
  <c r="O1466" i="3" s="1"/>
  <c r="S1466" i="3" s="1"/>
  <c r="U1462" i="3"/>
  <c r="Y1462" i="3" s="1"/>
  <c r="U1463" i="3" s="1"/>
  <c r="Y1463" i="3" s="1"/>
  <c r="U1464" i="3" s="1"/>
  <c r="Y1464" i="3" s="1"/>
  <c r="U1465" i="3" s="1"/>
  <c r="Y1465" i="3" s="1"/>
  <c r="U1466" i="3" s="1"/>
  <c r="Y1466" i="3" s="1"/>
  <c r="C1459" i="3"/>
  <c r="AX1458" i="3"/>
  <c r="AZ1458" i="3" s="1"/>
  <c r="AS1458" i="3"/>
  <c r="AH1433" i="3"/>
  <c r="Q1433" i="3"/>
  <c r="P1433" i="3"/>
  <c r="K1433" i="3"/>
  <c r="W1432" i="3"/>
  <c r="P1432" i="3"/>
  <c r="Q1432" i="3"/>
  <c r="J1432" i="3"/>
  <c r="K1432" i="3"/>
  <c r="AH1431" i="3"/>
  <c r="AX1467" i="3" l="1"/>
  <c r="AZ1467" i="3" s="1"/>
  <c r="B5" i="9"/>
  <c r="G1459" i="3"/>
  <c r="C1460" i="3" s="1"/>
  <c r="AS1459" i="3"/>
  <c r="K1430" i="3"/>
  <c r="R1430" i="3"/>
  <c r="Q1430" i="3"/>
  <c r="P1430" i="3"/>
  <c r="G1430" i="3"/>
  <c r="D1430" i="3"/>
  <c r="L1428" i="3"/>
  <c r="F1427" i="3"/>
  <c r="D1427" i="3"/>
  <c r="P1426" i="3"/>
  <c r="K1426" i="3"/>
  <c r="F1426" i="3"/>
  <c r="G1460" i="3" l="1"/>
  <c r="AS1460" i="3"/>
  <c r="AX1459" i="3"/>
  <c r="AZ1459" i="3" s="1"/>
  <c r="D1425" i="3"/>
  <c r="F1424" i="3"/>
  <c r="K1422" i="3"/>
  <c r="L1422" i="3"/>
  <c r="P1422" i="3"/>
  <c r="D1422" i="3"/>
  <c r="L1421" i="3"/>
  <c r="F1419" i="3"/>
  <c r="F1418" i="3"/>
  <c r="P1417" i="3"/>
  <c r="J1416" i="3"/>
  <c r="K1416" i="3"/>
  <c r="R1415" i="3"/>
  <c r="AX1460" i="3" l="1"/>
  <c r="AZ1460" i="3" s="1"/>
  <c r="C1461" i="3"/>
  <c r="AH1412" i="3"/>
  <c r="P1412" i="3"/>
  <c r="Q1412" i="3"/>
  <c r="K1412" i="3"/>
  <c r="G1461" i="3" l="1"/>
  <c r="AS1461" i="3"/>
  <c r="Q1411" i="3"/>
  <c r="K1411" i="3"/>
  <c r="P1410" i="3"/>
  <c r="AX1461" i="3" l="1"/>
  <c r="AZ1461" i="3" s="1"/>
  <c r="C1462" i="3"/>
  <c r="P1409" i="3"/>
  <c r="D1405" i="3"/>
  <c r="P1403" i="3"/>
  <c r="J1403" i="3"/>
  <c r="F1403" i="3"/>
  <c r="D1403" i="3"/>
  <c r="F1400" i="3"/>
  <c r="F1398" i="3"/>
  <c r="D1398" i="3"/>
  <c r="K1397" i="3"/>
  <c r="AS1462" i="3" l="1"/>
  <c r="G1462" i="3"/>
  <c r="L1396" i="3"/>
  <c r="F1396" i="3"/>
  <c r="L1395" i="3"/>
  <c r="J1395" i="3"/>
  <c r="K1395" i="3"/>
  <c r="X1395" i="3"/>
  <c r="R1395" i="3"/>
  <c r="Q1395" i="3"/>
  <c r="P1395" i="3"/>
  <c r="F1395" i="3"/>
  <c r="E1395" i="3"/>
  <c r="D1395" i="3"/>
  <c r="K1393" i="3"/>
  <c r="AX1462" i="3" l="1"/>
  <c r="AZ1462" i="3" s="1"/>
  <c r="C1463" i="3"/>
  <c r="P1393" i="3"/>
  <c r="Q1393" i="3"/>
  <c r="J1392" i="3"/>
  <c r="K1392" i="3"/>
  <c r="F1392" i="3"/>
  <c r="AJ1391" i="3"/>
  <c r="AI1391" i="3"/>
  <c r="V1391" i="3"/>
  <c r="Q1391" i="3"/>
  <c r="K1391" i="3"/>
  <c r="F1391" i="3"/>
  <c r="AH1390" i="3"/>
  <c r="F1389" i="3"/>
  <c r="R1387" i="3"/>
  <c r="P1387" i="3"/>
  <c r="F1387" i="3"/>
  <c r="D1387" i="3"/>
  <c r="L1386" i="3"/>
  <c r="K1386" i="3"/>
  <c r="P1383" i="3"/>
  <c r="J1383" i="3"/>
  <c r="E1382" i="3"/>
  <c r="AS1463" i="3" l="1"/>
  <c r="G1463" i="3"/>
  <c r="L1381" i="3"/>
  <c r="J1381" i="3"/>
  <c r="L1380" i="3"/>
  <c r="D1380" i="3"/>
  <c r="P1379" i="3"/>
  <c r="J1379" i="3"/>
  <c r="P1378" i="3"/>
  <c r="L1378" i="3"/>
  <c r="E1378" i="3"/>
  <c r="P1375" i="3"/>
  <c r="D1374" i="3"/>
  <c r="P1373" i="3"/>
  <c r="L1373" i="3"/>
  <c r="J1373" i="3"/>
  <c r="D1373" i="3"/>
  <c r="AI1371" i="3"/>
  <c r="P1371" i="3"/>
  <c r="F1371" i="3"/>
  <c r="E1371" i="3"/>
  <c r="R1370" i="3"/>
  <c r="F1370" i="3"/>
  <c r="C1464" i="3" l="1"/>
  <c r="AX1463" i="3"/>
  <c r="AZ1463" i="3" s="1"/>
  <c r="AH1368" i="3"/>
  <c r="Q1369" i="3"/>
  <c r="E1369" i="3"/>
  <c r="F1368" i="3"/>
  <c r="D1368" i="3"/>
  <c r="R1367" i="3"/>
  <c r="F1367" i="3"/>
  <c r="D1367" i="3"/>
  <c r="D1366" i="3"/>
  <c r="AS1464" i="3" l="1"/>
  <c r="G1464" i="3"/>
  <c r="L1365" i="3"/>
  <c r="C1465" i="3" l="1"/>
  <c r="AX1464" i="3"/>
  <c r="AZ1464" i="3" s="1"/>
  <c r="D1365" i="3"/>
  <c r="AS1465" i="3" l="1"/>
  <c r="G1465" i="3"/>
  <c r="Q1364" i="3"/>
  <c r="K1363" i="3"/>
  <c r="D1363" i="3"/>
  <c r="C1466" i="3" l="1"/>
  <c r="AX1465" i="3"/>
  <c r="AZ1465" i="3" s="1"/>
  <c r="P1362" i="3"/>
  <c r="F1358" i="3"/>
  <c r="D1358" i="3"/>
  <c r="L1357" i="3"/>
  <c r="F1357" i="3"/>
  <c r="D1357" i="3"/>
  <c r="E1356" i="3"/>
  <c r="P1356" i="3"/>
  <c r="L1356" i="3"/>
  <c r="P1355" i="3"/>
  <c r="L1355" i="3"/>
  <c r="D1355" i="3"/>
  <c r="J1354" i="3"/>
  <c r="K1354" i="3"/>
  <c r="G1466" i="3" l="1"/>
  <c r="AS1466" i="3"/>
  <c r="K1353" i="3"/>
  <c r="R1352" i="3"/>
  <c r="P1352" i="3"/>
  <c r="K1352" i="3"/>
  <c r="R1351" i="3"/>
  <c r="AX1466" i="3" l="1"/>
  <c r="AZ1466" i="3" s="1"/>
  <c r="D1349" i="3"/>
  <c r="F1348" i="3"/>
  <c r="D1348" i="3"/>
  <c r="Q1347" i="3"/>
  <c r="P1347" i="3"/>
  <c r="D1347" i="3"/>
  <c r="F1346" i="3"/>
  <c r="D1344" i="3"/>
  <c r="R1343" i="3"/>
  <c r="J1341" i="3"/>
  <c r="F1341" i="3"/>
  <c r="D1341" i="3"/>
  <c r="D1340" i="3"/>
  <c r="F1339" i="3"/>
  <c r="D1339" i="3" l="1"/>
  <c r="P1338" i="3"/>
  <c r="J1338" i="3"/>
  <c r="F1337" i="3" l="1"/>
  <c r="F1334" i="3"/>
  <c r="AJ1327" i="3" l="1"/>
  <c r="Q1326" i="3"/>
  <c r="AT1319" i="3"/>
  <c r="AT1320" i="3"/>
  <c r="AT1321" i="3"/>
  <c r="AT1322" i="3"/>
  <c r="AT1323" i="3"/>
  <c r="AT1324" i="3"/>
  <c r="AV1326" i="3"/>
  <c r="AV1327" i="3"/>
  <c r="AV1328" i="3"/>
  <c r="AV1329" i="3"/>
  <c r="AV1330" i="3"/>
  <c r="AV1331" i="3"/>
  <c r="AV1332" i="3"/>
  <c r="AV1333" i="3"/>
  <c r="AV1334" i="3"/>
  <c r="AV1335" i="3"/>
  <c r="AV1336" i="3"/>
  <c r="AV1337" i="3"/>
  <c r="AV1338" i="3"/>
  <c r="AV1339" i="3"/>
  <c r="AV1340" i="3"/>
  <c r="AV1341" i="3"/>
  <c r="AV1342" i="3"/>
  <c r="AV1343" i="3"/>
  <c r="AV1344" i="3"/>
  <c r="AV1345" i="3"/>
  <c r="AV1346" i="3"/>
  <c r="AV1347" i="3"/>
  <c r="AV1348" i="3"/>
  <c r="AV1349" i="3"/>
  <c r="AV1350" i="3"/>
  <c r="AV1351" i="3"/>
  <c r="AV1352" i="3"/>
  <c r="AV1353" i="3"/>
  <c r="AV1354" i="3"/>
  <c r="AV1355" i="3"/>
  <c r="AV1356" i="3"/>
  <c r="AV1357" i="3"/>
  <c r="AV1358" i="3"/>
  <c r="AV1359" i="3"/>
  <c r="AV1360" i="3"/>
  <c r="AV1361" i="3"/>
  <c r="AV1362" i="3"/>
  <c r="AV1363" i="3"/>
  <c r="AV1364" i="3"/>
  <c r="AV1365" i="3"/>
  <c r="AV1366" i="3"/>
  <c r="AV1367" i="3"/>
  <c r="AV1368" i="3"/>
  <c r="AV1369" i="3"/>
  <c r="AV1370" i="3"/>
  <c r="AV1371" i="3"/>
  <c r="AV1372" i="3"/>
  <c r="AV1373" i="3"/>
  <c r="AV1374" i="3"/>
  <c r="AV1375" i="3"/>
  <c r="AV1376" i="3"/>
  <c r="AV1377" i="3"/>
  <c r="AV1378" i="3"/>
  <c r="AV1379" i="3"/>
  <c r="AV1380" i="3"/>
  <c r="AV1381" i="3"/>
  <c r="AV1382" i="3"/>
  <c r="AV1383" i="3"/>
  <c r="AV1384" i="3"/>
  <c r="AV1385" i="3"/>
  <c r="AV1386" i="3"/>
  <c r="AV1387" i="3"/>
  <c r="AV1388" i="3"/>
  <c r="AV1389" i="3"/>
  <c r="AV1390" i="3"/>
  <c r="AV1391" i="3"/>
  <c r="AV1392" i="3"/>
  <c r="AV1393" i="3"/>
  <c r="AV1394" i="3"/>
  <c r="AV1395" i="3"/>
  <c r="AV1396" i="3"/>
  <c r="AV1397" i="3"/>
  <c r="AV1398" i="3"/>
  <c r="AV1399" i="3"/>
  <c r="AV1400" i="3"/>
  <c r="AV1401" i="3"/>
  <c r="AV1402" i="3"/>
  <c r="AV1403" i="3"/>
  <c r="AV1404" i="3"/>
  <c r="AV1405" i="3"/>
  <c r="AV1406" i="3"/>
  <c r="AV1407" i="3"/>
  <c r="AV1408" i="3"/>
  <c r="AV1409" i="3"/>
  <c r="AV1410" i="3"/>
  <c r="AV1411" i="3"/>
  <c r="AV1412" i="3"/>
  <c r="AV1413" i="3"/>
  <c r="AV1414" i="3"/>
  <c r="AV1415" i="3"/>
  <c r="AV1416" i="3"/>
  <c r="AV1417" i="3"/>
  <c r="AV1418" i="3"/>
  <c r="AV1419" i="3"/>
  <c r="AV1420" i="3"/>
  <c r="AV1421" i="3"/>
  <c r="AV1422" i="3"/>
  <c r="AV1423" i="3"/>
  <c r="AV1424" i="3"/>
  <c r="AV1425" i="3"/>
  <c r="AV1426" i="3"/>
  <c r="AV1427" i="3"/>
  <c r="AV1428" i="3"/>
  <c r="AV1429" i="3"/>
  <c r="AV1430" i="3"/>
  <c r="AV1431" i="3"/>
  <c r="AV1432" i="3"/>
  <c r="AV1433" i="3"/>
  <c r="AV1438" i="3"/>
  <c r="AV1468" i="3"/>
  <c r="AV1469" i="3"/>
  <c r="AV1470" i="3"/>
  <c r="AV1471" i="3"/>
  <c r="AV1472" i="3"/>
  <c r="AV1473" i="3"/>
  <c r="AV1474" i="3"/>
  <c r="AV1475" i="3"/>
  <c r="AV1476" i="3"/>
  <c r="AV1477" i="3"/>
  <c r="AV1478" i="3"/>
  <c r="AV1479" i="3"/>
  <c r="AV1480" i="3"/>
  <c r="AV1481" i="3"/>
  <c r="AV1482" i="3"/>
  <c r="AV1483" i="3"/>
  <c r="AV1484" i="3"/>
  <c r="AV1485" i="3"/>
  <c r="AV1486" i="3"/>
  <c r="AV1487" i="3"/>
  <c r="AV1488" i="3"/>
  <c r="AV1489" i="3"/>
  <c r="AV1490" i="3"/>
  <c r="AV1491" i="3"/>
  <c r="AV1492" i="3"/>
  <c r="AV1493" i="3"/>
  <c r="AV1494" i="3"/>
  <c r="AV1495" i="3"/>
  <c r="AV1496" i="3"/>
  <c r="AV1497" i="3"/>
  <c r="AV1498" i="3"/>
  <c r="AV1499" i="3"/>
  <c r="AV1500" i="3"/>
  <c r="AV1501" i="3"/>
  <c r="AV1502" i="3"/>
  <c r="AV1503" i="3"/>
  <c r="AV1504" i="3"/>
  <c r="AV1505" i="3"/>
  <c r="AV1506" i="3"/>
  <c r="AV1507" i="3"/>
  <c r="AV1508" i="3"/>
  <c r="AV1509" i="3"/>
  <c r="AV1510" i="3"/>
  <c r="AV1511" i="3"/>
  <c r="AV1512" i="3"/>
  <c r="AV1513" i="3"/>
  <c r="AV1514" i="3"/>
  <c r="AV1515" i="3"/>
  <c r="AV1516" i="3"/>
  <c r="AV1517" i="3"/>
  <c r="AV1518" i="3"/>
  <c r="AV1519" i="3"/>
  <c r="AV1520" i="3"/>
  <c r="AV1521" i="3"/>
  <c r="AV1522" i="3"/>
  <c r="AV1523" i="3"/>
  <c r="AV1524" i="3"/>
  <c r="AV1525" i="3"/>
  <c r="AV1526" i="3"/>
  <c r="AV1527" i="3"/>
  <c r="AV1528" i="3"/>
  <c r="AV1529" i="3"/>
  <c r="AV1530" i="3"/>
  <c r="AV1531" i="3"/>
  <c r="AV1532" i="3"/>
  <c r="AV1533" i="3"/>
  <c r="AV1534" i="3"/>
  <c r="AV1535" i="3"/>
  <c r="AV1536" i="3"/>
  <c r="AV1537" i="3"/>
  <c r="AV1538" i="3"/>
  <c r="AV1539" i="3"/>
  <c r="AV1540" i="3"/>
  <c r="AV1541" i="3"/>
  <c r="AV1542" i="3"/>
  <c r="AV1543" i="3"/>
  <c r="AV1544" i="3"/>
  <c r="AV1545" i="3"/>
  <c r="AV1546" i="3"/>
  <c r="AV1547" i="3"/>
  <c r="AV1548" i="3"/>
  <c r="AV1549" i="3"/>
  <c r="AV1550" i="3"/>
  <c r="AV1551" i="3"/>
  <c r="AV1552" i="3"/>
  <c r="AV1553" i="3"/>
  <c r="AV1554" i="3"/>
  <c r="AV1555" i="3"/>
  <c r="AV1556" i="3"/>
  <c r="AV1557" i="3"/>
  <c r="AV1558" i="3"/>
  <c r="AV1559" i="3"/>
  <c r="AV1560" i="3"/>
  <c r="AV1561" i="3"/>
  <c r="AV1562" i="3"/>
  <c r="AV1563" i="3"/>
  <c r="AV1564" i="3"/>
  <c r="AV1565" i="3"/>
  <c r="AV1566" i="3"/>
  <c r="AV1567" i="3"/>
  <c r="AV1568" i="3"/>
  <c r="AV1569" i="3"/>
  <c r="AV1570" i="3"/>
  <c r="AV1571" i="3"/>
  <c r="AV1572" i="3"/>
  <c r="AV1573" i="3"/>
  <c r="AV1574" i="3"/>
  <c r="AV1575" i="3"/>
  <c r="AV1576" i="3"/>
  <c r="AV1577" i="3"/>
  <c r="AV1578" i="3"/>
  <c r="AV1579" i="3"/>
  <c r="AV1580" i="3"/>
  <c r="AV1581" i="3"/>
  <c r="AV1582" i="3"/>
  <c r="AV1583" i="3"/>
  <c r="AV1584" i="3"/>
  <c r="AV1585" i="3"/>
  <c r="AV1586" i="3"/>
  <c r="AV1587" i="3"/>
  <c r="AV1588" i="3"/>
  <c r="AV1589" i="3"/>
  <c r="AV1590" i="3"/>
  <c r="AV1591" i="3"/>
  <c r="AV1592" i="3"/>
  <c r="AV1593" i="3"/>
  <c r="AV1594" i="3"/>
  <c r="AV1595" i="3"/>
  <c r="AV1596" i="3"/>
  <c r="AV1597" i="3"/>
  <c r="AV1598" i="3"/>
  <c r="AV1599" i="3"/>
  <c r="AV1600" i="3"/>
  <c r="AV1601" i="3"/>
  <c r="AV1602" i="3"/>
  <c r="AV1603" i="3"/>
  <c r="AV1604" i="3"/>
  <c r="AV1605" i="3"/>
  <c r="AV1606" i="3"/>
  <c r="AV1607" i="3"/>
  <c r="AV1608" i="3"/>
  <c r="AV1609" i="3"/>
  <c r="AV1610" i="3"/>
  <c r="AV1611" i="3"/>
  <c r="AV1612" i="3"/>
  <c r="AV1613" i="3"/>
  <c r="AV1614" i="3"/>
  <c r="AV1615" i="3"/>
  <c r="AV1616" i="3"/>
  <c r="AV1617" i="3"/>
  <c r="AV1618" i="3"/>
  <c r="AV1619" i="3"/>
  <c r="AV1620" i="3"/>
  <c r="AV1621" i="3"/>
  <c r="AV1622" i="3"/>
  <c r="AV1623" i="3"/>
  <c r="AV1624" i="3"/>
  <c r="AV1625" i="3"/>
  <c r="AV1626" i="3"/>
  <c r="AV1627" i="3"/>
  <c r="AV1628" i="3"/>
  <c r="AV1629" i="3"/>
  <c r="AV1630" i="3"/>
  <c r="AV1631" i="3"/>
  <c r="AV1632" i="3"/>
  <c r="AV1633" i="3"/>
  <c r="AV1634" i="3"/>
  <c r="AU1326" i="3"/>
  <c r="AU1327" i="3"/>
  <c r="AU1328" i="3"/>
  <c r="AU1329" i="3"/>
  <c r="AU1330" i="3"/>
  <c r="AU1331" i="3"/>
  <c r="AU1332" i="3"/>
  <c r="AU1333" i="3"/>
  <c r="AU1334" i="3"/>
  <c r="AU1335" i="3"/>
  <c r="AU1336" i="3"/>
  <c r="AU1337" i="3"/>
  <c r="AU1338" i="3"/>
  <c r="AU1339" i="3"/>
  <c r="AU1340" i="3"/>
  <c r="AU1341" i="3"/>
  <c r="AU1342" i="3"/>
  <c r="AU1343" i="3"/>
  <c r="AU1344" i="3"/>
  <c r="AU1345" i="3"/>
  <c r="AU1346" i="3"/>
  <c r="AU1347" i="3"/>
  <c r="AU1348" i="3"/>
  <c r="AU1349" i="3"/>
  <c r="AU1350" i="3"/>
  <c r="AU1351" i="3"/>
  <c r="AU1352" i="3"/>
  <c r="AU1353" i="3"/>
  <c r="AU1354" i="3"/>
  <c r="AU1355" i="3"/>
  <c r="AU1356" i="3"/>
  <c r="AU1357" i="3"/>
  <c r="AU1358" i="3"/>
  <c r="AU1359" i="3"/>
  <c r="AU1360" i="3"/>
  <c r="AU1361" i="3"/>
  <c r="AU1362" i="3"/>
  <c r="AU1363" i="3"/>
  <c r="AU1364" i="3"/>
  <c r="AU1365" i="3"/>
  <c r="AU1366" i="3"/>
  <c r="AU1367" i="3"/>
  <c r="AU1368" i="3"/>
  <c r="AU1369" i="3"/>
  <c r="AU1370" i="3"/>
  <c r="AU1371" i="3"/>
  <c r="AU1372" i="3"/>
  <c r="AU1373" i="3"/>
  <c r="AU1374" i="3"/>
  <c r="AU1375" i="3"/>
  <c r="AU1376" i="3"/>
  <c r="AU1377" i="3"/>
  <c r="AU1378" i="3"/>
  <c r="AU1379" i="3"/>
  <c r="AU1380" i="3"/>
  <c r="AU1381" i="3"/>
  <c r="AU1382" i="3"/>
  <c r="AU1383" i="3"/>
  <c r="AU1384" i="3"/>
  <c r="AU1385" i="3"/>
  <c r="AU1386" i="3"/>
  <c r="AU1387" i="3"/>
  <c r="AU1388" i="3"/>
  <c r="AU1389" i="3"/>
  <c r="AU1390" i="3"/>
  <c r="AU1391" i="3"/>
  <c r="AU1392" i="3"/>
  <c r="AU1393" i="3"/>
  <c r="AU1394" i="3"/>
  <c r="AU1395" i="3"/>
  <c r="AU1396" i="3"/>
  <c r="AU1397" i="3"/>
  <c r="AU1398" i="3"/>
  <c r="AU1399" i="3"/>
  <c r="AU1400" i="3"/>
  <c r="AU1401" i="3"/>
  <c r="AU1402" i="3"/>
  <c r="AU1403" i="3"/>
  <c r="AU1404" i="3"/>
  <c r="AU1405" i="3"/>
  <c r="AU1406" i="3"/>
  <c r="AU1407" i="3"/>
  <c r="AU1408" i="3"/>
  <c r="AU1409" i="3"/>
  <c r="AU1410" i="3"/>
  <c r="AU1411" i="3"/>
  <c r="AU1412" i="3"/>
  <c r="AU1413" i="3"/>
  <c r="AU1414" i="3"/>
  <c r="AU1415" i="3"/>
  <c r="AU1416" i="3"/>
  <c r="AU1417" i="3"/>
  <c r="AU1418" i="3"/>
  <c r="AU1419" i="3"/>
  <c r="AU1420" i="3"/>
  <c r="AU1421" i="3"/>
  <c r="AU1422" i="3"/>
  <c r="AU1423" i="3"/>
  <c r="AU1424" i="3"/>
  <c r="AU1425" i="3"/>
  <c r="AU1426" i="3"/>
  <c r="AU1427" i="3"/>
  <c r="AU1428" i="3"/>
  <c r="AU1429" i="3"/>
  <c r="AU1430" i="3"/>
  <c r="AU1431" i="3"/>
  <c r="AU1432" i="3"/>
  <c r="AU1433" i="3"/>
  <c r="AU1438" i="3"/>
  <c r="AU1468" i="3"/>
  <c r="AU1469" i="3"/>
  <c r="AU1470" i="3"/>
  <c r="AU1471" i="3"/>
  <c r="AU1472" i="3"/>
  <c r="AU1473" i="3"/>
  <c r="AU1474" i="3"/>
  <c r="AU1475" i="3"/>
  <c r="AU1476" i="3"/>
  <c r="AU1477" i="3"/>
  <c r="AU1478" i="3"/>
  <c r="AU1479" i="3"/>
  <c r="AU1480" i="3"/>
  <c r="AU1481" i="3"/>
  <c r="AU1482" i="3"/>
  <c r="AU1483" i="3"/>
  <c r="AU1484" i="3"/>
  <c r="AU1485" i="3"/>
  <c r="AU1486" i="3"/>
  <c r="AU1487" i="3"/>
  <c r="AU1488" i="3"/>
  <c r="AU1489" i="3"/>
  <c r="AU1490" i="3"/>
  <c r="AU1491" i="3"/>
  <c r="AU1492" i="3"/>
  <c r="AU1493" i="3"/>
  <c r="AU1494" i="3"/>
  <c r="AU1495" i="3"/>
  <c r="AU1496" i="3"/>
  <c r="AU1497" i="3"/>
  <c r="AU1498" i="3"/>
  <c r="AU1499" i="3"/>
  <c r="AU1500" i="3"/>
  <c r="AU1501" i="3"/>
  <c r="AU1502" i="3"/>
  <c r="AU1503" i="3"/>
  <c r="AU1504" i="3"/>
  <c r="AU1505" i="3"/>
  <c r="AU1506" i="3"/>
  <c r="AU1507" i="3"/>
  <c r="AU1508" i="3"/>
  <c r="AU1509" i="3"/>
  <c r="AU1510" i="3"/>
  <c r="AU1511" i="3"/>
  <c r="AU1512" i="3"/>
  <c r="AU1513" i="3"/>
  <c r="AU1514" i="3"/>
  <c r="AU1515" i="3"/>
  <c r="AU1516" i="3"/>
  <c r="AU1517" i="3"/>
  <c r="AU1518" i="3"/>
  <c r="AU1519" i="3"/>
  <c r="AU1520" i="3"/>
  <c r="AU1521" i="3"/>
  <c r="AU1522" i="3"/>
  <c r="AU1523" i="3"/>
  <c r="AU1524" i="3"/>
  <c r="AU1525" i="3"/>
  <c r="AU1526" i="3"/>
  <c r="AU1527" i="3"/>
  <c r="AU1528" i="3"/>
  <c r="AU1529" i="3"/>
  <c r="AU1530" i="3"/>
  <c r="AU1531" i="3"/>
  <c r="AU1532" i="3"/>
  <c r="AU1533" i="3"/>
  <c r="AU1534" i="3"/>
  <c r="AU1535" i="3"/>
  <c r="AU1536" i="3"/>
  <c r="AU1537" i="3"/>
  <c r="AU1538" i="3"/>
  <c r="AU1539" i="3"/>
  <c r="AU1540" i="3"/>
  <c r="AU1541" i="3"/>
  <c r="AU1542" i="3"/>
  <c r="AU1543" i="3"/>
  <c r="AU1544" i="3"/>
  <c r="AU1545" i="3"/>
  <c r="AU1546" i="3"/>
  <c r="AU1547" i="3"/>
  <c r="AU1548" i="3"/>
  <c r="AU1549" i="3"/>
  <c r="AU1550" i="3"/>
  <c r="AU1551" i="3"/>
  <c r="AU1552" i="3"/>
  <c r="AU1553" i="3"/>
  <c r="AU1554" i="3"/>
  <c r="AU1555" i="3"/>
  <c r="AU1556" i="3"/>
  <c r="AU1557" i="3"/>
  <c r="AU1558" i="3"/>
  <c r="AU1559" i="3"/>
  <c r="AU1560" i="3"/>
  <c r="AU1561" i="3"/>
  <c r="AU1562" i="3"/>
  <c r="AU1563" i="3"/>
  <c r="AU1564" i="3"/>
  <c r="AU1565" i="3"/>
  <c r="AU1566" i="3"/>
  <c r="AU1567" i="3"/>
  <c r="AU1568" i="3"/>
  <c r="AU1569" i="3"/>
  <c r="AU1570" i="3"/>
  <c r="AU1571" i="3"/>
  <c r="AU1572" i="3"/>
  <c r="AU1573" i="3"/>
  <c r="AU1574" i="3"/>
  <c r="AU1575" i="3"/>
  <c r="AU1576" i="3"/>
  <c r="AU1577" i="3"/>
  <c r="AU1578" i="3"/>
  <c r="AU1579" i="3"/>
  <c r="AU1580" i="3"/>
  <c r="AU1581" i="3"/>
  <c r="AU1582" i="3"/>
  <c r="AU1583" i="3"/>
  <c r="AU1584" i="3"/>
  <c r="AU1585" i="3"/>
  <c r="AU1586" i="3"/>
  <c r="AU1587" i="3"/>
  <c r="AU1588" i="3"/>
  <c r="AU1589" i="3"/>
  <c r="AU1590" i="3"/>
  <c r="AU1591" i="3"/>
  <c r="AU1592" i="3"/>
  <c r="AU1593" i="3"/>
  <c r="AU1594" i="3"/>
  <c r="AU1595" i="3"/>
  <c r="AU1596" i="3"/>
  <c r="AU1597" i="3"/>
  <c r="AU1598" i="3"/>
  <c r="AU1599" i="3"/>
  <c r="AU1600" i="3"/>
  <c r="AU1601" i="3"/>
  <c r="AU1602" i="3"/>
  <c r="AU1603" i="3"/>
  <c r="AU1604" i="3"/>
  <c r="AU1605" i="3"/>
  <c r="AU1606" i="3"/>
  <c r="AU1607" i="3"/>
  <c r="AU1608" i="3"/>
  <c r="AU1609" i="3"/>
  <c r="AU1610" i="3"/>
  <c r="AU1611" i="3"/>
  <c r="AU1612" i="3"/>
  <c r="AU1613" i="3"/>
  <c r="AU1614" i="3"/>
  <c r="AU1615" i="3"/>
  <c r="AU1616" i="3"/>
  <c r="AU1617" i="3"/>
  <c r="AU1618" i="3"/>
  <c r="AU1619" i="3"/>
  <c r="AU1620" i="3"/>
  <c r="AU1621" i="3"/>
  <c r="AU1622" i="3"/>
  <c r="AU1623" i="3"/>
  <c r="AU1624" i="3"/>
  <c r="AU1625" i="3"/>
  <c r="AU1626" i="3"/>
  <c r="AU1627" i="3"/>
  <c r="AU1628" i="3"/>
  <c r="AU1629" i="3"/>
  <c r="AU1630" i="3"/>
  <c r="AU1631" i="3"/>
  <c r="AU1632" i="3"/>
  <c r="AU1633" i="3"/>
  <c r="AU1634" i="3"/>
  <c r="AT1326" i="3"/>
  <c r="AT1327" i="3"/>
  <c r="AT1328" i="3"/>
  <c r="AT1329" i="3"/>
  <c r="AT1330" i="3"/>
  <c r="AT1331" i="3"/>
  <c r="AT1332" i="3"/>
  <c r="AT1333" i="3"/>
  <c r="AT1334" i="3"/>
  <c r="AT1335" i="3"/>
  <c r="AT1336" i="3"/>
  <c r="AT1337" i="3"/>
  <c r="AT1338" i="3"/>
  <c r="AT1339" i="3"/>
  <c r="AT1340" i="3"/>
  <c r="AT1341" i="3"/>
  <c r="AT1342" i="3"/>
  <c r="AT1343" i="3"/>
  <c r="AT1344" i="3"/>
  <c r="AT1345" i="3"/>
  <c r="AT1346" i="3"/>
  <c r="AT1347" i="3"/>
  <c r="AT1348" i="3"/>
  <c r="AT1349" i="3"/>
  <c r="AT1350" i="3"/>
  <c r="AT1351" i="3"/>
  <c r="AT1352" i="3"/>
  <c r="AT1353" i="3"/>
  <c r="AT1354" i="3"/>
  <c r="AT1355" i="3"/>
  <c r="AT1356" i="3"/>
  <c r="AT1357" i="3"/>
  <c r="AT1358" i="3"/>
  <c r="AT1359" i="3"/>
  <c r="AT1360" i="3"/>
  <c r="AT1361" i="3"/>
  <c r="AT1362" i="3"/>
  <c r="AT1363" i="3"/>
  <c r="AT1364" i="3"/>
  <c r="AT1365" i="3"/>
  <c r="AT1366" i="3"/>
  <c r="AT1367" i="3"/>
  <c r="AT1368" i="3"/>
  <c r="AT1369" i="3"/>
  <c r="AT1370" i="3"/>
  <c r="AT1371" i="3"/>
  <c r="AT1372" i="3"/>
  <c r="AT1373" i="3"/>
  <c r="AT1374" i="3"/>
  <c r="AT1375" i="3"/>
  <c r="AT1376" i="3"/>
  <c r="AT1377" i="3"/>
  <c r="AT1378" i="3"/>
  <c r="AT1379" i="3"/>
  <c r="AT1380" i="3"/>
  <c r="AT1381" i="3"/>
  <c r="AT1382" i="3"/>
  <c r="AT1383" i="3"/>
  <c r="AT1384" i="3"/>
  <c r="AT1385" i="3"/>
  <c r="AT1386" i="3"/>
  <c r="AT1387" i="3"/>
  <c r="AT1388" i="3"/>
  <c r="AT1389" i="3"/>
  <c r="AT1390" i="3"/>
  <c r="AT1391" i="3"/>
  <c r="AT1392" i="3"/>
  <c r="AT1393" i="3"/>
  <c r="AT1394" i="3"/>
  <c r="AT1395" i="3"/>
  <c r="AT1396" i="3"/>
  <c r="AT1397" i="3"/>
  <c r="AT1398" i="3"/>
  <c r="AT1399" i="3"/>
  <c r="AT1400" i="3"/>
  <c r="AT1401" i="3"/>
  <c r="AT1402" i="3"/>
  <c r="AT1403" i="3"/>
  <c r="AT1404" i="3"/>
  <c r="AT1405" i="3"/>
  <c r="AT1406" i="3"/>
  <c r="AT1407" i="3"/>
  <c r="AT1408" i="3"/>
  <c r="AT1409" i="3"/>
  <c r="AT1410" i="3"/>
  <c r="AT1411" i="3"/>
  <c r="AT1412" i="3"/>
  <c r="AT1413" i="3"/>
  <c r="AT1414" i="3"/>
  <c r="AT1415" i="3"/>
  <c r="AT1416" i="3"/>
  <c r="AT1417" i="3"/>
  <c r="AT1418" i="3"/>
  <c r="AT1419" i="3"/>
  <c r="AT1420" i="3"/>
  <c r="AT1421" i="3"/>
  <c r="AT1422" i="3"/>
  <c r="AT1423" i="3"/>
  <c r="AT1424" i="3"/>
  <c r="AT1425" i="3"/>
  <c r="AT1426" i="3"/>
  <c r="AT1427" i="3"/>
  <c r="AT1428" i="3"/>
  <c r="AT1429" i="3"/>
  <c r="AT1430" i="3"/>
  <c r="AT1431" i="3"/>
  <c r="AT1432" i="3"/>
  <c r="AT1433" i="3"/>
  <c r="AT1438" i="3"/>
  <c r="AT1468" i="3"/>
  <c r="AT1469" i="3"/>
  <c r="AT1470" i="3"/>
  <c r="AT1471" i="3"/>
  <c r="AT1472" i="3"/>
  <c r="AT1473" i="3"/>
  <c r="AT1474" i="3"/>
  <c r="AT1475" i="3"/>
  <c r="AT1476" i="3"/>
  <c r="AT1477" i="3"/>
  <c r="AT1478" i="3"/>
  <c r="AT1479" i="3"/>
  <c r="AT1480" i="3"/>
  <c r="AT1481" i="3"/>
  <c r="AT1482" i="3"/>
  <c r="AT1483" i="3"/>
  <c r="AT1484" i="3"/>
  <c r="AT1485" i="3"/>
  <c r="AT1486" i="3"/>
  <c r="AT1487" i="3"/>
  <c r="AT1488" i="3"/>
  <c r="AT1489" i="3"/>
  <c r="AT1490" i="3"/>
  <c r="AT1491" i="3"/>
  <c r="AT1492" i="3"/>
  <c r="AT1493" i="3"/>
  <c r="AT1494" i="3"/>
  <c r="AT1495" i="3"/>
  <c r="AT1496" i="3"/>
  <c r="AT1497" i="3"/>
  <c r="AT1498" i="3"/>
  <c r="AT1499" i="3"/>
  <c r="AT1500" i="3"/>
  <c r="AT1501" i="3"/>
  <c r="AT1502" i="3"/>
  <c r="AT1503" i="3"/>
  <c r="AT1504" i="3"/>
  <c r="AT1505" i="3"/>
  <c r="AT1506" i="3"/>
  <c r="AT1507" i="3"/>
  <c r="AT1508" i="3"/>
  <c r="AT1509" i="3"/>
  <c r="AT1510" i="3"/>
  <c r="AT1511" i="3"/>
  <c r="AT1512" i="3"/>
  <c r="AT1513" i="3"/>
  <c r="AT1514" i="3"/>
  <c r="AT1515" i="3"/>
  <c r="AT1516" i="3"/>
  <c r="AT1517" i="3"/>
  <c r="AT1518" i="3"/>
  <c r="AT1519" i="3"/>
  <c r="AT1520" i="3"/>
  <c r="AT1521" i="3"/>
  <c r="AT1522" i="3"/>
  <c r="AT1523" i="3"/>
  <c r="AT1524" i="3"/>
  <c r="AT1525" i="3"/>
  <c r="AT1526" i="3"/>
  <c r="AT1527" i="3"/>
  <c r="AT1528" i="3"/>
  <c r="AT1529" i="3"/>
  <c r="AT1530" i="3"/>
  <c r="AT1531" i="3"/>
  <c r="AT1532" i="3"/>
  <c r="AT1533" i="3"/>
  <c r="AT1534" i="3"/>
  <c r="AT1535" i="3"/>
  <c r="AT1536" i="3"/>
  <c r="AT1537" i="3"/>
  <c r="AT1538" i="3"/>
  <c r="AT1539" i="3"/>
  <c r="AT1540" i="3"/>
  <c r="AT1541" i="3"/>
  <c r="AT1542" i="3"/>
  <c r="AT1543" i="3"/>
  <c r="AT1544" i="3"/>
  <c r="AT1545" i="3"/>
  <c r="AT1546" i="3"/>
  <c r="AT1547" i="3"/>
  <c r="AT1548" i="3"/>
  <c r="AT1549" i="3"/>
  <c r="AT1550" i="3"/>
  <c r="AT1551" i="3"/>
  <c r="AT1552" i="3"/>
  <c r="AT1553" i="3"/>
  <c r="AT1554" i="3"/>
  <c r="AT1555" i="3"/>
  <c r="AT1556" i="3"/>
  <c r="AT1557" i="3"/>
  <c r="AT1558" i="3"/>
  <c r="AT1559" i="3"/>
  <c r="AT1560" i="3"/>
  <c r="AT1561" i="3"/>
  <c r="AT1562" i="3"/>
  <c r="AT1563" i="3"/>
  <c r="AT1564" i="3"/>
  <c r="AT1565" i="3"/>
  <c r="AT1566" i="3"/>
  <c r="AT1567" i="3"/>
  <c r="AT1568" i="3"/>
  <c r="AT1569" i="3"/>
  <c r="AT1570" i="3"/>
  <c r="AT1571" i="3"/>
  <c r="AT1572" i="3"/>
  <c r="AT1573" i="3"/>
  <c r="AT1574" i="3"/>
  <c r="AT1575" i="3"/>
  <c r="AT1576" i="3"/>
  <c r="AT1577" i="3"/>
  <c r="AT1578" i="3"/>
  <c r="AT1579" i="3"/>
  <c r="AT1580" i="3"/>
  <c r="AT1581" i="3"/>
  <c r="AT1582" i="3"/>
  <c r="AT1583" i="3"/>
  <c r="AT1584" i="3"/>
  <c r="AT1585" i="3"/>
  <c r="AT1586" i="3"/>
  <c r="AT1587" i="3"/>
  <c r="AT1588" i="3"/>
  <c r="AT1589" i="3"/>
  <c r="AT1590" i="3"/>
  <c r="AT1591" i="3"/>
  <c r="AT1592" i="3"/>
  <c r="AT1593" i="3"/>
  <c r="AT1594" i="3"/>
  <c r="AT1595" i="3"/>
  <c r="AT1596" i="3"/>
  <c r="AT1597" i="3"/>
  <c r="AT1598" i="3"/>
  <c r="AT1599" i="3"/>
  <c r="AT1600" i="3"/>
  <c r="AT1601" i="3"/>
  <c r="AT1602" i="3"/>
  <c r="AT1603" i="3"/>
  <c r="AT1604" i="3"/>
  <c r="AT1605" i="3"/>
  <c r="AT1606" i="3"/>
  <c r="AT1607" i="3"/>
  <c r="AT1608" i="3"/>
  <c r="AT1609" i="3"/>
  <c r="AT1610" i="3"/>
  <c r="AT1611" i="3"/>
  <c r="AT1612" i="3"/>
  <c r="AT1613" i="3"/>
  <c r="AT1614" i="3"/>
  <c r="AT1615" i="3"/>
  <c r="AT1616" i="3"/>
  <c r="AT1617" i="3"/>
  <c r="AT1618" i="3"/>
  <c r="AT1619" i="3"/>
  <c r="AT1620" i="3"/>
  <c r="AT1621" i="3"/>
  <c r="AT1622" i="3"/>
  <c r="AT1623" i="3"/>
  <c r="AT1624" i="3"/>
  <c r="AT1625" i="3"/>
  <c r="AT1626" i="3"/>
  <c r="AT1627" i="3"/>
  <c r="AT1628" i="3"/>
  <c r="AT1629" i="3"/>
  <c r="AT1630" i="3"/>
  <c r="AT1631" i="3"/>
  <c r="AT1632" i="3"/>
  <c r="AT1633" i="3"/>
  <c r="AT1634" i="3"/>
  <c r="AV1325" i="3"/>
  <c r="AT1325" i="3"/>
  <c r="AU1325" i="3"/>
  <c r="AM1258" i="3"/>
  <c r="AM1259" i="3"/>
  <c r="AM1260" i="3"/>
  <c r="AM1261" i="3"/>
  <c r="AM1262" i="3"/>
  <c r="AM1263" i="3"/>
  <c r="AM1264" i="3"/>
  <c r="AM1265" i="3"/>
  <c r="AM1266" i="3"/>
  <c r="AM1267" i="3"/>
  <c r="AM1268" i="3"/>
  <c r="AM1269" i="3"/>
  <c r="AM1270" i="3"/>
  <c r="AM1271" i="3"/>
  <c r="AM1272" i="3"/>
  <c r="AM1273" i="3"/>
  <c r="AM1274" i="3"/>
  <c r="AM1275" i="3"/>
  <c r="AM1276" i="3"/>
  <c r="AM1277" i="3"/>
  <c r="AM1278" i="3"/>
  <c r="AM1279" i="3"/>
  <c r="AM1280" i="3"/>
  <c r="AM1281" i="3"/>
  <c r="AM1282" i="3"/>
  <c r="AM1283" i="3"/>
  <c r="AM1284" i="3"/>
  <c r="AM1285" i="3"/>
  <c r="AM1286" i="3"/>
  <c r="AM1287" i="3"/>
  <c r="AM1288" i="3"/>
  <c r="AM1289" i="3"/>
  <c r="AM1290" i="3"/>
  <c r="AM1291" i="3"/>
  <c r="AM1292" i="3"/>
  <c r="AM1293" i="3"/>
  <c r="AM1294" i="3"/>
  <c r="AM1295" i="3"/>
  <c r="AM1296" i="3"/>
  <c r="AM1297" i="3"/>
  <c r="AM1298" i="3"/>
  <c r="AM1299" i="3"/>
  <c r="AM1300" i="3"/>
  <c r="AM1301" i="3"/>
  <c r="AM1302" i="3"/>
  <c r="AM1303" i="3"/>
  <c r="AM1304" i="3"/>
  <c r="AM1305" i="3"/>
  <c r="AM1306" i="3"/>
  <c r="AM1307" i="3"/>
  <c r="AM1308" i="3"/>
  <c r="AM1309" i="3"/>
  <c r="AM1310" i="3"/>
  <c r="AM1311" i="3"/>
  <c r="AM1312" i="3"/>
  <c r="AM1313" i="3"/>
  <c r="AM1314" i="3"/>
  <c r="AM1315" i="3"/>
  <c r="AM1316" i="3"/>
  <c r="AM1317" i="3"/>
  <c r="AM1318" i="3"/>
  <c r="AM1319" i="3"/>
  <c r="AQ1319" i="3" s="1"/>
  <c r="AM1320" i="3" s="1"/>
  <c r="AQ1320" i="3" s="1"/>
  <c r="AM1321" i="3" s="1"/>
  <c r="AQ1321" i="3" s="1"/>
  <c r="AM1322" i="3" s="1"/>
  <c r="AQ1322" i="3" s="1"/>
  <c r="AM1323" i="3" s="1"/>
  <c r="AQ1323" i="3" s="1"/>
  <c r="AM1324" i="3" s="1"/>
  <c r="AQ1324" i="3" s="1"/>
  <c r="AM1325" i="3" s="1"/>
  <c r="AQ1325" i="3" s="1"/>
  <c r="AM1326" i="3" s="1"/>
  <c r="AQ1326" i="3" s="1"/>
  <c r="AM1327" i="3" s="1"/>
  <c r="AM181" i="3"/>
  <c r="AQ181" i="3" s="1"/>
  <c r="AM182" i="3" s="1"/>
  <c r="AQ182" i="3" s="1"/>
  <c r="AM183" i="3" s="1"/>
  <c r="AQ183" i="3" s="1"/>
  <c r="AH1324" i="3"/>
  <c r="R1324" i="3"/>
  <c r="F1324" i="3"/>
  <c r="R1322" i="3"/>
  <c r="K1322" i="3"/>
  <c r="F1322" i="3"/>
  <c r="D1322" i="3"/>
  <c r="AM184" i="3" l="1"/>
  <c r="AQ184" i="3" s="1"/>
  <c r="AQ1327" i="3"/>
  <c r="AY1634" i="3"/>
  <c r="AY1633" i="3"/>
  <c r="AY1632" i="3"/>
  <c r="AY1631" i="3"/>
  <c r="AY1630" i="3"/>
  <c r="AY1629" i="3"/>
  <c r="AY1628" i="3"/>
  <c r="AY1627" i="3"/>
  <c r="AY1626" i="3"/>
  <c r="AY1625" i="3"/>
  <c r="AY1624" i="3"/>
  <c r="AY1623" i="3"/>
  <c r="AY1622" i="3"/>
  <c r="AY1621" i="3"/>
  <c r="AY1620" i="3"/>
  <c r="AY1619" i="3"/>
  <c r="AY1618" i="3"/>
  <c r="AY1617" i="3"/>
  <c r="AY1616" i="3"/>
  <c r="AY1615" i="3"/>
  <c r="AY1614" i="3"/>
  <c r="AY1613" i="3"/>
  <c r="AY1612" i="3"/>
  <c r="AY1611" i="3"/>
  <c r="AY1610" i="3"/>
  <c r="AY1609" i="3"/>
  <c r="AY1608" i="3"/>
  <c r="AY1607" i="3"/>
  <c r="AY1606" i="3"/>
  <c r="AY1605" i="3"/>
  <c r="AY1604" i="3"/>
  <c r="AY1603" i="3"/>
  <c r="AY1602" i="3"/>
  <c r="AY1601" i="3"/>
  <c r="AY1600" i="3"/>
  <c r="AY1599" i="3"/>
  <c r="AY1598" i="3"/>
  <c r="AY1597" i="3"/>
  <c r="AY1596" i="3"/>
  <c r="AY1595" i="3"/>
  <c r="AY1594" i="3"/>
  <c r="AY1593" i="3"/>
  <c r="AY1592" i="3"/>
  <c r="AY1591" i="3"/>
  <c r="AY1590" i="3"/>
  <c r="AY1589" i="3"/>
  <c r="AY1588" i="3"/>
  <c r="AY1587" i="3"/>
  <c r="AY1586" i="3"/>
  <c r="AY1585" i="3"/>
  <c r="AY1584" i="3"/>
  <c r="AY1583" i="3"/>
  <c r="AY1582" i="3"/>
  <c r="AY1581" i="3"/>
  <c r="AY1580" i="3"/>
  <c r="AY1579" i="3"/>
  <c r="AY1578" i="3"/>
  <c r="AY1577" i="3"/>
  <c r="AY1576" i="3"/>
  <c r="AY1575" i="3"/>
  <c r="AY1574" i="3"/>
  <c r="AY1573" i="3"/>
  <c r="AY1572" i="3"/>
  <c r="AY1571" i="3"/>
  <c r="AY1570" i="3"/>
  <c r="AY1569" i="3"/>
  <c r="AY1568" i="3"/>
  <c r="AY1567" i="3"/>
  <c r="AY1566" i="3"/>
  <c r="AY1565" i="3"/>
  <c r="AY1564" i="3"/>
  <c r="AY1563" i="3"/>
  <c r="AY1562" i="3"/>
  <c r="AY1561" i="3"/>
  <c r="AY1560" i="3"/>
  <c r="AY1559" i="3"/>
  <c r="AY1558" i="3"/>
  <c r="AY1557" i="3"/>
  <c r="AY1556" i="3"/>
  <c r="AY1555" i="3"/>
  <c r="AY1554" i="3"/>
  <c r="AY1553" i="3"/>
  <c r="AY1552" i="3"/>
  <c r="AY1551" i="3"/>
  <c r="AY1550" i="3"/>
  <c r="AY1549" i="3"/>
  <c r="AY1548" i="3"/>
  <c r="AY1547" i="3"/>
  <c r="AY1546" i="3"/>
  <c r="AY1545" i="3"/>
  <c r="AY1544" i="3"/>
  <c r="AY1543" i="3"/>
  <c r="AY1542" i="3"/>
  <c r="AY1541" i="3"/>
  <c r="AY1540" i="3"/>
  <c r="AY1539" i="3"/>
  <c r="AY1538" i="3"/>
  <c r="AY1537" i="3"/>
  <c r="AY1536" i="3"/>
  <c r="AY1535" i="3"/>
  <c r="AY1534" i="3"/>
  <c r="AY1533" i="3"/>
  <c r="AY1532" i="3"/>
  <c r="AY1531" i="3"/>
  <c r="AY1530" i="3"/>
  <c r="AY1529" i="3"/>
  <c r="AY1528" i="3"/>
  <c r="AY1527" i="3"/>
  <c r="AY1526" i="3"/>
  <c r="AY1525" i="3"/>
  <c r="AY1524" i="3"/>
  <c r="AY1523" i="3"/>
  <c r="AY1522" i="3"/>
  <c r="AY1521" i="3"/>
  <c r="AY1520" i="3"/>
  <c r="AY1519" i="3"/>
  <c r="AY1518" i="3"/>
  <c r="AY1517" i="3"/>
  <c r="AY1516" i="3"/>
  <c r="AY1515" i="3"/>
  <c r="AY1514" i="3"/>
  <c r="AY1513" i="3"/>
  <c r="AY1512" i="3"/>
  <c r="AY1511" i="3"/>
  <c r="AY1510" i="3"/>
  <c r="AY1509" i="3"/>
  <c r="AY1508" i="3"/>
  <c r="AY1507" i="3"/>
  <c r="AY1506" i="3"/>
  <c r="AY1505" i="3"/>
  <c r="AY1504" i="3"/>
  <c r="AY1503" i="3"/>
  <c r="AY1502" i="3"/>
  <c r="AY1501" i="3"/>
  <c r="AY1500" i="3"/>
  <c r="AY1499" i="3"/>
  <c r="AY1498" i="3"/>
  <c r="AY1497" i="3"/>
  <c r="AY1496" i="3"/>
  <c r="AY1495" i="3"/>
  <c r="AY1494" i="3"/>
  <c r="AY1493" i="3"/>
  <c r="AY1492" i="3"/>
  <c r="AY1491" i="3"/>
  <c r="AY1490" i="3"/>
  <c r="AY1489" i="3"/>
  <c r="AY1488" i="3"/>
  <c r="AY1487" i="3"/>
  <c r="AY1486" i="3"/>
  <c r="AY1485" i="3"/>
  <c r="AY1484" i="3"/>
  <c r="AY1483" i="3"/>
  <c r="AY1482" i="3"/>
  <c r="AY1481" i="3"/>
  <c r="AY1480" i="3"/>
  <c r="AY1479" i="3"/>
  <c r="AY1478" i="3"/>
  <c r="AY1477" i="3"/>
  <c r="AY1476" i="3"/>
  <c r="AY1475" i="3"/>
  <c r="AY1474" i="3"/>
  <c r="AY1473" i="3"/>
  <c r="AY1472" i="3"/>
  <c r="AY1471" i="3"/>
  <c r="AY1470" i="3"/>
  <c r="AY1469" i="3"/>
  <c r="AY1468" i="3"/>
  <c r="AY1438" i="3"/>
  <c r="AY1433" i="3"/>
  <c r="AY1432" i="3"/>
  <c r="AY1431" i="3"/>
  <c r="AY1430" i="3"/>
  <c r="AY1429" i="3"/>
  <c r="AY1428" i="3"/>
  <c r="AY1427" i="3"/>
  <c r="AY1426" i="3"/>
  <c r="AY1425" i="3"/>
  <c r="AY1424" i="3"/>
  <c r="AY1423" i="3"/>
  <c r="AY1422" i="3"/>
  <c r="AY1421" i="3"/>
  <c r="AY1420" i="3"/>
  <c r="AY1419" i="3"/>
  <c r="AY1418" i="3"/>
  <c r="AY1417" i="3"/>
  <c r="AY1416" i="3"/>
  <c r="AY1415" i="3"/>
  <c r="AY1414" i="3"/>
  <c r="AY1413" i="3"/>
  <c r="AY1412" i="3"/>
  <c r="AY1411" i="3"/>
  <c r="AY1410" i="3"/>
  <c r="AY1409" i="3"/>
  <c r="AY1408" i="3"/>
  <c r="AY1407" i="3"/>
  <c r="AY1406" i="3"/>
  <c r="AY1405" i="3"/>
  <c r="AY1404" i="3"/>
  <c r="AY1403" i="3"/>
  <c r="AY1402" i="3"/>
  <c r="AY1401" i="3"/>
  <c r="AY1400" i="3"/>
  <c r="AY1399" i="3"/>
  <c r="AY1398" i="3"/>
  <c r="AY1397" i="3"/>
  <c r="AY1396" i="3"/>
  <c r="AY1395" i="3"/>
  <c r="AY1394" i="3"/>
  <c r="AY1393" i="3"/>
  <c r="AY1392" i="3"/>
  <c r="AY1391" i="3"/>
  <c r="AY1390" i="3"/>
  <c r="AY1389" i="3"/>
  <c r="AY1388" i="3"/>
  <c r="AY1387" i="3"/>
  <c r="AY1386" i="3"/>
  <c r="AY1385" i="3"/>
  <c r="AY1384" i="3"/>
  <c r="AY1383" i="3"/>
  <c r="AY1382" i="3"/>
  <c r="AY1381" i="3"/>
  <c r="AY1380" i="3"/>
  <c r="AY1379" i="3"/>
  <c r="AY1378" i="3"/>
  <c r="AY1377" i="3"/>
  <c r="AY1376" i="3"/>
  <c r="AY1375" i="3"/>
  <c r="AY1374" i="3"/>
  <c r="AY1373" i="3"/>
  <c r="AY1372" i="3"/>
  <c r="AY1371" i="3"/>
  <c r="AY1370" i="3"/>
  <c r="AY1369" i="3"/>
  <c r="AY1368" i="3"/>
  <c r="AY1367" i="3"/>
  <c r="AY1366" i="3"/>
  <c r="AY1365" i="3"/>
  <c r="AY1364" i="3"/>
  <c r="AY1363" i="3"/>
  <c r="AY1362" i="3"/>
  <c r="AY1361" i="3"/>
  <c r="AY1360" i="3"/>
  <c r="AY1359" i="3"/>
  <c r="AY1358" i="3"/>
  <c r="AY1357" i="3"/>
  <c r="AY1356" i="3"/>
  <c r="AY1355" i="3"/>
  <c r="AY1354" i="3"/>
  <c r="AY1353" i="3"/>
  <c r="AY1352" i="3"/>
  <c r="AY1351" i="3"/>
  <c r="AY1350" i="3"/>
  <c r="AY1349" i="3"/>
  <c r="AY1348" i="3"/>
  <c r="AY1347" i="3"/>
  <c r="AY1346" i="3"/>
  <c r="AY1345" i="3"/>
  <c r="AY1344" i="3"/>
  <c r="AY1343" i="3"/>
  <c r="AY1342" i="3"/>
  <c r="AY1341" i="3"/>
  <c r="AY1340" i="3"/>
  <c r="AY1339" i="3"/>
  <c r="AY1338" i="3"/>
  <c r="AY1337" i="3"/>
  <c r="AY1336" i="3"/>
  <c r="AY1335" i="3"/>
  <c r="AY1334" i="3"/>
  <c r="AY1333" i="3"/>
  <c r="AY1332" i="3"/>
  <c r="AY1331" i="3"/>
  <c r="AY1330" i="3"/>
  <c r="P1321" i="3"/>
  <c r="J1321" i="3"/>
  <c r="AM185" i="3" l="1"/>
  <c r="AQ185" i="3" s="1"/>
  <c r="AM1328" i="3"/>
  <c r="AQ1328" i="3" s="1"/>
  <c r="F1321" i="3"/>
  <c r="D1321" i="3"/>
  <c r="D1320" i="3"/>
  <c r="F1320" i="3"/>
  <c r="AM186" i="3" l="1"/>
  <c r="AQ186" i="3" s="1"/>
  <c r="AM1329" i="3"/>
  <c r="AQ1329" i="3" s="1"/>
  <c r="AH1320" i="3"/>
  <c r="R1319" i="3"/>
  <c r="P1319" i="3"/>
  <c r="Q1319" i="3"/>
  <c r="K1319" i="3"/>
  <c r="J1319" i="3"/>
  <c r="F1319" i="3"/>
  <c r="D1319" i="3"/>
  <c r="R1318" i="3"/>
  <c r="P1318" i="3"/>
  <c r="Q1318" i="3"/>
  <c r="F1318" i="3"/>
  <c r="D1318" i="3"/>
  <c r="J1318" i="3"/>
  <c r="F1317" i="3"/>
  <c r="D1317" i="3"/>
  <c r="F1315" i="3"/>
  <c r="D1315" i="3"/>
  <c r="V1315" i="3"/>
  <c r="Q1315" i="3"/>
  <c r="F1314" i="3"/>
  <c r="D1314" i="3"/>
  <c r="J1312" i="3"/>
  <c r="AM1330" i="3" l="1"/>
  <c r="AQ1330" i="3" s="1"/>
  <c r="AM187" i="3"/>
  <c r="AQ187" i="3" s="1"/>
  <c r="J1311" i="3"/>
  <c r="F1311" i="3"/>
  <c r="AM188" i="3" l="1"/>
  <c r="AQ188" i="3" s="1"/>
  <c r="AM1331" i="3"/>
  <c r="AQ1331" i="3" s="1"/>
  <c r="P1310" i="3"/>
  <c r="P1309" i="3"/>
  <c r="J1309" i="3"/>
  <c r="K1309" i="3"/>
  <c r="F1309" i="3"/>
  <c r="D1309" i="3"/>
  <c r="AM1332" i="3" l="1"/>
  <c r="AQ1332" i="3" s="1"/>
  <c r="AM189" i="3"/>
  <c r="AQ189" i="3" s="1"/>
  <c r="Q1308" i="3"/>
  <c r="R1308" i="3"/>
  <c r="J1308" i="3"/>
  <c r="F1308" i="3"/>
  <c r="D1308" i="3"/>
  <c r="AJ1307" i="3"/>
  <c r="R1307" i="3"/>
  <c r="K1307" i="3"/>
  <c r="F1307" i="3"/>
  <c r="R1306" i="3"/>
  <c r="P1306" i="3"/>
  <c r="K1306" i="3"/>
  <c r="F1306" i="3"/>
  <c r="AJ1305" i="3"/>
  <c r="AH1305" i="3"/>
  <c r="P1305" i="3"/>
  <c r="F1305" i="3"/>
  <c r="D1305" i="3"/>
  <c r="AM1333" i="3" l="1"/>
  <c r="AQ1333" i="3" s="1"/>
  <c r="AM190" i="3"/>
  <c r="AQ190" i="3" s="1"/>
  <c r="B24" i="9"/>
  <c r="D27" i="9" s="1"/>
  <c r="AM1334" i="3" l="1"/>
  <c r="AQ1334" i="3" s="1"/>
  <c r="AM191" i="3"/>
  <c r="AQ191" i="3" s="1"/>
  <c r="AH1304" i="3"/>
  <c r="Q1304" i="3"/>
  <c r="K1304" i="3"/>
  <c r="E1304" i="3"/>
  <c r="R1303" i="3"/>
  <c r="Q1303" i="3"/>
  <c r="P1303" i="3"/>
  <c r="D1303" i="3"/>
  <c r="E1303" i="3"/>
  <c r="K1303" i="3"/>
  <c r="P1302" i="3"/>
  <c r="Q1302" i="3"/>
  <c r="F1302" i="3"/>
  <c r="AM1335" i="3" l="1"/>
  <c r="AQ1335" i="3" s="1"/>
  <c r="AM192" i="3"/>
  <c r="AQ192" i="3" s="1"/>
  <c r="F1301" i="3"/>
  <c r="D1301" i="3"/>
  <c r="F1300" i="3"/>
  <c r="D1300" i="3"/>
  <c r="F1299" i="3"/>
  <c r="D1299" i="3"/>
  <c r="F1297" i="3"/>
  <c r="K1297" i="3"/>
  <c r="AM1336" i="3" l="1"/>
  <c r="AQ1336" i="3" s="1"/>
  <c r="AM193" i="3"/>
  <c r="AQ193" i="3" s="1"/>
  <c r="F1295" i="3"/>
  <c r="D1295" i="3"/>
  <c r="F1294" i="3"/>
  <c r="AM194" i="3" l="1"/>
  <c r="AQ194" i="3" s="1"/>
  <c r="AM1337" i="3"/>
  <c r="AQ1337" i="3" s="1"/>
  <c r="J1291" i="3"/>
  <c r="F1291" i="3"/>
  <c r="D1291" i="3"/>
  <c r="P1290" i="3"/>
  <c r="D1290" i="3"/>
  <c r="P1289" i="3"/>
  <c r="D1289" i="3"/>
  <c r="P1288" i="3"/>
  <c r="F1288" i="3"/>
  <c r="D1288" i="3"/>
  <c r="E1287" i="3"/>
  <c r="D1287" i="3"/>
  <c r="K1287" i="3"/>
  <c r="Q1287" i="3"/>
  <c r="R1286" i="3"/>
  <c r="F1285" i="3"/>
  <c r="D1285" i="3"/>
  <c r="P1285" i="3"/>
  <c r="J1284" i="3"/>
  <c r="K1284" i="3"/>
  <c r="P1284" i="3"/>
  <c r="K1283" i="3"/>
  <c r="L1283" i="3"/>
  <c r="AH1283" i="3"/>
  <c r="P1283" i="3"/>
  <c r="AM195" i="3" l="1"/>
  <c r="AQ195" i="3" s="1"/>
  <c r="AM1338" i="3"/>
  <c r="AQ1338" i="3" s="1"/>
  <c r="D1283" i="3"/>
  <c r="R1282" i="3"/>
  <c r="J1282" i="3"/>
  <c r="F1282" i="3"/>
  <c r="D1282" i="3"/>
  <c r="AM196" i="3" l="1"/>
  <c r="AQ196" i="3" s="1"/>
  <c r="AM1339" i="3"/>
  <c r="AQ1339" i="3" s="1"/>
  <c r="J1281" i="3"/>
  <c r="K1281" i="3"/>
  <c r="D1281" i="3"/>
  <c r="P1280" i="3"/>
  <c r="K1280" i="3"/>
  <c r="D1280" i="3"/>
  <c r="P1279" i="3"/>
  <c r="K1279" i="3"/>
  <c r="P1278" i="3"/>
  <c r="Q1278" i="3"/>
  <c r="AM197" i="3" l="1"/>
  <c r="AQ197" i="3" s="1"/>
  <c r="AM1340" i="3"/>
  <c r="AQ1340" i="3" s="1"/>
  <c r="D1277" i="3"/>
  <c r="P1276" i="3"/>
  <c r="J1276" i="3"/>
  <c r="D1276" i="3"/>
  <c r="AM198" i="3" l="1"/>
  <c r="AQ198" i="3" s="1"/>
  <c r="AM1341" i="3"/>
  <c r="AQ1341" i="3" s="1"/>
  <c r="J1274" i="3"/>
  <c r="F1274" i="3"/>
  <c r="F1272" i="3"/>
  <c r="F1271" i="3"/>
  <c r="AM1342" i="3" l="1"/>
  <c r="AQ1342" i="3" s="1"/>
  <c r="AM199" i="3"/>
  <c r="AQ199" i="3" s="1"/>
  <c r="P1269" i="3"/>
  <c r="AM1343" i="3" l="1"/>
  <c r="AQ1343" i="3" s="1"/>
  <c r="AM200" i="3"/>
  <c r="AQ200" i="3" s="1"/>
  <c r="Q1267" i="3"/>
  <c r="D1267" i="3"/>
  <c r="AM201" i="3" l="1"/>
  <c r="AQ201" i="3" s="1"/>
  <c r="AM1344" i="3"/>
  <c r="AQ1344" i="3" s="1"/>
  <c r="F1266" i="3"/>
  <c r="AM1345" i="3" l="1"/>
  <c r="AQ1345" i="3" s="1"/>
  <c r="AM202" i="3"/>
  <c r="AQ202" i="3" s="1"/>
  <c r="R1265" i="3"/>
  <c r="F1265" i="3"/>
  <c r="AM203" i="3" l="1"/>
  <c r="AQ203" i="3" s="1"/>
  <c r="AM1346" i="3"/>
  <c r="AQ1346" i="3" s="1"/>
  <c r="V1264" i="3"/>
  <c r="R1264" i="3"/>
  <c r="Q1264" i="3"/>
  <c r="K1264" i="3"/>
  <c r="E1264" i="3"/>
  <c r="Q1263" i="3"/>
  <c r="K1263" i="3"/>
  <c r="W1261" i="3"/>
  <c r="Q1261" i="3"/>
  <c r="K1261" i="3"/>
  <c r="D1261" i="3"/>
  <c r="E1261" i="3"/>
  <c r="AH1260" i="3"/>
  <c r="P1260" i="3"/>
  <c r="J1260" i="3"/>
  <c r="K1260" i="3"/>
  <c r="D1260" i="3"/>
  <c r="E1260" i="3"/>
  <c r="AM1347" i="3" l="1"/>
  <c r="AQ1347" i="3" s="1"/>
  <c r="AM204" i="3"/>
  <c r="AQ204" i="3" s="1"/>
  <c r="D1258" i="3"/>
  <c r="J1255" i="3"/>
  <c r="AT1255" i="3"/>
  <c r="R1255" i="3"/>
  <c r="P1255" i="3"/>
  <c r="D1255" i="3"/>
  <c r="AM205" i="3" l="1"/>
  <c r="AQ205" i="3" s="1"/>
  <c r="AM1348" i="3"/>
  <c r="AQ1348" i="3" s="1"/>
  <c r="P1253" i="3"/>
  <c r="D1253" i="3"/>
  <c r="P1250" i="3"/>
  <c r="F1250" i="3"/>
  <c r="AM1349" i="3" l="1"/>
  <c r="AQ1349" i="3" s="1"/>
  <c r="AM206" i="3"/>
  <c r="AQ206" i="3" s="1"/>
  <c r="AY1329" i="3"/>
  <c r="AY1328" i="3"/>
  <c r="AY1327" i="3"/>
  <c r="AY1326" i="3"/>
  <c r="AY1325" i="3"/>
  <c r="AY1324" i="3"/>
  <c r="AV1324" i="3"/>
  <c r="AU1324" i="3"/>
  <c r="AY1323" i="3"/>
  <c r="AV1323" i="3"/>
  <c r="AU1323" i="3"/>
  <c r="AY1322" i="3"/>
  <c r="AV1322" i="3"/>
  <c r="AU1322" i="3"/>
  <c r="AY1321" i="3"/>
  <c r="AV1321" i="3"/>
  <c r="AU1321" i="3"/>
  <c r="AY1320" i="3"/>
  <c r="AV1320" i="3"/>
  <c r="AU1320" i="3"/>
  <c r="AY1319" i="3"/>
  <c r="AV1319" i="3"/>
  <c r="AU1319" i="3"/>
  <c r="AY1318" i="3"/>
  <c r="AV1318" i="3"/>
  <c r="AU1318" i="3"/>
  <c r="AT1318" i="3"/>
  <c r="AY1317" i="3"/>
  <c r="AV1317" i="3"/>
  <c r="AU1317" i="3"/>
  <c r="AT1317" i="3"/>
  <c r="AY1316" i="3"/>
  <c r="AV1316" i="3"/>
  <c r="AU1316" i="3"/>
  <c r="AT1316" i="3"/>
  <c r="AY1315" i="3"/>
  <c r="AV1315" i="3"/>
  <c r="AU1315" i="3"/>
  <c r="AT1315" i="3"/>
  <c r="AY1314" i="3"/>
  <c r="AV1314" i="3"/>
  <c r="AU1314" i="3"/>
  <c r="AT1314" i="3"/>
  <c r="AY1313" i="3"/>
  <c r="AV1313" i="3"/>
  <c r="AU1313" i="3"/>
  <c r="AT1313" i="3"/>
  <c r="AY1312" i="3"/>
  <c r="AV1312" i="3"/>
  <c r="AU1312" i="3"/>
  <c r="AT1312" i="3"/>
  <c r="AY1311" i="3"/>
  <c r="AV1311" i="3"/>
  <c r="AU1311" i="3"/>
  <c r="AT1311" i="3"/>
  <c r="AY1310" i="3"/>
  <c r="AV1310" i="3"/>
  <c r="AU1310" i="3"/>
  <c r="AT1310" i="3"/>
  <c r="AY1309" i="3"/>
  <c r="AV1309" i="3"/>
  <c r="AU1309" i="3"/>
  <c r="AT1309" i="3"/>
  <c r="AY1308" i="3"/>
  <c r="AV1308" i="3"/>
  <c r="AU1308" i="3"/>
  <c r="AT1308" i="3"/>
  <c r="AY1307" i="3"/>
  <c r="AV1307" i="3"/>
  <c r="AU1307" i="3"/>
  <c r="AT1307" i="3"/>
  <c r="AY1306" i="3"/>
  <c r="AV1306" i="3"/>
  <c r="AU1306" i="3"/>
  <c r="AT1306" i="3"/>
  <c r="AY1305" i="3"/>
  <c r="AV1305" i="3"/>
  <c r="AU1305" i="3"/>
  <c r="AT1305" i="3"/>
  <c r="AY1304" i="3"/>
  <c r="AV1304" i="3"/>
  <c r="AU1304" i="3"/>
  <c r="AT1304" i="3"/>
  <c r="AY1303" i="3"/>
  <c r="AV1303" i="3"/>
  <c r="AU1303" i="3"/>
  <c r="AT1303" i="3"/>
  <c r="AY1302" i="3"/>
  <c r="AV1302" i="3"/>
  <c r="AU1302" i="3"/>
  <c r="AT1302" i="3"/>
  <c r="AY1301" i="3"/>
  <c r="AV1301" i="3"/>
  <c r="AU1301" i="3"/>
  <c r="AT1301" i="3"/>
  <c r="AY1300" i="3"/>
  <c r="AV1300" i="3"/>
  <c r="AU1300" i="3"/>
  <c r="AT1300" i="3"/>
  <c r="AY1299" i="3"/>
  <c r="AV1299" i="3"/>
  <c r="AU1299" i="3"/>
  <c r="AT1299" i="3"/>
  <c r="AY1298" i="3"/>
  <c r="AV1298" i="3"/>
  <c r="AU1298" i="3"/>
  <c r="AT1298" i="3"/>
  <c r="AY1297" i="3"/>
  <c r="AV1297" i="3"/>
  <c r="AU1297" i="3"/>
  <c r="AT1297" i="3"/>
  <c r="AY1296" i="3"/>
  <c r="AV1296" i="3"/>
  <c r="AU1296" i="3"/>
  <c r="AT1296" i="3"/>
  <c r="AY1295" i="3"/>
  <c r="AV1295" i="3"/>
  <c r="AU1295" i="3"/>
  <c r="AT1295" i="3"/>
  <c r="AY1294" i="3"/>
  <c r="AV1294" i="3"/>
  <c r="AU1294" i="3"/>
  <c r="AT1294" i="3"/>
  <c r="AY1293" i="3"/>
  <c r="AV1293" i="3"/>
  <c r="AU1293" i="3"/>
  <c r="AT1293" i="3"/>
  <c r="AY1292" i="3"/>
  <c r="AV1292" i="3"/>
  <c r="AU1292" i="3"/>
  <c r="AT1292" i="3"/>
  <c r="AY1291" i="3"/>
  <c r="AV1291" i="3"/>
  <c r="AU1291" i="3"/>
  <c r="AT1291" i="3"/>
  <c r="AY1290" i="3"/>
  <c r="AV1290" i="3"/>
  <c r="AU1290" i="3"/>
  <c r="AT1290" i="3"/>
  <c r="AY1289" i="3"/>
  <c r="AV1289" i="3"/>
  <c r="AU1289" i="3"/>
  <c r="AT1289" i="3"/>
  <c r="AY1288" i="3"/>
  <c r="AV1288" i="3"/>
  <c r="AU1288" i="3"/>
  <c r="AT1288" i="3"/>
  <c r="AY1287" i="3"/>
  <c r="AV1287" i="3"/>
  <c r="AU1287" i="3"/>
  <c r="AT1287" i="3"/>
  <c r="AY1286" i="3"/>
  <c r="AV1286" i="3"/>
  <c r="AU1286" i="3"/>
  <c r="AT1286" i="3"/>
  <c r="AY1285" i="3"/>
  <c r="AV1285" i="3"/>
  <c r="AU1285" i="3"/>
  <c r="AT1285" i="3"/>
  <c r="AY1284" i="3"/>
  <c r="AV1284" i="3"/>
  <c r="AU1284" i="3"/>
  <c r="AT1284" i="3"/>
  <c r="AY1283" i="3"/>
  <c r="AV1283" i="3"/>
  <c r="AU1283" i="3"/>
  <c r="AT1283" i="3"/>
  <c r="AY1282" i="3"/>
  <c r="AV1282" i="3"/>
  <c r="AU1282" i="3"/>
  <c r="AT1282" i="3"/>
  <c r="AY1281" i="3"/>
  <c r="AV1281" i="3"/>
  <c r="AU1281" i="3"/>
  <c r="AT1281" i="3"/>
  <c r="AY1280" i="3"/>
  <c r="AV1280" i="3"/>
  <c r="AU1280" i="3"/>
  <c r="AT1280" i="3"/>
  <c r="AY1279" i="3"/>
  <c r="AV1279" i="3"/>
  <c r="AU1279" i="3"/>
  <c r="AT1279" i="3"/>
  <c r="AY1278" i="3"/>
  <c r="AV1278" i="3"/>
  <c r="AU1278" i="3"/>
  <c r="AT1278" i="3"/>
  <c r="AY1277" i="3"/>
  <c r="AV1277" i="3"/>
  <c r="AU1277" i="3"/>
  <c r="AT1277" i="3"/>
  <c r="AY1276" i="3"/>
  <c r="AV1276" i="3"/>
  <c r="AU1276" i="3"/>
  <c r="AT1276" i="3"/>
  <c r="AY1275" i="3"/>
  <c r="AV1275" i="3"/>
  <c r="AU1275" i="3"/>
  <c r="AT1275" i="3"/>
  <c r="AY1274" i="3"/>
  <c r="AV1274" i="3"/>
  <c r="AU1274" i="3"/>
  <c r="AT1274" i="3"/>
  <c r="AY1273" i="3"/>
  <c r="AV1273" i="3"/>
  <c r="AU1273" i="3"/>
  <c r="AT1273" i="3"/>
  <c r="AY1272" i="3"/>
  <c r="AV1272" i="3"/>
  <c r="AU1272" i="3"/>
  <c r="AT1272" i="3"/>
  <c r="AY1271" i="3"/>
  <c r="AV1271" i="3"/>
  <c r="AU1271" i="3"/>
  <c r="AT1271" i="3"/>
  <c r="AY1270" i="3"/>
  <c r="AV1270" i="3"/>
  <c r="AU1270" i="3"/>
  <c r="AT1270" i="3"/>
  <c r="AY1269" i="3"/>
  <c r="AV1269" i="3"/>
  <c r="AU1269" i="3"/>
  <c r="AT1269" i="3"/>
  <c r="AY1268" i="3"/>
  <c r="AV1268" i="3"/>
  <c r="AU1268" i="3"/>
  <c r="AT1268" i="3"/>
  <c r="AY1267" i="3"/>
  <c r="AV1267" i="3"/>
  <c r="AU1267" i="3"/>
  <c r="AT1267" i="3"/>
  <c r="AY1266" i="3"/>
  <c r="AV1266" i="3"/>
  <c r="AU1266" i="3"/>
  <c r="AT1266" i="3"/>
  <c r="AY1265" i="3"/>
  <c r="AV1265" i="3"/>
  <c r="AU1265" i="3"/>
  <c r="AT1265" i="3"/>
  <c r="AY1264" i="3"/>
  <c r="AV1264" i="3"/>
  <c r="AU1264" i="3"/>
  <c r="AT1264" i="3"/>
  <c r="AY1263" i="3"/>
  <c r="AV1263" i="3"/>
  <c r="AU1263" i="3"/>
  <c r="AT1263" i="3"/>
  <c r="AY1262" i="3"/>
  <c r="AV1262" i="3"/>
  <c r="AU1262" i="3"/>
  <c r="AT1262" i="3"/>
  <c r="AY1261" i="3"/>
  <c r="AV1261" i="3"/>
  <c r="AU1261" i="3"/>
  <c r="AT1261" i="3"/>
  <c r="AY1260" i="3"/>
  <c r="AV1260" i="3"/>
  <c r="AU1260" i="3"/>
  <c r="AT1260" i="3"/>
  <c r="AY1259" i="3"/>
  <c r="AV1259" i="3"/>
  <c r="AU1259" i="3"/>
  <c r="AT1259" i="3"/>
  <c r="AY1258" i="3"/>
  <c r="AV1258" i="3"/>
  <c r="AU1258" i="3"/>
  <c r="AT1258" i="3"/>
  <c r="AY1257" i="3"/>
  <c r="AV1257" i="3"/>
  <c r="AU1257" i="3"/>
  <c r="AT1257" i="3"/>
  <c r="AM207" i="3" l="1"/>
  <c r="AQ207" i="3" s="1"/>
  <c r="AM1350" i="3"/>
  <c r="AQ1350" i="3" s="1"/>
  <c r="D1245" i="3"/>
  <c r="D1244" i="3"/>
  <c r="P1243" i="3"/>
  <c r="X1241" i="3"/>
  <c r="J1241" i="3"/>
  <c r="J1240" i="3"/>
  <c r="D1240" i="3"/>
  <c r="Q1239" i="3"/>
  <c r="D1239" i="3"/>
  <c r="P1237" i="3"/>
  <c r="R1237" i="3"/>
  <c r="Q1237" i="3"/>
  <c r="F1237" i="3"/>
  <c r="P1236" i="3"/>
  <c r="K1236" i="3"/>
  <c r="D1235" i="3"/>
  <c r="F1236" i="3"/>
  <c r="D1236" i="3"/>
  <c r="R1235" i="3"/>
  <c r="P1234" i="3"/>
  <c r="K1234" i="3"/>
  <c r="P1232" i="3"/>
  <c r="P1230" i="3"/>
  <c r="F1230" i="3"/>
  <c r="D1230" i="3"/>
  <c r="J1229" i="3"/>
  <c r="F1229" i="3"/>
  <c r="P1228" i="3"/>
  <c r="F1227" i="3"/>
  <c r="D1227" i="3"/>
  <c r="J1226" i="3"/>
  <c r="J1224" i="3"/>
  <c r="AM1351" i="3" l="1"/>
  <c r="AQ1351" i="3" s="1"/>
  <c r="AM208" i="3"/>
  <c r="AQ208" i="3" s="1"/>
  <c r="Q1218" i="3"/>
  <c r="K1218" i="3"/>
  <c r="AH1217" i="3"/>
  <c r="P1216" i="3"/>
  <c r="K1216" i="3"/>
  <c r="Q1215" i="3"/>
  <c r="P1214" i="3"/>
  <c r="D1214" i="3"/>
  <c r="Q1207" i="3"/>
  <c r="R1206" i="3"/>
  <c r="F1205" i="3"/>
  <c r="D1201" i="3"/>
  <c r="D1200" i="3"/>
  <c r="P1198" i="3"/>
  <c r="D1198" i="3"/>
  <c r="AM209" i="3" l="1"/>
  <c r="AQ209" i="3" s="1"/>
  <c r="AM1352" i="3"/>
  <c r="AQ1352" i="3" s="1"/>
  <c r="D1195" i="3"/>
  <c r="AH1195" i="3"/>
  <c r="AM1353" i="3" l="1"/>
  <c r="AQ1353" i="3" s="1"/>
  <c r="AM210" i="3"/>
  <c r="AQ210" i="3" s="1"/>
  <c r="L1194" i="3"/>
  <c r="D1193" i="3"/>
  <c r="AM211" i="3" l="1"/>
  <c r="AQ211" i="3" s="1"/>
  <c r="AM1354" i="3"/>
  <c r="AQ1354" i="3" s="1"/>
  <c r="R1192" i="3"/>
  <c r="Q1192" i="3"/>
  <c r="AM1355" i="3" l="1"/>
  <c r="AQ1355" i="3" s="1"/>
  <c r="AM212" i="3"/>
  <c r="AQ212" i="3" s="1"/>
  <c r="J1184" i="3"/>
  <c r="K1184" i="3"/>
  <c r="P1183" i="3"/>
  <c r="D1182" i="3"/>
  <c r="J1181" i="3"/>
  <c r="F1180" i="3"/>
  <c r="R1177" i="3"/>
  <c r="D1177" i="3"/>
  <c r="F1176" i="3"/>
  <c r="Q1175" i="3"/>
  <c r="F1175" i="3"/>
  <c r="AH1174" i="3"/>
  <c r="V1174" i="3"/>
  <c r="Q1174" i="3"/>
  <c r="AM213" i="3" l="1"/>
  <c r="AQ213" i="3" s="1"/>
  <c r="AM1356" i="3"/>
  <c r="AQ1356" i="3" s="1"/>
  <c r="K1173" i="3"/>
  <c r="AH1173" i="3"/>
  <c r="F1172" i="3"/>
  <c r="D1172" i="3"/>
  <c r="R1172" i="3"/>
  <c r="K1171" i="3"/>
  <c r="R1171" i="3"/>
  <c r="P1170" i="3"/>
  <c r="D1169" i="3"/>
  <c r="P1169" i="3"/>
  <c r="Q1169" i="3"/>
  <c r="D1166" i="3"/>
  <c r="F1166" i="3"/>
  <c r="AM1357" i="3" l="1"/>
  <c r="AQ1357" i="3" s="1"/>
  <c r="AM214" i="3"/>
  <c r="AQ214" i="3" s="1"/>
  <c r="V1165" i="3"/>
  <c r="P1165" i="3"/>
  <c r="Q1165" i="3"/>
  <c r="P1164" i="3"/>
  <c r="F1163" i="3"/>
  <c r="D1163" i="3"/>
  <c r="AM215" i="3" l="1"/>
  <c r="AQ215" i="3" s="1"/>
  <c r="AM1358" i="3"/>
  <c r="AQ1358" i="3" s="1"/>
  <c r="F1161" i="3"/>
  <c r="D1161" i="3"/>
  <c r="AJ1156" i="3"/>
  <c r="R1155" i="3"/>
  <c r="J1155" i="3"/>
  <c r="K1155" i="3"/>
  <c r="F1155" i="3"/>
  <c r="D1155" i="3"/>
  <c r="K1154" i="3"/>
  <c r="Q1154" i="3"/>
  <c r="J1152" i="3"/>
  <c r="D1152" i="3"/>
  <c r="AM1359" i="3" l="1"/>
  <c r="AQ1359" i="3" s="1"/>
  <c r="AM216" i="3"/>
  <c r="AQ216" i="3" s="1"/>
  <c r="AJ1152" i="3"/>
  <c r="P1151" i="3"/>
  <c r="K1150" i="3"/>
  <c r="F1149" i="3"/>
  <c r="F1148" i="3"/>
  <c r="P1148" i="3"/>
  <c r="D1143" i="3"/>
  <c r="AM1360" i="3" l="1"/>
  <c r="AQ1360" i="3" s="1"/>
  <c r="AM217" i="3"/>
  <c r="AQ217" i="3" s="1"/>
  <c r="P1142" i="3"/>
  <c r="F1141" i="3"/>
  <c r="AM218" i="3" l="1"/>
  <c r="AQ218" i="3" s="1"/>
  <c r="AM1361" i="3"/>
  <c r="AQ1361" i="3" s="1"/>
  <c r="J1138" i="3"/>
  <c r="F1138" i="3"/>
  <c r="F1137" i="3"/>
  <c r="P1136" i="3"/>
  <c r="AM1362" i="3" l="1"/>
  <c r="AQ1362" i="3" s="1"/>
  <c r="AM219" i="3"/>
  <c r="AQ219" i="3" s="1"/>
  <c r="K1135" i="3"/>
  <c r="D1135" i="3"/>
  <c r="AM220" i="3" l="1"/>
  <c r="AQ220" i="3" s="1"/>
  <c r="AM1363" i="3"/>
  <c r="AQ1363" i="3" s="1"/>
  <c r="R1134" i="3"/>
  <c r="Q1133" i="3"/>
  <c r="R1133" i="3"/>
  <c r="P1133" i="3"/>
  <c r="AM1364" i="3" l="1"/>
  <c r="AQ1364" i="3" s="1"/>
  <c r="AM221" i="3"/>
  <c r="AQ221" i="3" s="1"/>
  <c r="R1132" i="3"/>
  <c r="F1132" i="3"/>
  <c r="D1132" i="3"/>
  <c r="AM222" i="3" l="1"/>
  <c r="AQ222" i="3" s="1"/>
  <c r="AM1365" i="3"/>
  <c r="AQ1365" i="3" s="1"/>
  <c r="R1131" i="3"/>
  <c r="AM1366" i="3" l="1"/>
  <c r="AQ1366" i="3" s="1"/>
  <c r="AM223" i="3"/>
  <c r="AQ223" i="3" s="1"/>
  <c r="K1130" i="3"/>
  <c r="P1130" i="3"/>
  <c r="Q1130" i="3"/>
  <c r="AJ1130" i="3"/>
  <c r="AM1367" i="3" l="1"/>
  <c r="AQ1367" i="3" s="1"/>
  <c r="AM224" i="3"/>
  <c r="AQ224" i="3" s="1"/>
  <c r="J1129" i="3"/>
  <c r="AH1129" i="3"/>
  <c r="K1128" i="3"/>
  <c r="D1128" i="3"/>
  <c r="R1128" i="3"/>
  <c r="AM225" i="3" l="1"/>
  <c r="AQ225" i="3" s="1"/>
  <c r="AM1368" i="3"/>
  <c r="AQ1368" i="3" s="1"/>
  <c r="D1127" i="3"/>
  <c r="E1127" i="3"/>
  <c r="AM1369" i="3" l="1"/>
  <c r="AQ1369" i="3" s="1"/>
  <c r="AM226" i="3"/>
  <c r="AQ226" i="3" s="1"/>
  <c r="Q1127" i="3"/>
  <c r="P1127" i="3"/>
  <c r="D1126" i="3"/>
  <c r="F1126" i="3"/>
  <c r="P1126" i="3"/>
  <c r="J1126" i="3"/>
  <c r="P1125" i="3"/>
  <c r="D1124" i="3"/>
  <c r="R1124" i="3"/>
  <c r="P1123" i="3"/>
  <c r="F1123" i="3"/>
  <c r="D1123" i="3"/>
  <c r="K1122" i="3"/>
  <c r="F1122" i="3"/>
  <c r="F1119" i="3"/>
  <c r="AM227" i="3" l="1"/>
  <c r="AQ227" i="3" s="1"/>
  <c r="AM1370" i="3"/>
  <c r="AQ1370" i="3" s="1"/>
  <c r="K1117" i="3"/>
  <c r="AM1371" i="3" l="1"/>
  <c r="AQ1371" i="3" s="1"/>
  <c r="AM228" i="3"/>
  <c r="AQ228" i="3" s="1"/>
  <c r="AV1117" i="3"/>
  <c r="AU1117" i="3"/>
  <c r="AT1117" i="3"/>
  <c r="J1115" i="3"/>
  <c r="F1115" i="3"/>
  <c r="D1115" i="3"/>
  <c r="D1114" i="3"/>
  <c r="AM229" i="3" l="1"/>
  <c r="AQ229" i="3" s="1"/>
  <c r="AM1372" i="3"/>
  <c r="AQ1372" i="3" s="1"/>
  <c r="D1113" i="3"/>
  <c r="R1113" i="3"/>
  <c r="AH1112" i="3"/>
  <c r="Q1112" i="3"/>
  <c r="K1112" i="3"/>
  <c r="L1109" i="3"/>
  <c r="AH1108" i="3"/>
  <c r="K1108" i="3"/>
  <c r="R1107" i="3"/>
  <c r="P1107" i="3"/>
  <c r="D1107" i="3"/>
  <c r="R1106" i="3"/>
  <c r="P1106" i="3"/>
  <c r="F1106" i="3"/>
  <c r="P1104" i="3"/>
  <c r="P1103" i="3"/>
  <c r="J1103" i="3"/>
  <c r="D1103" i="3"/>
  <c r="E1097" i="3"/>
  <c r="AM1373" i="3" l="1"/>
  <c r="AQ1373" i="3" s="1"/>
  <c r="AM230" i="3"/>
  <c r="AQ230" i="3" s="1"/>
  <c r="P1097" i="3"/>
  <c r="Q1097" i="3"/>
  <c r="F1097" i="3"/>
  <c r="F1096" i="3"/>
  <c r="R1095" i="3"/>
  <c r="F1095" i="3"/>
  <c r="D1092" i="3"/>
  <c r="AM231" i="3" l="1"/>
  <c r="AQ231" i="3" s="1"/>
  <c r="AM1374" i="3"/>
  <c r="AQ1374" i="3" s="1"/>
  <c r="P1088" i="3"/>
  <c r="D1088" i="3"/>
  <c r="AM1375" i="3" l="1"/>
  <c r="AQ1375" i="3" s="1"/>
  <c r="AM232" i="3"/>
  <c r="AQ232" i="3" s="1"/>
  <c r="P1087" i="3"/>
  <c r="D1085" i="3"/>
  <c r="F1084" i="3"/>
  <c r="P1084" i="3"/>
  <c r="F1080" i="3"/>
  <c r="F1079" i="3"/>
  <c r="D1079" i="3"/>
  <c r="AM1376" i="3" l="1"/>
  <c r="AQ1376" i="3" s="1"/>
  <c r="AM233" i="3"/>
  <c r="AQ233" i="3" s="1"/>
  <c r="F1077" i="3"/>
  <c r="D1077" i="3"/>
  <c r="F1075" i="3"/>
  <c r="AM234" i="3" l="1"/>
  <c r="AQ234" i="3" s="1"/>
  <c r="AM1377" i="3"/>
  <c r="AQ1377" i="3" s="1"/>
  <c r="F1070" i="3"/>
  <c r="D1070" i="3"/>
  <c r="AM1378" i="3" l="1"/>
  <c r="AQ1378" i="3" s="1"/>
  <c r="AM235" i="3"/>
  <c r="AQ235" i="3" s="1"/>
  <c r="F1068" i="3"/>
  <c r="P1064" i="3"/>
  <c r="P1062" i="3"/>
  <c r="L1062" i="3"/>
  <c r="Q1061" i="3"/>
  <c r="J1060" i="3"/>
  <c r="K1060" i="3"/>
  <c r="AH1060" i="3"/>
  <c r="Q1060" i="3"/>
  <c r="AM236" i="3" l="1"/>
  <c r="AQ236" i="3" s="1"/>
  <c r="AM1379" i="3"/>
  <c r="AQ1379" i="3" s="1"/>
  <c r="Q1059" i="3"/>
  <c r="P1058" i="3"/>
  <c r="R1058" i="3"/>
  <c r="F1058" i="3"/>
  <c r="D1058" i="3"/>
  <c r="K1056" i="3"/>
  <c r="AM237" i="3" l="1"/>
  <c r="AQ237" i="3" s="1"/>
  <c r="AM1380" i="3"/>
  <c r="AQ1380" i="3" s="1"/>
  <c r="Q1054" i="3"/>
  <c r="P1054" i="3"/>
  <c r="F1054" i="3"/>
  <c r="F1053" i="3"/>
  <c r="F1049" i="3"/>
  <c r="K1047" i="3"/>
  <c r="AH1046" i="3"/>
  <c r="P1046" i="3"/>
  <c r="Q1046" i="3"/>
  <c r="J1046" i="3"/>
  <c r="AJ1045" i="3"/>
  <c r="AH1044" i="3"/>
  <c r="P1044" i="3"/>
  <c r="L1044" i="3"/>
  <c r="D1044" i="3"/>
  <c r="AM1381" i="3" l="1"/>
  <c r="AQ1381" i="3" s="1"/>
  <c r="AM238" i="3"/>
  <c r="AQ238" i="3" s="1"/>
  <c r="R1044" i="3"/>
  <c r="K1044" i="3"/>
  <c r="F1044" i="3"/>
  <c r="D1043" i="3"/>
  <c r="P1043" i="3"/>
  <c r="AM239" i="3" l="1"/>
  <c r="AQ239" i="3" s="1"/>
  <c r="AM1382" i="3"/>
  <c r="AQ1382" i="3" s="1"/>
  <c r="Q1041" i="3"/>
  <c r="P1041" i="3"/>
  <c r="J1041" i="3"/>
  <c r="Q1040" i="3"/>
  <c r="R1037" i="3"/>
  <c r="AM1383" i="3" l="1"/>
  <c r="AQ1383" i="3" s="1"/>
  <c r="AM240" i="3"/>
  <c r="AQ240" i="3" s="1"/>
  <c r="F1034" i="3"/>
  <c r="J1034" i="3"/>
  <c r="Q1028" i="3"/>
  <c r="AM1384" i="3" l="1"/>
  <c r="AQ1384" i="3" s="1"/>
  <c r="AM241" i="3"/>
  <c r="AQ241" i="3" s="1"/>
  <c r="Q1027" i="3"/>
  <c r="P1027" i="3"/>
  <c r="Q1024" i="3"/>
  <c r="P1023" i="3"/>
  <c r="D1023" i="3"/>
  <c r="AH1023" i="3"/>
  <c r="AM1385" i="3" l="1"/>
  <c r="AQ1385" i="3" s="1"/>
  <c r="AM242" i="3"/>
  <c r="AQ242" i="3" s="1"/>
  <c r="P1022" i="3"/>
  <c r="Q1022" i="3"/>
  <c r="P1021" i="3"/>
  <c r="K1021" i="3"/>
  <c r="Q1020" i="3"/>
  <c r="J1020" i="3"/>
  <c r="D1020" i="3"/>
  <c r="Q1019" i="3"/>
  <c r="P1019" i="3"/>
  <c r="F1017" i="3"/>
  <c r="D1017" i="3"/>
  <c r="E1016" i="3"/>
  <c r="AM243" i="3" l="1"/>
  <c r="AQ243" i="3" s="1"/>
  <c r="AM1386" i="3"/>
  <c r="AQ1386" i="3" s="1"/>
  <c r="D1013" i="3"/>
  <c r="D1010" i="3"/>
  <c r="K1006" i="3"/>
  <c r="R1002" i="3"/>
  <c r="Q1002" i="3"/>
  <c r="V1001" i="3"/>
  <c r="F1001" i="3"/>
  <c r="D1000" i="3"/>
  <c r="P1000" i="3"/>
  <c r="AM1387" i="3" l="1"/>
  <c r="AQ1387" i="3" s="1"/>
  <c r="AM244" i="3"/>
  <c r="AQ244" i="3" s="1"/>
  <c r="AH1000" i="3"/>
  <c r="Q999" i="3"/>
  <c r="R999" i="3"/>
  <c r="R998" i="3"/>
  <c r="P998" i="3"/>
  <c r="J998" i="3"/>
  <c r="F997" i="3"/>
  <c r="Q994" i="3"/>
  <c r="P993" i="3"/>
  <c r="D989" i="3"/>
  <c r="AM245" i="3" l="1"/>
  <c r="AQ245" i="3" s="1"/>
  <c r="AM1388" i="3"/>
  <c r="AQ1388" i="3" s="1"/>
  <c r="F986" i="3"/>
  <c r="D986" i="3"/>
  <c r="AM1389" i="3" l="1"/>
  <c r="AQ1389" i="3" s="1"/>
  <c r="AM246" i="3"/>
  <c r="AQ246" i="3" s="1"/>
  <c r="P984" i="3"/>
  <c r="AM247" i="3" l="1"/>
  <c r="AQ247" i="3" s="1"/>
  <c r="AM1390" i="3"/>
  <c r="AQ1390" i="3" s="1"/>
  <c r="P983" i="3"/>
  <c r="F981" i="3"/>
  <c r="D981" i="3"/>
  <c r="P981" i="3"/>
  <c r="AM1391" i="3" l="1"/>
  <c r="AQ1391" i="3" s="1"/>
  <c r="AM248" i="3"/>
  <c r="AQ248" i="3" s="1"/>
  <c r="Q980" i="3"/>
  <c r="F980" i="3"/>
  <c r="AH979" i="3"/>
  <c r="K978" i="3"/>
  <c r="P977" i="3"/>
  <c r="Q977" i="3"/>
  <c r="P974" i="3"/>
  <c r="Q958" i="3"/>
  <c r="Q955" i="3"/>
  <c r="Q953" i="3"/>
  <c r="P949" i="3"/>
  <c r="K949" i="3"/>
  <c r="AM249" i="3" l="1"/>
  <c r="AQ249" i="3" s="1"/>
  <c r="AM1392" i="3"/>
  <c r="AQ1392" i="3" s="1"/>
  <c r="P936" i="3"/>
  <c r="Q936" i="3"/>
  <c r="J936" i="3"/>
  <c r="K936" i="3"/>
  <c r="P933" i="3"/>
  <c r="Q933" i="3"/>
  <c r="R932" i="3"/>
  <c r="Q932" i="3"/>
  <c r="W930" i="3"/>
  <c r="Q930" i="3"/>
  <c r="J930" i="3"/>
  <c r="J928" i="3"/>
  <c r="K921" i="3"/>
  <c r="E921" i="3"/>
  <c r="K917" i="3"/>
  <c r="Q916" i="3"/>
  <c r="K916" i="3"/>
  <c r="E913" i="3"/>
  <c r="Q912" i="3"/>
  <c r="Q911" i="3"/>
  <c r="F910" i="3"/>
  <c r="D909" i="3"/>
  <c r="F908" i="3"/>
  <c r="E907" i="3"/>
  <c r="F896" i="3"/>
  <c r="Q892" i="3"/>
  <c r="K892" i="3"/>
  <c r="AM1393" i="3" l="1"/>
  <c r="AQ1393" i="3" s="1"/>
  <c r="AM250" i="3"/>
  <c r="AQ250" i="3" s="1"/>
  <c r="K889" i="3"/>
  <c r="E883" i="3"/>
  <c r="F873" i="3"/>
  <c r="F872" i="3"/>
  <c r="Q871" i="3"/>
  <c r="AU871" i="3" s="1"/>
  <c r="Q869" i="3"/>
  <c r="AU869" i="3" s="1"/>
  <c r="K869" i="3"/>
  <c r="Q867" i="3"/>
  <c r="AU867" i="3" s="1"/>
  <c r="K867" i="3"/>
  <c r="J855" i="3"/>
  <c r="K851" i="3"/>
  <c r="V849" i="3"/>
  <c r="Q849" i="3"/>
  <c r="D849" i="3"/>
  <c r="AT857" i="3"/>
  <c r="AU857" i="3"/>
  <c r="AV857" i="3"/>
  <c r="AY857" i="3"/>
  <c r="AT858" i="3"/>
  <c r="AU858" i="3"/>
  <c r="AV858" i="3"/>
  <c r="AY858" i="3"/>
  <c r="AT859" i="3"/>
  <c r="AU859" i="3"/>
  <c r="AV859" i="3"/>
  <c r="AY859" i="3"/>
  <c r="AT860" i="3"/>
  <c r="AU860" i="3"/>
  <c r="AV860" i="3"/>
  <c r="AY860" i="3"/>
  <c r="AT861" i="3"/>
  <c r="AU861" i="3"/>
  <c r="AV861" i="3"/>
  <c r="AY861" i="3"/>
  <c r="AT862" i="3"/>
  <c r="AU862" i="3"/>
  <c r="AV862" i="3"/>
  <c r="AY862" i="3"/>
  <c r="AT863" i="3"/>
  <c r="AU863" i="3"/>
  <c r="AV863" i="3"/>
  <c r="AY863" i="3"/>
  <c r="AT864" i="3"/>
  <c r="AU864" i="3"/>
  <c r="AV864" i="3"/>
  <c r="AY864" i="3"/>
  <c r="AT865" i="3"/>
  <c r="AU865" i="3"/>
  <c r="AV865" i="3"/>
  <c r="AY865" i="3"/>
  <c r="AT866" i="3"/>
  <c r="AU866" i="3"/>
  <c r="AV866" i="3"/>
  <c r="AY866" i="3"/>
  <c r="AT867" i="3"/>
  <c r="AV867" i="3"/>
  <c r="AY867" i="3"/>
  <c r="AT868" i="3"/>
  <c r="AU868" i="3"/>
  <c r="AV868" i="3"/>
  <c r="AY868" i="3"/>
  <c r="AT869" i="3"/>
  <c r="AV869" i="3"/>
  <c r="AY869" i="3"/>
  <c r="AT870" i="3"/>
  <c r="AU870" i="3"/>
  <c r="AV870" i="3"/>
  <c r="AY870" i="3"/>
  <c r="AT871" i="3"/>
  <c r="AV871" i="3"/>
  <c r="AY871" i="3"/>
  <c r="AT872" i="3"/>
  <c r="AU872" i="3"/>
  <c r="AV872" i="3"/>
  <c r="AY872" i="3"/>
  <c r="AT873" i="3"/>
  <c r="AU873" i="3"/>
  <c r="AV873" i="3"/>
  <c r="AY873" i="3"/>
  <c r="AT874" i="3"/>
  <c r="AU874" i="3"/>
  <c r="AV874" i="3"/>
  <c r="AY874" i="3"/>
  <c r="AT875" i="3"/>
  <c r="AU875" i="3"/>
  <c r="AV875" i="3"/>
  <c r="AY875" i="3"/>
  <c r="AT876" i="3"/>
  <c r="AU876" i="3"/>
  <c r="AV876" i="3"/>
  <c r="AY876" i="3"/>
  <c r="AT877" i="3"/>
  <c r="AU877" i="3"/>
  <c r="AV877" i="3"/>
  <c r="AY877" i="3"/>
  <c r="AT878" i="3"/>
  <c r="AU878" i="3"/>
  <c r="AV878" i="3"/>
  <c r="AY878" i="3"/>
  <c r="AT879" i="3"/>
  <c r="AU879" i="3"/>
  <c r="AV879" i="3"/>
  <c r="AY879" i="3"/>
  <c r="AT880" i="3"/>
  <c r="AU880" i="3"/>
  <c r="AV880" i="3"/>
  <c r="AY880" i="3"/>
  <c r="AT881" i="3"/>
  <c r="AU881" i="3"/>
  <c r="AV881" i="3"/>
  <c r="AY881" i="3"/>
  <c r="AT882" i="3"/>
  <c r="AU882" i="3"/>
  <c r="AV882" i="3"/>
  <c r="AY882" i="3"/>
  <c r="AT883" i="3"/>
  <c r="AU883" i="3"/>
  <c r="AV883" i="3"/>
  <c r="AY883" i="3"/>
  <c r="AT884" i="3"/>
  <c r="AU884" i="3"/>
  <c r="AV884" i="3"/>
  <c r="AY884" i="3"/>
  <c r="AT885" i="3"/>
  <c r="AU885" i="3"/>
  <c r="AV885" i="3"/>
  <c r="AY885" i="3"/>
  <c r="AT886" i="3"/>
  <c r="AU886" i="3"/>
  <c r="AV886" i="3"/>
  <c r="AY886" i="3"/>
  <c r="AT887" i="3"/>
  <c r="AU887" i="3"/>
  <c r="AV887" i="3"/>
  <c r="AY887" i="3"/>
  <c r="AT888" i="3"/>
  <c r="AU888" i="3"/>
  <c r="AV888" i="3"/>
  <c r="AY888" i="3"/>
  <c r="AT889" i="3"/>
  <c r="AU889" i="3"/>
  <c r="AV889" i="3"/>
  <c r="AY889" i="3"/>
  <c r="AT890" i="3"/>
  <c r="AU890" i="3"/>
  <c r="AV890" i="3"/>
  <c r="AY890" i="3"/>
  <c r="AT891" i="3"/>
  <c r="AU891" i="3"/>
  <c r="AV891" i="3"/>
  <c r="AY891" i="3"/>
  <c r="AT892" i="3"/>
  <c r="AU892" i="3"/>
  <c r="AV892" i="3"/>
  <c r="AY892" i="3"/>
  <c r="AT893" i="3"/>
  <c r="AU893" i="3"/>
  <c r="AV893" i="3"/>
  <c r="AY893" i="3"/>
  <c r="AT894" i="3"/>
  <c r="AU894" i="3"/>
  <c r="AV894" i="3"/>
  <c r="AY894" i="3"/>
  <c r="AT895" i="3"/>
  <c r="AU895" i="3"/>
  <c r="AV895" i="3"/>
  <c r="AY895" i="3"/>
  <c r="AT896" i="3"/>
  <c r="AU896" i="3"/>
  <c r="AV896" i="3"/>
  <c r="AY896" i="3"/>
  <c r="AT897" i="3"/>
  <c r="AU897" i="3"/>
  <c r="AV897" i="3"/>
  <c r="AY897" i="3"/>
  <c r="AT898" i="3"/>
  <c r="AU898" i="3"/>
  <c r="AV898" i="3"/>
  <c r="AY898" i="3"/>
  <c r="AT899" i="3"/>
  <c r="AU899" i="3"/>
  <c r="AV899" i="3"/>
  <c r="AY899" i="3"/>
  <c r="AT900" i="3"/>
  <c r="AU900" i="3"/>
  <c r="AV900" i="3"/>
  <c r="AY900" i="3"/>
  <c r="AT901" i="3"/>
  <c r="AU901" i="3"/>
  <c r="AV901" i="3"/>
  <c r="AY901" i="3"/>
  <c r="AT902" i="3"/>
  <c r="AU902" i="3"/>
  <c r="AV902" i="3"/>
  <c r="AY902" i="3"/>
  <c r="AT903" i="3"/>
  <c r="AU903" i="3"/>
  <c r="AV903" i="3"/>
  <c r="AY903" i="3"/>
  <c r="AT904" i="3"/>
  <c r="AU904" i="3"/>
  <c r="AV904" i="3"/>
  <c r="AY904" i="3"/>
  <c r="AT905" i="3"/>
  <c r="AU905" i="3"/>
  <c r="AV905" i="3"/>
  <c r="AY905" i="3"/>
  <c r="AT906" i="3"/>
  <c r="AU906" i="3"/>
  <c r="AV906" i="3"/>
  <c r="AY906" i="3"/>
  <c r="AT907" i="3"/>
  <c r="AU907" i="3"/>
  <c r="AV907" i="3"/>
  <c r="AY907" i="3"/>
  <c r="AT908" i="3"/>
  <c r="AU908" i="3"/>
  <c r="AV908" i="3"/>
  <c r="AY908" i="3"/>
  <c r="AT909" i="3"/>
  <c r="AU909" i="3"/>
  <c r="AV909" i="3"/>
  <c r="AY909" i="3"/>
  <c r="AT910" i="3"/>
  <c r="AU910" i="3"/>
  <c r="AV910" i="3"/>
  <c r="AY910" i="3"/>
  <c r="AT911" i="3"/>
  <c r="AU911" i="3"/>
  <c r="AV911" i="3"/>
  <c r="AY911" i="3"/>
  <c r="AT912" i="3"/>
  <c r="AU912" i="3"/>
  <c r="AV912" i="3"/>
  <c r="AY912" i="3"/>
  <c r="AT913" i="3"/>
  <c r="AU913" i="3"/>
  <c r="AV913" i="3"/>
  <c r="AY913" i="3"/>
  <c r="AT914" i="3"/>
  <c r="AU914" i="3"/>
  <c r="AV914" i="3"/>
  <c r="AY914" i="3"/>
  <c r="AT915" i="3"/>
  <c r="AU915" i="3"/>
  <c r="AV915" i="3"/>
  <c r="AY915" i="3"/>
  <c r="AT916" i="3"/>
  <c r="AU916" i="3"/>
  <c r="AV916" i="3"/>
  <c r="AY916" i="3"/>
  <c r="AT917" i="3"/>
  <c r="AU917" i="3"/>
  <c r="AV917" i="3"/>
  <c r="AY917" i="3"/>
  <c r="AT918" i="3"/>
  <c r="AU918" i="3"/>
  <c r="AV918" i="3"/>
  <c r="AY918" i="3"/>
  <c r="AT919" i="3"/>
  <c r="AU919" i="3"/>
  <c r="AV919" i="3"/>
  <c r="AY919" i="3"/>
  <c r="AT920" i="3"/>
  <c r="AU920" i="3"/>
  <c r="AV920" i="3"/>
  <c r="AY920" i="3"/>
  <c r="AT921" i="3"/>
  <c r="AU921" i="3"/>
  <c r="AV921" i="3"/>
  <c r="AY921" i="3"/>
  <c r="AT922" i="3"/>
  <c r="AU922" i="3"/>
  <c r="AV922" i="3"/>
  <c r="AY922" i="3"/>
  <c r="AT923" i="3"/>
  <c r="AU923" i="3"/>
  <c r="AV923" i="3"/>
  <c r="AY923" i="3"/>
  <c r="AT924" i="3"/>
  <c r="AU924" i="3"/>
  <c r="AV924" i="3"/>
  <c r="AY924" i="3"/>
  <c r="AT925" i="3"/>
  <c r="AU925" i="3"/>
  <c r="AV925" i="3"/>
  <c r="AY925" i="3"/>
  <c r="AT926" i="3"/>
  <c r="AU926" i="3"/>
  <c r="AV926" i="3"/>
  <c r="AY926" i="3"/>
  <c r="AT927" i="3"/>
  <c r="AU927" i="3"/>
  <c r="AV927" i="3"/>
  <c r="AY927" i="3"/>
  <c r="AT928" i="3"/>
  <c r="AU928" i="3"/>
  <c r="AV928" i="3"/>
  <c r="AY928" i="3"/>
  <c r="AT929" i="3"/>
  <c r="AU929" i="3"/>
  <c r="AV929" i="3"/>
  <c r="AY929" i="3"/>
  <c r="AT930" i="3"/>
  <c r="AU930" i="3"/>
  <c r="AV930" i="3"/>
  <c r="AY930" i="3"/>
  <c r="AT931" i="3"/>
  <c r="AU931" i="3"/>
  <c r="AV931" i="3"/>
  <c r="AY931" i="3"/>
  <c r="AT932" i="3"/>
  <c r="AU932" i="3"/>
  <c r="AV932" i="3"/>
  <c r="AY932" i="3"/>
  <c r="AT933" i="3"/>
  <c r="AU933" i="3"/>
  <c r="AV933" i="3"/>
  <c r="AY933" i="3"/>
  <c r="AT934" i="3"/>
  <c r="AU934" i="3"/>
  <c r="AV934" i="3"/>
  <c r="AY934" i="3"/>
  <c r="AT935" i="3"/>
  <c r="AU935" i="3"/>
  <c r="AV935" i="3"/>
  <c r="AY935" i="3"/>
  <c r="AT936" i="3"/>
  <c r="AU936" i="3"/>
  <c r="AV936" i="3"/>
  <c r="AY936" i="3"/>
  <c r="AT937" i="3"/>
  <c r="AU937" i="3"/>
  <c r="AV937" i="3"/>
  <c r="AY937" i="3"/>
  <c r="AT938" i="3"/>
  <c r="AU938" i="3"/>
  <c r="AV938" i="3"/>
  <c r="AY938" i="3"/>
  <c r="AT939" i="3"/>
  <c r="AU939" i="3"/>
  <c r="AV939" i="3"/>
  <c r="AY939" i="3"/>
  <c r="AT940" i="3"/>
  <c r="AU940" i="3"/>
  <c r="AV940" i="3"/>
  <c r="AY940" i="3"/>
  <c r="AT941" i="3"/>
  <c r="AU941" i="3"/>
  <c r="AV941" i="3"/>
  <c r="AY941" i="3"/>
  <c r="AT942" i="3"/>
  <c r="AU942" i="3"/>
  <c r="AV942" i="3"/>
  <c r="AY942" i="3"/>
  <c r="AT943" i="3"/>
  <c r="AU943" i="3"/>
  <c r="AV943" i="3"/>
  <c r="AY943" i="3"/>
  <c r="AT944" i="3"/>
  <c r="AU944" i="3"/>
  <c r="AV944" i="3"/>
  <c r="AY944" i="3"/>
  <c r="AT945" i="3"/>
  <c r="AU945" i="3"/>
  <c r="AV945" i="3"/>
  <c r="AY945" i="3"/>
  <c r="AT946" i="3"/>
  <c r="AU946" i="3"/>
  <c r="AV946" i="3"/>
  <c r="AY946" i="3"/>
  <c r="AT947" i="3"/>
  <c r="AU947" i="3"/>
  <c r="AV947" i="3"/>
  <c r="AY947" i="3"/>
  <c r="AT948" i="3"/>
  <c r="AU948" i="3"/>
  <c r="AV948" i="3"/>
  <c r="AY948" i="3"/>
  <c r="AT949" i="3"/>
  <c r="AU949" i="3"/>
  <c r="AV949" i="3"/>
  <c r="AY949" i="3"/>
  <c r="AT950" i="3"/>
  <c r="AU950" i="3"/>
  <c r="AV950" i="3"/>
  <c r="AY950" i="3"/>
  <c r="AT951" i="3"/>
  <c r="AU951" i="3"/>
  <c r="AV951" i="3"/>
  <c r="AY951" i="3"/>
  <c r="AT952" i="3"/>
  <c r="AU952" i="3"/>
  <c r="AV952" i="3"/>
  <c r="AY952" i="3"/>
  <c r="AT953" i="3"/>
  <c r="AU953" i="3"/>
  <c r="AV953" i="3"/>
  <c r="AY953" i="3"/>
  <c r="AT954" i="3"/>
  <c r="AU954" i="3"/>
  <c r="AV954" i="3"/>
  <c r="AY954" i="3"/>
  <c r="AT955" i="3"/>
  <c r="AU955" i="3"/>
  <c r="AV955" i="3"/>
  <c r="AY955" i="3"/>
  <c r="AT956" i="3"/>
  <c r="AU956" i="3"/>
  <c r="AV956" i="3"/>
  <c r="AY956" i="3"/>
  <c r="AT957" i="3"/>
  <c r="AU957" i="3"/>
  <c r="AV957" i="3"/>
  <c r="AY957" i="3"/>
  <c r="AT958" i="3"/>
  <c r="AU958" i="3"/>
  <c r="AV958" i="3"/>
  <c r="AY958" i="3"/>
  <c r="AT959" i="3"/>
  <c r="AU959" i="3"/>
  <c r="AV959" i="3"/>
  <c r="AY959" i="3"/>
  <c r="AT960" i="3"/>
  <c r="AU960" i="3"/>
  <c r="AV960" i="3"/>
  <c r="AY960" i="3"/>
  <c r="AT961" i="3"/>
  <c r="AU961" i="3"/>
  <c r="AV961" i="3"/>
  <c r="AY961" i="3"/>
  <c r="AT962" i="3"/>
  <c r="AU962" i="3"/>
  <c r="AV962" i="3"/>
  <c r="AY962" i="3"/>
  <c r="AT963" i="3"/>
  <c r="AU963" i="3"/>
  <c r="AV963" i="3"/>
  <c r="AY963" i="3"/>
  <c r="AT964" i="3"/>
  <c r="AU964" i="3"/>
  <c r="AV964" i="3"/>
  <c r="AY964" i="3"/>
  <c r="AT965" i="3"/>
  <c r="AU965" i="3"/>
  <c r="AV965" i="3"/>
  <c r="AY965" i="3"/>
  <c r="AT966" i="3"/>
  <c r="AU966" i="3"/>
  <c r="AV966" i="3"/>
  <c r="AY966" i="3"/>
  <c r="AT967" i="3"/>
  <c r="AU967" i="3"/>
  <c r="AV967" i="3"/>
  <c r="AY967" i="3"/>
  <c r="AT968" i="3"/>
  <c r="AU968" i="3"/>
  <c r="AV968" i="3"/>
  <c r="AY968" i="3"/>
  <c r="AT969" i="3"/>
  <c r="AU969" i="3"/>
  <c r="AV969" i="3"/>
  <c r="AY969" i="3"/>
  <c r="AT970" i="3"/>
  <c r="AU970" i="3"/>
  <c r="AV970" i="3"/>
  <c r="AY970" i="3"/>
  <c r="AT971" i="3"/>
  <c r="AU971" i="3"/>
  <c r="AV971" i="3"/>
  <c r="AY971" i="3"/>
  <c r="AT972" i="3"/>
  <c r="AU972" i="3"/>
  <c r="AV972" i="3"/>
  <c r="AY972" i="3"/>
  <c r="AT973" i="3"/>
  <c r="AU973" i="3"/>
  <c r="AV973" i="3"/>
  <c r="AY973" i="3"/>
  <c r="AT974" i="3"/>
  <c r="AU974" i="3"/>
  <c r="AV974" i="3"/>
  <c r="AY974" i="3"/>
  <c r="AT975" i="3"/>
  <c r="AU975" i="3"/>
  <c r="AV975" i="3"/>
  <c r="AY975" i="3"/>
  <c r="AT976" i="3"/>
  <c r="AU976" i="3"/>
  <c r="AV976" i="3"/>
  <c r="AY976" i="3"/>
  <c r="AT977" i="3"/>
  <c r="AU977" i="3"/>
  <c r="AV977" i="3"/>
  <c r="AY977" i="3"/>
  <c r="AT978" i="3"/>
  <c r="AU978" i="3"/>
  <c r="AV978" i="3"/>
  <c r="AY978" i="3"/>
  <c r="AT979" i="3"/>
  <c r="AU979" i="3"/>
  <c r="AV979" i="3"/>
  <c r="AY979" i="3"/>
  <c r="AT980" i="3"/>
  <c r="AU980" i="3"/>
  <c r="AV980" i="3"/>
  <c r="AY980" i="3"/>
  <c r="AT981" i="3"/>
  <c r="AU981" i="3"/>
  <c r="AV981" i="3"/>
  <c r="AY981" i="3"/>
  <c r="AT982" i="3"/>
  <c r="AU982" i="3"/>
  <c r="AV982" i="3"/>
  <c r="AY982" i="3"/>
  <c r="AT983" i="3"/>
  <c r="AU983" i="3"/>
  <c r="AV983" i="3"/>
  <c r="AY983" i="3"/>
  <c r="AT984" i="3"/>
  <c r="AU984" i="3"/>
  <c r="AV984" i="3"/>
  <c r="AY984" i="3"/>
  <c r="AT985" i="3"/>
  <c r="AU985" i="3"/>
  <c r="AV985" i="3"/>
  <c r="AY985" i="3"/>
  <c r="AT986" i="3"/>
  <c r="AU986" i="3"/>
  <c r="AV986" i="3"/>
  <c r="AY986" i="3"/>
  <c r="AT987" i="3"/>
  <c r="AU987" i="3"/>
  <c r="AV987" i="3"/>
  <c r="AY987" i="3"/>
  <c r="AT988" i="3"/>
  <c r="AU988" i="3"/>
  <c r="AV988" i="3"/>
  <c r="AY988" i="3"/>
  <c r="AT989" i="3"/>
  <c r="AU989" i="3"/>
  <c r="AV989" i="3"/>
  <c r="AY989" i="3"/>
  <c r="AT990" i="3"/>
  <c r="AU990" i="3"/>
  <c r="AV990" i="3"/>
  <c r="AY990" i="3"/>
  <c r="AT991" i="3"/>
  <c r="AU991" i="3"/>
  <c r="AV991" i="3"/>
  <c r="AY991" i="3"/>
  <c r="AT992" i="3"/>
  <c r="AU992" i="3"/>
  <c r="AV992" i="3"/>
  <c r="AY992" i="3"/>
  <c r="AT993" i="3"/>
  <c r="AU993" i="3"/>
  <c r="AV993" i="3"/>
  <c r="AY993" i="3"/>
  <c r="AT994" i="3"/>
  <c r="AU994" i="3"/>
  <c r="AV994" i="3"/>
  <c r="AY994" i="3"/>
  <c r="AT995" i="3"/>
  <c r="AU995" i="3"/>
  <c r="AV995" i="3"/>
  <c r="AY995" i="3"/>
  <c r="AT996" i="3"/>
  <c r="AU996" i="3"/>
  <c r="AV996" i="3"/>
  <c r="AY996" i="3"/>
  <c r="AT997" i="3"/>
  <c r="AU997" i="3"/>
  <c r="AV997" i="3"/>
  <c r="AY997" i="3"/>
  <c r="AT998" i="3"/>
  <c r="AU998" i="3"/>
  <c r="AV998" i="3"/>
  <c r="AY998" i="3"/>
  <c r="AT999" i="3"/>
  <c r="AU999" i="3"/>
  <c r="AV999" i="3"/>
  <c r="AY999" i="3"/>
  <c r="AT1000" i="3"/>
  <c r="AU1000" i="3"/>
  <c r="AV1000" i="3"/>
  <c r="AY1000" i="3"/>
  <c r="AT1001" i="3"/>
  <c r="AU1001" i="3"/>
  <c r="AV1001" i="3"/>
  <c r="AY1001" i="3"/>
  <c r="AT1002" i="3"/>
  <c r="AU1002" i="3"/>
  <c r="AV1002" i="3"/>
  <c r="AY1002" i="3"/>
  <c r="AT1003" i="3"/>
  <c r="AU1003" i="3"/>
  <c r="AV1003" i="3"/>
  <c r="AY1003" i="3"/>
  <c r="AT1004" i="3"/>
  <c r="AU1004" i="3"/>
  <c r="AV1004" i="3"/>
  <c r="AY1004" i="3"/>
  <c r="AT1005" i="3"/>
  <c r="AU1005" i="3"/>
  <c r="AV1005" i="3"/>
  <c r="AY1005" i="3"/>
  <c r="AT1006" i="3"/>
  <c r="AU1006" i="3"/>
  <c r="AV1006" i="3"/>
  <c r="AY1006" i="3"/>
  <c r="AT1007" i="3"/>
  <c r="AU1007" i="3"/>
  <c r="AV1007" i="3"/>
  <c r="AY1007" i="3"/>
  <c r="AT1008" i="3"/>
  <c r="AU1008" i="3"/>
  <c r="AV1008" i="3"/>
  <c r="AY1008" i="3"/>
  <c r="AT1009" i="3"/>
  <c r="AU1009" i="3"/>
  <c r="AV1009" i="3"/>
  <c r="AY1009" i="3"/>
  <c r="AT1010" i="3"/>
  <c r="AU1010" i="3"/>
  <c r="AV1010" i="3"/>
  <c r="AY1010" i="3"/>
  <c r="AT1011" i="3"/>
  <c r="AU1011" i="3"/>
  <c r="AV1011" i="3"/>
  <c r="AY1011" i="3"/>
  <c r="AT1012" i="3"/>
  <c r="AU1012" i="3"/>
  <c r="AV1012" i="3"/>
  <c r="AY1012" i="3"/>
  <c r="AT1013" i="3"/>
  <c r="AU1013" i="3"/>
  <c r="AV1013" i="3"/>
  <c r="AY1013" i="3"/>
  <c r="AT1014" i="3"/>
  <c r="AU1014" i="3"/>
  <c r="AV1014" i="3"/>
  <c r="AY1014" i="3"/>
  <c r="AT1015" i="3"/>
  <c r="AU1015" i="3"/>
  <c r="AV1015" i="3"/>
  <c r="AY1015" i="3"/>
  <c r="AT1016" i="3"/>
  <c r="AU1016" i="3"/>
  <c r="AV1016" i="3"/>
  <c r="AY1016" i="3"/>
  <c r="AT1017" i="3"/>
  <c r="AU1017" i="3"/>
  <c r="AV1017" i="3"/>
  <c r="AY1017" i="3"/>
  <c r="AT1018" i="3"/>
  <c r="AU1018" i="3"/>
  <c r="AV1018" i="3"/>
  <c r="AY1018" i="3"/>
  <c r="AT1019" i="3"/>
  <c r="AU1019" i="3"/>
  <c r="AV1019" i="3"/>
  <c r="AY1019" i="3"/>
  <c r="AT1020" i="3"/>
  <c r="AU1020" i="3"/>
  <c r="AV1020" i="3"/>
  <c r="AY1020" i="3"/>
  <c r="AT1021" i="3"/>
  <c r="AU1021" i="3"/>
  <c r="AV1021" i="3"/>
  <c r="AY1021" i="3"/>
  <c r="AT1022" i="3"/>
  <c r="AU1022" i="3"/>
  <c r="AV1022" i="3"/>
  <c r="AY1022" i="3"/>
  <c r="AT1023" i="3"/>
  <c r="AU1023" i="3"/>
  <c r="AV1023" i="3"/>
  <c r="AY1023" i="3"/>
  <c r="AT1024" i="3"/>
  <c r="AU1024" i="3"/>
  <c r="AV1024" i="3"/>
  <c r="AY1024" i="3"/>
  <c r="AT1025" i="3"/>
  <c r="AU1025" i="3"/>
  <c r="AV1025" i="3"/>
  <c r="AY1025" i="3"/>
  <c r="AT1026" i="3"/>
  <c r="AU1026" i="3"/>
  <c r="AV1026" i="3"/>
  <c r="AY1026" i="3"/>
  <c r="AT1027" i="3"/>
  <c r="AU1027" i="3"/>
  <c r="AV1027" i="3"/>
  <c r="AY1027" i="3"/>
  <c r="AT1028" i="3"/>
  <c r="AU1028" i="3"/>
  <c r="AV1028" i="3"/>
  <c r="AY1028" i="3"/>
  <c r="AT1029" i="3"/>
  <c r="AU1029" i="3"/>
  <c r="AV1029" i="3"/>
  <c r="AY1029" i="3"/>
  <c r="AT1030" i="3"/>
  <c r="AU1030" i="3"/>
  <c r="AV1030" i="3"/>
  <c r="AY1030" i="3"/>
  <c r="AT1031" i="3"/>
  <c r="AU1031" i="3"/>
  <c r="AV1031" i="3"/>
  <c r="AY1031" i="3"/>
  <c r="AT1032" i="3"/>
  <c r="AU1032" i="3"/>
  <c r="AV1032" i="3"/>
  <c r="AY1032" i="3"/>
  <c r="AT1033" i="3"/>
  <c r="AU1033" i="3"/>
  <c r="AV1033" i="3"/>
  <c r="AY1033" i="3"/>
  <c r="AT1034" i="3"/>
  <c r="AU1034" i="3"/>
  <c r="AV1034" i="3"/>
  <c r="AY1034" i="3"/>
  <c r="AT1035" i="3"/>
  <c r="AU1035" i="3"/>
  <c r="AV1035" i="3"/>
  <c r="AY1035" i="3"/>
  <c r="AT1036" i="3"/>
  <c r="AU1036" i="3"/>
  <c r="AV1036" i="3"/>
  <c r="AY1036" i="3"/>
  <c r="AT1037" i="3"/>
  <c r="AU1037" i="3"/>
  <c r="AV1037" i="3"/>
  <c r="AY1037" i="3"/>
  <c r="AT1038" i="3"/>
  <c r="AU1038" i="3"/>
  <c r="AV1038" i="3"/>
  <c r="AY1038" i="3"/>
  <c r="AT1039" i="3"/>
  <c r="AU1039" i="3"/>
  <c r="AV1039" i="3"/>
  <c r="AY1039" i="3"/>
  <c r="AT1040" i="3"/>
  <c r="AU1040" i="3"/>
  <c r="AV1040" i="3"/>
  <c r="AY1040" i="3"/>
  <c r="AT1041" i="3"/>
  <c r="AU1041" i="3"/>
  <c r="AV1041" i="3"/>
  <c r="AY1041" i="3"/>
  <c r="AT1042" i="3"/>
  <c r="AU1042" i="3"/>
  <c r="AV1042" i="3"/>
  <c r="AY1042" i="3"/>
  <c r="AT1043" i="3"/>
  <c r="AU1043" i="3"/>
  <c r="AV1043" i="3"/>
  <c r="AY1043" i="3"/>
  <c r="AT1044" i="3"/>
  <c r="AU1044" i="3"/>
  <c r="AV1044" i="3"/>
  <c r="AY1044" i="3"/>
  <c r="AT1045" i="3"/>
  <c r="AU1045" i="3"/>
  <c r="AV1045" i="3"/>
  <c r="AY1045" i="3"/>
  <c r="AT1046" i="3"/>
  <c r="AU1046" i="3"/>
  <c r="AV1046" i="3"/>
  <c r="AY1046" i="3"/>
  <c r="AT1047" i="3"/>
  <c r="AU1047" i="3"/>
  <c r="AV1047" i="3"/>
  <c r="AY1047" i="3"/>
  <c r="AT1048" i="3"/>
  <c r="AU1048" i="3"/>
  <c r="AV1048" i="3"/>
  <c r="AY1048" i="3"/>
  <c r="AT1049" i="3"/>
  <c r="AU1049" i="3"/>
  <c r="AV1049" i="3"/>
  <c r="AY1049" i="3"/>
  <c r="AT1050" i="3"/>
  <c r="AU1050" i="3"/>
  <c r="AV1050" i="3"/>
  <c r="AY1050" i="3"/>
  <c r="AT1051" i="3"/>
  <c r="AU1051" i="3"/>
  <c r="AV1051" i="3"/>
  <c r="AY1051" i="3"/>
  <c r="AT1052" i="3"/>
  <c r="AU1052" i="3"/>
  <c r="AV1052" i="3"/>
  <c r="AY1052" i="3"/>
  <c r="AT1053" i="3"/>
  <c r="AU1053" i="3"/>
  <c r="AV1053" i="3"/>
  <c r="AY1053" i="3"/>
  <c r="AT1054" i="3"/>
  <c r="AU1054" i="3"/>
  <c r="AV1054" i="3"/>
  <c r="AY1054" i="3"/>
  <c r="AT1055" i="3"/>
  <c r="AU1055" i="3"/>
  <c r="AV1055" i="3"/>
  <c r="AY1055" i="3"/>
  <c r="AT1056" i="3"/>
  <c r="AU1056" i="3"/>
  <c r="AV1056" i="3"/>
  <c r="AY1056" i="3"/>
  <c r="AT1057" i="3"/>
  <c r="AU1057" i="3"/>
  <c r="AV1057" i="3"/>
  <c r="AY1057" i="3"/>
  <c r="AT1058" i="3"/>
  <c r="AU1058" i="3"/>
  <c r="AV1058" i="3"/>
  <c r="AY1058" i="3"/>
  <c r="AT1059" i="3"/>
  <c r="AU1059" i="3"/>
  <c r="AV1059" i="3"/>
  <c r="AY1059" i="3"/>
  <c r="AT1060" i="3"/>
  <c r="AU1060" i="3"/>
  <c r="AV1060" i="3"/>
  <c r="AY1060" i="3"/>
  <c r="AT1061" i="3"/>
  <c r="AU1061" i="3"/>
  <c r="AV1061" i="3"/>
  <c r="AY1061" i="3"/>
  <c r="AT1062" i="3"/>
  <c r="AU1062" i="3"/>
  <c r="AV1062" i="3"/>
  <c r="AY1062" i="3"/>
  <c r="AT1063" i="3"/>
  <c r="AU1063" i="3"/>
  <c r="AV1063" i="3"/>
  <c r="AY1063" i="3"/>
  <c r="AT1064" i="3"/>
  <c r="AU1064" i="3"/>
  <c r="AV1064" i="3"/>
  <c r="AY1064" i="3"/>
  <c r="AT1065" i="3"/>
  <c r="AU1065" i="3"/>
  <c r="AV1065" i="3"/>
  <c r="AY1065" i="3"/>
  <c r="AT1066" i="3"/>
  <c r="AU1066" i="3"/>
  <c r="AV1066" i="3"/>
  <c r="AY1066" i="3"/>
  <c r="AT1067" i="3"/>
  <c r="AU1067" i="3"/>
  <c r="AV1067" i="3"/>
  <c r="AY1067" i="3"/>
  <c r="AT1068" i="3"/>
  <c r="AU1068" i="3"/>
  <c r="AV1068" i="3"/>
  <c r="AY1068" i="3"/>
  <c r="AT1069" i="3"/>
  <c r="AU1069" i="3"/>
  <c r="AV1069" i="3"/>
  <c r="AY1069" i="3"/>
  <c r="AT1070" i="3"/>
  <c r="AU1070" i="3"/>
  <c r="AV1070" i="3"/>
  <c r="AY1070" i="3"/>
  <c r="AT1071" i="3"/>
  <c r="AU1071" i="3"/>
  <c r="AV1071" i="3"/>
  <c r="AY1071" i="3"/>
  <c r="AT1072" i="3"/>
  <c r="AU1072" i="3"/>
  <c r="AV1072" i="3"/>
  <c r="AY1072" i="3"/>
  <c r="AT1073" i="3"/>
  <c r="AU1073" i="3"/>
  <c r="AV1073" i="3"/>
  <c r="AY1073" i="3"/>
  <c r="AT1074" i="3"/>
  <c r="AU1074" i="3"/>
  <c r="AV1074" i="3"/>
  <c r="AY1074" i="3"/>
  <c r="AT1075" i="3"/>
  <c r="AU1075" i="3"/>
  <c r="AV1075" i="3"/>
  <c r="AY1075" i="3"/>
  <c r="AT1076" i="3"/>
  <c r="AU1076" i="3"/>
  <c r="AV1076" i="3"/>
  <c r="AY1076" i="3"/>
  <c r="AT1077" i="3"/>
  <c r="AU1077" i="3"/>
  <c r="AV1077" i="3"/>
  <c r="AY1077" i="3"/>
  <c r="AT1078" i="3"/>
  <c r="AU1078" i="3"/>
  <c r="AV1078" i="3"/>
  <c r="AY1078" i="3"/>
  <c r="AT1079" i="3"/>
  <c r="AU1079" i="3"/>
  <c r="AV1079" i="3"/>
  <c r="AY1079" i="3"/>
  <c r="AT1080" i="3"/>
  <c r="AU1080" i="3"/>
  <c r="AV1080" i="3"/>
  <c r="AY1080" i="3"/>
  <c r="AT1081" i="3"/>
  <c r="AU1081" i="3"/>
  <c r="AV1081" i="3"/>
  <c r="AY1081" i="3"/>
  <c r="AT1082" i="3"/>
  <c r="AU1082" i="3"/>
  <c r="AV1082" i="3"/>
  <c r="AY1082" i="3"/>
  <c r="AT1083" i="3"/>
  <c r="AU1083" i="3"/>
  <c r="AV1083" i="3"/>
  <c r="AY1083" i="3"/>
  <c r="AT1084" i="3"/>
  <c r="AU1084" i="3"/>
  <c r="AV1084" i="3"/>
  <c r="AY1084" i="3"/>
  <c r="AT1085" i="3"/>
  <c r="AU1085" i="3"/>
  <c r="AV1085" i="3"/>
  <c r="AY1085" i="3"/>
  <c r="AT1086" i="3"/>
  <c r="AU1086" i="3"/>
  <c r="AV1086" i="3"/>
  <c r="AY1086" i="3"/>
  <c r="AT1087" i="3"/>
  <c r="AU1087" i="3"/>
  <c r="AV1087" i="3"/>
  <c r="AY1087" i="3"/>
  <c r="AT1088" i="3"/>
  <c r="AU1088" i="3"/>
  <c r="AV1088" i="3"/>
  <c r="AY1088" i="3"/>
  <c r="AT1089" i="3"/>
  <c r="AU1089" i="3"/>
  <c r="AV1089" i="3"/>
  <c r="AY1089" i="3"/>
  <c r="AT1090" i="3"/>
  <c r="AU1090" i="3"/>
  <c r="AV1090" i="3"/>
  <c r="AY1090" i="3"/>
  <c r="AT1091" i="3"/>
  <c r="AU1091" i="3"/>
  <c r="AV1091" i="3"/>
  <c r="AY1091" i="3"/>
  <c r="AT1092" i="3"/>
  <c r="AU1092" i="3"/>
  <c r="AV1092" i="3"/>
  <c r="AY1092" i="3"/>
  <c r="AT1093" i="3"/>
  <c r="AU1093" i="3"/>
  <c r="AV1093" i="3"/>
  <c r="AY1093" i="3"/>
  <c r="AT1094" i="3"/>
  <c r="AU1094" i="3"/>
  <c r="AV1094" i="3"/>
  <c r="AY1094" i="3"/>
  <c r="AT1095" i="3"/>
  <c r="AU1095" i="3"/>
  <c r="AV1095" i="3"/>
  <c r="AY1095" i="3"/>
  <c r="AT1096" i="3"/>
  <c r="AU1096" i="3"/>
  <c r="AV1096" i="3"/>
  <c r="AY1096" i="3"/>
  <c r="AT1097" i="3"/>
  <c r="AU1097" i="3"/>
  <c r="AV1097" i="3"/>
  <c r="AY1097" i="3"/>
  <c r="AT1098" i="3"/>
  <c r="AU1098" i="3"/>
  <c r="AV1098" i="3"/>
  <c r="AY1098" i="3"/>
  <c r="AT1099" i="3"/>
  <c r="AU1099" i="3"/>
  <c r="AV1099" i="3"/>
  <c r="AY1099" i="3"/>
  <c r="AT1100" i="3"/>
  <c r="AU1100" i="3"/>
  <c r="AV1100" i="3"/>
  <c r="AY1100" i="3"/>
  <c r="AT1101" i="3"/>
  <c r="AU1101" i="3"/>
  <c r="AV1101" i="3"/>
  <c r="AY1101" i="3"/>
  <c r="AT1102" i="3"/>
  <c r="AU1102" i="3"/>
  <c r="AV1102" i="3"/>
  <c r="AY1102" i="3"/>
  <c r="AT1103" i="3"/>
  <c r="AU1103" i="3"/>
  <c r="AV1103" i="3"/>
  <c r="AY1103" i="3"/>
  <c r="AT1104" i="3"/>
  <c r="AU1104" i="3"/>
  <c r="AV1104" i="3"/>
  <c r="AY1104" i="3"/>
  <c r="AT1105" i="3"/>
  <c r="AU1105" i="3"/>
  <c r="AV1105" i="3"/>
  <c r="AY1105" i="3"/>
  <c r="AT1106" i="3"/>
  <c r="AU1106" i="3"/>
  <c r="AV1106" i="3"/>
  <c r="AY1106" i="3"/>
  <c r="AT1107" i="3"/>
  <c r="AU1107" i="3"/>
  <c r="AV1107" i="3"/>
  <c r="AY1107" i="3"/>
  <c r="AT1108" i="3"/>
  <c r="AU1108" i="3"/>
  <c r="AV1108" i="3"/>
  <c r="AY1108" i="3"/>
  <c r="AT1109" i="3"/>
  <c r="AU1109" i="3"/>
  <c r="AV1109" i="3"/>
  <c r="AY1109" i="3"/>
  <c r="AT1110" i="3"/>
  <c r="AU1110" i="3"/>
  <c r="AV1110" i="3"/>
  <c r="AY1110" i="3"/>
  <c r="AT1111" i="3"/>
  <c r="AU1111" i="3"/>
  <c r="AV1111" i="3"/>
  <c r="AY1111" i="3"/>
  <c r="AT1112" i="3"/>
  <c r="AU1112" i="3"/>
  <c r="AV1112" i="3"/>
  <c r="AY1112" i="3"/>
  <c r="AT1113" i="3"/>
  <c r="AU1113" i="3"/>
  <c r="AV1113" i="3"/>
  <c r="AY1113" i="3"/>
  <c r="AT1114" i="3"/>
  <c r="AU1114" i="3"/>
  <c r="AV1114" i="3"/>
  <c r="AY1114" i="3"/>
  <c r="AT1115" i="3"/>
  <c r="AU1115" i="3"/>
  <c r="AV1115" i="3"/>
  <c r="AY1115" i="3"/>
  <c r="AT1116" i="3"/>
  <c r="AU1116" i="3"/>
  <c r="AV1116" i="3"/>
  <c r="AY1116" i="3"/>
  <c r="AY1117" i="3"/>
  <c r="AT1118" i="3"/>
  <c r="AU1118" i="3"/>
  <c r="AV1118" i="3"/>
  <c r="AY1118" i="3"/>
  <c r="AT1119" i="3"/>
  <c r="AU1119" i="3"/>
  <c r="AV1119" i="3"/>
  <c r="AY1119" i="3"/>
  <c r="AT1120" i="3"/>
  <c r="AU1120" i="3"/>
  <c r="AV1120" i="3"/>
  <c r="AY1120" i="3"/>
  <c r="AT1121" i="3"/>
  <c r="AU1121" i="3"/>
  <c r="AV1121" i="3"/>
  <c r="AY1121" i="3"/>
  <c r="AT1122" i="3"/>
  <c r="AU1122" i="3"/>
  <c r="AV1122" i="3"/>
  <c r="AY1122" i="3"/>
  <c r="AT1123" i="3"/>
  <c r="AU1123" i="3"/>
  <c r="AV1123" i="3"/>
  <c r="AY1123" i="3"/>
  <c r="AT1124" i="3"/>
  <c r="AU1124" i="3"/>
  <c r="AV1124" i="3"/>
  <c r="AY1124" i="3"/>
  <c r="AT1125" i="3"/>
  <c r="AU1125" i="3"/>
  <c r="AV1125" i="3"/>
  <c r="AY1125" i="3"/>
  <c r="AT1126" i="3"/>
  <c r="AU1126" i="3"/>
  <c r="AV1126" i="3"/>
  <c r="AY1126" i="3"/>
  <c r="AT1127" i="3"/>
  <c r="AU1127" i="3"/>
  <c r="AV1127" i="3"/>
  <c r="AY1127" i="3"/>
  <c r="AT1128" i="3"/>
  <c r="AU1128" i="3"/>
  <c r="AV1128" i="3"/>
  <c r="AY1128" i="3"/>
  <c r="AT1129" i="3"/>
  <c r="AU1129" i="3"/>
  <c r="AV1129" i="3"/>
  <c r="AY1129" i="3"/>
  <c r="AT1130" i="3"/>
  <c r="AU1130" i="3"/>
  <c r="AV1130" i="3"/>
  <c r="AY1130" i="3"/>
  <c r="AT1131" i="3"/>
  <c r="AU1131" i="3"/>
  <c r="AV1131" i="3"/>
  <c r="AY1131" i="3"/>
  <c r="AT1132" i="3"/>
  <c r="AU1132" i="3"/>
  <c r="AV1132" i="3"/>
  <c r="AY1132" i="3"/>
  <c r="AT1133" i="3"/>
  <c r="AU1133" i="3"/>
  <c r="AV1133" i="3"/>
  <c r="AY1133" i="3"/>
  <c r="AT1134" i="3"/>
  <c r="AU1134" i="3"/>
  <c r="AV1134" i="3"/>
  <c r="AY1134" i="3"/>
  <c r="AT1135" i="3"/>
  <c r="AU1135" i="3"/>
  <c r="AV1135" i="3"/>
  <c r="AY1135" i="3"/>
  <c r="AT1136" i="3"/>
  <c r="AU1136" i="3"/>
  <c r="AV1136" i="3"/>
  <c r="AY1136" i="3"/>
  <c r="AT1137" i="3"/>
  <c r="AU1137" i="3"/>
  <c r="AV1137" i="3"/>
  <c r="AY1137" i="3"/>
  <c r="AT1138" i="3"/>
  <c r="AU1138" i="3"/>
  <c r="AV1138" i="3"/>
  <c r="AY1138" i="3"/>
  <c r="AT1139" i="3"/>
  <c r="AU1139" i="3"/>
  <c r="AV1139" i="3"/>
  <c r="AY1139" i="3"/>
  <c r="AT1140" i="3"/>
  <c r="AU1140" i="3"/>
  <c r="AV1140" i="3"/>
  <c r="AY1140" i="3"/>
  <c r="AT1141" i="3"/>
  <c r="AU1141" i="3"/>
  <c r="AV1141" i="3"/>
  <c r="AY1141" i="3"/>
  <c r="AT1142" i="3"/>
  <c r="AU1142" i="3"/>
  <c r="AV1142" i="3"/>
  <c r="AY1142" i="3"/>
  <c r="AT1143" i="3"/>
  <c r="AU1143" i="3"/>
  <c r="AV1143" i="3"/>
  <c r="AY1143" i="3"/>
  <c r="AT1144" i="3"/>
  <c r="AU1144" i="3"/>
  <c r="AV1144" i="3"/>
  <c r="AY1144" i="3"/>
  <c r="AT1145" i="3"/>
  <c r="AU1145" i="3"/>
  <c r="AV1145" i="3"/>
  <c r="AY1145" i="3"/>
  <c r="AT1146" i="3"/>
  <c r="AU1146" i="3"/>
  <c r="AV1146" i="3"/>
  <c r="AY1146" i="3"/>
  <c r="AT1147" i="3"/>
  <c r="AU1147" i="3"/>
  <c r="AV1147" i="3"/>
  <c r="AY1147" i="3"/>
  <c r="AT1148" i="3"/>
  <c r="AU1148" i="3"/>
  <c r="AV1148" i="3"/>
  <c r="AY1148" i="3"/>
  <c r="AT1149" i="3"/>
  <c r="AU1149" i="3"/>
  <c r="AV1149" i="3"/>
  <c r="AY1149" i="3"/>
  <c r="AT1150" i="3"/>
  <c r="AU1150" i="3"/>
  <c r="AV1150" i="3"/>
  <c r="AY1150" i="3"/>
  <c r="AT1151" i="3"/>
  <c r="AU1151" i="3"/>
  <c r="AV1151" i="3"/>
  <c r="AY1151" i="3"/>
  <c r="AT1152" i="3"/>
  <c r="AU1152" i="3"/>
  <c r="AV1152" i="3"/>
  <c r="AY1152" i="3"/>
  <c r="AT1153" i="3"/>
  <c r="AU1153" i="3"/>
  <c r="AV1153" i="3"/>
  <c r="AY1153" i="3"/>
  <c r="AT1154" i="3"/>
  <c r="AU1154" i="3"/>
  <c r="AV1154" i="3"/>
  <c r="AY1154" i="3"/>
  <c r="AT1155" i="3"/>
  <c r="AU1155" i="3"/>
  <c r="AV1155" i="3"/>
  <c r="AY1155" i="3"/>
  <c r="AT1156" i="3"/>
  <c r="AU1156" i="3"/>
  <c r="AV1156" i="3"/>
  <c r="AY1156" i="3"/>
  <c r="AT1157" i="3"/>
  <c r="AU1157" i="3"/>
  <c r="AV1157" i="3"/>
  <c r="AY1157" i="3"/>
  <c r="AT1158" i="3"/>
  <c r="AU1158" i="3"/>
  <c r="AV1158" i="3"/>
  <c r="AY1158" i="3"/>
  <c r="AT1159" i="3"/>
  <c r="AU1159" i="3"/>
  <c r="AV1159" i="3"/>
  <c r="AY1159" i="3"/>
  <c r="AT1160" i="3"/>
  <c r="AU1160" i="3"/>
  <c r="AV1160" i="3"/>
  <c r="AY1160" i="3"/>
  <c r="AT1161" i="3"/>
  <c r="AU1161" i="3"/>
  <c r="AV1161" i="3"/>
  <c r="AY1161" i="3"/>
  <c r="AT1162" i="3"/>
  <c r="AU1162" i="3"/>
  <c r="AV1162" i="3"/>
  <c r="AY1162" i="3"/>
  <c r="AT1163" i="3"/>
  <c r="AU1163" i="3"/>
  <c r="AV1163" i="3"/>
  <c r="AY1163" i="3"/>
  <c r="AT1164" i="3"/>
  <c r="AU1164" i="3"/>
  <c r="AV1164" i="3"/>
  <c r="AY1164" i="3"/>
  <c r="AT1165" i="3"/>
  <c r="AU1165" i="3"/>
  <c r="AV1165" i="3"/>
  <c r="AY1165" i="3"/>
  <c r="AT1166" i="3"/>
  <c r="AU1166" i="3"/>
  <c r="AV1166" i="3"/>
  <c r="AY1166" i="3"/>
  <c r="AT1167" i="3"/>
  <c r="AU1167" i="3"/>
  <c r="AV1167" i="3"/>
  <c r="AY1167" i="3"/>
  <c r="AT1168" i="3"/>
  <c r="AU1168" i="3"/>
  <c r="AV1168" i="3"/>
  <c r="AY1168" i="3"/>
  <c r="AT1169" i="3"/>
  <c r="AU1169" i="3"/>
  <c r="AV1169" i="3"/>
  <c r="AY1169" i="3"/>
  <c r="AT1170" i="3"/>
  <c r="AU1170" i="3"/>
  <c r="AV1170" i="3"/>
  <c r="AY1170" i="3"/>
  <c r="AT1171" i="3"/>
  <c r="AU1171" i="3"/>
  <c r="AV1171" i="3"/>
  <c r="AY1171" i="3"/>
  <c r="AT1172" i="3"/>
  <c r="AU1172" i="3"/>
  <c r="AV1172" i="3"/>
  <c r="AY1172" i="3"/>
  <c r="AT1173" i="3"/>
  <c r="AU1173" i="3"/>
  <c r="AV1173" i="3"/>
  <c r="AY1173" i="3"/>
  <c r="AT1174" i="3"/>
  <c r="AU1174" i="3"/>
  <c r="AV1174" i="3"/>
  <c r="AY1174" i="3"/>
  <c r="AT1175" i="3"/>
  <c r="AU1175" i="3"/>
  <c r="AV1175" i="3"/>
  <c r="AY1175" i="3"/>
  <c r="AT1176" i="3"/>
  <c r="AU1176" i="3"/>
  <c r="AV1176" i="3"/>
  <c r="AY1176" i="3"/>
  <c r="AT1177" i="3"/>
  <c r="AU1177" i="3"/>
  <c r="AV1177" i="3"/>
  <c r="AY1177" i="3"/>
  <c r="AT1178" i="3"/>
  <c r="AU1178" i="3"/>
  <c r="AV1178" i="3"/>
  <c r="AY1178" i="3"/>
  <c r="AT1179" i="3"/>
  <c r="AU1179" i="3"/>
  <c r="AV1179" i="3"/>
  <c r="AY1179" i="3"/>
  <c r="AT1180" i="3"/>
  <c r="AU1180" i="3"/>
  <c r="AV1180" i="3"/>
  <c r="AY1180" i="3"/>
  <c r="AT1181" i="3"/>
  <c r="AU1181" i="3"/>
  <c r="AV1181" i="3"/>
  <c r="AY1181" i="3"/>
  <c r="AT1182" i="3"/>
  <c r="AU1182" i="3"/>
  <c r="AV1182" i="3"/>
  <c r="AY1182" i="3"/>
  <c r="AT1183" i="3"/>
  <c r="AU1183" i="3"/>
  <c r="AV1183" i="3"/>
  <c r="AY1183" i="3"/>
  <c r="AT1184" i="3"/>
  <c r="AU1184" i="3"/>
  <c r="AV1184" i="3"/>
  <c r="AY1184" i="3"/>
  <c r="AT1185" i="3"/>
  <c r="AU1185" i="3"/>
  <c r="AV1185" i="3"/>
  <c r="AY1185" i="3"/>
  <c r="AT1186" i="3"/>
  <c r="AU1186" i="3"/>
  <c r="AV1186" i="3"/>
  <c r="AY1186" i="3"/>
  <c r="AT1187" i="3"/>
  <c r="AU1187" i="3"/>
  <c r="AV1187" i="3"/>
  <c r="AY1187" i="3"/>
  <c r="AT1188" i="3"/>
  <c r="AU1188" i="3"/>
  <c r="AV1188" i="3"/>
  <c r="AY1188" i="3"/>
  <c r="AT1189" i="3"/>
  <c r="AU1189" i="3"/>
  <c r="AV1189" i="3"/>
  <c r="AY1189" i="3"/>
  <c r="AT1190" i="3"/>
  <c r="AU1190" i="3"/>
  <c r="AV1190" i="3"/>
  <c r="AY1190" i="3"/>
  <c r="AT1191" i="3"/>
  <c r="AU1191" i="3"/>
  <c r="AV1191" i="3"/>
  <c r="AY1191" i="3"/>
  <c r="AT1192" i="3"/>
  <c r="AU1192" i="3"/>
  <c r="AV1192" i="3"/>
  <c r="AY1192" i="3"/>
  <c r="AT1193" i="3"/>
  <c r="AU1193" i="3"/>
  <c r="AV1193" i="3"/>
  <c r="AY1193" i="3"/>
  <c r="AT1194" i="3"/>
  <c r="AU1194" i="3"/>
  <c r="AV1194" i="3"/>
  <c r="AY1194" i="3"/>
  <c r="AT1195" i="3"/>
  <c r="AU1195" i="3"/>
  <c r="AV1195" i="3"/>
  <c r="AY1195" i="3"/>
  <c r="AT1196" i="3"/>
  <c r="AU1196" i="3"/>
  <c r="AV1196" i="3"/>
  <c r="AY1196" i="3"/>
  <c r="AT1197" i="3"/>
  <c r="AU1197" i="3"/>
  <c r="AV1197" i="3"/>
  <c r="AY1197" i="3"/>
  <c r="AT1198" i="3"/>
  <c r="AU1198" i="3"/>
  <c r="AV1198" i="3"/>
  <c r="AY1198" i="3"/>
  <c r="AT1199" i="3"/>
  <c r="AU1199" i="3"/>
  <c r="AV1199" i="3"/>
  <c r="AY1199" i="3"/>
  <c r="AT1200" i="3"/>
  <c r="AU1200" i="3"/>
  <c r="AV1200" i="3"/>
  <c r="AY1200" i="3"/>
  <c r="AT1201" i="3"/>
  <c r="AU1201" i="3"/>
  <c r="AV1201" i="3"/>
  <c r="AY1201" i="3"/>
  <c r="AT1202" i="3"/>
  <c r="AU1202" i="3"/>
  <c r="AV1202" i="3"/>
  <c r="AY1202" i="3"/>
  <c r="AT1203" i="3"/>
  <c r="AU1203" i="3"/>
  <c r="AV1203" i="3"/>
  <c r="AY1203" i="3"/>
  <c r="AT1204" i="3"/>
  <c r="AU1204" i="3"/>
  <c r="AV1204" i="3"/>
  <c r="AY1204" i="3"/>
  <c r="AT1205" i="3"/>
  <c r="AU1205" i="3"/>
  <c r="AV1205" i="3"/>
  <c r="AY1205" i="3"/>
  <c r="AT1206" i="3"/>
  <c r="AU1206" i="3"/>
  <c r="AV1206" i="3"/>
  <c r="AY1206" i="3"/>
  <c r="AT1207" i="3"/>
  <c r="AU1207" i="3"/>
  <c r="AV1207" i="3"/>
  <c r="AY1207" i="3"/>
  <c r="AT1208" i="3"/>
  <c r="AU1208" i="3"/>
  <c r="AV1208" i="3"/>
  <c r="AY1208" i="3"/>
  <c r="AT1209" i="3"/>
  <c r="AU1209" i="3"/>
  <c r="AV1209" i="3"/>
  <c r="AY1209" i="3"/>
  <c r="AT1210" i="3"/>
  <c r="AU1210" i="3"/>
  <c r="AV1210" i="3"/>
  <c r="AY1210" i="3"/>
  <c r="AT1211" i="3"/>
  <c r="AU1211" i="3"/>
  <c r="AV1211" i="3"/>
  <c r="AY1211" i="3"/>
  <c r="AT1212" i="3"/>
  <c r="AU1212" i="3"/>
  <c r="AV1212" i="3"/>
  <c r="AY1212" i="3"/>
  <c r="AT1213" i="3"/>
  <c r="AU1213" i="3"/>
  <c r="AV1213" i="3"/>
  <c r="AY1213" i="3"/>
  <c r="AT1214" i="3"/>
  <c r="AU1214" i="3"/>
  <c r="AV1214" i="3"/>
  <c r="AY1214" i="3"/>
  <c r="AT1215" i="3"/>
  <c r="AU1215" i="3"/>
  <c r="AV1215" i="3"/>
  <c r="AY1215" i="3"/>
  <c r="AT1216" i="3"/>
  <c r="AU1216" i="3"/>
  <c r="AV1216" i="3"/>
  <c r="AY1216" i="3"/>
  <c r="AT1217" i="3"/>
  <c r="AU1217" i="3"/>
  <c r="AV1217" i="3"/>
  <c r="AY1217" i="3"/>
  <c r="AT1218" i="3"/>
  <c r="AU1218" i="3"/>
  <c r="AV1218" i="3"/>
  <c r="AY1218" i="3"/>
  <c r="AT1219" i="3"/>
  <c r="AU1219" i="3"/>
  <c r="AV1219" i="3"/>
  <c r="AY1219" i="3"/>
  <c r="AT1220" i="3"/>
  <c r="AU1220" i="3"/>
  <c r="AV1220" i="3"/>
  <c r="AY1220" i="3"/>
  <c r="AT1221" i="3"/>
  <c r="AU1221" i="3"/>
  <c r="AV1221" i="3"/>
  <c r="AY1221" i="3"/>
  <c r="AT1222" i="3"/>
  <c r="AU1222" i="3"/>
  <c r="AV1222" i="3"/>
  <c r="AY1222" i="3"/>
  <c r="AT1223" i="3"/>
  <c r="AU1223" i="3"/>
  <c r="AV1223" i="3"/>
  <c r="AY1223" i="3"/>
  <c r="AT1224" i="3"/>
  <c r="AU1224" i="3"/>
  <c r="AV1224" i="3"/>
  <c r="AY1224" i="3"/>
  <c r="AT1225" i="3"/>
  <c r="AU1225" i="3"/>
  <c r="AV1225" i="3"/>
  <c r="AY1225" i="3"/>
  <c r="AT1226" i="3"/>
  <c r="AU1226" i="3"/>
  <c r="AV1226" i="3"/>
  <c r="AY1226" i="3"/>
  <c r="AT1227" i="3"/>
  <c r="AU1227" i="3"/>
  <c r="AV1227" i="3"/>
  <c r="AY1227" i="3"/>
  <c r="AT1228" i="3"/>
  <c r="AU1228" i="3"/>
  <c r="AV1228" i="3"/>
  <c r="AY1228" i="3"/>
  <c r="AT1229" i="3"/>
  <c r="AU1229" i="3"/>
  <c r="AV1229" i="3"/>
  <c r="AY1229" i="3"/>
  <c r="AT1230" i="3"/>
  <c r="AU1230" i="3"/>
  <c r="AV1230" i="3"/>
  <c r="AY1230" i="3"/>
  <c r="AT1231" i="3"/>
  <c r="AU1231" i="3"/>
  <c r="AV1231" i="3"/>
  <c r="AY1231" i="3"/>
  <c r="AT1232" i="3"/>
  <c r="AU1232" i="3"/>
  <c r="AV1232" i="3"/>
  <c r="AY1232" i="3"/>
  <c r="AT1233" i="3"/>
  <c r="AU1233" i="3"/>
  <c r="AV1233" i="3"/>
  <c r="AY1233" i="3"/>
  <c r="AT1234" i="3"/>
  <c r="AU1234" i="3"/>
  <c r="AV1234" i="3"/>
  <c r="AY1234" i="3"/>
  <c r="AT1235" i="3"/>
  <c r="AU1235" i="3"/>
  <c r="AV1235" i="3"/>
  <c r="AY1235" i="3"/>
  <c r="AT1236" i="3"/>
  <c r="AU1236" i="3"/>
  <c r="AV1236" i="3"/>
  <c r="AY1236" i="3"/>
  <c r="AT1237" i="3"/>
  <c r="AU1237" i="3"/>
  <c r="AV1237" i="3"/>
  <c r="AY1237" i="3"/>
  <c r="AT1238" i="3"/>
  <c r="AU1238" i="3"/>
  <c r="AV1238" i="3"/>
  <c r="AY1238" i="3"/>
  <c r="AT1239" i="3"/>
  <c r="AU1239" i="3"/>
  <c r="AV1239" i="3"/>
  <c r="AY1239" i="3"/>
  <c r="AT1240" i="3"/>
  <c r="AU1240" i="3"/>
  <c r="AV1240" i="3"/>
  <c r="AY1240" i="3"/>
  <c r="AT1241" i="3"/>
  <c r="AU1241" i="3"/>
  <c r="AV1241" i="3"/>
  <c r="AY1241" i="3"/>
  <c r="AT1242" i="3"/>
  <c r="AU1242" i="3"/>
  <c r="AV1242" i="3"/>
  <c r="AY1242" i="3"/>
  <c r="AT1243" i="3"/>
  <c r="AU1243" i="3"/>
  <c r="AV1243" i="3"/>
  <c r="AY1243" i="3"/>
  <c r="AT1244" i="3"/>
  <c r="AU1244" i="3"/>
  <c r="AV1244" i="3"/>
  <c r="AY1244" i="3"/>
  <c r="AT1245" i="3"/>
  <c r="AU1245" i="3"/>
  <c r="AV1245" i="3"/>
  <c r="AY1245" i="3"/>
  <c r="AT1246" i="3"/>
  <c r="AU1246" i="3"/>
  <c r="AV1246" i="3"/>
  <c r="AY1246" i="3"/>
  <c r="AT1247" i="3"/>
  <c r="AU1247" i="3"/>
  <c r="AV1247" i="3"/>
  <c r="AY1247" i="3"/>
  <c r="AT1248" i="3"/>
  <c r="AU1248" i="3"/>
  <c r="AV1248" i="3"/>
  <c r="AY1248" i="3"/>
  <c r="AT1249" i="3"/>
  <c r="AU1249" i="3"/>
  <c r="AV1249" i="3"/>
  <c r="AY1249" i="3"/>
  <c r="AT1250" i="3"/>
  <c r="AU1250" i="3"/>
  <c r="AV1250" i="3"/>
  <c r="AY1250" i="3"/>
  <c r="AT1251" i="3"/>
  <c r="AU1251" i="3"/>
  <c r="AV1251" i="3"/>
  <c r="AY1251" i="3"/>
  <c r="AT1252" i="3"/>
  <c r="AU1252" i="3"/>
  <c r="AV1252" i="3"/>
  <c r="AY1252" i="3"/>
  <c r="AT1253" i="3"/>
  <c r="AU1253" i="3"/>
  <c r="AV1253" i="3"/>
  <c r="AY1253" i="3"/>
  <c r="AT1254" i="3"/>
  <c r="AU1254" i="3"/>
  <c r="AV1254" i="3"/>
  <c r="AY1254" i="3"/>
  <c r="AU1255" i="3"/>
  <c r="AV1255" i="3"/>
  <c r="AY1255" i="3"/>
  <c r="AT1256" i="3"/>
  <c r="AU1256" i="3"/>
  <c r="AV1256" i="3"/>
  <c r="AY1256" i="3"/>
  <c r="AM251" i="3" l="1"/>
  <c r="AQ251" i="3" s="1"/>
  <c r="AM1394" i="3"/>
  <c r="AQ1394" i="3" s="1"/>
  <c r="P843" i="3"/>
  <c r="AV842" i="3"/>
  <c r="AM252" i="3" l="1"/>
  <c r="AQ252" i="3" s="1"/>
  <c r="AM1395" i="3"/>
  <c r="AQ1395" i="3" s="1"/>
  <c r="Q828" i="3"/>
  <c r="F821" i="3"/>
  <c r="F820" i="3"/>
  <c r="F818" i="3"/>
  <c r="F816" i="3"/>
  <c r="Q815" i="3"/>
  <c r="F815" i="3"/>
  <c r="F813" i="3"/>
  <c r="F812" i="3"/>
  <c r="F811" i="3"/>
  <c r="F810" i="3"/>
  <c r="F809" i="3"/>
  <c r="F808" i="3"/>
  <c r="F807" i="3"/>
  <c r="Q804" i="3"/>
  <c r="D803" i="3"/>
  <c r="Q799" i="3"/>
  <c r="K798" i="3"/>
  <c r="F798" i="3"/>
  <c r="F797" i="3"/>
  <c r="Q796" i="3"/>
  <c r="F796" i="3"/>
  <c r="J795" i="3"/>
  <c r="Q795" i="3"/>
  <c r="F794" i="3"/>
  <c r="F793" i="3"/>
  <c r="F792" i="3"/>
  <c r="F791" i="3"/>
  <c r="F789" i="3"/>
  <c r="AM1396" i="3" l="1"/>
  <c r="AQ1396" i="3" s="1"/>
  <c r="AM253" i="3"/>
  <c r="AQ253" i="3" s="1"/>
  <c r="F788" i="3"/>
  <c r="F787" i="3"/>
  <c r="F786" i="3"/>
  <c r="Q785" i="3"/>
  <c r="K785" i="3"/>
  <c r="F785" i="3"/>
  <c r="F784" i="3"/>
  <c r="K783" i="3"/>
  <c r="F783" i="3"/>
  <c r="F782" i="3"/>
  <c r="W780" i="3"/>
  <c r="Q780" i="3"/>
  <c r="D778" i="3"/>
  <c r="F777" i="3"/>
  <c r="AM254" i="3" l="1"/>
  <c r="AQ254" i="3" s="1"/>
  <c r="AM1397" i="3"/>
  <c r="AQ1397" i="3" s="1"/>
  <c r="Q777" i="3"/>
  <c r="F776" i="3"/>
  <c r="F775" i="3"/>
  <c r="F774" i="3"/>
  <c r="R772" i="3"/>
  <c r="F772" i="3"/>
  <c r="F771" i="3"/>
  <c r="F770" i="3"/>
  <c r="D770" i="3"/>
  <c r="F768" i="3"/>
  <c r="F767" i="3"/>
  <c r="AT766" i="3"/>
  <c r="W766" i="3"/>
  <c r="Q766" i="3"/>
  <c r="AU766" i="3" s="1"/>
  <c r="F766" i="3"/>
  <c r="Q765" i="3"/>
  <c r="F765" i="3"/>
  <c r="F763" i="3"/>
  <c r="Q762" i="3"/>
  <c r="F762" i="3"/>
  <c r="K760" i="3"/>
  <c r="Q759" i="3"/>
  <c r="AD758" i="3"/>
  <c r="Q756" i="3"/>
  <c r="AM1398" i="3" l="1"/>
  <c r="AQ1398" i="3" s="1"/>
  <c r="AM255" i="3"/>
  <c r="AQ255" i="3" s="1"/>
  <c r="D755" i="3"/>
  <c r="P750" i="3"/>
  <c r="AM1399" i="3" l="1"/>
  <c r="AQ1399" i="3" s="1"/>
  <c r="AM256" i="3"/>
  <c r="AQ256" i="3" s="1"/>
  <c r="E745" i="3"/>
  <c r="AJ740" i="3"/>
  <c r="Q740" i="3"/>
  <c r="Q735" i="3"/>
  <c r="Q733" i="3"/>
  <c r="Q732" i="3"/>
  <c r="AM257" i="3" l="1"/>
  <c r="AQ257" i="3" s="1"/>
  <c r="AM1400" i="3"/>
  <c r="AQ1400" i="3" s="1"/>
  <c r="AT728" i="3"/>
  <c r="AT727" i="3"/>
  <c r="AM1401" i="3" l="1"/>
  <c r="AQ1401" i="3" s="1"/>
  <c r="AM258" i="3"/>
  <c r="AQ258" i="3" s="1"/>
  <c r="AJ722" i="3"/>
  <c r="F722" i="3"/>
  <c r="P721" i="3"/>
  <c r="R720" i="3"/>
  <c r="J720" i="3"/>
  <c r="AT720" i="3" s="1"/>
  <c r="K720" i="3"/>
  <c r="Q718" i="3"/>
  <c r="D718" i="3"/>
  <c r="AT718" i="3" s="1"/>
  <c r="F712" i="3"/>
  <c r="K716" i="3"/>
  <c r="AT717" i="3"/>
  <c r="AT710" i="3"/>
  <c r="P711" i="3"/>
  <c r="D711" i="3"/>
  <c r="AT714" i="3"/>
  <c r="AM259" i="3" l="1"/>
  <c r="AQ259" i="3" s="1"/>
  <c r="AM1402" i="3"/>
  <c r="AQ1402" i="3" s="1"/>
  <c r="AT711" i="3"/>
  <c r="AT709" i="3"/>
  <c r="AM1403" i="3" l="1"/>
  <c r="AQ1403" i="3" s="1"/>
  <c r="AM260" i="3"/>
  <c r="AQ260" i="3" s="1"/>
  <c r="D707" i="3"/>
  <c r="AT707" i="3" s="1"/>
  <c r="P706" i="3"/>
  <c r="D706" i="3"/>
  <c r="D705" i="3"/>
  <c r="K704" i="3"/>
  <c r="AT705" i="3"/>
  <c r="AT706" i="3"/>
  <c r="AT708" i="3"/>
  <c r="AT712" i="3"/>
  <c r="AT713" i="3"/>
  <c r="AT715" i="3"/>
  <c r="AT716" i="3"/>
  <c r="AT719" i="3"/>
  <c r="AT721" i="3"/>
  <c r="AT722" i="3"/>
  <c r="AT723" i="3"/>
  <c r="AT724" i="3"/>
  <c r="AT725" i="3"/>
  <c r="AT726" i="3"/>
  <c r="AT729" i="3"/>
  <c r="AT730" i="3"/>
  <c r="AT731" i="3"/>
  <c r="AT732" i="3"/>
  <c r="AT733" i="3"/>
  <c r="AT734" i="3"/>
  <c r="AT735" i="3"/>
  <c r="AT736" i="3"/>
  <c r="AT737" i="3"/>
  <c r="AT738" i="3"/>
  <c r="AT739" i="3"/>
  <c r="AT740" i="3"/>
  <c r="AT741" i="3"/>
  <c r="AT742" i="3"/>
  <c r="AT743" i="3"/>
  <c r="AT744" i="3"/>
  <c r="AT745" i="3"/>
  <c r="AT746" i="3"/>
  <c r="AT747" i="3"/>
  <c r="AT748" i="3"/>
  <c r="AT749" i="3"/>
  <c r="AT750" i="3"/>
  <c r="AT751" i="3"/>
  <c r="AT752" i="3"/>
  <c r="AT753" i="3"/>
  <c r="AT754" i="3"/>
  <c r="AT755" i="3"/>
  <c r="AT756" i="3"/>
  <c r="AT757" i="3"/>
  <c r="AT758" i="3"/>
  <c r="AT759" i="3"/>
  <c r="AT760" i="3"/>
  <c r="AT761" i="3"/>
  <c r="AT762" i="3"/>
  <c r="AT763" i="3"/>
  <c r="AT764" i="3"/>
  <c r="AT765" i="3"/>
  <c r="AT767" i="3"/>
  <c r="AT768" i="3"/>
  <c r="AT769" i="3"/>
  <c r="AT770" i="3"/>
  <c r="AT771" i="3"/>
  <c r="AT772" i="3"/>
  <c r="AT773" i="3"/>
  <c r="AT774" i="3"/>
  <c r="AT775" i="3"/>
  <c r="AT776" i="3"/>
  <c r="AT777" i="3"/>
  <c r="AT778" i="3"/>
  <c r="AT779" i="3"/>
  <c r="AT780" i="3"/>
  <c r="AT781" i="3"/>
  <c r="AT782" i="3"/>
  <c r="AT783" i="3"/>
  <c r="AT784" i="3"/>
  <c r="AT785" i="3"/>
  <c r="AT786" i="3"/>
  <c r="AT787" i="3"/>
  <c r="AT788" i="3"/>
  <c r="AT789" i="3"/>
  <c r="AT790" i="3"/>
  <c r="AT791" i="3"/>
  <c r="AT792" i="3"/>
  <c r="AT793" i="3"/>
  <c r="AT794" i="3"/>
  <c r="AT795" i="3"/>
  <c r="AT796" i="3"/>
  <c r="AT797" i="3"/>
  <c r="AT798" i="3"/>
  <c r="AT799" i="3"/>
  <c r="AT800" i="3"/>
  <c r="AT801" i="3"/>
  <c r="AT802" i="3"/>
  <c r="AT803" i="3"/>
  <c r="AT804" i="3"/>
  <c r="AT805" i="3"/>
  <c r="AT806" i="3"/>
  <c r="AT807" i="3"/>
  <c r="AT808" i="3"/>
  <c r="AT809" i="3"/>
  <c r="AT810" i="3"/>
  <c r="AT811" i="3"/>
  <c r="AT812" i="3"/>
  <c r="AT813" i="3"/>
  <c r="AT814" i="3"/>
  <c r="AT815" i="3"/>
  <c r="AT816" i="3"/>
  <c r="AT817" i="3"/>
  <c r="AT818" i="3"/>
  <c r="AT819" i="3"/>
  <c r="AT820" i="3"/>
  <c r="AT821" i="3"/>
  <c r="AT822" i="3"/>
  <c r="AT823" i="3"/>
  <c r="AT824" i="3"/>
  <c r="AT825" i="3"/>
  <c r="AT826" i="3"/>
  <c r="AT827" i="3"/>
  <c r="AT828" i="3"/>
  <c r="AT829" i="3"/>
  <c r="AT830" i="3"/>
  <c r="AT831" i="3"/>
  <c r="AT832" i="3"/>
  <c r="AT833" i="3"/>
  <c r="AT834" i="3"/>
  <c r="AT835" i="3"/>
  <c r="AT836" i="3"/>
  <c r="AT837" i="3"/>
  <c r="AT838" i="3"/>
  <c r="AT839" i="3"/>
  <c r="AT840" i="3"/>
  <c r="AT841" i="3"/>
  <c r="AT842" i="3"/>
  <c r="AT843" i="3"/>
  <c r="AT844" i="3"/>
  <c r="AT845" i="3"/>
  <c r="AT846" i="3"/>
  <c r="AT847" i="3"/>
  <c r="AT848" i="3"/>
  <c r="AT849" i="3"/>
  <c r="AT850" i="3"/>
  <c r="AT851" i="3"/>
  <c r="AT852" i="3"/>
  <c r="AT853" i="3"/>
  <c r="AT854" i="3"/>
  <c r="AT855" i="3"/>
  <c r="AT856" i="3"/>
  <c r="AT704" i="3"/>
  <c r="AT703" i="3"/>
  <c r="L699" i="3"/>
  <c r="R699" i="3"/>
  <c r="D699" i="3"/>
  <c r="D697" i="3"/>
  <c r="R696" i="3"/>
  <c r="Q696" i="3"/>
  <c r="D696" i="3"/>
  <c r="AH695" i="3"/>
  <c r="Q695" i="3"/>
  <c r="K695" i="3"/>
  <c r="AM261" i="3" l="1"/>
  <c r="AQ261" i="3" s="1"/>
  <c r="AM1404" i="3"/>
  <c r="AQ1404" i="3" s="1"/>
  <c r="Q694" i="3"/>
  <c r="Q691" i="3"/>
  <c r="K691" i="3"/>
  <c r="D680" i="3"/>
  <c r="K677" i="3"/>
  <c r="Q677" i="3"/>
  <c r="R676" i="3"/>
  <c r="P676" i="3"/>
  <c r="AM262" i="3" l="1"/>
  <c r="AQ262" i="3" s="1"/>
  <c r="AM1405" i="3"/>
  <c r="AQ1405" i="3" s="1"/>
  <c r="V675" i="3"/>
  <c r="R675" i="3"/>
  <c r="BC673" i="3"/>
  <c r="AM1406" i="3" l="1"/>
  <c r="AQ1406" i="3" s="1"/>
  <c r="AM263" i="3"/>
  <c r="AQ263" i="3" s="1"/>
  <c r="AH674" i="3"/>
  <c r="D674" i="3"/>
  <c r="Q673" i="3"/>
  <c r="K673" i="3"/>
  <c r="W673" i="3"/>
  <c r="L673" i="3"/>
  <c r="L671" i="3"/>
  <c r="D671" i="3"/>
  <c r="Q670" i="3"/>
  <c r="K670" i="3"/>
  <c r="P669" i="3"/>
  <c r="F668" i="3"/>
  <c r="R668" i="3"/>
  <c r="L668" i="3"/>
  <c r="J668" i="3"/>
  <c r="D668" i="3"/>
  <c r="AU669" i="3"/>
  <c r="AU667" i="3"/>
  <c r="F667" i="3"/>
  <c r="F666" i="3"/>
  <c r="AU666" i="3"/>
  <c r="L665" i="3"/>
  <c r="D663" i="3"/>
  <c r="D661" i="3"/>
  <c r="F662" i="3"/>
  <c r="D664" i="3"/>
  <c r="R662" i="3"/>
  <c r="P660" i="3"/>
  <c r="F658" i="3"/>
  <c r="R658" i="3"/>
  <c r="P658" i="3"/>
  <c r="AM264" i="3" l="1"/>
  <c r="AQ264" i="3" s="1"/>
  <c r="AM1407" i="3"/>
  <c r="AQ1407" i="3" s="1"/>
  <c r="R656" i="3"/>
  <c r="AM1408" i="3" l="1"/>
  <c r="AQ1408" i="3" s="1"/>
  <c r="AM265" i="3"/>
  <c r="AQ265" i="3" s="1"/>
  <c r="L655" i="3"/>
  <c r="AM266" i="3" l="1"/>
  <c r="AQ266" i="3" s="1"/>
  <c r="AM1409" i="3"/>
  <c r="AQ1409" i="3" s="1"/>
  <c r="R654" i="3"/>
  <c r="J654" i="3"/>
  <c r="D654" i="3"/>
  <c r="F654" i="3"/>
  <c r="AM1410" i="3" l="1"/>
  <c r="AQ1410" i="3" s="1"/>
  <c r="AM267" i="3"/>
  <c r="AQ267" i="3" s="1"/>
  <c r="R653" i="3"/>
  <c r="J653" i="3"/>
  <c r="D653" i="3"/>
  <c r="X652" i="3"/>
  <c r="V652" i="3"/>
  <c r="L652" i="3"/>
  <c r="K651" i="3"/>
  <c r="E651" i="3"/>
  <c r="AM1411" i="3" l="1"/>
  <c r="AQ1411" i="3" s="1"/>
  <c r="AM268" i="3"/>
  <c r="AQ268" i="3" s="1"/>
  <c r="Q651" i="3"/>
  <c r="P651" i="3"/>
  <c r="V650" i="3"/>
  <c r="P650" i="3"/>
  <c r="J649" i="3"/>
  <c r="V649" i="3"/>
  <c r="AD649" i="3"/>
  <c r="E649" i="3"/>
  <c r="D648" i="3"/>
  <c r="R647" i="3"/>
  <c r="J646" i="3"/>
  <c r="J644" i="3"/>
  <c r="AM269" i="3" l="1"/>
  <c r="AQ269" i="3" s="1"/>
  <c r="AM1412" i="3"/>
  <c r="AQ1412" i="3" s="1"/>
  <c r="D642" i="3"/>
  <c r="AM1413" i="3" l="1"/>
  <c r="AQ1413" i="3" s="1"/>
  <c r="AM270" i="3"/>
  <c r="AQ270" i="3" s="1"/>
  <c r="D641" i="3"/>
  <c r="P641" i="3"/>
  <c r="J641" i="3"/>
  <c r="K641" i="3"/>
  <c r="D640" i="3"/>
  <c r="AM271" i="3" l="1"/>
  <c r="AQ271" i="3" s="1"/>
  <c r="AM1414" i="3"/>
  <c r="AQ1414" i="3" s="1"/>
  <c r="X637" i="3"/>
  <c r="K636" i="3"/>
  <c r="W636" i="3"/>
  <c r="D636" i="3"/>
  <c r="AM1415" i="3" l="1"/>
  <c r="AQ1415" i="3" s="1"/>
  <c r="AM272" i="3"/>
  <c r="AQ272" i="3" s="1"/>
  <c r="R635" i="3"/>
  <c r="P635" i="3"/>
  <c r="J635" i="3"/>
  <c r="F635" i="3"/>
  <c r="AM1416" i="3" l="1"/>
  <c r="AQ1416" i="3" s="1"/>
  <c r="AM273" i="3"/>
  <c r="AQ273" i="3" s="1"/>
  <c r="R634" i="3"/>
  <c r="Q634" i="3"/>
  <c r="X634" i="3"/>
  <c r="AT630" i="3"/>
  <c r="AU630" i="3"/>
  <c r="AV630" i="3"/>
  <c r="AT631" i="3"/>
  <c r="AU631" i="3"/>
  <c r="AV631" i="3"/>
  <c r="K632" i="3"/>
  <c r="AM1417" i="3" l="1"/>
  <c r="AQ1417" i="3" s="1"/>
  <c r="AM274" i="3"/>
  <c r="AQ274" i="3" s="1"/>
  <c r="F632" i="3"/>
  <c r="AV632" i="3" s="1"/>
  <c r="E632" i="3"/>
  <c r="D632" i="3"/>
  <c r="AT632" i="3" s="1"/>
  <c r="AM275" i="3" l="1"/>
  <c r="AQ275" i="3" s="1"/>
  <c r="AM1418" i="3"/>
  <c r="AQ1418" i="3" s="1"/>
  <c r="Q632" i="3"/>
  <c r="AU632" i="3" s="1"/>
  <c r="AM1419" i="3" l="1"/>
  <c r="AQ1419" i="3" s="1"/>
  <c r="AM276" i="3"/>
  <c r="AQ276" i="3" s="1"/>
  <c r="X627" i="3"/>
  <c r="R627" i="3"/>
  <c r="Q627" i="3"/>
  <c r="P627" i="3"/>
  <c r="J621" i="3"/>
  <c r="J617" i="3"/>
  <c r="AM277" i="3" l="1"/>
  <c r="AQ277" i="3" s="1"/>
  <c r="AM1420" i="3"/>
  <c r="AQ1420" i="3" s="1"/>
  <c r="F616" i="3"/>
  <c r="D616" i="3"/>
  <c r="R616" i="3"/>
  <c r="AM278" i="3" l="1"/>
  <c r="AQ278" i="3" s="1"/>
  <c r="AM1421" i="3"/>
  <c r="AQ1421" i="3" s="1"/>
  <c r="AC611" i="3"/>
  <c r="AD611" i="3"/>
  <c r="X612" i="3"/>
  <c r="Q612" i="3"/>
  <c r="K612" i="3"/>
  <c r="D612" i="3"/>
  <c r="AM1422" i="3" l="1"/>
  <c r="AQ1422" i="3" s="1"/>
  <c r="AM279" i="3"/>
  <c r="AQ279" i="3" s="1"/>
  <c r="D611" i="3"/>
  <c r="AJ609" i="3"/>
  <c r="AD605" i="3"/>
  <c r="F610" i="3"/>
  <c r="D609" i="3"/>
  <c r="AV609" i="3"/>
  <c r="D610" i="3"/>
  <c r="Q609" i="3"/>
  <c r="P609" i="3"/>
  <c r="V609" i="3"/>
  <c r="AM280" i="3" l="1"/>
  <c r="AQ280" i="3" s="1"/>
  <c r="AM1423" i="3"/>
  <c r="AQ1423" i="3" s="1"/>
  <c r="BA1" i="3"/>
  <c r="J608" i="3"/>
  <c r="D608" i="3"/>
  <c r="AM1424" i="3" l="1"/>
  <c r="AQ1424" i="3" s="1"/>
  <c r="AM281" i="3"/>
  <c r="AQ281" i="3" s="1"/>
  <c r="J605" i="3"/>
  <c r="J604" i="3"/>
  <c r="AM1425" i="3" l="1"/>
  <c r="AQ1425" i="3" s="1"/>
  <c r="AM282" i="3"/>
  <c r="AQ282" i="3" s="1"/>
  <c r="F601" i="3"/>
  <c r="AM283" i="3" l="1"/>
  <c r="AQ283" i="3" s="1"/>
  <c r="AM1426" i="3"/>
  <c r="AQ1426" i="3" s="1"/>
  <c r="Q601" i="3"/>
  <c r="D601" i="3"/>
  <c r="P600" i="3"/>
  <c r="D600" i="3"/>
  <c r="X598" i="3"/>
  <c r="F598" i="3"/>
  <c r="P596" i="3"/>
  <c r="J596" i="3"/>
  <c r="D596" i="3"/>
  <c r="P594" i="3"/>
  <c r="J594" i="3"/>
  <c r="AM1427" i="3" l="1"/>
  <c r="AQ1427" i="3" s="1"/>
  <c r="AM284" i="3"/>
  <c r="AQ284" i="3" s="1"/>
  <c r="Q592" i="3"/>
  <c r="AM285" i="3" l="1"/>
  <c r="AQ285" i="3" s="1"/>
  <c r="AM1428" i="3"/>
  <c r="AQ1428" i="3" s="1"/>
  <c r="F592" i="3"/>
  <c r="L591" i="3"/>
  <c r="P591" i="3"/>
  <c r="D591" i="3"/>
  <c r="R590" i="3"/>
  <c r="Q590" i="3"/>
  <c r="AM1429" i="3" l="1"/>
  <c r="AQ1429" i="3" s="1"/>
  <c r="AM286" i="3"/>
  <c r="AQ286" i="3" s="1"/>
  <c r="X587" i="3"/>
  <c r="W587" i="3"/>
  <c r="Q587" i="3"/>
  <c r="D587" i="3"/>
  <c r="AT587" i="3" s="1"/>
  <c r="AC586" i="3"/>
  <c r="R586" i="3"/>
  <c r="AV586" i="3" s="1"/>
  <c r="K586" i="3"/>
  <c r="B586" i="3"/>
  <c r="AY587" i="3"/>
  <c r="AV587" i="3"/>
  <c r="AU587" i="3"/>
  <c r="AY586" i="3"/>
  <c r="AT586" i="3"/>
  <c r="AY585" i="3"/>
  <c r="AV585" i="3"/>
  <c r="AU585" i="3"/>
  <c r="AT585" i="3"/>
  <c r="AY584" i="3"/>
  <c r="AU584" i="3"/>
  <c r="AT584" i="3"/>
  <c r="R584" i="3"/>
  <c r="AV584" i="3" s="1"/>
  <c r="AY583" i="3"/>
  <c r="AV583" i="3"/>
  <c r="AU583" i="3"/>
  <c r="AT583" i="3"/>
  <c r="AM287" i="3" l="1"/>
  <c r="AQ287" i="3" s="1"/>
  <c r="AM1430" i="3"/>
  <c r="AQ1430" i="3" s="1"/>
  <c r="AU586" i="3"/>
  <c r="B587" i="3"/>
  <c r="J580" i="3"/>
  <c r="D579" i="3"/>
  <c r="R578" i="3"/>
  <c r="D578" i="3"/>
  <c r="D577" i="3"/>
  <c r="Q576" i="3"/>
  <c r="P576" i="3"/>
  <c r="P575" i="3"/>
  <c r="F574" i="3"/>
  <c r="AM1431" i="3" l="1"/>
  <c r="AQ1431" i="3" s="1"/>
  <c r="AM288" i="3"/>
  <c r="AQ288" i="3" s="1"/>
  <c r="P574" i="3"/>
  <c r="AD571" i="3"/>
  <c r="R571" i="3"/>
  <c r="J571" i="3"/>
  <c r="R570" i="3"/>
  <c r="P570" i="3"/>
  <c r="P569" i="3"/>
  <c r="Q567" i="3"/>
  <c r="J567" i="3"/>
  <c r="K567" i="3"/>
  <c r="D567" i="3"/>
  <c r="V566" i="3"/>
  <c r="D566" i="3"/>
  <c r="AM289" i="3" l="1"/>
  <c r="AQ289" i="3" s="1"/>
  <c r="AM1432" i="3"/>
  <c r="AQ1432" i="3" s="1"/>
  <c r="F565" i="3"/>
  <c r="J564" i="3"/>
  <c r="F564" i="3"/>
  <c r="AM1433" i="3" l="1"/>
  <c r="AQ1433" i="3" s="1"/>
  <c r="AM1434" i="3" s="1"/>
  <c r="AQ1434" i="3" s="1"/>
  <c r="AM1435" i="3" s="1"/>
  <c r="AQ1435" i="3" s="1"/>
  <c r="AM1436" i="3" s="1"/>
  <c r="AQ1436" i="3" s="1"/>
  <c r="AM1437" i="3" s="1"/>
  <c r="AQ1437" i="3" s="1"/>
  <c r="AM290" i="3"/>
  <c r="AQ290" i="3" s="1"/>
  <c r="F550" i="3"/>
  <c r="F549" i="3"/>
  <c r="D549" i="3"/>
  <c r="D546" i="3"/>
  <c r="F544" i="3"/>
  <c r="F539" i="3"/>
  <c r="AM291" i="3" l="1"/>
  <c r="AQ291" i="3" s="1"/>
  <c r="D552" i="3"/>
  <c r="X548" i="3"/>
  <c r="J548" i="3"/>
  <c r="F548" i="3"/>
  <c r="D548" i="3"/>
  <c r="Q547" i="3"/>
  <c r="R547" i="3"/>
  <c r="AW525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AW524" i="3"/>
  <c r="F536" i="3"/>
  <c r="AT526" i="3"/>
  <c r="AT527" i="3"/>
  <c r="AT528" i="3"/>
  <c r="AT533" i="3"/>
  <c r="AT541" i="3"/>
  <c r="AT542" i="3"/>
  <c r="AT543" i="3"/>
  <c r="AT545" i="3"/>
  <c r="AM292" i="3" l="1"/>
  <c r="AQ292" i="3" s="1"/>
  <c r="D538" i="3"/>
  <c r="AT538" i="3" s="1"/>
  <c r="F540" i="3"/>
  <c r="E536" i="3"/>
  <c r="D539" i="3"/>
  <c r="AM293" i="3" l="1"/>
  <c r="AQ293" i="3" s="1"/>
  <c r="K546" i="3"/>
  <c r="AM294" i="3" l="1"/>
  <c r="AQ294" i="3" s="1"/>
  <c r="V544" i="3"/>
  <c r="AT544" i="3" s="1"/>
  <c r="W544" i="3"/>
  <c r="Q544" i="3"/>
  <c r="X544" i="3"/>
  <c r="K544" i="3"/>
  <c r="D540" i="3"/>
  <c r="AT540" i="3" s="1"/>
  <c r="AM295" i="3" l="1"/>
  <c r="AQ295" i="3" s="1"/>
  <c r="AM1438" i="3"/>
  <c r="AQ1438" i="3" s="1"/>
  <c r="AM1439" i="3" s="1"/>
  <c r="AQ1439" i="3" s="1"/>
  <c r="Q539" i="3"/>
  <c r="P539" i="3"/>
  <c r="AT539" i="3" s="1"/>
  <c r="AM1440" i="3" l="1"/>
  <c r="AQ1440" i="3" s="1"/>
  <c r="AM1441" i="3" s="1"/>
  <c r="AQ1441" i="3" s="1"/>
  <c r="AM1442" i="3" s="1"/>
  <c r="AQ1442" i="3" s="1"/>
  <c r="AM1443" i="3" s="1"/>
  <c r="AQ1443" i="3" s="1"/>
  <c r="AM1444" i="3" s="1"/>
  <c r="AQ1444" i="3" s="1"/>
  <c r="AM1445" i="3" s="1"/>
  <c r="AQ1445" i="3" s="1"/>
  <c r="AM1446" i="3" s="1"/>
  <c r="AQ1446" i="3" s="1"/>
  <c r="AM1447" i="3" s="1"/>
  <c r="AQ1447" i="3" s="1"/>
  <c r="AM1448" i="3" s="1"/>
  <c r="AQ1448" i="3" s="1"/>
  <c r="AM1449" i="3" s="1"/>
  <c r="AQ1449" i="3" s="1"/>
  <c r="AM1450" i="3" s="1"/>
  <c r="AQ1450" i="3" s="1"/>
  <c r="AM1451" i="3" s="1"/>
  <c r="AQ1451" i="3" s="1"/>
  <c r="AM1452" i="3" s="1"/>
  <c r="AQ1452" i="3" s="1"/>
  <c r="AM1453" i="3" s="1"/>
  <c r="AQ1453" i="3" s="1"/>
  <c r="AM1454" i="3" s="1"/>
  <c r="AQ1454" i="3" s="1"/>
  <c r="AM1455" i="3" s="1"/>
  <c r="AQ1455" i="3" s="1"/>
  <c r="AM1456" i="3" s="1"/>
  <c r="AQ1456" i="3" s="1"/>
  <c r="AM1457" i="3" s="1"/>
  <c r="AQ1457" i="3" s="1"/>
  <c r="AM296" i="3"/>
  <c r="AQ296" i="3" s="1"/>
  <c r="R538" i="3"/>
  <c r="K537" i="3"/>
  <c r="J537" i="3"/>
  <c r="AT537" i="3" s="1"/>
  <c r="R537" i="3"/>
  <c r="Q537" i="3"/>
  <c r="AC536" i="3"/>
  <c r="R536" i="3"/>
  <c r="K536" i="3"/>
  <c r="J536" i="3"/>
  <c r="AT536" i="3" s="1"/>
  <c r="J535" i="3"/>
  <c r="AT535" i="3" s="1"/>
  <c r="AM297" i="3" l="1"/>
  <c r="AQ297" i="3" s="1"/>
  <c r="Q535" i="3"/>
  <c r="D534" i="3"/>
  <c r="AT534" i="3" s="1"/>
  <c r="F532" i="3"/>
  <c r="L532" i="3"/>
  <c r="J532" i="3"/>
  <c r="AT532" i="3" s="1"/>
  <c r="AM298" i="3" l="1"/>
  <c r="AQ298" i="3" s="1"/>
  <c r="P531" i="3"/>
  <c r="Q531" i="3"/>
  <c r="J531" i="3"/>
  <c r="K531" i="3"/>
  <c r="R528" i="3"/>
  <c r="L528" i="3"/>
  <c r="AM299" i="3" l="1"/>
  <c r="AQ299" i="3" s="1"/>
  <c r="AT531" i="3"/>
  <c r="P530" i="3"/>
  <c r="AT530" i="3" s="1"/>
  <c r="P529" i="3"/>
  <c r="AT529" i="3" s="1"/>
  <c r="AM300" i="3" l="1"/>
  <c r="AQ300" i="3" s="1"/>
  <c r="R525" i="3"/>
  <c r="Q525" i="3"/>
  <c r="P525" i="3"/>
  <c r="AT525" i="3" s="1"/>
  <c r="AD525" i="3"/>
  <c r="X525" i="3"/>
  <c r="AM301" i="3" l="1"/>
  <c r="AQ301" i="3" s="1"/>
  <c r="Q524" i="3"/>
  <c r="AM302" i="3" l="1"/>
  <c r="AQ302" i="3" s="1"/>
  <c r="F524" i="3"/>
  <c r="D523" i="3"/>
  <c r="AH522" i="3"/>
  <c r="AI522" i="3"/>
  <c r="D522" i="3"/>
  <c r="AM303" i="3" l="1"/>
  <c r="AQ303" i="3" s="1"/>
  <c r="Q521" i="3"/>
  <c r="J520" i="3"/>
  <c r="AM304" i="3" l="1"/>
  <c r="AQ304" i="3" s="1"/>
  <c r="P519" i="3"/>
  <c r="J518" i="3"/>
  <c r="F515" i="3"/>
  <c r="D515" i="3"/>
  <c r="Q514" i="3"/>
  <c r="D514" i="3"/>
  <c r="R513" i="3"/>
  <c r="P509" i="3"/>
  <c r="P511" i="3"/>
  <c r="F510" i="3"/>
  <c r="P510" i="3"/>
  <c r="AM305" i="3" l="1"/>
  <c r="AQ305" i="3" s="1"/>
  <c r="D509" i="3"/>
  <c r="J508" i="3"/>
  <c r="F508" i="3"/>
  <c r="R506" i="3"/>
  <c r="P506" i="3"/>
  <c r="AC505" i="3"/>
  <c r="AD505" i="3"/>
  <c r="X505" i="3"/>
  <c r="P505" i="3"/>
  <c r="F505" i="3"/>
  <c r="D505" i="3"/>
  <c r="AM306" i="3" l="1"/>
  <c r="AQ306" i="3" s="1"/>
  <c r="Q504" i="3"/>
  <c r="K504" i="3"/>
  <c r="AC504" i="3"/>
  <c r="P502" i="3"/>
  <c r="AM307" i="3" l="1"/>
  <c r="AQ307" i="3" s="1"/>
  <c r="K501" i="3"/>
  <c r="AJ501" i="3"/>
  <c r="Q501" i="3"/>
  <c r="V501" i="3"/>
  <c r="R501" i="3"/>
  <c r="F499" i="3"/>
  <c r="AM308" i="3" l="1"/>
  <c r="AQ308" i="3" s="1"/>
  <c r="AH500" i="3"/>
  <c r="J498" i="3"/>
  <c r="R497" i="3"/>
  <c r="D496" i="3"/>
  <c r="AM309" i="3" l="1"/>
  <c r="AQ309" i="3" s="1"/>
  <c r="J495" i="3"/>
  <c r="D495" i="3"/>
  <c r="Q494" i="3"/>
  <c r="J494" i="3"/>
  <c r="D494" i="3"/>
  <c r="J493" i="3"/>
  <c r="D493" i="3"/>
  <c r="D492" i="3"/>
  <c r="P491" i="3"/>
  <c r="Q491" i="3"/>
  <c r="AM310" i="3" l="1"/>
  <c r="AQ310" i="3" s="1"/>
  <c r="D490" i="3"/>
  <c r="F489" i="3"/>
  <c r="P489" i="3"/>
  <c r="J489" i="3"/>
  <c r="F486" i="3"/>
  <c r="X487" i="3"/>
  <c r="AM311" i="3" l="1"/>
  <c r="AQ311" i="3" s="1"/>
  <c r="V486" i="3"/>
  <c r="Q486" i="3"/>
  <c r="AM312" i="3" l="1"/>
  <c r="AQ312" i="3" s="1"/>
  <c r="AC485" i="3"/>
  <c r="P485" i="3"/>
  <c r="Q485" i="3"/>
  <c r="K485" i="3"/>
  <c r="F485" i="3"/>
  <c r="D485" i="3"/>
  <c r="AM313" i="3" l="1"/>
  <c r="AQ313" i="3" s="1"/>
  <c r="F483" i="3"/>
  <c r="AM314" i="3" l="1"/>
  <c r="AQ314" i="3" s="1"/>
  <c r="X482" i="3"/>
  <c r="R482" i="3"/>
  <c r="Q481" i="3"/>
  <c r="J481" i="3"/>
  <c r="F481" i="3"/>
  <c r="AM315" i="3" l="1"/>
  <c r="AQ315" i="3" s="1"/>
  <c r="K477" i="3"/>
  <c r="AM316" i="3" l="1"/>
  <c r="AQ316" i="3" s="1"/>
  <c r="AH479" i="3"/>
  <c r="K480" i="3"/>
  <c r="AM317" i="3" l="1"/>
  <c r="AQ317" i="3" s="1"/>
  <c r="D479" i="3"/>
  <c r="J478" i="3"/>
  <c r="P477" i="3"/>
  <c r="R476" i="3"/>
  <c r="AV476" i="3" s="1"/>
  <c r="Q476" i="3"/>
  <c r="AM318" i="3" l="1"/>
  <c r="AQ318" i="3" s="1"/>
  <c r="J473" i="3"/>
  <c r="Q471" i="3"/>
  <c r="P471" i="3"/>
  <c r="D471" i="3"/>
  <c r="AM319" i="3" l="1"/>
  <c r="AQ319" i="3" s="1"/>
  <c r="V469" i="3"/>
  <c r="X470" i="3"/>
  <c r="AC469" i="3"/>
  <c r="J469" i="3"/>
  <c r="D469" i="3"/>
  <c r="AM320" i="3" l="1"/>
  <c r="AQ320" i="3" s="1"/>
  <c r="Q467" i="3"/>
  <c r="X467" i="3"/>
  <c r="AM321" i="3" l="1"/>
  <c r="AQ321" i="3" s="1"/>
  <c r="Q466" i="3"/>
  <c r="P466" i="3"/>
  <c r="F466" i="3"/>
  <c r="J465" i="3"/>
  <c r="F465" i="3"/>
  <c r="AM322" i="3" l="1"/>
  <c r="AQ322" i="3" s="1"/>
  <c r="R464" i="3"/>
  <c r="Q464" i="3"/>
  <c r="P464" i="3"/>
  <c r="AT465" i="3"/>
  <c r="AU465" i="3"/>
  <c r="AV465" i="3"/>
  <c r="AY465" i="3"/>
  <c r="R462" i="3"/>
  <c r="P462" i="3"/>
  <c r="Q461" i="3"/>
  <c r="P461" i="3"/>
  <c r="J461" i="3"/>
  <c r="K461" i="3"/>
  <c r="F461" i="3"/>
  <c r="AM323" i="3" l="1"/>
  <c r="AQ323" i="3" s="1"/>
  <c r="K456" i="3"/>
  <c r="X457" i="3"/>
  <c r="P457" i="3"/>
  <c r="AH457" i="3"/>
  <c r="R447" i="3"/>
  <c r="Q447" i="3"/>
  <c r="AM324" i="3" l="1"/>
  <c r="AQ324" i="3" s="1"/>
  <c r="AC456" i="3"/>
  <c r="R456" i="3"/>
  <c r="Q456" i="3"/>
  <c r="J456" i="3"/>
  <c r="D456" i="3"/>
  <c r="AM325" i="3" l="1"/>
  <c r="AQ325" i="3" s="1"/>
  <c r="AM1468" i="3"/>
  <c r="AQ1468" i="3" s="1"/>
  <c r="P454" i="3"/>
  <c r="R454" i="3"/>
  <c r="F454" i="3"/>
  <c r="J453" i="3"/>
  <c r="AM1469" i="3" l="1"/>
  <c r="AQ1469" i="3" s="1"/>
  <c r="AM326" i="3"/>
  <c r="AQ326" i="3" s="1"/>
  <c r="Q451" i="3"/>
  <c r="P451" i="3"/>
  <c r="D450" i="3"/>
  <c r="F449" i="3"/>
  <c r="D449" i="3"/>
  <c r="D448" i="3"/>
  <c r="K447" i="3"/>
  <c r="AM327" i="3" l="1"/>
  <c r="AQ327" i="3" s="1"/>
  <c r="AM1470" i="3"/>
  <c r="AQ1470" i="3" s="1"/>
  <c r="P445" i="3"/>
  <c r="D445" i="3"/>
  <c r="AM328" i="3" l="1"/>
  <c r="AQ328" i="3" s="1"/>
  <c r="AM1471" i="3"/>
  <c r="AQ1471" i="3" s="1"/>
  <c r="D444" i="3"/>
  <c r="AM329" i="3" l="1"/>
  <c r="AQ329" i="3" s="1"/>
  <c r="AM1472" i="3"/>
  <c r="AQ1472" i="3" s="1"/>
  <c r="D443" i="3"/>
  <c r="D442" i="3"/>
  <c r="D441" i="3"/>
  <c r="R440" i="3"/>
  <c r="Q440" i="3"/>
  <c r="P440" i="3"/>
  <c r="AM1473" i="3" l="1"/>
  <c r="AQ1473" i="3" s="1"/>
  <c r="AM330" i="3"/>
  <c r="AQ330" i="3" s="1"/>
  <c r="P439" i="3"/>
  <c r="F438" i="3"/>
  <c r="AD436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37" i="3"/>
  <c r="AU433" i="3"/>
  <c r="Q436" i="3"/>
  <c r="K436" i="3"/>
  <c r="R436" i="3"/>
  <c r="P435" i="3"/>
  <c r="K435" i="3"/>
  <c r="D435" i="3"/>
  <c r="AM331" i="3" l="1"/>
  <c r="AQ331" i="3" s="1"/>
  <c r="AM1474" i="3"/>
  <c r="AQ1474" i="3" s="1"/>
  <c r="AH434" i="3"/>
  <c r="AC434" i="3"/>
  <c r="J433" i="3"/>
  <c r="AM1475" i="3" l="1"/>
  <c r="AQ1475" i="3" s="1"/>
  <c r="AM332" i="3"/>
  <c r="AQ332" i="3" s="1"/>
  <c r="P431" i="3"/>
  <c r="Q430" i="3"/>
  <c r="J430" i="3"/>
  <c r="P429" i="3"/>
  <c r="Q429" i="3"/>
  <c r="Q428" i="3"/>
  <c r="K428" i="3"/>
  <c r="D428" i="3"/>
  <c r="D427" i="3"/>
  <c r="AM333" i="3" l="1"/>
  <c r="AQ333" i="3" s="1"/>
  <c r="AM1476" i="3"/>
  <c r="AQ1476" i="3" s="1"/>
  <c r="Q426" i="3"/>
  <c r="F426" i="3"/>
  <c r="E426" i="3"/>
  <c r="W425" i="3"/>
  <c r="P425" i="3"/>
  <c r="Q425" i="3"/>
  <c r="P423" i="3"/>
  <c r="AM1477" i="3" l="1"/>
  <c r="AQ1477" i="3" s="1"/>
  <c r="AM334" i="3"/>
  <c r="AQ334" i="3" s="1"/>
  <c r="F423" i="3"/>
  <c r="AV423" i="3" s="1"/>
  <c r="Q420" i="3"/>
  <c r="AD419" i="3"/>
  <c r="J420" i="3"/>
  <c r="AT420" i="3" s="1"/>
  <c r="K420" i="3"/>
  <c r="AT424" i="3"/>
  <c r="AU424" i="3"/>
  <c r="AV424" i="3"/>
  <c r="AT425" i="3"/>
  <c r="AU425" i="3"/>
  <c r="AV425" i="3"/>
  <c r="AT426" i="3"/>
  <c r="AU426" i="3"/>
  <c r="AV426" i="3"/>
  <c r="AT427" i="3"/>
  <c r="AU427" i="3"/>
  <c r="AV427" i="3"/>
  <c r="AT428" i="3"/>
  <c r="AU428" i="3"/>
  <c r="AV428" i="3"/>
  <c r="AT429" i="3"/>
  <c r="AU429" i="3"/>
  <c r="AV429" i="3"/>
  <c r="AT430" i="3"/>
  <c r="AU430" i="3"/>
  <c r="AV430" i="3"/>
  <c r="AT431" i="3"/>
  <c r="AU431" i="3"/>
  <c r="AV431" i="3"/>
  <c r="AT432" i="3"/>
  <c r="AU432" i="3"/>
  <c r="AV432" i="3"/>
  <c r="AT433" i="3"/>
  <c r="AV433" i="3"/>
  <c r="AT434" i="3"/>
  <c r="AU434" i="3"/>
  <c r="AV434" i="3"/>
  <c r="AT435" i="3"/>
  <c r="AU435" i="3"/>
  <c r="AV435" i="3"/>
  <c r="AT436" i="3"/>
  <c r="AU436" i="3"/>
  <c r="AV436" i="3"/>
  <c r="AT437" i="3"/>
  <c r="AV437" i="3"/>
  <c r="AT438" i="3"/>
  <c r="AU438" i="3"/>
  <c r="AV438" i="3"/>
  <c r="AT439" i="3"/>
  <c r="AV439" i="3"/>
  <c r="AV420" i="3"/>
  <c r="AT421" i="3"/>
  <c r="AU421" i="3"/>
  <c r="AV421" i="3"/>
  <c r="AT422" i="3"/>
  <c r="AU422" i="3"/>
  <c r="AV422" i="3"/>
  <c r="AT423" i="3"/>
  <c r="AU423" i="3"/>
  <c r="L418" i="3"/>
  <c r="AM335" i="3" l="1"/>
  <c r="AQ335" i="3" s="1"/>
  <c r="AM1478" i="3"/>
  <c r="AQ1478" i="3" s="1"/>
  <c r="AU420" i="3"/>
  <c r="X417" i="3"/>
  <c r="Q417" i="3"/>
  <c r="R417" i="3"/>
  <c r="F417" i="3"/>
  <c r="J416" i="3"/>
  <c r="F415" i="3"/>
  <c r="AM1479" i="3" l="1"/>
  <c r="AQ1479" i="3" s="1"/>
  <c r="AM336" i="3"/>
  <c r="AQ336" i="3" s="1"/>
  <c r="Q415" i="3"/>
  <c r="AM1480" i="3" l="1"/>
  <c r="AQ1480" i="3" s="1"/>
  <c r="AM337" i="3"/>
  <c r="AQ337" i="3" s="1"/>
  <c r="D414" i="3"/>
  <c r="Q413" i="3"/>
  <c r="J413" i="3"/>
  <c r="K413" i="3"/>
  <c r="F413" i="3"/>
  <c r="AH412" i="3"/>
  <c r="R411" i="3"/>
  <c r="D412" i="3"/>
  <c r="AC411" i="3"/>
  <c r="J411" i="3"/>
  <c r="AM338" i="3" l="1"/>
  <c r="AQ338" i="3" s="1"/>
  <c r="AM1481" i="3"/>
  <c r="AQ1481" i="3" s="1"/>
  <c r="F411" i="3"/>
  <c r="AT407" i="3"/>
  <c r="AU407" i="3"/>
  <c r="F408" i="3"/>
  <c r="D406" i="3"/>
  <c r="L407" i="3"/>
  <c r="X407" i="3"/>
  <c r="AU408" i="3"/>
  <c r="Q406" i="3"/>
  <c r="V406" i="3"/>
  <c r="J406" i="3"/>
  <c r="K406" i="3"/>
  <c r="J405" i="3"/>
  <c r="K405" i="3"/>
  <c r="Q405" i="3"/>
  <c r="P405" i="3"/>
  <c r="F402" i="3"/>
  <c r="F401" i="3"/>
  <c r="P399" i="3"/>
  <c r="F399" i="3"/>
  <c r="D399" i="3"/>
  <c r="R398" i="3"/>
  <c r="P398" i="3"/>
  <c r="D398" i="3"/>
  <c r="AM1482" i="3" l="1"/>
  <c r="AQ1482" i="3" s="1"/>
  <c r="AM339" i="3"/>
  <c r="AQ339" i="3" s="1"/>
  <c r="AU406" i="3"/>
  <c r="D397" i="3"/>
  <c r="L396" i="3"/>
  <c r="K396" i="3"/>
  <c r="AM340" i="3" l="1"/>
  <c r="AQ340" i="3" s="1"/>
  <c r="AM1483" i="3"/>
  <c r="AQ1483" i="3" s="1"/>
  <c r="R396" i="3"/>
  <c r="AM1484" i="3" l="1"/>
  <c r="AQ1484" i="3" s="1"/>
  <c r="AM341" i="3"/>
  <c r="AQ341" i="3" s="1"/>
  <c r="F395" i="3"/>
  <c r="J394" i="3"/>
  <c r="R393" i="3"/>
  <c r="Q393" i="3"/>
  <c r="K393" i="3"/>
  <c r="E393" i="3"/>
  <c r="AM1485" i="3" l="1"/>
  <c r="AQ1485" i="3" s="1"/>
  <c r="AM342" i="3"/>
  <c r="AQ342" i="3" s="1"/>
  <c r="F391" i="3"/>
  <c r="D391" i="3"/>
  <c r="J390" i="3"/>
  <c r="AM1486" i="3" l="1"/>
  <c r="AQ1486" i="3" s="1"/>
  <c r="AM343" i="3"/>
  <c r="AQ343" i="3" s="1"/>
  <c r="AH390" i="3"/>
  <c r="D388" i="3"/>
  <c r="Q388" i="3"/>
  <c r="P388" i="3"/>
  <c r="X388" i="3"/>
  <c r="R388" i="3"/>
  <c r="AM344" i="3" l="1"/>
  <c r="AQ344" i="3" s="1"/>
  <c r="AM1487" i="3"/>
  <c r="AQ1487" i="3" s="1"/>
  <c r="D387" i="3"/>
  <c r="D386" i="3"/>
  <c r="AM1488" i="3" l="1"/>
  <c r="AQ1488" i="3" s="1"/>
  <c r="AM345" i="3"/>
  <c r="AQ345" i="3" s="1"/>
  <c r="R385" i="3"/>
  <c r="AV385" i="3" s="1"/>
  <c r="D385" i="3"/>
  <c r="R384" i="3"/>
  <c r="AM346" i="3" l="1"/>
  <c r="AQ346" i="3" s="1"/>
  <c r="AM1489" i="3"/>
  <c r="AQ1489" i="3" s="1"/>
  <c r="P383" i="3"/>
  <c r="K379" i="3"/>
  <c r="R382" i="3"/>
  <c r="AM1490" i="3" l="1"/>
  <c r="AQ1490" i="3" s="1"/>
  <c r="AM347" i="3"/>
  <c r="AQ347" i="3" s="1"/>
  <c r="P381" i="3"/>
  <c r="J380" i="3"/>
  <c r="F380" i="3"/>
  <c r="P379" i="3"/>
  <c r="P378" i="3"/>
  <c r="AM348" i="3" l="1"/>
  <c r="AQ348" i="3" s="1"/>
  <c r="AM1491" i="3"/>
  <c r="AQ1491" i="3" s="1"/>
  <c r="D378" i="3"/>
  <c r="Q377" i="3"/>
  <c r="K377" i="3"/>
  <c r="D377" i="3"/>
  <c r="D376" i="3"/>
  <c r="AM349" i="3" l="1"/>
  <c r="AQ349" i="3" s="1"/>
  <c r="AM1492" i="3"/>
  <c r="AQ1492" i="3" s="1"/>
  <c r="J376" i="3"/>
  <c r="J375" i="3"/>
  <c r="AM1493" i="3" l="1"/>
  <c r="AQ1493" i="3" s="1"/>
  <c r="AM350" i="3"/>
  <c r="AQ350" i="3" s="1"/>
  <c r="L373" i="3"/>
  <c r="D373" i="3"/>
  <c r="V371" i="3"/>
  <c r="D371" i="3"/>
  <c r="F370" i="3"/>
  <c r="AM351" i="3" l="1"/>
  <c r="AQ351" i="3" s="1"/>
  <c r="AM1494" i="3"/>
  <c r="AQ1494" i="3" s="1"/>
  <c r="Q369" i="3"/>
  <c r="AH370" i="3"/>
  <c r="D370" i="3"/>
  <c r="AM352" i="3" l="1"/>
  <c r="AQ352" i="3" s="1"/>
  <c r="AM1495" i="3"/>
  <c r="AQ1495" i="3" s="1"/>
  <c r="J368" i="3"/>
  <c r="D363" i="3"/>
  <c r="P361" i="3"/>
  <c r="R362" i="3"/>
  <c r="P362" i="3"/>
  <c r="K356" i="3"/>
  <c r="D361" i="3"/>
  <c r="P358" i="3"/>
  <c r="AH356" i="3"/>
  <c r="F354" i="3"/>
  <c r="AM353" i="3" l="1"/>
  <c r="AQ353" i="3" s="1"/>
  <c r="AM1496" i="3"/>
  <c r="AQ1496" i="3" s="1"/>
  <c r="Q352" i="3"/>
  <c r="J352" i="3"/>
  <c r="K352" i="3"/>
  <c r="F351" i="3"/>
  <c r="J351" i="3"/>
  <c r="AM1497" i="3" l="1"/>
  <c r="AQ1497" i="3" s="1"/>
  <c r="AM354" i="3"/>
  <c r="AQ354" i="3" s="1"/>
  <c r="AC350" i="3"/>
  <c r="AM1498" i="3" l="1"/>
  <c r="AQ1498" i="3" s="1"/>
  <c r="AM355" i="3"/>
  <c r="AQ355" i="3" s="1"/>
  <c r="P350" i="3"/>
  <c r="J349" i="3"/>
  <c r="D349" i="3"/>
  <c r="V348" i="3"/>
  <c r="Q348" i="3"/>
  <c r="AM356" i="3" l="1"/>
  <c r="AQ356" i="3" s="1"/>
  <c r="AM1499" i="3"/>
  <c r="AQ1499" i="3" s="1"/>
  <c r="J345" i="3"/>
  <c r="D345" i="3"/>
  <c r="J343" i="3"/>
  <c r="J342" i="3"/>
  <c r="K341" i="3"/>
  <c r="AM1500" i="3" l="1"/>
  <c r="AQ1500" i="3" s="1"/>
  <c r="AM357" i="3"/>
  <c r="AQ357" i="3" s="1"/>
  <c r="J340" i="3"/>
  <c r="D340" i="3"/>
  <c r="AM1501" i="3" l="1"/>
  <c r="AQ1501" i="3" s="1"/>
  <c r="AM358" i="3"/>
  <c r="AQ358" i="3" s="1"/>
  <c r="J339" i="3"/>
  <c r="D339" i="3"/>
  <c r="J338" i="3"/>
  <c r="D338" i="3"/>
  <c r="AM359" i="3" l="1"/>
  <c r="AQ359" i="3" s="1"/>
  <c r="AM1502" i="3"/>
  <c r="AQ1502" i="3" s="1"/>
  <c r="D337" i="3"/>
  <c r="J336" i="3"/>
  <c r="F336" i="3"/>
  <c r="P335" i="3"/>
  <c r="F334" i="3"/>
  <c r="D334" i="3"/>
  <c r="L333" i="3"/>
  <c r="F333" i="3"/>
  <c r="D333" i="3"/>
  <c r="J330" i="3"/>
  <c r="P330" i="3"/>
  <c r="X329" i="3"/>
  <c r="D329" i="3"/>
  <c r="J328" i="3"/>
  <c r="AM1503" i="3" l="1"/>
  <c r="AQ1503" i="3" s="1"/>
  <c r="AM360" i="3"/>
  <c r="AQ360" i="3" s="1"/>
  <c r="Q328" i="3"/>
  <c r="V328" i="3"/>
  <c r="AT328" i="3" s="1"/>
  <c r="K328" i="3"/>
  <c r="J325" i="3"/>
  <c r="D325" i="3"/>
  <c r="AM361" i="3" l="1"/>
  <c r="AQ361" i="3" s="1"/>
  <c r="AM1504" i="3"/>
  <c r="AQ1504" i="3" s="1"/>
  <c r="K325" i="3"/>
  <c r="P325" i="3"/>
  <c r="D324" i="3"/>
  <c r="P323" i="3"/>
  <c r="J323" i="3"/>
  <c r="P319" i="3"/>
  <c r="W318" i="3"/>
  <c r="Q318" i="3"/>
  <c r="R316" i="3"/>
  <c r="Q316" i="3"/>
  <c r="D315" i="3"/>
  <c r="D314" i="3"/>
  <c r="F313" i="3"/>
  <c r="AM1505" i="3" l="1"/>
  <c r="AQ1505" i="3" s="1"/>
  <c r="AM362" i="3"/>
  <c r="AQ362" i="3" s="1"/>
  <c r="K311" i="3"/>
  <c r="D311" i="3"/>
  <c r="AD310" i="3"/>
  <c r="F309" i="3"/>
  <c r="AM363" i="3" l="1"/>
  <c r="AQ363" i="3" s="1"/>
  <c r="AM1506" i="3"/>
  <c r="AQ1506" i="3" s="1"/>
  <c r="K308" i="3"/>
  <c r="R308" i="3"/>
  <c r="F308" i="3"/>
  <c r="D308" i="3"/>
  <c r="AM1507" i="3" l="1"/>
  <c r="AQ1507" i="3" s="1"/>
  <c r="AM364" i="3"/>
  <c r="AQ364" i="3" s="1"/>
  <c r="K307" i="3"/>
  <c r="Q306" i="3"/>
  <c r="R306" i="3"/>
  <c r="K306" i="3"/>
  <c r="J305" i="3"/>
  <c r="F307" i="3"/>
  <c r="AM365" i="3" l="1"/>
  <c r="AQ365" i="3" s="1"/>
  <c r="AM1508" i="3"/>
  <c r="AQ1508" i="3" s="1"/>
  <c r="D301" i="3"/>
  <c r="AT301" i="3" s="1"/>
  <c r="AM1509" i="3" l="1"/>
  <c r="AQ1509" i="3" s="1"/>
  <c r="AM366" i="3"/>
  <c r="AQ366" i="3" s="1"/>
  <c r="Q300" i="3"/>
  <c r="AM367" i="3" l="1"/>
  <c r="AQ367" i="3" s="1"/>
  <c r="AM1510" i="3"/>
  <c r="AQ1510" i="3" s="1"/>
  <c r="J297" i="3"/>
  <c r="AY296" i="3"/>
  <c r="AV296" i="3"/>
  <c r="AU296" i="3"/>
  <c r="D296" i="3"/>
  <c r="AT296" i="3" s="1"/>
  <c r="AM368" i="3" l="1"/>
  <c r="AQ368" i="3" s="1"/>
  <c r="AM1511" i="3"/>
  <c r="AQ1511" i="3" s="1"/>
  <c r="R294" i="3"/>
  <c r="Q294" i="3"/>
  <c r="F293" i="3"/>
  <c r="D293" i="3"/>
  <c r="J290" i="3"/>
  <c r="AM1512" i="3" l="1"/>
  <c r="AQ1512" i="3" s="1"/>
  <c r="AM369" i="3"/>
  <c r="AQ369" i="3" s="1"/>
  <c r="K284" i="3"/>
  <c r="L283" i="3"/>
  <c r="AV283" i="3" s="1"/>
  <c r="Q284" i="3"/>
  <c r="D284" i="3"/>
  <c r="E284" i="3"/>
  <c r="D281" i="3"/>
  <c r="Q281" i="3"/>
  <c r="P281" i="3"/>
  <c r="AU283" i="3"/>
  <c r="AT283" i="3"/>
  <c r="AM370" i="3" l="1"/>
  <c r="AQ370" i="3" s="1"/>
  <c r="AM1513" i="3"/>
  <c r="AQ1513" i="3" s="1"/>
  <c r="L282" i="3"/>
  <c r="AH281" i="3"/>
  <c r="AC281" i="3"/>
  <c r="AD281" i="3"/>
  <c r="J281" i="3"/>
  <c r="D280" i="3"/>
  <c r="J279" i="3"/>
  <c r="R278" i="3"/>
  <c r="J278" i="3"/>
  <c r="AM371" i="3" l="1"/>
  <c r="AQ371" i="3" s="1"/>
  <c r="AM1514" i="3"/>
  <c r="AQ1514" i="3" s="1"/>
  <c r="L275" i="3"/>
  <c r="K275" i="3"/>
  <c r="L271" i="3"/>
  <c r="AM372" i="3" l="1"/>
  <c r="AQ372" i="3" s="1"/>
  <c r="AM1515" i="3"/>
  <c r="AQ1515" i="3" s="1"/>
  <c r="AD275" i="3"/>
  <c r="AD273" i="3"/>
  <c r="J275" i="3"/>
  <c r="AM1516" i="3" l="1"/>
  <c r="AQ1516" i="3" s="1"/>
  <c r="AM373" i="3"/>
  <c r="AQ373" i="3" s="1"/>
  <c r="D275" i="3"/>
  <c r="AM1517" i="3" l="1"/>
  <c r="AQ1517" i="3" s="1"/>
  <c r="AM374" i="3"/>
  <c r="AQ374" i="3" s="1"/>
  <c r="Q274" i="3"/>
  <c r="D274" i="3"/>
  <c r="AM375" i="3" l="1"/>
  <c r="AQ375" i="3" s="1"/>
  <c r="AM1518" i="3"/>
  <c r="AQ1518" i="3" s="1"/>
  <c r="L273" i="3"/>
  <c r="K273" i="3"/>
  <c r="V273" i="3"/>
  <c r="Q273" i="3"/>
  <c r="P273" i="3"/>
  <c r="J273" i="3"/>
  <c r="AM376" i="3" l="1"/>
  <c r="AQ376" i="3" s="1"/>
  <c r="AM1519" i="3"/>
  <c r="AQ1519" i="3" s="1"/>
  <c r="V271" i="3"/>
  <c r="J271" i="3"/>
  <c r="AM377" i="3" l="1"/>
  <c r="AQ377" i="3" s="1"/>
  <c r="AM1520" i="3"/>
  <c r="AQ1520" i="3" s="1"/>
  <c r="J270" i="3"/>
  <c r="AM1521" i="3" l="1"/>
  <c r="AQ1521" i="3" s="1"/>
  <c r="AM378" i="3"/>
  <c r="AQ378" i="3" s="1"/>
  <c r="D269" i="3"/>
  <c r="AM379" i="3" l="1"/>
  <c r="AQ379" i="3" s="1"/>
  <c r="AM1522" i="3"/>
  <c r="AQ1522" i="3" s="1"/>
  <c r="Q266" i="3"/>
  <c r="AM1523" i="3" l="1"/>
  <c r="AQ1523" i="3" s="1"/>
  <c r="AM380" i="3"/>
  <c r="AQ380" i="3" s="1"/>
  <c r="K263" i="3"/>
  <c r="AD264" i="3"/>
  <c r="AM381" i="3" l="1"/>
  <c r="AQ381" i="3" s="1"/>
  <c r="AM1524" i="3"/>
  <c r="AQ1524" i="3" s="1"/>
  <c r="AC263" i="3"/>
  <c r="P263" i="3"/>
  <c r="J263" i="3"/>
  <c r="F260" i="3"/>
  <c r="K262" i="3"/>
  <c r="AM382" i="3" l="1"/>
  <c r="AQ382" i="3" s="1"/>
  <c r="AM1525" i="3"/>
  <c r="AQ1525" i="3" s="1"/>
  <c r="J261" i="3"/>
  <c r="AH260" i="3"/>
  <c r="K260" i="3"/>
  <c r="AM1526" i="3" l="1"/>
  <c r="AQ1526" i="3" s="1"/>
  <c r="AM383" i="3"/>
  <c r="AQ383" i="3" s="1"/>
  <c r="P259" i="3"/>
  <c r="J259" i="3"/>
  <c r="L259" i="3"/>
  <c r="AD258" i="3"/>
  <c r="X257" i="3"/>
  <c r="Q257" i="3"/>
  <c r="V256" i="3"/>
  <c r="Q256" i="3"/>
  <c r="P256" i="3"/>
  <c r="J256" i="3"/>
  <c r="AM384" i="3" l="1"/>
  <c r="AQ384" i="3" s="1"/>
  <c r="AM1527" i="3"/>
  <c r="AQ1527" i="3" s="1"/>
  <c r="E255" i="3"/>
  <c r="P253" i="3"/>
  <c r="P252" i="3"/>
  <c r="R252" i="3"/>
  <c r="K252" i="3"/>
  <c r="D250" i="3"/>
  <c r="AM1528" i="3" l="1"/>
  <c r="AQ1528" i="3" s="1"/>
  <c r="AM385" i="3"/>
  <c r="AQ385" i="3" s="1"/>
  <c r="F249" i="3"/>
  <c r="D249" i="3"/>
  <c r="AM386" i="3" l="1"/>
  <c r="AQ386" i="3" s="1"/>
  <c r="AM1529" i="3"/>
  <c r="AQ1529" i="3" s="1"/>
  <c r="P248" i="3"/>
  <c r="D248" i="3"/>
  <c r="F248" i="3"/>
  <c r="P246" i="3"/>
  <c r="AM387" i="3" l="1"/>
  <c r="AQ387" i="3" s="1"/>
  <c r="AM1530" i="3"/>
  <c r="AQ1530" i="3" s="1"/>
  <c r="J245" i="3"/>
  <c r="AM1531" i="3" l="1"/>
  <c r="AQ1531" i="3" s="1"/>
  <c r="AM388" i="3"/>
  <c r="AQ388" i="3" s="1"/>
  <c r="F244" i="3"/>
  <c r="F241" i="3"/>
  <c r="E241" i="3"/>
  <c r="R241" i="3"/>
  <c r="L241" i="3"/>
  <c r="F240" i="3"/>
  <c r="E240" i="3"/>
  <c r="Q240" i="3"/>
  <c r="AM389" i="3" l="1"/>
  <c r="AQ389" i="3" s="1"/>
  <c r="AM1532" i="3"/>
  <c r="AQ1532" i="3" s="1"/>
  <c r="P238" i="3"/>
  <c r="X236" i="3"/>
  <c r="R236" i="3"/>
  <c r="Q236" i="3"/>
  <c r="L235" i="3"/>
  <c r="P234" i="3"/>
  <c r="E233" i="3"/>
  <c r="D233" i="3"/>
  <c r="AM1533" i="3" l="1"/>
  <c r="AQ1533" i="3" s="1"/>
  <c r="AM390" i="3"/>
  <c r="AQ390" i="3" s="1"/>
  <c r="X232" i="3"/>
  <c r="L232" i="3"/>
  <c r="AM391" i="3" l="1"/>
  <c r="AQ391" i="3" s="1"/>
  <c r="AM1534" i="3"/>
  <c r="AQ1534" i="3" s="1"/>
  <c r="P231" i="3"/>
  <c r="J231" i="3"/>
  <c r="D231" i="3"/>
  <c r="K230" i="3"/>
  <c r="D230" i="3"/>
  <c r="J228" i="3"/>
  <c r="D228" i="3"/>
  <c r="AM392" i="3" l="1"/>
  <c r="AQ392" i="3" s="1"/>
  <c r="AM1535" i="3"/>
  <c r="AQ1535" i="3" s="1"/>
  <c r="R224" i="3"/>
  <c r="P224" i="3"/>
  <c r="D223" i="3"/>
  <c r="X222" i="3"/>
  <c r="AM1536" i="3" l="1"/>
  <c r="AQ1536" i="3" s="1"/>
  <c r="AM393" i="3"/>
  <c r="AQ393" i="3" s="1"/>
  <c r="J222" i="3"/>
  <c r="R221" i="3"/>
  <c r="Q221" i="3"/>
  <c r="W221" i="3"/>
  <c r="P221" i="3"/>
  <c r="J221" i="3"/>
  <c r="P220" i="3"/>
  <c r="AM1537" i="3" l="1"/>
  <c r="AQ1537" i="3" s="1"/>
  <c r="AM394" i="3"/>
  <c r="AQ394" i="3" s="1"/>
  <c r="Q219" i="3"/>
  <c r="R219" i="3"/>
  <c r="D219" i="3"/>
  <c r="D218" i="3"/>
  <c r="J218" i="3"/>
  <c r="F218" i="3"/>
  <c r="AM395" i="3" l="1"/>
  <c r="AQ395" i="3" s="1"/>
  <c r="AM1538" i="3"/>
  <c r="AQ1538" i="3" s="1"/>
  <c r="K215" i="3"/>
  <c r="J216" i="3"/>
  <c r="J215" i="3"/>
  <c r="J214" i="3"/>
  <c r="P213" i="3"/>
  <c r="D211" i="3"/>
  <c r="P210" i="3"/>
  <c r="L210" i="3"/>
  <c r="J210" i="3"/>
  <c r="L206" i="3"/>
  <c r="R206" i="3"/>
  <c r="AM1539" i="3" l="1"/>
  <c r="AQ1539" i="3" s="1"/>
  <c r="AM396" i="3"/>
  <c r="AQ396" i="3" s="1"/>
  <c r="AU193" i="3"/>
  <c r="R205" i="3"/>
  <c r="Q205" i="3"/>
  <c r="D205" i="3"/>
  <c r="D204" i="3"/>
  <c r="AM397" i="3" l="1"/>
  <c r="AQ397" i="3" s="1"/>
  <c r="AM1540" i="3"/>
  <c r="AQ1540" i="3" s="1"/>
  <c r="AU204" i="3"/>
  <c r="R201" i="3"/>
  <c r="P201" i="3"/>
  <c r="Q201" i="3"/>
  <c r="J201" i="3"/>
  <c r="AM1541" i="3" l="1"/>
  <c r="AQ1541" i="3" s="1"/>
  <c r="AM398" i="3"/>
  <c r="AQ398" i="3" s="1"/>
  <c r="F198" i="3"/>
  <c r="X200" i="3"/>
  <c r="V200" i="3"/>
  <c r="P200" i="3"/>
  <c r="R200" i="3"/>
  <c r="Q200" i="3"/>
  <c r="AM1542" i="3" l="1"/>
  <c r="AQ1542" i="3" s="1"/>
  <c r="AM399" i="3"/>
  <c r="AQ399" i="3" s="1"/>
  <c r="P199" i="3"/>
  <c r="R198" i="3"/>
  <c r="AM1543" i="3" l="1"/>
  <c r="AQ1543" i="3" s="1"/>
  <c r="AM400" i="3"/>
  <c r="AQ400" i="3" s="1"/>
  <c r="R197" i="3"/>
  <c r="J197" i="3"/>
  <c r="Q196" i="3"/>
  <c r="L195" i="3"/>
  <c r="AM401" i="3" l="1"/>
  <c r="AQ401" i="3" s="1"/>
  <c r="AM1544" i="3"/>
  <c r="AQ1544" i="3" s="1"/>
  <c r="L194" i="3"/>
  <c r="J194" i="3"/>
  <c r="R193" i="3"/>
  <c r="L192" i="3"/>
  <c r="Q191" i="3"/>
  <c r="R191" i="3"/>
  <c r="W190" i="3"/>
  <c r="Q190" i="3"/>
  <c r="J189" i="3"/>
  <c r="AM1545" i="3" l="1"/>
  <c r="AQ1545" i="3" s="1"/>
  <c r="AM402" i="3"/>
  <c r="AQ402" i="3" s="1"/>
  <c r="F188" i="3"/>
  <c r="D188" i="3"/>
  <c r="L187" i="3"/>
  <c r="AM403" i="3" l="1"/>
  <c r="AQ403" i="3" s="1"/>
  <c r="AM1546" i="3"/>
  <c r="AQ1546" i="3" s="1"/>
  <c r="P186" i="3"/>
  <c r="Q186" i="3"/>
  <c r="K186" i="3"/>
  <c r="F185" i="3"/>
  <c r="AV185" i="3" s="1"/>
  <c r="AY856" i="3"/>
  <c r="AV856" i="3"/>
  <c r="AU856" i="3"/>
  <c r="AY855" i="3"/>
  <c r="AV855" i="3"/>
  <c r="AU855" i="3"/>
  <c r="AY854" i="3"/>
  <c r="AV854" i="3"/>
  <c r="AU854" i="3"/>
  <c r="AY853" i="3"/>
  <c r="AV853" i="3"/>
  <c r="AU853" i="3"/>
  <c r="AY852" i="3"/>
  <c r="AV852" i="3"/>
  <c r="AU852" i="3"/>
  <c r="AY851" i="3"/>
  <c r="AV851" i="3"/>
  <c r="AU851" i="3"/>
  <c r="AY850" i="3"/>
  <c r="AV850" i="3"/>
  <c r="AU850" i="3"/>
  <c r="AY849" i="3"/>
  <c r="AV849" i="3"/>
  <c r="AU849" i="3"/>
  <c r="AY848" i="3"/>
  <c r="AV848" i="3"/>
  <c r="AU848" i="3"/>
  <c r="AY847" i="3"/>
  <c r="AV847" i="3"/>
  <c r="AU847" i="3"/>
  <c r="AY846" i="3"/>
  <c r="AV846" i="3"/>
  <c r="AU846" i="3"/>
  <c r="AY845" i="3"/>
  <c r="AV845" i="3"/>
  <c r="AU845" i="3"/>
  <c r="AY844" i="3"/>
  <c r="AV844" i="3"/>
  <c r="AU844" i="3"/>
  <c r="AY843" i="3"/>
  <c r="AV843" i="3"/>
  <c r="AU843" i="3"/>
  <c r="AY842" i="3"/>
  <c r="AU842" i="3"/>
  <c r="AY841" i="3"/>
  <c r="AV841" i="3"/>
  <c r="AU841" i="3"/>
  <c r="AY840" i="3"/>
  <c r="AV840" i="3"/>
  <c r="AU840" i="3"/>
  <c r="AY839" i="3"/>
  <c r="AV839" i="3"/>
  <c r="AU839" i="3"/>
  <c r="AY838" i="3"/>
  <c r="AV838" i="3"/>
  <c r="AU838" i="3"/>
  <c r="AY837" i="3"/>
  <c r="AV837" i="3"/>
  <c r="AU837" i="3"/>
  <c r="AY836" i="3"/>
  <c r="AV836" i="3"/>
  <c r="AU836" i="3"/>
  <c r="AY835" i="3"/>
  <c r="AV835" i="3"/>
  <c r="AU835" i="3"/>
  <c r="AY834" i="3"/>
  <c r="AV834" i="3"/>
  <c r="AU834" i="3"/>
  <c r="AY833" i="3"/>
  <c r="AV833" i="3"/>
  <c r="AU833" i="3"/>
  <c r="AY832" i="3"/>
  <c r="AV832" i="3"/>
  <c r="AU832" i="3"/>
  <c r="AY831" i="3"/>
  <c r="AV831" i="3"/>
  <c r="AU831" i="3"/>
  <c r="AY830" i="3"/>
  <c r="AV830" i="3"/>
  <c r="AU830" i="3"/>
  <c r="AY829" i="3"/>
  <c r="AV829" i="3"/>
  <c r="AU829" i="3"/>
  <c r="AY828" i="3"/>
  <c r="AV828" i="3"/>
  <c r="AU828" i="3"/>
  <c r="AY827" i="3"/>
  <c r="AV827" i="3"/>
  <c r="AU827" i="3"/>
  <c r="AY826" i="3"/>
  <c r="AV826" i="3"/>
  <c r="AU826" i="3"/>
  <c r="AY825" i="3"/>
  <c r="AV825" i="3"/>
  <c r="AU825" i="3"/>
  <c r="AY824" i="3"/>
  <c r="AV824" i="3"/>
  <c r="AU824" i="3"/>
  <c r="AY823" i="3"/>
  <c r="AV823" i="3"/>
  <c r="AU823" i="3"/>
  <c r="AY822" i="3"/>
  <c r="AV822" i="3"/>
  <c r="AU822" i="3"/>
  <c r="AY821" i="3"/>
  <c r="AV821" i="3"/>
  <c r="AU821" i="3"/>
  <c r="AY820" i="3"/>
  <c r="AV820" i="3"/>
  <c r="AU820" i="3"/>
  <c r="AY819" i="3"/>
  <c r="AV819" i="3"/>
  <c r="AU819" i="3"/>
  <c r="AY818" i="3"/>
  <c r="AV818" i="3"/>
  <c r="AU818" i="3"/>
  <c r="AY817" i="3"/>
  <c r="AV817" i="3"/>
  <c r="AU817" i="3"/>
  <c r="AY816" i="3"/>
  <c r="AV816" i="3"/>
  <c r="AU816" i="3"/>
  <c r="AY815" i="3"/>
  <c r="AV815" i="3"/>
  <c r="AU815" i="3"/>
  <c r="AY814" i="3"/>
  <c r="AV814" i="3"/>
  <c r="AU814" i="3"/>
  <c r="AY813" i="3"/>
  <c r="AV813" i="3"/>
  <c r="AU813" i="3"/>
  <c r="AY812" i="3"/>
  <c r="AV812" i="3"/>
  <c r="AU812" i="3"/>
  <c r="AY811" i="3"/>
  <c r="AV811" i="3"/>
  <c r="AU811" i="3"/>
  <c r="AY810" i="3"/>
  <c r="AV810" i="3"/>
  <c r="AU810" i="3"/>
  <c r="AY809" i="3"/>
  <c r="AV809" i="3"/>
  <c r="AU809" i="3"/>
  <c r="AY808" i="3"/>
  <c r="AV808" i="3"/>
  <c r="AU808" i="3"/>
  <c r="AY807" i="3"/>
  <c r="AV807" i="3"/>
  <c r="AU807" i="3"/>
  <c r="AY806" i="3"/>
  <c r="AV806" i="3"/>
  <c r="AU806" i="3"/>
  <c r="AY805" i="3"/>
  <c r="AV805" i="3"/>
  <c r="AU805" i="3"/>
  <c r="AY804" i="3"/>
  <c r="AV804" i="3"/>
  <c r="AU804" i="3"/>
  <c r="AY803" i="3"/>
  <c r="AV803" i="3"/>
  <c r="AU803" i="3"/>
  <c r="AY802" i="3"/>
  <c r="AV802" i="3"/>
  <c r="AU802" i="3"/>
  <c r="AY801" i="3"/>
  <c r="AV801" i="3"/>
  <c r="AU801" i="3"/>
  <c r="AY800" i="3"/>
  <c r="AV800" i="3"/>
  <c r="AU800" i="3"/>
  <c r="AY799" i="3"/>
  <c r="AV799" i="3"/>
  <c r="AU799" i="3"/>
  <c r="AY798" i="3"/>
  <c r="AV798" i="3"/>
  <c r="AU798" i="3"/>
  <c r="AY797" i="3"/>
  <c r="AV797" i="3"/>
  <c r="AU797" i="3"/>
  <c r="AY796" i="3"/>
  <c r="AV796" i="3"/>
  <c r="AU796" i="3"/>
  <c r="AY795" i="3"/>
  <c r="AV795" i="3"/>
  <c r="AU795" i="3"/>
  <c r="AY794" i="3"/>
  <c r="AV794" i="3"/>
  <c r="AU794" i="3"/>
  <c r="AY793" i="3"/>
  <c r="AV793" i="3"/>
  <c r="AU793" i="3"/>
  <c r="AY792" i="3"/>
  <c r="AV792" i="3"/>
  <c r="AU792" i="3"/>
  <c r="AY791" i="3"/>
  <c r="AV791" i="3"/>
  <c r="AU791" i="3"/>
  <c r="AY790" i="3"/>
  <c r="AV790" i="3"/>
  <c r="AU790" i="3"/>
  <c r="AY789" i="3"/>
  <c r="AV789" i="3"/>
  <c r="AU789" i="3"/>
  <c r="AY788" i="3"/>
  <c r="AV788" i="3"/>
  <c r="AU788" i="3"/>
  <c r="AY787" i="3"/>
  <c r="AV787" i="3"/>
  <c r="AU787" i="3"/>
  <c r="AY786" i="3"/>
  <c r="AV786" i="3"/>
  <c r="AU786" i="3"/>
  <c r="AY785" i="3"/>
  <c r="AV785" i="3"/>
  <c r="AU785" i="3"/>
  <c r="AY784" i="3"/>
  <c r="AV784" i="3"/>
  <c r="AU784" i="3"/>
  <c r="AY783" i="3"/>
  <c r="AV783" i="3"/>
  <c r="AU783" i="3"/>
  <c r="AY782" i="3"/>
  <c r="AV782" i="3"/>
  <c r="AU782" i="3"/>
  <c r="AY781" i="3"/>
  <c r="AV781" i="3"/>
  <c r="AU781" i="3"/>
  <c r="AY780" i="3"/>
  <c r="AV780" i="3"/>
  <c r="AU780" i="3"/>
  <c r="AY779" i="3"/>
  <c r="AV779" i="3"/>
  <c r="AU779" i="3"/>
  <c r="AY778" i="3"/>
  <c r="AV778" i="3"/>
  <c r="AU778" i="3"/>
  <c r="AY777" i="3"/>
  <c r="AV777" i="3"/>
  <c r="AU777" i="3"/>
  <c r="AY776" i="3"/>
  <c r="AV776" i="3"/>
  <c r="AU776" i="3"/>
  <c r="AY775" i="3"/>
  <c r="AV775" i="3"/>
  <c r="AU775" i="3"/>
  <c r="AY774" i="3"/>
  <c r="AV774" i="3"/>
  <c r="AU774" i="3"/>
  <c r="AY773" i="3"/>
  <c r="AV773" i="3"/>
  <c r="AU773" i="3"/>
  <c r="AY772" i="3"/>
  <c r="AV772" i="3"/>
  <c r="AU772" i="3"/>
  <c r="AY771" i="3"/>
  <c r="AV771" i="3"/>
  <c r="AU771" i="3"/>
  <c r="AY770" i="3"/>
  <c r="AV770" i="3"/>
  <c r="AU770" i="3"/>
  <c r="AY769" i="3"/>
  <c r="AV769" i="3"/>
  <c r="AU769" i="3"/>
  <c r="AY768" i="3"/>
  <c r="AV768" i="3"/>
  <c r="AU768" i="3"/>
  <c r="AY767" i="3"/>
  <c r="AV767" i="3"/>
  <c r="AU767" i="3"/>
  <c r="AY766" i="3"/>
  <c r="AV766" i="3"/>
  <c r="AY765" i="3"/>
  <c r="AV765" i="3"/>
  <c r="AU765" i="3"/>
  <c r="AY764" i="3"/>
  <c r="AV764" i="3"/>
  <c r="AU764" i="3"/>
  <c r="AY763" i="3"/>
  <c r="AV763" i="3"/>
  <c r="AU763" i="3"/>
  <c r="AY762" i="3"/>
  <c r="AV762" i="3"/>
  <c r="AU762" i="3"/>
  <c r="AY761" i="3"/>
  <c r="AV761" i="3"/>
  <c r="AU761" i="3"/>
  <c r="AY760" i="3"/>
  <c r="AV760" i="3"/>
  <c r="AU760" i="3"/>
  <c r="AY759" i="3"/>
  <c r="AV759" i="3"/>
  <c r="AU759" i="3"/>
  <c r="AY758" i="3"/>
  <c r="AV758" i="3"/>
  <c r="AU758" i="3"/>
  <c r="AY757" i="3"/>
  <c r="AV757" i="3"/>
  <c r="AU757" i="3"/>
  <c r="AY756" i="3"/>
  <c r="AV756" i="3"/>
  <c r="AU756" i="3"/>
  <c r="AY755" i="3"/>
  <c r="AV755" i="3"/>
  <c r="AU755" i="3"/>
  <c r="AY754" i="3"/>
  <c r="AV754" i="3"/>
  <c r="AU754" i="3"/>
  <c r="AY753" i="3"/>
  <c r="AV753" i="3"/>
  <c r="AU753" i="3"/>
  <c r="AY752" i="3"/>
  <c r="AV752" i="3"/>
  <c r="AU752" i="3"/>
  <c r="AY751" i="3"/>
  <c r="AV751" i="3"/>
  <c r="AU751" i="3"/>
  <c r="AY750" i="3"/>
  <c r="AV750" i="3"/>
  <c r="AU750" i="3"/>
  <c r="AY749" i="3"/>
  <c r="AV749" i="3"/>
  <c r="AU749" i="3"/>
  <c r="AY748" i="3"/>
  <c r="AV748" i="3"/>
  <c r="AU748" i="3"/>
  <c r="AY747" i="3"/>
  <c r="AV747" i="3"/>
  <c r="AU747" i="3"/>
  <c r="AY746" i="3"/>
  <c r="AV746" i="3"/>
  <c r="AU746" i="3"/>
  <c r="AY745" i="3"/>
  <c r="AV745" i="3"/>
  <c r="AU745" i="3"/>
  <c r="AY744" i="3"/>
  <c r="AV744" i="3"/>
  <c r="AU744" i="3"/>
  <c r="AY743" i="3"/>
  <c r="AV743" i="3"/>
  <c r="AU743" i="3"/>
  <c r="AY742" i="3"/>
  <c r="AV742" i="3"/>
  <c r="AU742" i="3"/>
  <c r="AY741" i="3"/>
  <c r="AV741" i="3"/>
  <c r="AU741" i="3"/>
  <c r="AY740" i="3"/>
  <c r="AV740" i="3"/>
  <c r="AU740" i="3"/>
  <c r="AY739" i="3"/>
  <c r="AV739" i="3"/>
  <c r="AU739" i="3"/>
  <c r="AY738" i="3"/>
  <c r="AV738" i="3"/>
  <c r="AU738" i="3"/>
  <c r="AY737" i="3"/>
  <c r="AV737" i="3"/>
  <c r="AU737" i="3"/>
  <c r="AY736" i="3"/>
  <c r="AV736" i="3"/>
  <c r="AU736" i="3"/>
  <c r="AY735" i="3"/>
  <c r="AV735" i="3"/>
  <c r="AU735" i="3"/>
  <c r="AY734" i="3"/>
  <c r="AV734" i="3"/>
  <c r="AU734" i="3"/>
  <c r="AY733" i="3"/>
  <c r="AV733" i="3"/>
  <c r="AU733" i="3"/>
  <c r="AY732" i="3"/>
  <c r="AV732" i="3"/>
  <c r="AU732" i="3"/>
  <c r="AY731" i="3"/>
  <c r="AV731" i="3"/>
  <c r="AU731" i="3"/>
  <c r="AY730" i="3"/>
  <c r="AV730" i="3"/>
  <c r="AU730" i="3"/>
  <c r="AY729" i="3"/>
  <c r="AV729" i="3"/>
  <c r="AU729" i="3"/>
  <c r="AY728" i="3"/>
  <c r="AV728" i="3"/>
  <c r="AU728" i="3"/>
  <c r="AY727" i="3"/>
  <c r="AV727" i="3"/>
  <c r="AU727" i="3"/>
  <c r="AY726" i="3"/>
  <c r="AV726" i="3"/>
  <c r="AU726" i="3"/>
  <c r="AY725" i="3"/>
  <c r="AV725" i="3"/>
  <c r="AU725" i="3"/>
  <c r="AY724" i="3"/>
  <c r="AV724" i="3"/>
  <c r="AU724" i="3"/>
  <c r="AY723" i="3"/>
  <c r="AV723" i="3"/>
  <c r="AU723" i="3"/>
  <c r="AY722" i="3"/>
  <c r="AV722" i="3"/>
  <c r="AU722" i="3"/>
  <c r="AY721" i="3"/>
  <c r="AV721" i="3"/>
  <c r="AU721" i="3"/>
  <c r="AY720" i="3"/>
  <c r="AV720" i="3"/>
  <c r="AU720" i="3"/>
  <c r="AY719" i="3"/>
  <c r="AV719" i="3"/>
  <c r="AU719" i="3"/>
  <c r="AY718" i="3"/>
  <c r="AV718" i="3"/>
  <c r="AU718" i="3"/>
  <c r="AY717" i="3"/>
  <c r="AV717" i="3"/>
  <c r="AU717" i="3"/>
  <c r="AY716" i="3"/>
  <c r="AV716" i="3"/>
  <c r="AU716" i="3"/>
  <c r="AY715" i="3"/>
  <c r="AV715" i="3"/>
  <c r="AU715" i="3"/>
  <c r="AY714" i="3"/>
  <c r="AV714" i="3"/>
  <c r="AU714" i="3"/>
  <c r="AY713" i="3"/>
  <c r="AV713" i="3"/>
  <c r="AU713" i="3"/>
  <c r="AY712" i="3"/>
  <c r="AV712" i="3"/>
  <c r="AU712" i="3"/>
  <c r="AY711" i="3"/>
  <c r="AV711" i="3"/>
  <c r="AU711" i="3"/>
  <c r="AY710" i="3"/>
  <c r="AV710" i="3"/>
  <c r="AU710" i="3"/>
  <c r="AY709" i="3"/>
  <c r="AV709" i="3"/>
  <c r="AU709" i="3"/>
  <c r="AY708" i="3"/>
  <c r="AV708" i="3"/>
  <c r="AU708" i="3"/>
  <c r="AY707" i="3"/>
  <c r="AV707" i="3"/>
  <c r="AU707" i="3"/>
  <c r="AY706" i="3"/>
  <c r="AV706" i="3"/>
  <c r="AU706" i="3"/>
  <c r="AY705" i="3"/>
  <c r="AV705" i="3"/>
  <c r="AU705" i="3"/>
  <c r="AY704" i="3"/>
  <c r="AV704" i="3"/>
  <c r="AU704" i="3"/>
  <c r="AY703" i="3"/>
  <c r="AV703" i="3"/>
  <c r="AU703" i="3"/>
  <c r="AY702" i="3"/>
  <c r="AV702" i="3"/>
  <c r="AU702" i="3"/>
  <c r="AY701" i="3"/>
  <c r="AV701" i="3"/>
  <c r="AU701" i="3"/>
  <c r="AY700" i="3"/>
  <c r="AV700" i="3"/>
  <c r="AU700" i="3"/>
  <c r="AY699" i="3"/>
  <c r="AV699" i="3"/>
  <c r="AU699" i="3"/>
  <c r="AY698" i="3"/>
  <c r="AV698" i="3"/>
  <c r="AU698" i="3"/>
  <c r="AY697" i="3"/>
  <c r="AV697" i="3"/>
  <c r="AU697" i="3"/>
  <c r="AY696" i="3"/>
  <c r="AV696" i="3"/>
  <c r="AU696" i="3"/>
  <c r="AY695" i="3"/>
  <c r="AV695" i="3"/>
  <c r="AU695" i="3"/>
  <c r="AY694" i="3"/>
  <c r="AV694" i="3"/>
  <c r="AU694" i="3"/>
  <c r="AY693" i="3"/>
  <c r="AV693" i="3"/>
  <c r="AU693" i="3"/>
  <c r="AY692" i="3"/>
  <c r="AV692" i="3"/>
  <c r="AU692" i="3"/>
  <c r="AY691" i="3"/>
  <c r="AV691" i="3"/>
  <c r="AU691" i="3"/>
  <c r="AY690" i="3"/>
  <c r="AV690" i="3"/>
  <c r="AU690" i="3"/>
  <c r="AY689" i="3"/>
  <c r="AV689" i="3"/>
  <c r="AU689" i="3"/>
  <c r="AY688" i="3"/>
  <c r="AV688" i="3"/>
  <c r="AU688" i="3"/>
  <c r="AY687" i="3"/>
  <c r="AV687" i="3"/>
  <c r="AU687" i="3"/>
  <c r="AY686" i="3"/>
  <c r="AV686" i="3"/>
  <c r="AU686" i="3"/>
  <c r="AY685" i="3"/>
  <c r="AV685" i="3"/>
  <c r="AU685" i="3"/>
  <c r="AY684" i="3"/>
  <c r="AV684" i="3"/>
  <c r="AU684" i="3"/>
  <c r="AY683" i="3"/>
  <c r="AV683" i="3"/>
  <c r="AU683" i="3"/>
  <c r="AY682" i="3"/>
  <c r="AV682" i="3"/>
  <c r="AU682" i="3"/>
  <c r="AY681" i="3"/>
  <c r="AV681" i="3"/>
  <c r="AU681" i="3"/>
  <c r="AY680" i="3"/>
  <c r="AV680" i="3"/>
  <c r="AU680" i="3"/>
  <c r="AY679" i="3"/>
  <c r="AV679" i="3"/>
  <c r="AU679" i="3"/>
  <c r="AY678" i="3"/>
  <c r="AV678" i="3"/>
  <c r="AU678" i="3"/>
  <c r="AY677" i="3"/>
  <c r="AV677" i="3"/>
  <c r="AU677" i="3"/>
  <c r="AY676" i="3"/>
  <c r="AV676" i="3"/>
  <c r="AU676" i="3"/>
  <c r="AY675" i="3"/>
  <c r="AV675" i="3"/>
  <c r="AU675" i="3"/>
  <c r="AY674" i="3"/>
  <c r="AV674" i="3"/>
  <c r="AU674" i="3"/>
  <c r="AY673" i="3"/>
  <c r="AV673" i="3"/>
  <c r="AU673" i="3"/>
  <c r="AY672" i="3"/>
  <c r="AV672" i="3"/>
  <c r="AU672" i="3"/>
  <c r="AY671" i="3"/>
  <c r="AV671" i="3"/>
  <c r="AU671" i="3"/>
  <c r="AY670" i="3"/>
  <c r="AV670" i="3"/>
  <c r="AU670" i="3"/>
  <c r="AY669" i="3"/>
  <c r="AV669" i="3"/>
  <c r="AY668" i="3"/>
  <c r="AV668" i="3"/>
  <c r="AU668" i="3"/>
  <c r="AY667" i="3"/>
  <c r="AV667" i="3"/>
  <c r="AY666" i="3"/>
  <c r="AV666" i="3"/>
  <c r="AY665" i="3"/>
  <c r="AV665" i="3"/>
  <c r="AU665" i="3"/>
  <c r="AY664" i="3"/>
  <c r="AV664" i="3"/>
  <c r="AU664" i="3"/>
  <c r="AY663" i="3"/>
  <c r="AV663" i="3"/>
  <c r="AU663" i="3"/>
  <c r="AY662" i="3"/>
  <c r="AV662" i="3"/>
  <c r="AU662" i="3"/>
  <c r="AY661" i="3"/>
  <c r="AV661" i="3"/>
  <c r="AU661" i="3"/>
  <c r="AY660" i="3"/>
  <c r="AV660" i="3"/>
  <c r="AU660" i="3"/>
  <c r="AY659" i="3"/>
  <c r="AV659" i="3"/>
  <c r="AU659" i="3"/>
  <c r="AY658" i="3"/>
  <c r="AV658" i="3"/>
  <c r="AU658" i="3"/>
  <c r="AY657" i="3"/>
  <c r="AV657" i="3"/>
  <c r="AU657" i="3"/>
  <c r="AY656" i="3"/>
  <c r="AV656" i="3"/>
  <c r="AU656" i="3"/>
  <c r="AY655" i="3"/>
  <c r="AV655" i="3"/>
  <c r="AU655" i="3"/>
  <c r="AY654" i="3"/>
  <c r="AV654" i="3"/>
  <c r="AU654" i="3"/>
  <c r="AY653" i="3"/>
  <c r="AV653" i="3"/>
  <c r="AU653" i="3"/>
  <c r="AY652" i="3"/>
  <c r="AV652" i="3"/>
  <c r="AU652" i="3"/>
  <c r="AY651" i="3"/>
  <c r="AV651" i="3"/>
  <c r="AU651" i="3"/>
  <c r="AY650" i="3"/>
  <c r="AV650" i="3"/>
  <c r="AU650" i="3"/>
  <c r="AY649" i="3"/>
  <c r="AV649" i="3"/>
  <c r="AU649" i="3"/>
  <c r="AY648" i="3"/>
  <c r="AV648" i="3"/>
  <c r="AU648" i="3"/>
  <c r="AY647" i="3"/>
  <c r="AV647" i="3"/>
  <c r="AU647" i="3"/>
  <c r="AY646" i="3"/>
  <c r="AV646" i="3"/>
  <c r="AU646" i="3"/>
  <c r="AY645" i="3"/>
  <c r="AV645" i="3"/>
  <c r="AU645" i="3"/>
  <c r="AY644" i="3"/>
  <c r="AV644" i="3"/>
  <c r="AU644" i="3"/>
  <c r="AY643" i="3"/>
  <c r="AV643" i="3"/>
  <c r="AU643" i="3"/>
  <c r="AY642" i="3"/>
  <c r="AV642" i="3"/>
  <c r="AU642" i="3"/>
  <c r="AY641" i="3"/>
  <c r="AV641" i="3"/>
  <c r="AU641" i="3"/>
  <c r="AY640" i="3"/>
  <c r="AV640" i="3"/>
  <c r="AU640" i="3"/>
  <c r="AY639" i="3"/>
  <c r="AV639" i="3"/>
  <c r="AU639" i="3"/>
  <c r="AY638" i="3"/>
  <c r="AV638" i="3"/>
  <c r="AU638" i="3"/>
  <c r="AY637" i="3"/>
  <c r="AV637" i="3"/>
  <c r="AU637" i="3"/>
  <c r="AY636" i="3"/>
  <c r="AV636" i="3"/>
  <c r="AU636" i="3"/>
  <c r="AY635" i="3"/>
  <c r="AV635" i="3"/>
  <c r="AU635" i="3"/>
  <c r="AY634" i="3"/>
  <c r="AV634" i="3"/>
  <c r="AU634" i="3"/>
  <c r="AY633" i="3"/>
  <c r="AV633" i="3"/>
  <c r="AU633" i="3"/>
  <c r="AY632" i="3"/>
  <c r="AY631" i="3"/>
  <c r="AY630" i="3"/>
  <c r="AY629" i="3"/>
  <c r="AV629" i="3"/>
  <c r="AU629" i="3"/>
  <c r="AY628" i="3"/>
  <c r="AV628" i="3"/>
  <c r="AU628" i="3"/>
  <c r="AY627" i="3"/>
  <c r="AV627" i="3"/>
  <c r="AU627" i="3"/>
  <c r="AY626" i="3"/>
  <c r="AV626" i="3"/>
  <c r="AU626" i="3"/>
  <c r="AY625" i="3"/>
  <c r="AV625" i="3"/>
  <c r="AU625" i="3"/>
  <c r="AY624" i="3"/>
  <c r="AV624" i="3"/>
  <c r="AU624" i="3"/>
  <c r="AY623" i="3"/>
  <c r="AV623" i="3"/>
  <c r="AU623" i="3"/>
  <c r="AY622" i="3"/>
  <c r="AV622" i="3"/>
  <c r="AU622" i="3"/>
  <c r="AY621" i="3"/>
  <c r="AV621" i="3"/>
  <c r="AU621" i="3"/>
  <c r="AY620" i="3"/>
  <c r="AV620" i="3"/>
  <c r="AU620" i="3"/>
  <c r="AY619" i="3"/>
  <c r="AV619" i="3"/>
  <c r="AU619" i="3"/>
  <c r="AY618" i="3"/>
  <c r="AV618" i="3"/>
  <c r="AU618" i="3"/>
  <c r="AY617" i="3"/>
  <c r="AV617" i="3"/>
  <c r="AU617" i="3"/>
  <c r="AY616" i="3"/>
  <c r="AV616" i="3"/>
  <c r="AU616" i="3"/>
  <c r="AY615" i="3"/>
  <c r="AV615" i="3"/>
  <c r="AU615" i="3"/>
  <c r="AY614" i="3"/>
  <c r="AV614" i="3"/>
  <c r="AU614" i="3"/>
  <c r="AY613" i="3"/>
  <c r="AV613" i="3"/>
  <c r="AU613" i="3"/>
  <c r="AY612" i="3"/>
  <c r="AV612" i="3"/>
  <c r="AU612" i="3"/>
  <c r="AY611" i="3"/>
  <c r="AV611" i="3"/>
  <c r="AU611" i="3"/>
  <c r="AY610" i="3"/>
  <c r="AV610" i="3"/>
  <c r="AU610" i="3"/>
  <c r="AY609" i="3"/>
  <c r="AU609" i="3"/>
  <c r="AY608" i="3"/>
  <c r="AV608" i="3"/>
  <c r="AU608" i="3"/>
  <c r="AY607" i="3"/>
  <c r="AV607" i="3"/>
  <c r="AU607" i="3"/>
  <c r="AY606" i="3"/>
  <c r="AV606" i="3"/>
  <c r="AU606" i="3"/>
  <c r="AY605" i="3"/>
  <c r="AV605" i="3"/>
  <c r="AU605" i="3"/>
  <c r="AY604" i="3"/>
  <c r="AV604" i="3"/>
  <c r="AU604" i="3"/>
  <c r="AY603" i="3"/>
  <c r="AV603" i="3"/>
  <c r="AU603" i="3"/>
  <c r="AY602" i="3"/>
  <c r="AV602" i="3"/>
  <c r="AU602" i="3"/>
  <c r="AY601" i="3"/>
  <c r="AV601" i="3"/>
  <c r="AU601" i="3"/>
  <c r="AY600" i="3"/>
  <c r="AV600" i="3"/>
  <c r="AU600" i="3"/>
  <c r="AY599" i="3"/>
  <c r="AV599" i="3"/>
  <c r="AU599" i="3"/>
  <c r="AY598" i="3"/>
  <c r="AV598" i="3"/>
  <c r="AU598" i="3"/>
  <c r="AY597" i="3"/>
  <c r="AV597" i="3"/>
  <c r="AU597" i="3"/>
  <c r="AY596" i="3"/>
  <c r="AV596" i="3"/>
  <c r="AU596" i="3"/>
  <c r="AY595" i="3"/>
  <c r="AV595" i="3"/>
  <c r="AU595" i="3"/>
  <c r="AY594" i="3"/>
  <c r="AV594" i="3"/>
  <c r="AU594" i="3"/>
  <c r="AY593" i="3"/>
  <c r="AV593" i="3"/>
  <c r="AU593" i="3"/>
  <c r="AY592" i="3"/>
  <c r="AV592" i="3"/>
  <c r="AU592" i="3"/>
  <c r="AY591" i="3"/>
  <c r="AV591" i="3"/>
  <c r="AU591" i="3"/>
  <c r="AY590" i="3"/>
  <c r="AV590" i="3"/>
  <c r="AU590" i="3"/>
  <c r="AY589" i="3"/>
  <c r="AV589" i="3"/>
  <c r="AU589" i="3"/>
  <c r="AY588" i="3"/>
  <c r="AV588" i="3"/>
  <c r="AU588" i="3"/>
  <c r="AY582" i="3"/>
  <c r="AV582" i="3"/>
  <c r="AU582" i="3"/>
  <c r="AY581" i="3"/>
  <c r="AV581" i="3"/>
  <c r="AU581" i="3"/>
  <c r="AY580" i="3"/>
  <c r="AV580" i="3"/>
  <c r="AU580" i="3"/>
  <c r="AY579" i="3"/>
  <c r="AV579" i="3"/>
  <c r="AU579" i="3"/>
  <c r="AY578" i="3"/>
  <c r="AV578" i="3"/>
  <c r="AU578" i="3"/>
  <c r="AY577" i="3"/>
  <c r="AV577" i="3"/>
  <c r="AU577" i="3"/>
  <c r="AY576" i="3"/>
  <c r="AV576" i="3"/>
  <c r="AU576" i="3"/>
  <c r="AY575" i="3"/>
  <c r="AV575" i="3"/>
  <c r="AU575" i="3"/>
  <c r="AY574" i="3"/>
  <c r="AV574" i="3"/>
  <c r="AU574" i="3"/>
  <c r="AY573" i="3"/>
  <c r="AV573" i="3"/>
  <c r="AU573" i="3"/>
  <c r="AY572" i="3"/>
  <c r="AV572" i="3"/>
  <c r="AU572" i="3"/>
  <c r="AY571" i="3"/>
  <c r="AV571" i="3"/>
  <c r="AU571" i="3"/>
  <c r="AY570" i="3"/>
  <c r="AV570" i="3"/>
  <c r="AU570" i="3"/>
  <c r="AY569" i="3"/>
  <c r="AV569" i="3"/>
  <c r="AU569" i="3"/>
  <c r="AY568" i="3"/>
  <c r="AV568" i="3"/>
  <c r="AU568" i="3"/>
  <c r="AY567" i="3"/>
  <c r="AV567" i="3"/>
  <c r="AU567" i="3"/>
  <c r="AY566" i="3"/>
  <c r="AV566" i="3"/>
  <c r="AU566" i="3"/>
  <c r="AY565" i="3"/>
  <c r="AV565" i="3"/>
  <c r="AU565" i="3"/>
  <c r="AY564" i="3"/>
  <c r="AV564" i="3"/>
  <c r="AU564" i="3"/>
  <c r="AY563" i="3"/>
  <c r="AV563" i="3"/>
  <c r="AU563" i="3"/>
  <c r="AY562" i="3"/>
  <c r="AV562" i="3"/>
  <c r="AU562" i="3"/>
  <c r="AY561" i="3"/>
  <c r="AV561" i="3"/>
  <c r="AU561" i="3"/>
  <c r="AY560" i="3"/>
  <c r="AV560" i="3"/>
  <c r="AU560" i="3"/>
  <c r="AY559" i="3"/>
  <c r="AV559" i="3"/>
  <c r="AU559" i="3"/>
  <c r="AY558" i="3"/>
  <c r="AV558" i="3"/>
  <c r="AU558" i="3"/>
  <c r="AY557" i="3"/>
  <c r="AV557" i="3"/>
  <c r="AU557" i="3"/>
  <c r="AY556" i="3"/>
  <c r="AV556" i="3"/>
  <c r="AY555" i="3"/>
  <c r="AV555" i="3"/>
  <c r="AY554" i="3"/>
  <c r="AV554" i="3"/>
  <c r="AU554" i="3"/>
  <c r="AY553" i="3"/>
  <c r="AV553" i="3"/>
  <c r="AU553" i="3"/>
  <c r="AY552" i="3"/>
  <c r="AV552" i="3"/>
  <c r="AU552" i="3"/>
  <c r="AY551" i="3"/>
  <c r="AV551" i="3"/>
  <c r="AU551" i="3"/>
  <c r="AY550" i="3"/>
  <c r="AV550" i="3"/>
  <c r="AU550" i="3"/>
  <c r="AY549" i="3"/>
  <c r="AV549" i="3"/>
  <c r="AU549" i="3"/>
  <c r="AY548" i="3"/>
  <c r="AV548" i="3"/>
  <c r="AU548" i="3"/>
  <c r="AY547" i="3"/>
  <c r="AV547" i="3"/>
  <c r="AU547" i="3"/>
  <c r="AY546" i="3"/>
  <c r="AV546" i="3"/>
  <c r="AU546" i="3"/>
  <c r="AY545" i="3"/>
  <c r="AV545" i="3"/>
  <c r="AU545" i="3"/>
  <c r="AY544" i="3"/>
  <c r="AV544" i="3"/>
  <c r="AU544" i="3"/>
  <c r="AY543" i="3"/>
  <c r="AV543" i="3"/>
  <c r="AU543" i="3"/>
  <c r="AY542" i="3"/>
  <c r="AV542" i="3"/>
  <c r="AU542" i="3"/>
  <c r="AY541" i="3"/>
  <c r="AV541" i="3"/>
  <c r="AU541" i="3"/>
  <c r="AY540" i="3"/>
  <c r="AV540" i="3"/>
  <c r="AU540" i="3"/>
  <c r="AY539" i="3"/>
  <c r="AV539" i="3"/>
  <c r="AU539" i="3"/>
  <c r="AY538" i="3"/>
  <c r="AV538" i="3"/>
  <c r="AU538" i="3"/>
  <c r="AY537" i="3"/>
  <c r="AV537" i="3"/>
  <c r="AU537" i="3"/>
  <c r="AY536" i="3"/>
  <c r="AV536" i="3"/>
  <c r="AU536" i="3"/>
  <c r="AY535" i="3"/>
  <c r="AV535" i="3"/>
  <c r="AU535" i="3"/>
  <c r="AY534" i="3"/>
  <c r="AV534" i="3"/>
  <c r="AU534" i="3"/>
  <c r="AY533" i="3"/>
  <c r="AV533" i="3"/>
  <c r="AU533" i="3"/>
  <c r="AY532" i="3"/>
  <c r="AV532" i="3"/>
  <c r="AU532" i="3"/>
  <c r="AY531" i="3"/>
  <c r="AV531" i="3"/>
  <c r="AU531" i="3"/>
  <c r="AY530" i="3"/>
  <c r="AV530" i="3"/>
  <c r="AU530" i="3"/>
  <c r="AY529" i="3"/>
  <c r="AV529" i="3"/>
  <c r="AU529" i="3"/>
  <c r="AY528" i="3"/>
  <c r="AV528" i="3"/>
  <c r="AU528" i="3"/>
  <c r="AY527" i="3"/>
  <c r="AV527" i="3"/>
  <c r="AU527" i="3"/>
  <c r="AY526" i="3"/>
  <c r="AV526" i="3"/>
  <c r="AU526" i="3"/>
  <c r="AY525" i="3"/>
  <c r="AV525" i="3"/>
  <c r="AU525" i="3"/>
  <c r="AY524" i="3"/>
  <c r="AV524" i="3"/>
  <c r="AU524" i="3"/>
  <c r="AY523" i="3"/>
  <c r="AV523" i="3"/>
  <c r="AU523" i="3"/>
  <c r="AY522" i="3"/>
  <c r="AV522" i="3"/>
  <c r="AU522" i="3"/>
  <c r="AY521" i="3"/>
  <c r="AV521" i="3"/>
  <c r="AU521" i="3"/>
  <c r="AY520" i="3"/>
  <c r="AV520" i="3"/>
  <c r="AU520" i="3"/>
  <c r="AY519" i="3"/>
  <c r="AV519" i="3"/>
  <c r="AU519" i="3"/>
  <c r="AY518" i="3"/>
  <c r="AV518" i="3"/>
  <c r="AU518" i="3"/>
  <c r="AY517" i="3"/>
  <c r="AV517" i="3"/>
  <c r="AU517" i="3"/>
  <c r="AY516" i="3"/>
  <c r="AV516" i="3"/>
  <c r="AU516" i="3"/>
  <c r="AY515" i="3"/>
  <c r="AV515" i="3"/>
  <c r="AU515" i="3"/>
  <c r="AY514" i="3"/>
  <c r="AV514" i="3"/>
  <c r="AU514" i="3"/>
  <c r="AY513" i="3"/>
  <c r="AV513" i="3"/>
  <c r="AU513" i="3"/>
  <c r="AY512" i="3"/>
  <c r="AV512" i="3"/>
  <c r="AU512" i="3"/>
  <c r="AY511" i="3"/>
  <c r="AV511" i="3"/>
  <c r="AU511" i="3"/>
  <c r="AY510" i="3"/>
  <c r="AV510" i="3"/>
  <c r="AU510" i="3"/>
  <c r="AY509" i="3"/>
  <c r="AV509" i="3"/>
  <c r="AU509" i="3"/>
  <c r="AY508" i="3"/>
  <c r="AV508" i="3"/>
  <c r="AU508" i="3"/>
  <c r="AY507" i="3"/>
  <c r="AV507" i="3"/>
  <c r="AU507" i="3"/>
  <c r="AY506" i="3"/>
  <c r="AV506" i="3"/>
  <c r="AU506" i="3"/>
  <c r="AY505" i="3"/>
  <c r="AV505" i="3"/>
  <c r="AU505" i="3"/>
  <c r="AY504" i="3"/>
  <c r="AV504" i="3"/>
  <c r="AU504" i="3"/>
  <c r="AY503" i="3"/>
  <c r="AV503" i="3"/>
  <c r="AU503" i="3"/>
  <c r="AY502" i="3"/>
  <c r="AV502" i="3"/>
  <c r="AU502" i="3"/>
  <c r="AY501" i="3"/>
  <c r="AV501" i="3"/>
  <c r="AU501" i="3"/>
  <c r="AY500" i="3"/>
  <c r="AV500" i="3"/>
  <c r="AU500" i="3"/>
  <c r="AY499" i="3"/>
  <c r="AV499" i="3"/>
  <c r="AU499" i="3"/>
  <c r="AY498" i="3"/>
  <c r="AV498" i="3"/>
  <c r="AU498" i="3"/>
  <c r="AY497" i="3"/>
  <c r="AV497" i="3"/>
  <c r="AU497" i="3"/>
  <c r="AY496" i="3"/>
  <c r="AV496" i="3"/>
  <c r="AU496" i="3"/>
  <c r="AY495" i="3"/>
  <c r="AV495" i="3"/>
  <c r="AU495" i="3"/>
  <c r="AY494" i="3"/>
  <c r="AV494" i="3"/>
  <c r="AU494" i="3"/>
  <c r="AY493" i="3"/>
  <c r="AV493" i="3"/>
  <c r="AU493" i="3"/>
  <c r="AY492" i="3"/>
  <c r="AV492" i="3"/>
  <c r="AU492" i="3"/>
  <c r="AY491" i="3"/>
  <c r="AV491" i="3"/>
  <c r="AU491" i="3"/>
  <c r="AY490" i="3"/>
  <c r="AV490" i="3"/>
  <c r="AU490" i="3"/>
  <c r="AY489" i="3"/>
  <c r="AV489" i="3"/>
  <c r="AU489" i="3"/>
  <c r="AY488" i="3"/>
  <c r="AV488" i="3"/>
  <c r="AU488" i="3"/>
  <c r="AY487" i="3"/>
  <c r="AV487" i="3"/>
  <c r="AU487" i="3"/>
  <c r="AY486" i="3"/>
  <c r="AV486" i="3"/>
  <c r="AU486" i="3"/>
  <c r="AY485" i="3"/>
  <c r="AV485" i="3"/>
  <c r="AU485" i="3"/>
  <c r="AY484" i="3"/>
  <c r="AV484" i="3"/>
  <c r="AU484" i="3"/>
  <c r="AY483" i="3"/>
  <c r="AV483" i="3"/>
  <c r="AU483" i="3"/>
  <c r="AY482" i="3"/>
  <c r="AV482" i="3"/>
  <c r="AU482" i="3"/>
  <c r="AY481" i="3"/>
  <c r="AV481" i="3"/>
  <c r="AU481" i="3"/>
  <c r="AY480" i="3"/>
  <c r="AV480" i="3"/>
  <c r="AU480" i="3"/>
  <c r="AY479" i="3"/>
  <c r="AV479" i="3"/>
  <c r="AU479" i="3"/>
  <c r="AY478" i="3"/>
  <c r="AV478" i="3"/>
  <c r="AU478" i="3"/>
  <c r="AY477" i="3"/>
  <c r="AV477" i="3"/>
  <c r="AU477" i="3"/>
  <c r="AY476" i="3"/>
  <c r="AU476" i="3"/>
  <c r="AY475" i="3"/>
  <c r="AV475" i="3"/>
  <c r="AU475" i="3"/>
  <c r="AY474" i="3"/>
  <c r="AV474" i="3"/>
  <c r="AU474" i="3"/>
  <c r="AY473" i="3"/>
  <c r="AV473" i="3"/>
  <c r="AU473" i="3"/>
  <c r="AY472" i="3"/>
  <c r="AV472" i="3"/>
  <c r="AU472" i="3"/>
  <c r="AY471" i="3"/>
  <c r="AV471" i="3"/>
  <c r="AU471" i="3"/>
  <c r="AY470" i="3"/>
  <c r="AV470" i="3"/>
  <c r="AU470" i="3"/>
  <c r="AY469" i="3"/>
  <c r="AV469" i="3"/>
  <c r="AU469" i="3"/>
  <c r="AY468" i="3"/>
  <c r="AV468" i="3"/>
  <c r="AU468" i="3"/>
  <c r="AY467" i="3"/>
  <c r="AV467" i="3"/>
  <c r="AU467" i="3"/>
  <c r="AY466" i="3"/>
  <c r="AV466" i="3"/>
  <c r="AU466" i="3"/>
  <c r="AY464" i="3"/>
  <c r="AV464" i="3"/>
  <c r="AU464" i="3"/>
  <c r="AY463" i="3"/>
  <c r="AV463" i="3"/>
  <c r="AU463" i="3"/>
  <c r="AY462" i="3"/>
  <c r="AV462" i="3"/>
  <c r="AU462" i="3"/>
  <c r="AY461" i="3"/>
  <c r="AV461" i="3"/>
  <c r="AU461" i="3"/>
  <c r="AY460" i="3"/>
  <c r="AV460" i="3"/>
  <c r="AU460" i="3"/>
  <c r="AY459" i="3"/>
  <c r="AV459" i="3"/>
  <c r="AU459" i="3"/>
  <c r="AY458" i="3"/>
  <c r="AV458" i="3"/>
  <c r="AU458" i="3"/>
  <c r="AY457" i="3"/>
  <c r="AV457" i="3"/>
  <c r="AU457" i="3"/>
  <c r="AY456" i="3"/>
  <c r="AV456" i="3"/>
  <c r="AU456" i="3"/>
  <c r="AY455" i="3"/>
  <c r="AV455" i="3"/>
  <c r="AU455" i="3"/>
  <c r="AY454" i="3"/>
  <c r="AV454" i="3"/>
  <c r="AU454" i="3"/>
  <c r="AY453" i="3"/>
  <c r="AV453" i="3"/>
  <c r="AY452" i="3"/>
  <c r="AV452" i="3"/>
  <c r="AY451" i="3"/>
  <c r="AV451" i="3"/>
  <c r="AY450" i="3"/>
  <c r="AV450" i="3"/>
  <c r="AY449" i="3"/>
  <c r="AV449" i="3"/>
  <c r="AY448" i="3"/>
  <c r="AV448" i="3"/>
  <c r="AY447" i="3"/>
  <c r="AV447" i="3"/>
  <c r="AY446" i="3"/>
  <c r="AV446" i="3"/>
  <c r="AY445" i="3"/>
  <c r="AV445" i="3"/>
  <c r="AY444" i="3"/>
  <c r="AV444" i="3"/>
  <c r="AY443" i="3"/>
  <c r="AV443" i="3"/>
  <c r="AY442" i="3"/>
  <c r="AV442" i="3"/>
  <c r="AY441" i="3"/>
  <c r="AV441" i="3"/>
  <c r="AY440" i="3"/>
  <c r="AV440" i="3"/>
  <c r="AY439" i="3"/>
  <c r="AY438" i="3"/>
  <c r="AY437" i="3"/>
  <c r="AY436" i="3"/>
  <c r="AY435" i="3"/>
  <c r="AY434" i="3"/>
  <c r="AY433" i="3"/>
  <c r="AY432" i="3"/>
  <c r="AY431" i="3"/>
  <c r="AY430" i="3"/>
  <c r="AY429" i="3"/>
  <c r="AY428" i="3"/>
  <c r="AY427" i="3"/>
  <c r="AY426" i="3"/>
  <c r="AY425" i="3"/>
  <c r="AY424" i="3"/>
  <c r="AY423" i="3"/>
  <c r="AY422" i="3"/>
  <c r="AY421" i="3"/>
  <c r="AY420" i="3"/>
  <c r="AY419" i="3"/>
  <c r="AV419" i="3"/>
  <c r="AU419" i="3"/>
  <c r="AY418" i="3"/>
  <c r="AV418" i="3"/>
  <c r="AU418" i="3"/>
  <c r="AY417" i="3"/>
  <c r="AV417" i="3"/>
  <c r="AU417" i="3"/>
  <c r="AY416" i="3"/>
  <c r="AV416" i="3"/>
  <c r="AU416" i="3"/>
  <c r="AY415" i="3"/>
  <c r="AV415" i="3"/>
  <c r="AU415" i="3"/>
  <c r="AY414" i="3"/>
  <c r="AV414" i="3"/>
  <c r="AU414" i="3"/>
  <c r="AY413" i="3"/>
  <c r="AV413" i="3"/>
  <c r="AU413" i="3"/>
  <c r="AY412" i="3"/>
  <c r="AV412" i="3"/>
  <c r="AU412" i="3"/>
  <c r="AY411" i="3"/>
  <c r="AV411" i="3"/>
  <c r="AU411" i="3"/>
  <c r="AY410" i="3"/>
  <c r="AV410" i="3"/>
  <c r="AU410" i="3"/>
  <c r="AY409" i="3"/>
  <c r="AV409" i="3"/>
  <c r="AU409" i="3"/>
  <c r="AY408" i="3"/>
  <c r="AV408" i="3"/>
  <c r="AY407" i="3"/>
  <c r="AV407" i="3"/>
  <c r="AY406" i="3"/>
  <c r="AV406" i="3"/>
  <c r="AY405" i="3"/>
  <c r="AV405" i="3"/>
  <c r="AU405" i="3"/>
  <c r="AY404" i="3"/>
  <c r="AV404" i="3"/>
  <c r="AU404" i="3"/>
  <c r="AY403" i="3"/>
  <c r="AV403" i="3"/>
  <c r="AU403" i="3"/>
  <c r="AY402" i="3"/>
  <c r="AV402" i="3"/>
  <c r="AU402" i="3"/>
  <c r="AY401" i="3"/>
  <c r="AV401" i="3"/>
  <c r="AU401" i="3"/>
  <c r="AY400" i="3"/>
  <c r="AV400" i="3"/>
  <c r="AU400" i="3"/>
  <c r="AY399" i="3"/>
  <c r="AV399" i="3"/>
  <c r="AU399" i="3"/>
  <c r="AY398" i="3"/>
  <c r="AV398" i="3"/>
  <c r="AU398" i="3"/>
  <c r="AY397" i="3"/>
  <c r="AV397" i="3"/>
  <c r="AU397" i="3"/>
  <c r="AY396" i="3"/>
  <c r="AV396" i="3"/>
  <c r="AU396" i="3"/>
  <c r="AY395" i="3"/>
  <c r="AV395" i="3"/>
  <c r="AU395" i="3"/>
  <c r="AY394" i="3"/>
  <c r="AV394" i="3"/>
  <c r="AU394" i="3"/>
  <c r="AY393" i="3"/>
  <c r="AV393" i="3"/>
  <c r="AU393" i="3"/>
  <c r="AY392" i="3"/>
  <c r="AV392" i="3"/>
  <c r="AU392" i="3"/>
  <c r="AY391" i="3"/>
  <c r="AV391" i="3"/>
  <c r="AU391" i="3"/>
  <c r="AY390" i="3"/>
  <c r="AV390" i="3"/>
  <c r="AU390" i="3"/>
  <c r="AY389" i="3"/>
  <c r="AV389" i="3"/>
  <c r="AU389" i="3"/>
  <c r="AY388" i="3"/>
  <c r="AV388" i="3"/>
  <c r="AU388" i="3"/>
  <c r="AY387" i="3"/>
  <c r="AV387" i="3"/>
  <c r="AU387" i="3"/>
  <c r="AY386" i="3"/>
  <c r="AV386" i="3"/>
  <c r="AU386" i="3"/>
  <c r="AY385" i="3"/>
  <c r="AU385" i="3"/>
  <c r="AY384" i="3"/>
  <c r="AV384" i="3"/>
  <c r="AU384" i="3"/>
  <c r="AY383" i="3"/>
  <c r="AV383" i="3"/>
  <c r="AU383" i="3"/>
  <c r="AY382" i="3"/>
  <c r="AV382" i="3"/>
  <c r="AU382" i="3"/>
  <c r="AY381" i="3"/>
  <c r="AV381" i="3"/>
  <c r="AU381" i="3"/>
  <c r="AY380" i="3"/>
  <c r="AV380" i="3"/>
  <c r="AU380" i="3"/>
  <c r="AY379" i="3"/>
  <c r="AV379" i="3"/>
  <c r="AU379" i="3"/>
  <c r="AY378" i="3"/>
  <c r="AV378" i="3"/>
  <c r="AU378" i="3"/>
  <c r="AY377" i="3"/>
  <c r="AV377" i="3"/>
  <c r="AU377" i="3"/>
  <c r="AY376" i="3"/>
  <c r="AV376" i="3"/>
  <c r="AU376" i="3"/>
  <c r="AY375" i="3"/>
  <c r="AV375" i="3"/>
  <c r="AU375" i="3"/>
  <c r="AY374" i="3"/>
  <c r="AV374" i="3"/>
  <c r="AU374" i="3"/>
  <c r="AY373" i="3"/>
  <c r="AV373" i="3"/>
  <c r="AU373" i="3"/>
  <c r="AY372" i="3"/>
  <c r="AV372" i="3"/>
  <c r="AU372" i="3"/>
  <c r="AY371" i="3"/>
  <c r="AV371" i="3"/>
  <c r="AU371" i="3"/>
  <c r="AY370" i="3"/>
  <c r="AV370" i="3"/>
  <c r="AU370" i="3"/>
  <c r="AY369" i="3"/>
  <c r="AV369" i="3"/>
  <c r="AU369" i="3"/>
  <c r="AY368" i="3"/>
  <c r="AV368" i="3"/>
  <c r="AU368" i="3"/>
  <c r="AY367" i="3"/>
  <c r="AV367" i="3"/>
  <c r="AU367" i="3"/>
  <c r="AY366" i="3"/>
  <c r="AV366" i="3"/>
  <c r="AU366" i="3"/>
  <c r="AY365" i="3"/>
  <c r="AV365" i="3"/>
  <c r="AU365" i="3"/>
  <c r="AY364" i="3"/>
  <c r="AV364" i="3"/>
  <c r="AU364" i="3"/>
  <c r="AY363" i="3"/>
  <c r="AV363" i="3"/>
  <c r="AU363" i="3"/>
  <c r="AY362" i="3"/>
  <c r="AV362" i="3"/>
  <c r="AU362" i="3"/>
  <c r="AY361" i="3"/>
  <c r="AV361" i="3"/>
  <c r="AU361" i="3"/>
  <c r="AY360" i="3"/>
  <c r="AV360" i="3"/>
  <c r="AU360" i="3"/>
  <c r="AY359" i="3"/>
  <c r="AV359" i="3"/>
  <c r="AU359" i="3"/>
  <c r="AY358" i="3"/>
  <c r="AV358" i="3"/>
  <c r="AU358" i="3"/>
  <c r="AY357" i="3"/>
  <c r="AV357" i="3"/>
  <c r="AU357" i="3"/>
  <c r="AY356" i="3"/>
  <c r="AV356" i="3"/>
  <c r="AU356" i="3"/>
  <c r="AY355" i="3"/>
  <c r="AV355" i="3"/>
  <c r="AU355" i="3"/>
  <c r="AY354" i="3"/>
  <c r="AV354" i="3"/>
  <c r="AU354" i="3"/>
  <c r="AY353" i="3"/>
  <c r="AV353" i="3"/>
  <c r="AU353" i="3"/>
  <c r="AY352" i="3"/>
  <c r="AV352" i="3"/>
  <c r="AU352" i="3"/>
  <c r="AY351" i="3"/>
  <c r="AV351" i="3"/>
  <c r="AU351" i="3"/>
  <c r="AY350" i="3"/>
  <c r="AV350" i="3"/>
  <c r="AU350" i="3"/>
  <c r="AY349" i="3"/>
  <c r="AV349" i="3"/>
  <c r="AU349" i="3"/>
  <c r="AY348" i="3"/>
  <c r="AV348" i="3"/>
  <c r="AU348" i="3"/>
  <c r="AY347" i="3"/>
  <c r="AV347" i="3"/>
  <c r="AU347" i="3"/>
  <c r="AY346" i="3"/>
  <c r="AV346" i="3"/>
  <c r="AU346" i="3"/>
  <c r="AY345" i="3"/>
  <c r="AV345" i="3"/>
  <c r="AU345" i="3"/>
  <c r="AY344" i="3"/>
  <c r="AV344" i="3"/>
  <c r="AU344" i="3"/>
  <c r="AY343" i="3"/>
  <c r="AV343" i="3"/>
  <c r="AU343" i="3"/>
  <c r="AY342" i="3"/>
  <c r="AV342" i="3"/>
  <c r="AU342" i="3"/>
  <c r="AY341" i="3"/>
  <c r="AV341" i="3"/>
  <c r="AU341" i="3"/>
  <c r="AY340" i="3"/>
  <c r="AV340" i="3"/>
  <c r="AU340" i="3"/>
  <c r="AY339" i="3"/>
  <c r="AV339" i="3"/>
  <c r="AU339" i="3"/>
  <c r="AY338" i="3"/>
  <c r="AV338" i="3"/>
  <c r="AU338" i="3"/>
  <c r="AY337" i="3"/>
  <c r="AV337" i="3"/>
  <c r="AU337" i="3"/>
  <c r="AY336" i="3"/>
  <c r="AV336" i="3"/>
  <c r="AU336" i="3"/>
  <c r="AY335" i="3"/>
  <c r="AV335" i="3"/>
  <c r="AU335" i="3"/>
  <c r="AY334" i="3"/>
  <c r="AV334" i="3"/>
  <c r="AU334" i="3"/>
  <c r="AY333" i="3"/>
  <c r="AV333" i="3"/>
  <c r="AU333" i="3"/>
  <c r="AY332" i="3"/>
  <c r="AV332" i="3"/>
  <c r="AU332" i="3"/>
  <c r="AY331" i="3"/>
  <c r="AV331" i="3"/>
  <c r="AU331" i="3"/>
  <c r="AY330" i="3"/>
  <c r="AV330" i="3"/>
  <c r="AU330" i="3"/>
  <c r="AY329" i="3"/>
  <c r="AV329" i="3"/>
  <c r="AU329" i="3"/>
  <c r="AY328" i="3"/>
  <c r="AV328" i="3"/>
  <c r="AU328" i="3"/>
  <c r="AY327" i="3"/>
  <c r="AV327" i="3"/>
  <c r="AU327" i="3"/>
  <c r="AY326" i="3"/>
  <c r="AV326" i="3"/>
  <c r="AU326" i="3"/>
  <c r="AY325" i="3"/>
  <c r="AV325" i="3"/>
  <c r="AU325" i="3"/>
  <c r="AY324" i="3"/>
  <c r="AV324" i="3"/>
  <c r="AU324" i="3"/>
  <c r="AY323" i="3"/>
  <c r="AV323" i="3"/>
  <c r="AU323" i="3"/>
  <c r="AY322" i="3"/>
  <c r="AV322" i="3"/>
  <c r="AU322" i="3"/>
  <c r="AY321" i="3"/>
  <c r="AV321" i="3"/>
  <c r="AU321" i="3"/>
  <c r="AY320" i="3"/>
  <c r="AV320" i="3"/>
  <c r="AU320" i="3"/>
  <c r="AY319" i="3"/>
  <c r="AV319" i="3"/>
  <c r="AU319" i="3"/>
  <c r="AY318" i="3"/>
  <c r="AV318" i="3"/>
  <c r="AU318" i="3"/>
  <c r="AY317" i="3"/>
  <c r="AV317" i="3"/>
  <c r="AU317" i="3"/>
  <c r="AY316" i="3"/>
  <c r="AV316" i="3"/>
  <c r="AU316" i="3"/>
  <c r="AY315" i="3"/>
  <c r="AV315" i="3"/>
  <c r="AU315" i="3"/>
  <c r="AY314" i="3"/>
  <c r="AV314" i="3"/>
  <c r="AU314" i="3"/>
  <c r="AY313" i="3"/>
  <c r="AV313" i="3"/>
  <c r="AU313" i="3"/>
  <c r="AY312" i="3"/>
  <c r="AV312" i="3"/>
  <c r="AU312" i="3"/>
  <c r="AY311" i="3"/>
  <c r="AV311" i="3"/>
  <c r="AU311" i="3"/>
  <c r="AY310" i="3"/>
  <c r="AV310" i="3"/>
  <c r="AU310" i="3"/>
  <c r="AY309" i="3"/>
  <c r="AV309" i="3"/>
  <c r="AU309" i="3"/>
  <c r="AY308" i="3"/>
  <c r="AV308" i="3"/>
  <c r="AU308" i="3"/>
  <c r="AY307" i="3"/>
  <c r="AV307" i="3"/>
  <c r="AU307" i="3"/>
  <c r="AY306" i="3"/>
  <c r="AV306" i="3"/>
  <c r="AU306" i="3"/>
  <c r="AY305" i="3"/>
  <c r="AV305" i="3"/>
  <c r="AU305" i="3"/>
  <c r="AY304" i="3"/>
  <c r="AV304" i="3"/>
  <c r="AU304" i="3"/>
  <c r="AY303" i="3"/>
  <c r="AV303" i="3"/>
  <c r="AU303" i="3"/>
  <c r="AY302" i="3"/>
  <c r="AV302" i="3"/>
  <c r="AU302" i="3"/>
  <c r="AY301" i="3"/>
  <c r="AV301" i="3"/>
  <c r="AU301" i="3"/>
  <c r="AY300" i="3"/>
  <c r="AV300" i="3"/>
  <c r="AU300" i="3"/>
  <c r="AY299" i="3"/>
  <c r="AV299" i="3"/>
  <c r="AU299" i="3"/>
  <c r="AY298" i="3"/>
  <c r="AV298" i="3"/>
  <c r="AU298" i="3"/>
  <c r="AY297" i="3"/>
  <c r="AV297" i="3"/>
  <c r="AU297" i="3"/>
  <c r="AY295" i="3"/>
  <c r="AV295" i="3"/>
  <c r="AU295" i="3"/>
  <c r="AY294" i="3"/>
  <c r="AV294" i="3"/>
  <c r="AU294" i="3"/>
  <c r="AY293" i="3"/>
  <c r="AV293" i="3"/>
  <c r="AU293" i="3"/>
  <c r="AY292" i="3"/>
  <c r="AV292" i="3"/>
  <c r="AU292" i="3"/>
  <c r="AY291" i="3"/>
  <c r="AV291" i="3"/>
  <c r="AU291" i="3"/>
  <c r="AY290" i="3"/>
  <c r="AV290" i="3"/>
  <c r="AU290" i="3"/>
  <c r="AY289" i="3"/>
  <c r="AV289" i="3"/>
  <c r="AU289" i="3"/>
  <c r="AY288" i="3"/>
  <c r="AV288" i="3"/>
  <c r="AU288" i="3"/>
  <c r="AY287" i="3"/>
  <c r="AV287" i="3"/>
  <c r="AU287" i="3"/>
  <c r="AY286" i="3"/>
  <c r="AV286" i="3"/>
  <c r="AU286" i="3"/>
  <c r="AY285" i="3"/>
  <c r="AV285" i="3"/>
  <c r="AU285" i="3"/>
  <c r="AY284" i="3"/>
  <c r="AV284" i="3"/>
  <c r="AU284" i="3"/>
  <c r="AY283" i="3"/>
  <c r="AY282" i="3"/>
  <c r="AV282" i="3"/>
  <c r="AU282" i="3"/>
  <c r="AY281" i="3"/>
  <c r="AV281" i="3"/>
  <c r="AU281" i="3"/>
  <c r="AY280" i="3"/>
  <c r="AV280" i="3"/>
  <c r="AU280" i="3"/>
  <c r="AY279" i="3"/>
  <c r="AV279" i="3"/>
  <c r="AU279" i="3"/>
  <c r="AY278" i="3"/>
  <c r="AV278" i="3"/>
  <c r="AU278" i="3"/>
  <c r="AY277" i="3"/>
  <c r="AV277" i="3"/>
  <c r="AU277" i="3"/>
  <c r="AY276" i="3"/>
  <c r="AV276" i="3"/>
  <c r="AU276" i="3"/>
  <c r="AY275" i="3"/>
  <c r="AV275" i="3"/>
  <c r="AU275" i="3"/>
  <c r="AY274" i="3"/>
  <c r="AV274" i="3"/>
  <c r="AU274" i="3"/>
  <c r="AY273" i="3"/>
  <c r="AV273" i="3"/>
  <c r="AU273" i="3"/>
  <c r="AY272" i="3"/>
  <c r="AV272" i="3"/>
  <c r="AU272" i="3"/>
  <c r="AY271" i="3"/>
  <c r="AV271" i="3"/>
  <c r="AU271" i="3"/>
  <c r="AY270" i="3"/>
  <c r="AV270" i="3"/>
  <c r="AU270" i="3"/>
  <c r="AY269" i="3"/>
  <c r="AV269" i="3"/>
  <c r="AU269" i="3"/>
  <c r="AY268" i="3"/>
  <c r="AV268" i="3"/>
  <c r="AU268" i="3"/>
  <c r="AY267" i="3"/>
  <c r="AV267" i="3"/>
  <c r="AU267" i="3"/>
  <c r="AY266" i="3"/>
  <c r="AV266" i="3"/>
  <c r="AU266" i="3"/>
  <c r="AY265" i="3"/>
  <c r="AU265" i="3"/>
  <c r="AY264" i="3"/>
  <c r="AV264" i="3"/>
  <c r="AU264" i="3"/>
  <c r="AY263" i="3"/>
  <c r="AV263" i="3"/>
  <c r="AU263" i="3"/>
  <c r="AY262" i="3"/>
  <c r="AV262" i="3"/>
  <c r="AU262" i="3"/>
  <c r="AY261" i="3"/>
  <c r="AV261" i="3"/>
  <c r="AU261" i="3"/>
  <c r="AY260" i="3"/>
  <c r="AV260" i="3"/>
  <c r="AU260" i="3"/>
  <c r="AY259" i="3"/>
  <c r="AV259" i="3"/>
  <c r="AU259" i="3"/>
  <c r="AY258" i="3"/>
  <c r="AV258" i="3"/>
  <c r="AU258" i="3"/>
  <c r="AY257" i="3"/>
  <c r="AV257" i="3"/>
  <c r="AU257" i="3"/>
  <c r="AY256" i="3"/>
  <c r="AV256" i="3"/>
  <c r="AU256" i="3"/>
  <c r="AY255" i="3"/>
  <c r="AV255" i="3"/>
  <c r="AU255" i="3"/>
  <c r="AY254" i="3"/>
  <c r="AV254" i="3"/>
  <c r="AU254" i="3"/>
  <c r="AY253" i="3"/>
  <c r="AV253" i="3"/>
  <c r="AU253" i="3"/>
  <c r="AY252" i="3"/>
  <c r="AV252" i="3"/>
  <c r="AU252" i="3"/>
  <c r="AY251" i="3"/>
  <c r="AV251" i="3"/>
  <c r="AU251" i="3"/>
  <c r="AY250" i="3"/>
  <c r="AV250" i="3"/>
  <c r="AU250" i="3"/>
  <c r="AY249" i="3"/>
  <c r="AV249" i="3"/>
  <c r="AU249" i="3"/>
  <c r="AY248" i="3"/>
  <c r="AV248" i="3"/>
  <c r="AU248" i="3"/>
  <c r="AY247" i="3"/>
  <c r="AV247" i="3"/>
  <c r="AU247" i="3"/>
  <c r="AY246" i="3"/>
  <c r="AV246" i="3"/>
  <c r="AU246" i="3"/>
  <c r="AY245" i="3"/>
  <c r="AV245" i="3"/>
  <c r="AU245" i="3"/>
  <c r="AY244" i="3"/>
  <c r="AV244" i="3"/>
  <c r="AU244" i="3"/>
  <c r="AY243" i="3"/>
  <c r="AV243" i="3"/>
  <c r="AU243" i="3"/>
  <c r="AY242" i="3"/>
  <c r="AV242" i="3"/>
  <c r="AU242" i="3"/>
  <c r="AY241" i="3"/>
  <c r="AV241" i="3"/>
  <c r="AU241" i="3"/>
  <c r="AY240" i="3"/>
  <c r="AV240" i="3"/>
  <c r="AU240" i="3"/>
  <c r="AY239" i="3"/>
  <c r="AV239" i="3"/>
  <c r="AU239" i="3"/>
  <c r="AY238" i="3"/>
  <c r="AV238" i="3"/>
  <c r="AU238" i="3"/>
  <c r="AY237" i="3"/>
  <c r="AV237" i="3"/>
  <c r="AU237" i="3"/>
  <c r="AY236" i="3"/>
  <c r="AV236" i="3"/>
  <c r="AU236" i="3"/>
  <c r="AY235" i="3"/>
  <c r="AV235" i="3"/>
  <c r="AU235" i="3"/>
  <c r="AY234" i="3"/>
  <c r="AV234" i="3"/>
  <c r="AU234" i="3"/>
  <c r="AY233" i="3"/>
  <c r="AV233" i="3"/>
  <c r="AY232" i="3"/>
  <c r="AV232" i="3"/>
  <c r="AY231" i="3"/>
  <c r="AV231" i="3"/>
  <c r="AU231" i="3"/>
  <c r="AY230" i="3"/>
  <c r="AV230" i="3"/>
  <c r="AU230" i="3"/>
  <c r="AY229" i="3"/>
  <c r="AV229" i="3"/>
  <c r="AU229" i="3"/>
  <c r="AY228" i="3"/>
  <c r="AV228" i="3"/>
  <c r="AU228" i="3"/>
  <c r="AY227" i="3"/>
  <c r="AV227" i="3"/>
  <c r="AU227" i="3"/>
  <c r="AY226" i="3"/>
  <c r="AV226" i="3"/>
  <c r="AU226" i="3"/>
  <c r="AY225" i="3"/>
  <c r="AV225" i="3"/>
  <c r="AU225" i="3"/>
  <c r="AY224" i="3"/>
  <c r="AV224" i="3"/>
  <c r="AU224" i="3"/>
  <c r="AY223" i="3"/>
  <c r="AV223" i="3"/>
  <c r="AU223" i="3"/>
  <c r="AY222" i="3"/>
  <c r="AV222" i="3"/>
  <c r="AU222" i="3"/>
  <c r="AY221" i="3"/>
  <c r="AV221" i="3"/>
  <c r="AU221" i="3"/>
  <c r="AY220" i="3"/>
  <c r="AV220" i="3"/>
  <c r="AU220" i="3"/>
  <c r="AY219" i="3"/>
  <c r="AV219" i="3"/>
  <c r="AU219" i="3"/>
  <c r="AY218" i="3"/>
  <c r="AV218" i="3"/>
  <c r="AU218" i="3"/>
  <c r="AY217" i="3"/>
  <c r="AV217" i="3"/>
  <c r="AU217" i="3"/>
  <c r="AY216" i="3"/>
  <c r="AV216" i="3"/>
  <c r="AU216" i="3"/>
  <c r="AY215" i="3"/>
  <c r="AV215" i="3"/>
  <c r="AU215" i="3"/>
  <c r="AY214" i="3"/>
  <c r="AV214" i="3"/>
  <c r="AU214" i="3"/>
  <c r="AY213" i="3"/>
  <c r="AV213" i="3"/>
  <c r="AU213" i="3"/>
  <c r="AY212" i="3"/>
  <c r="AV212" i="3"/>
  <c r="AU212" i="3"/>
  <c r="AY211" i="3"/>
  <c r="AV211" i="3"/>
  <c r="AU211" i="3"/>
  <c r="AY210" i="3"/>
  <c r="AV210" i="3"/>
  <c r="AU210" i="3"/>
  <c r="AY209" i="3"/>
  <c r="AV209" i="3"/>
  <c r="AU209" i="3"/>
  <c r="AY208" i="3"/>
  <c r="AV208" i="3"/>
  <c r="AU208" i="3"/>
  <c r="AY207" i="3"/>
  <c r="AV207" i="3"/>
  <c r="AU207" i="3"/>
  <c r="AY206" i="3"/>
  <c r="AV206" i="3"/>
  <c r="AU206" i="3"/>
  <c r="AY205" i="3"/>
  <c r="AV205" i="3"/>
  <c r="AU205" i="3"/>
  <c r="AY204" i="3"/>
  <c r="AV204" i="3"/>
  <c r="AY203" i="3"/>
  <c r="AV203" i="3"/>
  <c r="AU203" i="3"/>
  <c r="AY202" i="3"/>
  <c r="AV202" i="3"/>
  <c r="AU202" i="3"/>
  <c r="AY201" i="3"/>
  <c r="AV201" i="3"/>
  <c r="AU201" i="3"/>
  <c r="AY200" i="3"/>
  <c r="AV200" i="3"/>
  <c r="AU200" i="3"/>
  <c r="AY199" i="3"/>
  <c r="AV199" i="3"/>
  <c r="AU199" i="3"/>
  <c r="AY198" i="3"/>
  <c r="AV198" i="3"/>
  <c r="AU198" i="3"/>
  <c r="AY197" i="3"/>
  <c r="AV197" i="3"/>
  <c r="AU197" i="3"/>
  <c r="AY196" i="3"/>
  <c r="AV196" i="3"/>
  <c r="AU196" i="3"/>
  <c r="AY195" i="3"/>
  <c r="AV195" i="3"/>
  <c r="AU195" i="3"/>
  <c r="AY194" i="3"/>
  <c r="AV194" i="3"/>
  <c r="AU194" i="3"/>
  <c r="AY193" i="3"/>
  <c r="AV193" i="3"/>
  <c r="AY192" i="3"/>
  <c r="AV192" i="3"/>
  <c r="AU192" i="3"/>
  <c r="AY191" i="3"/>
  <c r="AV191" i="3"/>
  <c r="AU191" i="3"/>
  <c r="AY190" i="3"/>
  <c r="AV190" i="3"/>
  <c r="AU190" i="3"/>
  <c r="AY189" i="3"/>
  <c r="AV189" i="3"/>
  <c r="AU189" i="3"/>
  <c r="AY188" i="3"/>
  <c r="AV188" i="3"/>
  <c r="AU188" i="3"/>
  <c r="AY187" i="3"/>
  <c r="AV187" i="3"/>
  <c r="AU187" i="3"/>
  <c r="AY186" i="3"/>
  <c r="AV186" i="3"/>
  <c r="AY185" i="3"/>
  <c r="AU185" i="3"/>
  <c r="AY184" i="3"/>
  <c r="AU184" i="3"/>
  <c r="AY183" i="3"/>
  <c r="AV183" i="3"/>
  <c r="AU183" i="3"/>
  <c r="AY182" i="3"/>
  <c r="AU182" i="3"/>
  <c r="AT702" i="3"/>
  <c r="AT701" i="3"/>
  <c r="AT700" i="3"/>
  <c r="AT699" i="3"/>
  <c r="AT698" i="3"/>
  <c r="AT697" i="3"/>
  <c r="AT696" i="3"/>
  <c r="AT695" i="3"/>
  <c r="AT694" i="3"/>
  <c r="AT693" i="3"/>
  <c r="AT692" i="3"/>
  <c r="AT691" i="3"/>
  <c r="AT690" i="3"/>
  <c r="AT689" i="3"/>
  <c r="AT688" i="3"/>
  <c r="AT687" i="3"/>
  <c r="AT686" i="3"/>
  <c r="AT685" i="3"/>
  <c r="AT684" i="3"/>
  <c r="AT683" i="3"/>
  <c r="AT682" i="3"/>
  <c r="AT681" i="3"/>
  <c r="AT680" i="3"/>
  <c r="AT679" i="3"/>
  <c r="AT678" i="3"/>
  <c r="AT677" i="3"/>
  <c r="AT676" i="3"/>
  <c r="AT675" i="3"/>
  <c r="AT674" i="3"/>
  <c r="AT673" i="3"/>
  <c r="AT672" i="3"/>
  <c r="AT671" i="3"/>
  <c r="AT670" i="3"/>
  <c r="AT669" i="3"/>
  <c r="AT668" i="3"/>
  <c r="AT667" i="3"/>
  <c r="AT666" i="3"/>
  <c r="AT665" i="3"/>
  <c r="AT664" i="3"/>
  <c r="AT663" i="3"/>
  <c r="AT662" i="3"/>
  <c r="AT661" i="3"/>
  <c r="AT660" i="3"/>
  <c r="AT659" i="3"/>
  <c r="AT658" i="3"/>
  <c r="AT657" i="3"/>
  <c r="AT656" i="3"/>
  <c r="AT655" i="3"/>
  <c r="AT654" i="3"/>
  <c r="AT653" i="3"/>
  <c r="AT652" i="3"/>
  <c r="AT651" i="3"/>
  <c r="AT650" i="3"/>
  <c r="AT649" i="3"/>
  <c r="AT648" i="3"/>
  <c r="AT647" i="3"/>
  <c r="AT646" i="3"/>
  <c r="AT645" i="3"/>
  <c r="AT644" i="3"/>
  <c r="AT643" i="3"/>
  <c r="AT642" i="3"/>
  <c r="AT641" i="3"/>
  <c r="AT640" i="3"/>
  <c r="AT639" i="3"/>
  <c r="AT638" i="3"/>
  <c r="AT637" i="3"/>
  <c r="AT636" i="3"/>
  <c r="AT635" i="3"/>
  <c r="AT634" i="3"/>
  <c r="AT633" i="3"/>
  <c r="AT629" i="3"/>
  <c r="AT628" i="3"/>
  <c r="AT627" i="3"/>
  <c r="AT626" i="3"/>
  <c r="AT625" i="3"/>
  <c r="AT624" i="3"/>
  <c r="AT623" i="3"/>
  <c r="AT622" i="3"/>
  <c r="AT621" i="3"/>
  <c r="AT620" i="3"/>
  <c r="AT619" i="3"/>
  <c r="AT618" i="3"/>
  <c r="AT617" i="3"/>
  <c r="AT616" i="3"/>
  <c r="AT615" i="3"/>
  <c r="AT614" i="3"/>
  <c r="AT613" i="3"/>
  <c r="AT612" i="3"/>
  <c r="AT611" i="3"/>
  <c r="AT610" i="3"/>
  <c r="AT609" i="3"/>
  <c r="AT608" i="3"/>
  <c r="AT607" i="3"/>
  <c r="AT606" i="3"/>
  <c r="AT605" i="3"/>
  <c r="AT604" i="3"/>
  <c r="AT603" i="3"/>
  <c r="AT602" i="3"/>
  <c r="AT601" i="3"/>
  <c r="AT600" i="3"/>
  <c r="AT599" i="3"/>
  <c r="AT598" i="3"/>
  <c r="AT597" i="3"/>
  <c r="AT596" i="3"/>
  <c r="AT595" i="3"/>
  <c r="AT594" i="3"/>
  <c r="AT593" i="3"/>
  <c r="AT592" i="3"/>
  <c r="AT591" i="3"/>
  <c r="AT590" i="3"/>
  <c r="AT589" i="3"/>
  <c r="AT588" i="3"/>
  <c r="AT582" i="3"/>
  <c r="AT581" i="3"/>
  <c r="AT580" i="3"/>
  <c r="AT579" i="3"/>
  <c r="AT578" i="3"/>
  <c r="AT577" i="3"/>
  <c r="AT576" i="3"/>
  <c r="AT575" i="3"/>
  <c r="AT574" i="3"/>
  <c r="AT573" i="3"/>
  <c r="AT572" i="3"/>
  <c r="AT571" i="3"/>
  <c r="AT570" i="3"/>
  <c r="AT569" i="3"/>
  <c r="AT568" i="3"/>
  <c r="AT567" i="3"/>
  <c r="AT566" i="3"/>
  <c r="AT565" i="3"/>
  <c r="AT564" i="3"/>
  <c r="AT563" i="3"/>
  <c r="AT562" i="3"/>
  <c r="AT561" i="3"/>
  <c r="AT560" i="3"/>
  <c r="AT559" i="3"/>
  <c r="AT558" i="3"/>
  <c r="AT557" i="3"/>
  <c r="AT556" i="3"/>
  <c r="AT555" i="3"/>
  <c r="AT554" i="3"/>
  <c r="AT553" i="3"/>
  <c r="AT552" i="3"/>
  <c r="AT551" i="3"/>
  <c r="AT550" i="3"/>
  <c r="AT549" i="3"/>
  <c r="AT548" i="3"/>
  <c r="AT547" i="3"/>
  <c r="AT546" i="3"/>
  <c r="AT524" i="3"/>
  <c r="AT523" i="3"/>
  <c r="AT522" i="3"/>
  <c r="AT521" i="3"/>
  <c r="AT520" i="3"/>
  <c r="AT519" i="3"/>
  <c r="AT518" i="3"/>
  <c r="AT517" i="3"/>
  <c r="AT516" i="3"/>
  <c r="AT515" i="3"/>
  <c r="AT514" i="3"/>
  <c r="AT513" i="3"/>
  <c r="AT512" i="3"/>
  <c r="AT511" i="3"/>
  <c r="AT510" i="3"/>
  <c r="AT509" i="3"/>
  <c r="AT508" i="3"/>
  <c r="AT507" i="3"/>
  <c r="AT506" i="3"/>
  <c r="AT505" i="3"/>
  <c r="AT504" i="3"/>
  <c r="AT503" i="3"/>
  <c r="AT502" i="3"/>
  <c r="AT501" i="3"/>
  <c r="AT500" i="3"/>
  <c r="AT499" i="3"/>
  <c r="AT498" i="3"/>
  <c r="AT497" i="3"/>
  <c r="AT496" i="3"/>
  <c r="AT495" i="3"/>
  <c r="AT494" i="3"/>
  <c r="AT493" i="3"/>
  <c r="AT492" i="3"/>
  <c r="AT491" i="3"/>
  <c r="AT490" i="3"/>
  <c r="AT489" i="3"/>
  <c r="AT488" i="3"/>
  <c r="AT487" i="3"/>
  <c r="AT486" i="3"/>
  <c r="AT485" i="3"/>
  <c r="AT484" i="3"/>
  <c r="AT483" i="3"/>
  <c r="AT482" i="3"/>
  <c r="AT481" i="3"/>
  <c r="AT480" i="3"/>
  <c r="AT479" i="3"/>
  <c r="AT478" i="3"/>
  <c r="AT477" i="3"/>
  <c r="AT476" i="3"/>
  <c r="AT475" i="3"/>
  <c r="AT474" i="3"/>
  <c r="AT473" i="3"/>
  <c r="AT472" i="3"/>
  <c r="AT471" i="3"/>
  <c r="AT470" i="3"/>
  <c r="AT469" i="3"/>
  <c r="AT468" i="3"/>
  <c r="AT467" i="3"/>
  <c r="AT466" i="3"/>
  <c r="AT464" i="3"/>
  <c r="AT463" i="3"/>
  <c r="AT462" i="3"/>
  <c r="AT461" i="3"/>
  <c r="AT460" i="3"/>
  <c r="AT459" i="3"/>
  <c r="AT458" i="3"/>
  <c r="AT457" i="3"/>
  <c r="AT456" i="3"/>
  <c r="AT455" i="3"/>
  <c r="AT454" i="3"/>
  <c r="AT453" i="3"/>
  <c r="AT452" i="3"/>
  <c r="AT451" i="3"/>
  <c r="AT450" i="3"/>
  <c r="AT449" i="3"/>
  <c r="AT448" i="3"/>
  <c r="AT447" i="3"/>
  <c r="AT446" i="3"/>
  <c r="AT445" i="3"/>
  <c r="AT444" i="3"/>
  <c r="AT443" i="3"/>
  <c r="AT442" i="3"/>
  <c r="AT441" i="3"/>
  <c r="AT440" i="3"/>
  <c r="AT419" i="3"/>
  <c r="AT418" i="3"/>
  <c r="AT417" i="3"/>
  <c r="AT416" i="3"/>
  <c r="AT415" i="3"/>
  <c r="AT414" i="3"/>
  <c r="AT413" i="3"/>
  <c r="AT412" i="3"/>
  <c r="AT411" i="3"/>
  <c r="AT410" i="3"/>
  <c r="AT409" i="3"/>
  <c r="AT408" i="3"/>
  <c r="AT406" i="3"/>
  <c r="AT405" i="3"/>
  <c r="AT404" i="3"/>
  <c r="AT403" i="3"/>
  <c r="AT402" i="3"/>
  <c r="AT401" i="3"/>
  <c r="AT400" i="3"/>
  <c r="AT399" i="3"/>
  <c r="AT398" i="3"/>
  <c r="AT397" i="3"/>
  <c r="AT396" i="3"/>
  <c r="AT395" i="3"/>
  <c r="AT394" i="3"/>
  <c r="AT393" i="3"/>
  <c r="AT392" i="3"/>
  <c r="AT391" i="3"/>
  <c r="AT390" i="3"/>
  <c r="AT389" i="3"/>
  <c r="AT388" i="3"/>
  <c r="AT387" i="3"/>
  <c r="AT386" i="3"/>
  <c r="AT385" i="3"/>
  <c r="AT384" i="3"/>
  <c r="AT383" i="3"/>
  <c r="AT382" i="3"/>
  <c r="AT381" i="3"/>
  <c r="AT380" i="3"/>
  <c r="AT379" i="3"/>
  <c r="AT378" i="3"/>
  <c r="AT377" i="3"/>
  <c r="AT376" i="3"/>
  <c r="AT375" i="3"/>
  <c r="AT374" i="3"/>
  <c r="AT373" i="3"/>
  <c r="AT372" i="3"/>
  <c r="AT371" i="3"/>
  <c r="AT370" i="3"/>
  <c r="AT369" i="3"/>
  <c r="AT368" i="3"/>
  <c r="AT367" i="3"/>
  <c r="AT366" i="3"/>
  <c r="AT365" i="3"/>
  <c r="AT364" i="3"/>
  <c r="AT363" i="3"/>
  <c r="AT362" i="3"/>
  <c r="AT361" i="3"/>
  <c r="AT360" i="3"/>
  <c r="AT359" i="3"/>
  <c r="AT358" i="3"/>
  <c r="AT357" i="3"/>
  <c r="AT356" i="3"/>
  <c r="AT355" i="3"/>
  <c r="AT354" i="3"/>
  <c r="AT353" i="3"/>
  <c r="AT352" i="3"/>
  <c r="AT351" i="3"/>
  <c r="AT350" i="3"/>
  <c r="AT349" i="3"/>
  <c r="AT348" i="3"/>
  <c r="AT347" i="3"/>
  <c r="AT346" i="3"/>
  <c r="AT345" i="3"/>
  <c r="AT344" i="3"/>
  <c r="AT343" i="3"/>
  <c r="AT342" i="3"/>
  <c r="AT341" i="3"/>
  <c r="AT340" i="3"/>
  <c r="AT339" i="3"/>
  <c r="AT338" i="3"/>
  <c r="AT337" i="3"/>
  <c r="AT336" i="3"/>
  <c r="AT335" i="3"/>
  <c r="AT334" i="3"/>
  <c r="AT333" i="3"/>
  <c r="AT332" i="3"/>
  <c r="AT331" i="3"/>
  <c r="AT330" i="3"/>
  <c r="AT329" i="3"/>
  <c r="AT327" i="3"/>
  <c r="AT326" i="3"/>
  <c r="AT325" i="3"/>
  <c r="AT324" i="3"/>
  <c r="AT323" i="3"/>
  <c r="AT322" i="3"/>
  <c r="AT321" i="3"/>
  <c r="AT320" i="3"/>
  <c r="AT319" i="3"/>
  <c r="AT318" i="3"/>
  <c r="AT317" i="3"/>
  <c r="AT316" i="3"/>
  <c r="AT315" i="3"/>
  <c r="AT314" i="3"/>
  <c r="AT313" i="3"/>
  <c r="AT312" i="3"/>
  <c r="AT311" i="3"/>
  <c r="AT310" i="3"/>
  <c r="AT309" i="3"/>
  <c r="AT308" i="3"/>
  <c r="AT307" i="3"/>
  <c r="AT306" i="3"/>
  <c r="AT305" i="3"/>
  <c r="AT304" i="3"/>
  <c r="AT303" i="3"/>
  <c r="AT302" i="3"/>
  <c r="AT300" i="3"/>
  <c r="AT299" i="3"/>
  <c r="AT298" i="3"/>
  <c r="AT297" i="3"/>
  <c r="AT295" i="3"/>
  <c r="AT294" i="3"/>
  <c r="AT293" i="3"/>
  <c r="AT292" i="3"/>
  <c r="AT291" i="3"/>
  <c r="AT290" i="3"/>
  <c r="AT289" i="3"/>
  <c r="AT288" i="3"/>
  <c r="AT287" i="3"/>
  <c r="AT286" i="3"/>
  <c r="AT285" i="3"/>
  <c r="AT284" i="3"/>
  <c r="AT282" i="3"/>
  <c r="AT281" i="3"/>
  <c r="AT280" i="3"/>
  <c r="AT279" i="3"/>
  <c r="AT278" i="3"/>
  <c r="AT277" i="3"/>
  <c r="AT276" i="3"/>
  <c r="AT275" i="3"/>
  <c r="AT274" i="3"/>
  <c r="AT273" i="3"/>
  <c r="AT272" i="3"/>
  <c r="AT271" i="3"/>
  <c r="AT270" i="3"/>
  <c r="AT269" i="3"/>
  <c r="AT268" i="3"/>
  <c r="AT267" i="3"/>
  <c r="AT266" i="3"/>
  <c r="AT264" i="3"/>
  <c r="AT263" i="3"/>
  <c r="AT262" i="3"/>
  <c r="AT261" i="3"/>
  <c r="AT260" i="3"/>
  <c r="AT259" i="3"/>
  <c r="AT258" i="3"/>
  <c r="AT257" i="3"/>
  <c r="AT256" i="3"/>
  <c r="AT255" i="3"/>
  <c r="AT254" i="3"/>
  <c r="AT253" i="3"/>
  <c r="AT252" i="3"/>
  <c r="AT251" i="3"/>
  <c r="AT250" i="3"/>
  <c r="AT249" i="3"/>
  <c r="AT248" i="3"/>
  <c r="AT247" i="3"/>
  <c r="AT246" i="3"/>
  <c r="AT245" i="3"/>
  <c r="AT244" i="3"/>
  <c r="AT243" i="3"/>
  <c r="AT242" i="3"/>
  <c r="AT241" i="3"/>
  <c r="AT240" i="3"/>
  <c r="AT239" i="3"/>
  <c r="AT238" i="3"/>
  <c r="AT237" i="3"/>
  <c r="AT236" i="3"/>
  <c r="AT235" i="3"/>
  <c r="AT234" i="3"/>
  <c r="AT233" i="3"/>
  <c r="AT232" i="3"/>
  <c r="AT231" i="3"/>
  <c r="AT230" i="3"/>
  <c r="AT229" i="3"/>
  <c r="AT228" i="3"/>
  <c r="AT227" i="3"/>
  <c r="AT226" i="3"/>
  <c r="AT225" i="3"/>
  <c r="AT224" i="3"/>
  <c r="AT223" i="3"/>
  <c r="AT222" i="3"/>
  <c r="AT221" i="3"/>
  <c r="AT220" i="3"/>
  <c r="AT219" i="3"/>
  <c r="AT218" i="3"/>
  <c r="AT217" i="3"/>
  <c r="AT216" i="3"/>
  <c r="AT215" i="3"/>
  <c r="AT214" i="3"/>
  <c r="AT213" i="3"/>
  <c r="AT212" i="3"/>
  <c r="AT211" i="3"/>
  <c r="AT210" i="3"/>
  <c r="AT209" i="3"/>
  <c r="AT208" i="3"/>
  <c r="AT207" i="3"/>
  <c r="AT206" i="3"/>
  <c r="AT205" i="3"/>
  <c r="AT204" i="3"/>
  <c r="AT203" i="3"/>
  <c r="AT202" i="3"/>
  <c r="AT201" i="3"/>
  <c r="AT200" i="3"/>
  <c r="AT199" i="3"/>
  <c r="AT198" i="3"/>
  <c r="AT197" i="3"/>
  <c r="AT196" i="3"/>
  <c r="AT195" i="3"/>
  <c r="AT194" i="3"/>
  <c r="AT193" i="3"/>
  <c r="AT192" i="3"/>
  <c r="AT191" i="3"/>
  <c r="AT190" i="3"/>
  <c r="AT189" i="3"/>
  <c r="AT188" i="3"/>
  <c r="AT187" i="3"/>
  <c r="AT186" i="3"/>
  <c r="AT185" i="3"/>
  <c r="AT184" i="3"/>
  <c r="AT183" i="3"/>
  <c r="R184" i="3"/>
  <c r="AV184" i="3" s="1"/>
  <c r="AM1547" i="3" l="1"/>
  <c r="AQ1547" i="3" s="1"/>
  <c r="AM404" i="3"/>
  <c r="AQ404" i="3" s="1"/>
  <c r="BB674" i="3"/>
  <c r="BB676" i="3" s="1"/>
  <c r="BC674" i="3"/>
  <c r="BC676" i="3" s="1"/>
  <c r="BA674" i="3"/>
  <c r="BC277" i="3"/>
  <c r="AU186" i="3"/>
  <c r="BC278" i="3"/>
  <c r="BC279" i="3"/>
  <c r="BC255" i="3"/>
  <c r="BC257" i="3" s="1"/>
  <c r="BB220" i="3"/>
  <c r="BB221" i="3"/>
  <c r="J182" i="3"/>
  <c r="AT182" i="3" s="1"/>
  <c r="F182" i="3"/>
  <c r="AV182" i="3" s="1"/>
  <c r="AT181" i="3"/>
  <c r="AU181" i="3"/>
  <c r="AV181" i="3"/>
  <c r="AY181" i="3"/>
  <c r="AG181" i="3"/>
  <c r="AK181" i="3" s="1"/>
  <c r="AG182" i="3" s="1"/>
  <c r="AK182" i="3" s="1"/>
  <c r="AG183" i="3" s="1"/>
  <c r="AK183" i="3" s="1"/>
  <c r="AG184" i="3" s="1"/>
  <c r="AK184" i="3" s="1"/>
  <c r="AG185" i="3" s="1"/>
  <c r="AK185" i="3" s="1"/>
  <c r="AG186" i="3" s="1"/>
  <c r="AK186" i="3" s="1"/>
  <c r="AG187" i="3" s="1"/>
  <c r="AK187" i="3" s="1"/>
  <c r="AG188" i="3" s="1"/>
  <c r="AK188" i="3" s="1"/>
  <c r="AS4" i="3"/>
  <c r="AT4" i="3"/>
  <c r="AU4" i="3"/>
  <c r="AV4" i="3"/>
  <c r="AY4" i="3"/>
  <c r="AT5" i="3"/>
  <c r="AU5" i="3"/>
  <c r="AV5" i="3"/>
  <c r="AY5" i="3"/>
  <c r="AT6" i="3"/>
  <c r="AU6" i="3"/>
  <c r="AV6" i="3"/>
  <c r="AY6" i="3"/>
  <c r="AT7" i="3"/>
  <c r="AU7" i="3"/>
  <c r="AV7" i="3"/>
  <c r="AY7" i="3"/>
  <c r="AT8" i="3"/>
  <c r="AU8" i="3"/>
  <c r="AV8" i="3"/>
  <c r="AY8" i="3"/>
  <c r="AT9" i="3"/>
  <c r="AU9" i="3"/>
  <c r="AV9" i="3"/>
  <c r="AY9" i="3"/>
  <c r="AT10" i="3"/>
  <c r="AU10" i="3"/>
  <c r="AV10" i="3"/>
  <c r="AY10" i="3"/>
  <c r="AT11" i="3"/>
  <c r="AU11" i="3"/>
  <c r="AV11" i="3"/>
  <c r="AY11" i="3"/>
  <c r="AT12" i="3"/>
  <c r="AU12" i="3"/>
  <c r="AV12" i="3"/>
  <c r="AY12" i="3"/>
  <c r="AT13" i="3"/>
  <c r="AU13" i="3"/>
  <c r="AV13" i="3"/>
  <c r="AY13" i="3"/>
  <c r="AT14" i="3"/>
  <c r="AU14" i="3"/>
  <c r="AV14" i="3"/>
  <c r="AY14" i="3"/>
  <c r="AT15" i="3"/>
  <c r="AU15" i="3"/>
  <c r="AV15" i="3"/>
  <c r="AY15" i="3"/>
  <c r="AT16" i="3"/>
  <c r="AU16" i="3"/>
  <c r="AV16" i="3"/>
  <c r="AY16" i="3"/>
  <c r="AT17" i="3"/>
  <c r="AU17" i="3"/>
  <c r="AV17" i="3"/>
  <c r="AY17" i="3"/>
  <c r="AT18" i="3"/>
  <c r="AU18" i="3"/>
  <c r="AV18" i="3"/>
  <c r="AY18" i="3"/>
  <c r="AT19" i="3"/>
  <c r="AU19" i="3"/>
  <c r="AV19" i="3"/>
  <c r="AY19" i="3"/>
  <c r="AT20" i="3"/>
  <c r="AU20" i="3"/>
  <c r="AV20" i="3"/>
  <c r="AY20" i="3"/>
  <c r="AT21" i="3"/>
  <c r="AU21" i="3"/>
  <c r="AV21" i="3"/>
  <c r="AY21" i="3"/>
  <c r="AT22" i="3"/>
  <c r="AU22" i="3"/>
  <c r="AV22" i="3"/>
  <c r="AY22" i="3"/>
  <c r="AT23" i="3"/>
  <c r="AU23" i="3"/>
  <c r="AV23" i="3"/>
  <c r="AY23" i="3"/>
  <c r="AT24" i="3"/>
  <c r="AU24" i="3"/>
  <c r="AV24" i="3"/>
  <c r="AY24" i="3"/>
  <c r="AT25" i="3"/>
  <c r="AU25" i="3"/>
  <c r="AV25" i="3"/>
  <c r="AY25" i="3"/>
  <c r="AU26" i="3"/>
  <c r="AV26" i="3"/>
  <c r="AY26" i="3"/>
  <c r="AT27" i="3"/>
  <c r="AU27" i="3"/>
  <c r="AV27" i="3"/>
  <c r="AY27" i="3"/>
  <c r="AT28" i="3"/>
  <c r="AU28" i="3"/>
  <c r="AV28" i="3"/>
  <c r="AY28" i="3"/>
  <c r="AU29" i="3"/>
  <c r="AV29" i="3"/>
  <c r="AY29" i="3"/>
  <c r="AT30" i="3"/>
  <c r="AU30" i="3"/>
  <c r="AV30" i="3"/>
  <c r="AY30" i="3"/>
  <c r="AT31" i="3"/>
  <c r="AU31" i="3"/>
  <c r="AV31" i="3"/>
  <c r="AY31" i="3"/>
  <c r="AT32" i="3"/>
  <c r="AU32" i="3"/>
  <c r="AV32" i="3"/>
  <c r="AY32" i="3"/>
  <c r="AT33" i="3"/>
  <c r="AU33" i="3"/>
  <c r="AV33" i="3"/>
  <c r="AY33" i="3"/>
  <c r="AT34" i="3"/>
  <c r="AV34" i="3"/>
  <c r="AY34" i="3"/>
  <c r="AU35" i="3"/>
  <c r="AV35" i="3"/>
  <c r="AY35" i="3"/>
  <c r="AU36" i="3"/>
  <c r="AV36" i="3"/>
  <c r="AY36" i="3"/>
  <c r="AU37" i="3"/>
  <c r="AV37" i="3"/>
  <c r="AY37" i="3"/>
  <c r="AT38" i="3"/>
  <c r="AU38" i="3"/>
  <c r="AY38" i="3"/>
  <c r="AT39" i="3"/>
  <c r="AU39" i="3"/>
  <c r="AV39" i="3"/>
  <c r="AY39" i="3"/>
  <c r="AU40" i="3"/>
  <c r="AV40" i="3"/>
  <c r="AY40" i="3"/>
  <c r="AT41" i="3"/>
  <c r="AU41" i="3"/>
  <c r="AV41" i="3"/>
  <c r="AY41" i="3"/>
  <c r="AT42" i="3"/>
  <c r="AU42" i="3"/>
  <c r="AV42" i="3"/>
  <c r="AY42" i="3"/>
  <c r="AT43" i="3"/>
  <c r="AU43" i="3"/>
  <c r="AV43" i="3"/>
  <c r="AY43" i="3"/>
  <c r="AT44" i="3"/>
  <c r="AU44" i="3"/>
  <c r="AV44" i="3"/>
  <c r="AY44" i="3"/>
  <c r="AT45" i="3"/>
  <c r="AU45" i="3"/>
  <c r="AV45" i="3"/>
  <c r="AY45" i="3"/>
  <c r="AT46" i="3"/>
  <c r="AU46" i="3"/>
  <c r="AV46" i="3"/>
  <c r="AY46" i="3"/>
  <c r="AT47" i="3"/>
  <c r="AU47" i="3"/>
  <c r="AV47" i="3"/>
  <c r="AY47" i="3"/>
  <c r="AT48" i="3"/>
  <c r="AV48" i="3"/>
  <c r="AY48" i="3"/>
  <c r="AT49" i="3"/>
  <c r="AU49" i="3"/>
  <c r="AV49" i="3"/>
  <c r="AY49" i="3"/>
  <c r="AT50" i="3"/>
  <c r="AU50" i="3"/>
  <c r="AV50" i="3"/>
  <c r="AY50" i="3"/>
  <c r="AT51" i="3"/>
  <c r="AU51" i="3"/>
  <c r="AY51" i="3"/>
  <c r="AT52" i="3"/>
  <c r="AU52" i="3"/>
  <c r="AV52" i="3"/>
  <c r="AY52" i="3"/>
  <c r="AT53" i="3"/>
  <c r="AU53" i="3"/>
  <c r="AY53" i="3"/>
  <c r="AT54" i="3"/>
  <c r="AU54" i="3"/>
  <c r="AV54" i="3"/>
  <c r="AY54" i="3"/>
  <c r="AT55" i="3"/>
  <c r="AU55" i="3"/>
  <c r="AV55" i="3"/>
  <c r="AY55" i="3"/>
  <c r="AT56" i="3"/>
  <c r="AU56" i="3"/>
  <c r="AV56" i="3"/>
  <c r="AY56" i="3"/>
  <c r="AT57" i="3"/>
  <c r="AU57" i="3"/>
  <c r="AV57" i="3"/>
  <c r="AY57" i="3"/>
  <c r="AT58" i="3"/>
  <c r="AU58" i="3"/>
  <c r="AV58" i="3"/>
  <c r="AY58" i="3"/>
  <c r="AU59" i="3"/>
  <c r="AY59" i="3"/>
  <c r="AT60" i="3"/>
  <c r="AU60" i="3"/>
  <c r="AV60" i="3"/>
  <c r="AY60" i="3"/>
  <c r="AT61" i="3"/>
  <c r="AU61" i="3"/>
  <c r="AV61" i="3"/>
  <c r="AY61" i="3"/>
  <c r="AT62" i="3"/>
  <c r="AU62" i="3"/>
  <c r="AV62" i="3"/>
  <c r="AY62" i="3"/>
  <c r="AU63" i="3"/>
  <c r="AV63" i="3"/>
  <c r="AY63" i="3"/>
  <c r="AT64" i="3"/>
  <c r="AU64" i="3"/>
  <c r="AY64" i="3"/>
  <c r="AT65" i="3"/>
  <c r="AU65" i="3"/>
  <c r="AV65" i="3"/>
  <c r="AY65" i="3"/>
  <c r="AT66" i="3"/>
  <c r="AU66" i="3"/>
  <c r="AV66" i="3"/>
  <c r="AY66" i="3"/>
  <c r="AT67" i="3"/>
  <c r="AU67" i="3"/>
  <c r="AV67" i="3"/>
  <c r="AY67" i="3"/>
  <c r="AT68" i="3"/>
  <c r="AV68" i="3"/>
  <c r="AY68" i="3"/>
  <c r="AT69" i="3"/>
  <c r="AU69" i="3"/>
  <c r="AV69" i="3"/>
  <c r="AY69" i="3"/>
  <c r="AT70" i="3"/>
  <c r="AU70" i="3"/>
  <c r="AV70" i="3"/>
  <c r="AY70" i="3"/>
  <c r="AT71" i="3"/>
  <c r="AU71" i="3"/>
  <c r="AV71" i="3"/>
  <c r="AY71" i="3"/>
  <c r="AT72" i="3"/>
  <c r="AU72" i="3"/>
  <c r="AY72" i="3"/>
  <c r="AU73" i="3"/>
  <c r="AY73" i="3"/>
  <c r="AT74" i="3"/>
  <c r="AU74" i="3"/>
  <c r="AV74" i="3"/>
  <c r="AY74" i="3"/>
  <c r="AT75" i="3"/>
  <c r="AU75" i="3"/>
  <c r="AV75" i="3"/>
  <c r="AY75" i="3"/>
  <c r="AT76" i="3"/>
  <c r="AU76" i="3"/>
  <c r="AV76" i="3"/>
  <c r="AY76" i="3"/>
  <c r="AT77" i="3"/>
  <c r="AU77" i="3"/>
  <c r="AV77" i="3"/>
  <c r="AY77" i="3"/>
  <c r="AT78" i="3"/>
  <c r="AU78" i="3"/>
  <c r="AV78" i="3"/>
  <c r="AY78" i="3"/>
  <c r="AT79" i="3"/>
  <c r="AU79" i="3"/>
  <c r="AV79" i="3"/>
  <c r="AY79" i="3"/>
  <c r="AT80" i="3"/>
  <c r="AU80" i="3"/>
  <c r="AV80" i="3"/>
  <c r="AY80" i="3"/>
  <c r="AU81" i="3"/>
  <c r="AV81" i="3"/>
  <c r="AY81" i="3"/>
  <c r="AT82" i="3"/>
  <c r="AY82" i="3"/>
  <c r="AT83" i="3"/>
  <c r="AU83" i="3"/>
  <c r="AV83" i="3"/>
  <c r="AY83" i="3"/>
  <c r="AT85" i="3"/>
  <c r="AU85" i="3"/>
  <c r="AV85" i="3"/>
  <c r="AY85" i="3"/>
  <c r="AT86" i="3"/>
  <c r="AU86" i="3"/>
  <c r="AV86" i="3"/>
  <c r="AY86" i="3"/>
  <c r="AT87" i="3"/>
  <c r="AU87" i="3"/>
  <c r="AY87" i="3"/>
  <c r="AU88" i="3"/>
  <c r="AV88" i="3"/>
  <c r="AY88" i="3"/>
  <c r="AU89" i="3"/>
  <c r="AY89" i="3"/>
  <c r="AT90" i="3"/>
  <c r="AU90" i="3"/>
  <c r="AY90" i="3"/>
  <c r="AV91" i="3"/>
  <c r="AY91" i="3"/>
  <c r="AT92" i="3"/>
  <c r="AU92" i="3"/>
  <c r="AV92" i="3"/>
  <c r="AY92" i="3"/>
  <c r="AT93" i="3"/>
  <c r="AU93" i="3"/>
  <c r="AY93" i="3"/>
  <c r="AU94" i="3"/>
  <c r="AV94" i="3"/>
  <c r="AY94" i="3"/>
  <c r="AT95" i="3"/>
  <c r="AU95" i="3"/>
  <c r="AV95" i="3"/>
  <c r="AY95" i="3"/>
  <c r="AT96" i="3"/>
  <c r="AU96" i="3"/>
  <c r="AV96" i="3"/>
  <c r="AY96" i="3"/>
  <c r="AT97" i="3"/>
  <c r="AU97" i="3"/>
  <c r="AV97" i="3"/>
  <c r="AY97" i="3"/>
  <c r="AT98" i="3"/>
  <c r="AU98" i="3"/>
  <c r="AY98" i="3"/>
  <c r="AT99" i="3"/>
  <c r="AU99" i="3"/>
  <c r="AV99" i="3"/>
  <c r="AY99" i="3"/>
  <c r="AT100" i="3"/>
  <c r="AU100" i="3"/>
  <c r="AV100" i="3"/>
  <c r="AY100" i="3"/>
  <c r="AU101" i="3"/>
  <c r="AV101" i="3"/>
  <c r="AY101" i="3"/>
  <c r="AT102" i="3"/>
  <c r="AU102" i="3"/>
  <c r="AV102" i="3"/>
  <c r="AY102" i="3"/>
  <c r="AT103" i="3"/>
  <c r="AU103" i="3"/>
  <c r="AV103" i="3"/>
  <c r="AY103" i="3"/>
  <c r="AT104" i="3"/>
  <c r="AU104" i="3"/>
  <c r="AV104" i="3"/>
  <c r="AY104" i="3"/>
  <c r="AT105" i="3"/>
  <c r="AU105" i="3"/>
  <c r="AV105" i="3"/>
  <c r="AY105" i="3"/>
  <c r="AT106" i="3"/>
  <c r="AU106" i="3"/>
  <c r="AY106" i="3"/>
  <c r="AT107" i="3"/>
  <c r="AU107" i="3"/>
  <c r="AV107" i="3"/>
  <c r="AY107" i="3"/>
  <c r="AT108" i="3"/>
  <c r="AU108" i="3"/>
  <c r="AV108" i="3"/>
  <c r="AY108" i="3"/>
  <c r="AV109" i="3"/>
  <c r="AY109" i="3"/>
  <c r="AU110" i="3"/>
  <c r="AV110" i="3"/>
  <c r="AY110" i="3"/>
  <c r="AU111" i="3"/>
  <c r="AY111" i="3"/>
  <c r="AT112" i="3"/>
  <c r="AU112" i="3"/>
  <c r="AY112" i="3"/>
  <c r="AT113" i="3"/>
  <c r="AU113" i="3"/>
  <c r="AV113" i="3"/>
  <c r="AY113" i="3"/>
  <c r="AT114" i="3"/>
  <c r="AU114" i="3"/>
  <c r="AY114" i="3"/>
  <c r="AU115" i="3"/>
  <c r="AY115" i="3"/>
  <c r="AT116" i="3"/>
  <c r="AV116" i="3"/>
  <c r="AY116" i="3"/>
  <c r="AT117" i="3"/>
  <c r="AU117" i="3"/>
  <c r="AV117" i="3"/>
  <c r="AY117" i="3"/>
  <c r="AT118" i="3"/>
  <c r="AU118" i="3"/>
  <c r="AV118" i="3"/>
  <c r="AY118" i="3"/>
  <c r="AT119" i="3"/>
  <c r="AV119" i="3"/>
  <c r="AY119" i="3"/>
  <c r="AT120" i="3"/>
  <c r="AU120" i="3"/>
  <c r="AV120" i="3"/>
  <c r="AY120" i="3"/>
  <c r="AT121" i="3"/>
  <c r="AU121" i="3"/>
  <c r="AY121" i="3"/>
  <c r="AU122" i="3"/>
  <c r="AV122" i="3"/>
  <c r="AY122" i="3"/>
  <c r="AU123" i="3"/>
  <c r="AY123" i="3"/>
  <c r="AT124" i="3"/>
  <c r="AU124" i="3"/>
  <c r="AV124" i="3"/>
  <c r="AY124" i="3"/>
  <c r="AU125" i="3"/>
  <c r="AV125" i="3"/>
  <c r="AY125" i="3"/>
  <c r="AY126" i="3"/>
  <c r="AU127" i="3"/>
  <c r="AV127" i="3"/>
  <c r="AY127" i="3"/>
  <c r="AU128" i="3"/>
  <c r="AV128" i="3"/>
  <c r="AY128" i="3"/>
  <c r="AT129" i="3"/>
  <c r="AU129" i="3"/>
  <c r="AY129" i="3"/>
  <c r="AT130" i="3"/>
  <c r="AU130" i="3"/>
  <c r="AV130" i="3"/>
  <c r="AY130" i="3"/>
  <c r="AV131" i="3"/>
  <c r="AY131" i="3"/>
  <c r="AU132" i="3"/>
  <c r="AY132" i="3"/>
  <c r="AU133" i="3"/>
  <c r="AY133" i="3"/>
  <c r="AT134" i="3"/>
  <c r="AU134" i="3"/>
  <c r="AV134" i="3"/>
  <c r="AY134" i="3"/>
  <c r="AU135" i="3"/>
  <c r="AV135" i="3"/>
  <c r="AY135" i="3"/>
  <c r="AT136" i="3"/>
  <c r="AU136" i="3"/>
  <c r="AY136" i="3"/>
  <c r="AT137" i="3"/>
  <c r="AU137" i="3"/>
  <c r="AY137" i="3"/>
  <c r="AU138" i="3"/>
  <c r="AY138" i="3"/>
  <c r="AT139" i="3"/>
  <c r="AU139" i="3"/>
  <c r="AV139" i="3"/>
  <c r="AY139" i="3"/>
  <c r="AU140" i="3"/>
  <c r="AV140" i="3"/>
  <c r="AY140" i="3"/>
  <c r="AT141" i="3"/>
  <c r="AU141" i="3"/>
  <c r="AV141" i="3"/>
  <c r="AY141" i="3"/>
  <c r="AT142" i="3"/>
  <c r="AU142" i="3"/>
  <c r="AV142" i="3"/>
  <c r="AY142" i="3"/>
  <c r="AT143" i="3"/>
  <c r="AU143" i="3"/>
  <c r="AY143" i="3"/>
  <c r="AU144" i="3"/>
  <c r="AV144" i="3"/>
  <c r="AY144" i="3"/>
  <c r="AU145" i="3"/>
  <c r="AV145" i="3"/>
  <c r="AY145" i="3"/>
  <c r="AY146" i="3"/>
  <c r="AT147" i="3"/>
  <c r="AU147" i="3"/>
  <c r="AV147" i="3"/>
  <c r="AY147" i="3"/>
  <c r="AU148" i="3"/>
  <c r="AV148" i="3"/>
  <c r="AY148" i="3"/>
  <c r="AU149" i="3"/>
  <c r="AV149" i="3"/>
  <c r="AY149" i="3"/>
  <c r="AU150" i="3"/>
  <c r="AV150" i="3"/>
  <c r="AY150" i="3"/>
  <c r="AT151" i="3"/>
  <c r="AU151" i="3"/>
  <c r="AV151" i="3"/>
  <c r="AY151" i="3"/>
  <c r="AT152" i="3"/>
  <c r="AU152" i="3"/>
  <c r="AV152" i="3"/>
  <c r="AY152" i="3"/>
  <c r="AU153" i="3"/>
  <c r="AY153" i="3"/>
  <c r="AT154" i="3"/>
  <c r="AU154" i="3"/>
  <c r="AV154" i="3"/>
  <c r="AY154" i="3"/>
  <c r="AT155" i="3"/>
  <c r="AU155" i="3"/>
  <c r="AV155" i="3"/>
  <c r="AY155" i="3"/>
  <c r="AU156" i="3"/>
  <c r="AY156" i="3"/>
  <c r="AT157" i="3"/>
  <c r="AU157" i="3"/>
  <c r="AY157" i="3"/>
  <c r="AU158" i="3"/>
  <c r="AY158" i="3"/>
  <c r="AV159" i="3"/>
  <c r="AY159" i="3"/>
  <c r="AT160" i="3"/>
  <c r="AV160" i="3"/>
  <c r="AY160" i="3"/>
  <c r="AT161" i="3"/>
  <c r="AU161" i="3"/>
  <c r="AV161" i="3"/>
  <c r="AY161" i="3"/>
  <c r="AT162" i="3"/>
  <c r="AU162" i="3"/>
  <c r="AV162" i="3"/>
  <c r="AY162" i="3"/>
  <c r="AT163" i="3"/>
  <c r="AU163" i="3"/>
  <c r="AY163" i="3"/>
  <c r="AU164" i="3"/>
  <c r="AV164" i="3"/>
  <c r="AY164" i="3"/>
  <c r="AU165" i="3"/>
  <c r="AY165" i="3"/>
  <c r="AU166" i="3"/>
  <c r="AV166" i="3"/>
  <c r="AY166" i="3"/>
  <c r="AY167" i="3"/>
  <c r="AT168" i="3"/>
  <c r="AU168" i="3"/>
  <c r="AV168" i="3"/>
  <c r="AY168" i="3"/>
  <c r="AU169" i="3"/>
  <c r="AV169" i="3"/>
  <c r="AY169" i="3"/>
  <c r="AT170" i="3"/>
  <c r="AY170" i="3"/>
  <c r="AT171" i="3"/>
  <c r="AU171" i="3"/>
  <c r="AV171" i="3"/>
  <c r="AY171" i="3"/>
  <c r="AU172" i="3"/>
  <c r="AV172" i="3"/>
  <c r="AY172" i="3"/>
  <c r="AU173" i="3"/>
  <c r="AV173" i="3"/>
  <c r="AY173" i="3"/>
  <c r="AU174" i="3"/>
  <c r="AV174" i="3"/>
  <c r="AY174" i="3"/>
  <c r="AU175" i="3"/>
  <c r="AY175" i="3"/>
  <c r="AT176" i="3"/>
  <c r="AY176" i="3"/>
  <c r="AT177" i="3"/>
  <c r="AY177" i="3"/>
  <c r="AU178" i="3"/>
  <c r="AY178" i="3"/>
  <c r="AU179" i="3"/>
  <c r="AV179" i="3"/>
  <c r="AY179" i="3"/>
  <c r="AT180" i="3"/>
  <c r="AU180" i="3"/>
  <c r="AV180" i="3"/>
  <c r="AY180" i="3"/>
  <c r="P179" i="3"/>
  <c r="AT179" i="3" s="1"/>
  <c r="P178" i="3"/>
  <c r="AT178" i="3" s="1"/>
  <c r="F178" i="3"/>
  <c r="AV178" i="3" s="1"/>
  <c r="K177" i="3"/>
  <c r="X177" i="3"/>
  <c r="AV177" i="3" s="1"/>
  <c r="Q177" i="3"/>
  <c r="F176" i="3"/>
  <c r="AV176" i="3" s="1"/>
  <c r="E176" i="3"/>
  <c r="AU176" i="3" s="1"/>
  <c r="R175" i="3"/>
  <c r="AV175" i="3" s="1"/>
  <c r="D175" i="3"/>
  <c r="AT175" i="3" s="1"/>
  <c r="D174" i="3"/>
  <c r="AT174" i="3" s="1"/>
  <c r="P173" i="3"/>
  <c r="AT173" i="3" s="1"/>
  <c r="D172" i="3"/>
  <c r="AT172" i="3" s="1"/>
  <c r="Q170" i="3"/>
  <c r="AU170" i="3" s="1"/>
  <c r="L170" i="3"/>
  <c r="AV170" i="3" s="1"/>
  <c r="P169" i="3"/>
  <c r="D169" i="3"/>
  <c r="R167" i="3"/>
  <c r="AV167" i="3" s="1"/>
  <c r="J167" i="3"/>
  <c r="AT167" i="3" s="1"/>
  <c r="E167" i="3"/>
  <c r="AU167" i="3" s="1"/>
  <c r="P166" i="3"/>
  <c r="AT166" i="3" s="1"/>
  <c r="P165" i="3"/>
  <c r="AT165" i="3" s="1"/>
  <c r="AM405" i="3" l="1"/>
  <c r="AQ405" i="3" s="1"/>
  <c r="AM1548" i="3"/>
  <c r="AQ1548" i="3" s="1"/>
  <c r="AU177" i="3"/>
  <c r="AG189" i="3"/>
  <c r="AK189" i="3" s="1"/>
  <c r="AT169" i="3"/>
  <c r="F165" i="3"/>
  <c r="AV165" i="3" s="1"/>
  <c r="AM406" i="3" l="1"/>
  <c r="AQ406" i="3" s="1"/>
  <c r="AM1549" i="3"/>
  <c r="AQ1549" i="3" s="1"/>
  <c r="AG190" i="3"/>
  <c r="AK190" i="3" s="1"/>
  <c r="P164" i="3"/>
  <c r="AT164" i="3" s="1"/>
  <c r="F163" i="3"/>
  <c r="AV163" i="3" s="1"/>
  <c r="K160" i="3"/>
  <c r="AU160" i="3" s="1"/>
  <c r="AM407" i="3" l="1"/>
  <c r="AQ407" i="3" s="1"/>
  <c r="AM1550" i="3"/>
  <c r="AQ1550" i="3" s="1"/>
  <c r="AG191" i="3"/>
  <c r="AK191" i="3" s="1"/>
  <c r="BD97" i="3"/>
  <c r="BD98" i="3" s="1"/>
  <c r="V159" i="3"/>
  <c r="AT159" i="3" s="1"/>
  <c r="Q159" i="3"/>
  <c r="AU159" i="3" s="1"/>
  <c r="AM408" i="3" l="1"/>
  <c r="AQ408" i="3" s="1"/>
  <c r="AM1551" i="3"/>
  <c r="AQ1551" i="3" s="1"/>
  <c r="AG192" i="3"/>
  <c r="AK192" i="3" s="1"/>
  <c r="AG193" i="3" s="1"/>
  <c r="AK193" i="3" s="1"/>
  <c r="F158" i="3"/>
  <c r="D158" i="3"/>
  <c r="R158" i="3"/>
  <c r="J158" i="3"/>
  <c r="R157" i="3"/>
  <c r="AV157" i="3" s="1"/>
  <c r="R156" i="3"/>
  <c r="AV156" i="3" s="1"/>
  <c r="J156" i="3"/>
  <c r="D156" i="3"/>
  <c r="AM1552" i="3" l="1"/>
  <c r="AQ1552" i="3" s="1"/>
  <c r="AM409" i="3"/>
  <c r="AQ409" i="3" s="1"/>
  <c r="AV158" i="3"/>
  <c r="AT156" i="3"/>
  <c r="AG194" i="3"/>
  <c r="AK194" i="3" s="1"/>
  <c r="AT158" i="3"/>
  <c r="R153" i="3"/>
  <c r="AV153" i="3" s="1"/>
  <c r="D153" i="3"/>
  <c r="AT153" i="3" s="1"/>
  <c r="D150" i="3"/>
  <c r="AM410" i="3" l="1"/>
  <c r="AQ410" i="3" s="1"/>
  <c r="AM1553" i="3"/>
  <c r="AQ1553" i="3" s="1"/>
  <c r="AG195" i="3"/>
  <c r="AK195" i="3" s="1"/>
  <c r="AG196" i="3" s="1"/>
  <c r="AK196" i="3" s="1"/>
  <c r="AM1554" i="3" l="1"/>
  <c r="AQ1554" i="3" s="1"/>
  <c r="AM411" i="3"/>
  <c r="AQ411" i="3" s="1"/>
  <c r="AG197" i="3"/>
  <c r="AK197" i="3" s="1"/>
  <c r="J150" i="3"/>
  <c r="AT150" i="3" s="1"/>
  <c r="P148" i="3"/>
  <c r="AT148" i="3" s="1"/>
  <c r="P149" i="3"/>
  <c r="AT149" i="3" s="1"/>
  <c r="R146" i="3"/>
  <c r="AV146" i="3" s="1"/>
  <c r="Q146" i="3"/>
  <c r="AU146" i="3" s="1"/>
  <c r="D146" i="3"/>
  <c r="AT146" i="3" s="1"/>
  <c r="D145" i="3"/>
  <c r="AT145" i="3" s="1"/>
  <c r="D144" i="3"/>
  <c r="AT144" i="3" s="1"/>
  <c r="F143" i="3"/>
  <c r="AV143" i="3" s="1"/>
  <c r="P140" i="3"/>
  <c r="AT140" i="3" s="1"/>
  <c r="L138" i="3"/>
  <c r="AV138" i="3" s="1"/>
  <c r="D138" i="3"/>
  <c r="AT138" i="3" s="1"/>
  <c r="R137" i="3"/>
  <c r="L137" i="3"/>
  <c r="R136" i="3"/>
  <c r="AV136" i="3" s="1"/>
  <c r="J135" i="3"/>
  <c r="AT135" i="3" s="1"/>
  <c r="AM412" i="3" l="1"/>
  <c r="AQ412" i="3" s="1"/>
  <c r="AM1555" i="3"/>
  <c r="AQ1555" i="3" s="1"/>
  <c r="AG198" i="3"/>
  <c r="AK198" i="3" s="1"/>
  <c r="AV137" i="3"/>
  <c r="R133" i="3"/>
  <c r="AV133" i="3" s="1"/>
  <c r="J133" i="3"/>
  <c r="AT133" i="3" s="1"/>
  <c r="L132" i="3"/>
  <c r="AV132" i="3" s="1"/>
  <c r="AM413" i="3" l="1"/>
  <c r="AQ413" i="3" s="1"/>
  <c r="AM1556" i="3"/>
  <c r="AQ1556" i="3" s="1"/>
  <c r="AG199" i="3"/>
  <c r="AK199" i="3" s="1"/>
  <c r="AG200" i="3" s="1"/>
  <c r="AK200" i="3" s="1"/>
  <c r="BA133" i="3"/>
  <c r="P132" i="3"/>
  <c r="AT132" i="3" s="1"/>
  <c r="Q131" i="3"/>
  <c r="AU131" i="3" s="1"/>
  <c r="AM1557" i="3" l="1"/>
  <c r="AQ1557" i="3" s="1"/>
  <c r="AM414" i="3"/>
  <c r="AQ414" i="3" s="1"/>
  <c r="AG201" i="3"/>
  <c r="AK201" i="3" s="1"/>
  <c r="D131" i="3"/>
  <c r="AT131" i="3" s="1"/>
  <c r="R129" i="3"/>
  <c r="AV129" i="3" s="1"/>
  <c r="D128" i="3"/>
  <c r="AT128" i="3" s="1"/>
  <c r="P127" i="3"/>
  <c r="AT127" i="3" s="1"/>
  <c r="R126" i="3"/>
  <c r="Q126" i="3"/>
  <c r="L126" i="3"/>
  <c r="E126" i="3"/>
  <c r="D126" i="3"/>
  <c r="AT126" i="3" s="1"/>
  <c r="J125" i="3"/>
  <c r="AT125" i="3" s="1"/>
  <c r="L123" i="3"/>
  <c r="AV123" i="3" s="1"/>
  <c r="D123" i="3"/>
  <c r="AT123" i="3" s="1"/>
  <c r="D122" i="3"/>
  <c r="AT122" i="3" s="1"/>
  <c r="R121" i="3"/>
  <c r="AV121" i="3" s="1"/>
  <c r="E119" i="3"/>
  <c r="AU119" i="3" s="1"/>
  <c r="AM415" i="3" l="1"/>
  <c r="AQ415" i="3" s="1"/>
  <c r="AM1558" i="3"/>
  <c r="AQ1558" i="3" s="1"/>
  <c r="AV126" i="3"/>
  <c r="AU126" i="3"/>
  <c r="AG202" i="3"/>
  <c r="AK202" i="3" s="1"/>
  <c r="AG203" i="3" s="1"/>
  <c r="AK203" i="3" s="1"/>
  <c r="BB138" i="3"/>
  <c r="K116" i="3"/>
  <c r="AU116" i="3" s="1"/>
  <c r="L115" i="3"/>
  <c r="AV115" i="3" s="1"/>
  <c r="J115" i="3"/>
  <c r="AT115" i="3" s="1"/>
  <c r="AM416" i="3" l="1"/>
  <c r="AQ416" i="3" s="1"/>
  <c r="AM1559" i="3"/>
  <c r="AQ1559" i="3" s="1"/>
  <c r="AG204" i="3"/>
  <c r="AK204" i="3" s="1"/>
  <c r="L114" i="3"/>
  <c r="AV114" i="3" s="1"/>
  <c r="A2" i="9"/>
  <c r="R112" i="3"/>
  <c r="AV112" i="3" s="1"/>
  <c r="F111" i="3"/>
  <c r="R111" i="3"/>
  <c r="P111" i="3"/>
  <c r="AT111" i="3" s="1"/>
  <c r="AM1560" i="3" l="1"/>
  <c r="AQ1560" i="3" s="1"/>
  <c r="AM417" i="3"/>
  <c r="AQ417" i="3" s="1"/>
  <c r="AV111" i="3"/>
  <c r="BA110" i="3" s="1"/>
  <c r="AG205" i="3"/>
  <c r="AK205" i="3" s="1"/>
  <c r="D110" i="3"/>
  <c r="AT110" i="3" s="1"/>
  <c r="Q109" i="3"/>
  <c r="P109" i="3"/>
  <c r="AT109" i="3" s="1"/>
  <c r="E109" i="3"/>
  <c r="L106" i="3"/>
  <c r="AV106" i="3" s="1"/>
  <c r="J101" i="3"/>
  <c r="AT101" i="3" s="1"/>
  <c r="F98" i="3"/>
  <c r="AV98" i="3" s="1"/>
  <c r="AM418" i="3" l="1"/>
  <c r="AQ418" i="3" s="1"/>
  <c r="AM1561" i="3"/>
  <c r="AQ1561" i="3" s="1"/>
  <c r="AU109" i="3"/>
  <c r="AG206" i="3"/>
  <c r="AK206" i="3" s="1"/>
  <c r="J94" i="3"/>
  <c r="D94" i="3"/>
  <c r="AT94" i="3" s="1"/>
  <c r="L93" i="3"/>
  <c r="AV93" i="3" s="1"/>
  <c r="AM1562" i="3" l="1"/>
  <c r="AQ1562" i="3" s="1"/>
  <c r="AM419" i="3"/>
  <c r="AQ419" i="3" s="1"/>
  <c r="AG207" i="3"/>
  <c r="AK207" i="3" s="1"/>
  <c r="AG208" i="3" s="1"/>
  <c r="AK208" i="3" s="1"/>
  <c r="W91" i="3"/>
  <c r="AU91" i="3" s="1"/>
  <c r="P91" i="3"/>
  <c r="AT91" i="3" s="1"/>
  <c r="R90" i="3"/>
  <c r="AV90" i="3" s="1"/>
  <c r="R89" i="3"/>
  <c r="AV89" i="3" s="1"/>
  <c r="D89" i="3"/>
  <c r="AT89" i="3" s="1"/>
  <c r="D88" i="3"/>
  <c r="AT88" i="3" s="1"/>
  <c r="AM420" i="3" l="1"/>
  <c r="AQ420" i="3" s="1"/>
  <c r="AM1563" i="3"/>
  <c r="AQ1563" i="3" s="1"/>
  <c r="AG209" i="3"/>
  <c r="AK209" i="3" s="1"/>
  <c r="AG210" i="3" s="1"/>
  <c r="AK210" i="3" s="1"/>
  <c r="BA91" i="3"/>
  <c r="BA92" i="3"/>
  <c r="BC100" i="3" s="1"/>
  <c r="BC101" i="3" s="1"/>
  <c r="F87" i="3"/>
  <c r="AV87" i="3" s="1"/>
  <c r="AA85" i="3"/>
  <c r="AE85" i="3" s="1"/>
  <c r="U85" i="3"/>
  <c r="Y85" i="3" s="1"/>
  <c r="O85" i="3"/>
  <c r="S85" i="3" s="1"/>
  <c r="I85" i="3"/>
  <c r="M85" i="3" s="1"/>
  <c r="C85" i="3"/>
  <c r="AM1564" i="3" l="1"/>
  <c r="AQ1564" i="3" s="1"/>
  <c r="AM421" i="3"/>
  <c r="AQ421" i="3" s="1"/>
  <c r="AS85" i="3"/>
  <c r="AG211" i="3"/>
  <c r="AK211" i="3" s="1"/>
  <c r="G85" i="3"/>
  <c r="AX85" i="3" s="1"/>
  <c r="AZ85" i="3" s="1"/>
  <c r="AD82" i="3"/>
  <c r="AV82" i="3" s="1"/>
  <c r="E82" i="3"/>
  <c r="AU82" i="3" s="1"/>
  <c r="J81" i="3"/>
  <c r="AT81" i="3" s="1"/>
  <c r="F73" i="3"/>
  <c r="AV73" i="3" s="1"/>
  <c r="D73" i="3"/>
  <c r="AT73" i="3" s="1"/>
  <c r="AM422" i="3" l="1"/>
  <c r="AQ422" i="3" s="1"/>
  <c r="AM1565" i="3"/>
  <c r="AQ1565" i="3" s="1"/>
  <c r="AG212" i="3"/>
  <c r="AK212" i="3" s="1"/>
  <c r="AG213" i="3" s="1"/>
  <c r="AK213" i="3" s="1"/>
  <c r="AG214" i="3" s="1"/>
  <c r="AK214" i="3" s="1"/>
  <c r="AG215" i="3" s="1"/>
  <c r="AK215" i="3" s="1"/>
  <c r="AG216" i="3" s="1"/>
  <c r="AK216" i="3" s="1"/>
  <c r="AG217" i="3" s="1"/>
  <c r="AK217" i="3" s="1"/>
  <c r="F72" i="3"/>
  <c r="AV72" i="3" s="1"/>
  <c r="E68" i="3"/>
  <c r="AU68" i="3" s="1"/>
  <c r="AM1566" i="3" l="1"/>
  <c r="AQ1566" i="3" s="1"/>
  <c r="AM423" i="3"/>
  <c r="AQ423" i="3" s="1"/>
  <c r="AG218" i="3"/>
  <c r="AK218" i="3" s="1"/>
  <c r="AG219" i="3" s="1"/>
  <c r="AK219" i="3" s="1"/>
  <c r="L64" i="3"/>
  <c r="AV64" i="3" s="1"/>
  <c r="D63" i="3"/>
  <c r="AT63" i="3" s="1"/>
  <c r="F59" i="3"/>
  <c r="D59" i="3"/>
  <c r="P59" i="3"/>
  <c r="R59" i="3"/>
  <c r="AM424" i="3" l="1"/>
  <c r="AQ424" i="3" s="1"/>
  <c r="AM1567" i="3"/>
  <c r="AQ1567" i="3" s="1"/>
  <c r="AG220" i="3"/>
  <c r="AK220" i="3" s="1"/>
  <c r="AT59" i="3"/>
  <c r="AV59" i="3"/>
  <c r="F53" i="3"/>
  <c r="AV53" i="3" s="1"/>
  <c r="R51" i="3"/>
  <c r="AV51" i="3" s="1"/>
  <c r="E48" i="3"/>
  <c r="Q48" i="3"/>
  <c r="D40" i="3"/>
  <c r="AT40" i="3" s="1"/>
  <c r="R38" i="3"/>
  <c r="AV38" i="3" s="1"/>
  <c r="AM1568" i="3" l="1"/>
  <c r="AQ1568" i="3" s="1"/>
  <c r="AM425" i="3"/>
  <c r="AQ425" i="3" s="1"/>
  <c r="AU48" i="3"/>
  <c r="AG221" i="3"/>
  <c r="AK221" i="3" s="1"/>
  <c r="AG222" i="3" s="1"/>
  <c r="AK222" i="3" s="1"/>
  <c r="D37" i="3"/>
  <c r="AT37" i="3" s="1"/>
  <c r="AM426" i="3" l="1"/>
  <c r="AQ426" i="3" s="1"/>
  <c r="AM1569" i="3"/>
  <c r="AQ1569" i="3" s="1"/>
  <c r="AG223" i="3"/>
  <c r="AK223" i="3" s="1"/>
  <c r="D36" i="3"/>
  <c r="AT36" i="3" s="1"/>
  <c r="AM427" i="3" l="1"/>
  <c r="AQ427" i="3" s="1"/>
  <c r="AM1570" i="3"/>
  <c r="AQ1570" i="3" s="1"/>
  <c r="AG224" i="3"/>
  <c r="AK224" i="3" s="1"/>
  <c r="AG225" i="3" s="1"/>
  <c r="AK225" i="3" s="1"/>
  <c r="P35" i="3"/>
  <c r="AT35" i="3" s="1"/>
  <c r="AM1571" i="3" l="1"/>
  <c r="AQ1571" i="3" s="1"/>
  <c r="AM428" i="3"/>
  <c r="AQ428" i="3" s="1"/>
  <c r="AG226" i="3"/>
  <c r="AK226" i="3" s="1"/>
  <c r="E34" i="3"/>
  <c r="AU34" i="3" s="1"/>
  <c r="AM1572" i="3" l="1"/>
  <c r="AQ1572" i="3" s="1"/>
  <c r="AM429" i="3"/>
  <c r="AQ429" i="3" s="1"/>
  <c r="AG227" i="3"/>
  <c r="AK227" i="3" s="1"/>
  <c r="AG228" i="3" s="1"/>
  <c r="AK228" i="3" s="1"/>
  <c r="D29" i="3"/>
  <c r="AT29" i="3" s="1"/>
  <c r="AM430" i="3" l="1"/>
  <c r="AQ430" i="3" s="1"/>
  <c r="AM1573" i="3"/>
  <c r="AQ1573" i="3" s="1"/>
  <c r="AG229" i="3"/>
  <c r="AK229" i="3" s="1"/>
  <c r="J26" i="3"/>
  <c r="AT26" i="3" s="1"/>
  <c r="AM1574" i="3" l="1"/>
  <c r="AQ1574" i="3" s="1"/>
  <c r="AM431" i="3"/>
  <c r="AQ431" i="3" s="1"/>
  <c r="AG230" i="3"/>
  <c r="AK230" i="3" s="1"/>
  <c r="AG231" i="3" s="1"/>
  <c r="AK231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AE4" i="3"/>
  <c r="AA5" i="3" s="1"/>
  <c r="AE5" i="3" s="1"/>
  <c r="Y4" i="3"/>
  <c r="U5" i="3" s="1"/>
  <c r="Y5" i="3" s="1"/>
  <c r="S4" i="3"/>
  <c r="O5" i="3" s="1"/>
  <c r="S5" i="3" s="1"/>
  <c r="M4" i="3"/>
  <c r="I5" i="3" s="1"/>
  <c r="M5" i="3" s="1"/>
  <c r="G4" i="3"/>
  <c r="AM432" i="3" l="1"/>
  <c r="AQ432" i="3" s="1"/>
  <c r="AM1575" i="3"/>
  <c r="AQ1575" i="3" s="1"/>
  <c r="AG232" i="3"/>
  <c r="AK232" i="3" s="1"/>
  <c r="C5" i="3"/>
  <c r="AS5" i="3" s="1"/>
  <c r="AX4" i="3"/>
  <c r="AZ4" i="3" s="1"/>
  <c r="B52" i="3"/>
  <c r="B53" i="3" s="1"/>
  <c r="B54" i="3" s="1"/>
  <c r="B55" i="3" s="1"/>
  <c r="B56" i="3" s="1"/>
  <c r="U6" i="3"/>
  <c r="Y6" i="3" s="1"/>
  <c r="U7" i="3" s="1"/>
  <c r="Y7" i="3" s="1"/>
  <c r="U8" i="3" s="1"/>
  <c r="Y8" i="3" s="1"/>
  <c r="U9" i="3" s="1"/>
  <c r="Y9" i="3" s="1"/>
  <c r="U10" i="3" s="1"/>
  <c r="Y10" i="3" s="1"/>
  <c r="U11" i="3" s="1"/>
  <c r="Y11" i="3" s="1"/>
  <c r="U12" i="3" s="1"/>
  <c r="Y12" i="3" s="1"/>
  <c r="U13" i="3" s="1"/>
  <c r="Y13" i="3" s="1"/>
  <c r="U14" i="3" s="1"/>
  <c r="Y14" i="3" s="1"/>
  <c r="U15" i="3" s="1"/>
  <c r="Y15" i="3" s="1"/>
  <c r="U16" i="3" s="1"/>
  <c r="Y16" i="3" s="1"/>
  <c r="U17" i="3" s="1"/>
  <c r="Y17" i="3" s="1"/>
  <c r="U18" i="3" s="1"/>
  <c r="Y18" i="3" s="1"/>
  <c r="U19" i="3" s="1"/>
  <c r="Y19" i="3" s="1"/>
  <c r="U20" i="3" s="1"/>
  <c r="Y20" i="3" s="1"/>
  <c r="U21" i="3" s="1"/>
  <c r="Y21" i="3" s="1"/>
  <c r="U22" i="3" s="1"/>
  <c r="Y22" i="3" s="1"/>
  <c r="U23" i="3" s="1"/>
  <c r="Y23" i="3" s="1"/>
  <c r="U24" i="3" s="1"/>
  <c r="Y24" i="3" s="1"/>
  <c r="I6" i="3"/>
  <c r="M6" i="3" s="1"/>
  <c r="I7" i="3" s="1"/>
  <c r="M7" i="3" s="1"/>
  <c r="I8" i="3" s="1"/>
  <c r="M8" i="3" s="1"/>
  <c r="I9" i="3" s="1"/>
  <c r="M9" i="3" s="1"/>
  <c r="I10" i="3" s="1"/>
  <c r="M10" i="3" s="1"/>
  <c r="I11" i="3" s="1"/>
  <c r="M11" i="3" s="1"/>
  <c r="I12" i="3" s="1"/>
  <c r="M12" i="3" s="1"/>
  <c r="I13" i="3" s="1"/>
  <c r="M13" i="3" s="1"/>
  <c r="I14" i="3" s="1"/>
  <c r="M14" i="3" s="1"/>
  <c r="I15" i="3" s="1"/>
  <c r="M15" i="3" s="1"/>
  <c r="I16" i="3" s="1"/>
  <c r="M16" i="3" s="1"/>
  <c r="I17" i="3" s="1"/>
  <c r="M17" i="3" s="1"/>
  <c r="I18" i="3" s="1"/>
  <c r="M18" i="3" s="1"/>
  <c r="I19" i="3" s="1"/>
  <c r="M19" i="3" s="1"/>
  <c r="I20" i="3" s="1"/>
  <c r="M20" i="3" s="1"/>
  <c r="I21" i="3" s="1"/>
  <c r="M21" i="3" s="1"/>
  <c r="I22" i="3" s="1"/>
  <c r="M22" i="3" s="1"/>
  <c r="I23" i="3" s="1"/>
  <c r="M23" i="3" s="1"/>
  <c r="I24" i="3" s="1"/>
  <c r="M24" i="3" s="1"/>
  <c r="AA6" i="3"/>
  <c r="AE6" i="3" s="1"/>
  <c r="AA7" i="3" s="1"/>
  <c r="AE7" i="3" s="1"/>
  <c r="AA8" i="3" s="1"/>
  <c r="AE8" i="3" s="1"/>
  <c r="AA9" i="3" s="1"/>
  <c r="AE9" i="3" s="1"/>
  <c r="AA10" i="3" s="1"/>
  <c r="AE10" i="3" s="1"/>
  <c r="AA11" i="3" s="1"/>
  <c r="AE11" i="3" s="1"/>
  <c r="AA12" i="3" s="1"/>
  <c r="AE12" i="3" s="1"/>
  <c r="AA13" i="3" s="1"/>
  <c r="AE13" i="3" s="1"/>
  <c r="AA14" i="3" s="1"/>
  <c r="AE14" i="3" s="1"/>
  <c r="AA15" i="3" s="1"/>
  <c r="AE15" i="3" s="1"/>
  <c r="AA16" i="3" s="1"/>
  <c r="AE16" i="3" s="1"/>
  <c r="AA17" i="3" s="1"/>
  <c r="AE17" i="3" s="1"/>
  <c r="AA18" i="3" s="1"/>
  <c r="AE18" i="3" s="1"/>
  <c r="AA19" i="3" s="1"/>
  <c r="AE19" i="3" s="1"/>
  <c r="AA20" i="3" s="1"/>
  <c r="AE20" i="3" s="1"/>
  <c r="AA21" i="3" s="1"/>
  <c r="AE21" i="3" s="1"/>
  <c r="AA22" i="3" s="1"/>
  <c r="AE22" i="3" s="1"/>
  <c r="AA23" i="3" s="1"/>
  <c r="AE23" i="3" s="1"/>
  <c r="AA24" i="3" s="1"/>
  <c r="AE24" i="3" s="1"/>
  <c r="O6" i="3"/>
  <c r="S6" i="3" s="1"/>
  <c r="O7" i="3" s="1"/>
  <c r="S7" i="3" s="1"/>
  <c r="O8" i="3" s="1"/>
  <c r="S8" i="3" s="1"/>
  <c r="O9" i="3" s="1"/>
  <c r="S9" i="3" s="1"/>
  <c r="O10" i="3" s="1"/>
  <c r="S10" i="3" s="1"/>
  <c r="O11" i="3" s="1"/>
  <c r="S11" i="3" s="1"/>
  <c r="O12" i="3" s="1"/>
  <c r="S12" i="3" s="1"/>
  <c r="O13" i="3" s="1"/>
  <c r="S13" i="3" s="1"/>
  <c r="O14" i="3" s="1"/>
  <c r="S14" i="3" s="1"/>
  <c r="O15" i="3" s="1"/>
  <c r="S15" i="3" s="1"/>
  <c r="O16" i="3" s="1"/>
  <c r="S16" i="3" s="1"/>
  <c r="O17" i="3" s="1"/>
  <c r="S17" i="3" s="1"/>
  <c r="O18" i="3" s="1"/>
  <c r="S18" i="3" s="1"/>
  <c r="O19" i="3" s="1"/>
  <c r="S19" i="3" s="1"/>
  <c r="O20" i="3" s="1"/>
  <c r="S20" i="3" s="1"/>
  <c r="O21" i="3" s="1"/>
  <c r="S21" i="3" s="1"/>
  <c r="O22" i="3" s="1"/>
  <c r="S22" i="3" s="1"/>
  <c r="O23" i="3" s="1"/>
  <c r="S23" i="3" s="1"/>
  <c r="O24" i="3" s="1"/>
  <c r="S24" i="3" s="1"/>
  <c r="AM1576" i="3" l="1"/>
  <c r="AQ1576" i="3" s="1"/>
  <c r="AM433" i="3"/>
  <c r="AQ433" i="3" s="1"/>
  <c r="G5" i="3"/>
  <c r="AX5" i="3" s="1"/>
  <c r="AZ5" i="3" s="1"/>
  <c r="AG233" i="3"/>
  <c r="AK233" i="3" s="1"/>
  <c r="AG234" i="3" s="1"/>
  <c r="AK234" i="3" s="1"/>
  <c r="B57" i="3"/>
  <c r="B58" i="3" s="1"/>
  <c r="B59" i="3" s="1"/>
  <c r="B60" i="3" s="1"/>
  <c r="U25" i="3"/>
  <c r="Y25" i="3" s="1"/>
  <c r="U26" i="3" s="1"/>
  <c r="Y26" i="3" s="1"/>
  <c r="AA25" i="3"/>
  <c r="AE25" i="3" s="1"/>
  <c r="AA26" i="3" s="1"/>
  <c r="AE26" i="3" s="1"/>
  <c r="O25" i="3"/>
  <c r="S25" i="3" s="1"/>
  <c r="O26" i="3" s="1"/>
  <c r="S26" i="3" s="1"/>
  <c r="I25" i="3"/>
  <c r="M25" i="3" s="1"/>
  <c r="I26" i="3" s="1"/>
  <c r="M26" i="3" s="1"/>
  <c r="AM434" i="3" l="1"/>
  <c r="AQ434" i="3" s="1"/>
  <c r="AM1577" i="3"/>
  <c r="AQ1577" i="3" s="1"/>
  <c r="C6" i="3"/>
  <c r="AS6" i="3" s="1"/>
  <c r="AG235" i="3"/>
  <c r="AK235" i="3" s="1"/>
  <c r="B61" i="3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AA27" i="3"/>
  <c r="AE27" i="3" s="1"/>
  <c r="U27" i="3"/>
  <c r="Y27" i="3" s="1"/>
  <c r="I27" i="3"/>
  <c r="M27" i="3" s="1"/>
  <c r="O27" i="3"/>
  <c r="S27" i="3" s="1"/>
  <c r="AM435" i="3" l="1"/>
  <c r="AQ435" i="3" s="1"/>
  <c r="AM1578" i="3"/>
  <c r="AQ1578" i="3" s="1"/>
  <c r="G6" i="3"/>
  <c r="AX6" i="3" s="1"/>
  <c r="AZ6" i="3" s="1"/>
  <c r="AG236" i="3"/>
  <c r="AK236" i="3" s="1"/>
  <c r="AG237" i="3" s="1"/>
  <c r="AK237" i="3" s="1"/>
  <c r="B84" i="3"/>
  <c r="B85" i="3" s="1"/>
  <c r="B86" i="3" s="1"/>
  <c r="B87" i="3" s="1"/>
  <c r="B88" i="3" s="1"/>
  <c r="B89" i="3" s="1"/>
  <c r="B90" i="3" s="1"/>
  <c r="U28" i="3"/>
  <c r="Y28" i="3" s="1"/>
  <c r="U29" i="3" s="1"/>
  <c r="Y29" i="3" s="1"/>
  <c r="AA28" i="3"/>
  <c r="AE28" i="3" s="1"/>
  <c r="AA29" i="3" s="1"/>
  <c r="AE29" i="3" s="1"/>
  <c r="O28" i="3"/>
  <c r="S28" i="3" s="1"/>
  <c r="O29" i="3" s="1"/>
  <c r="S29" i="3" s="1"/>
  <c r="I28" i="3"/>
  <c r="M28" i="3" s="1"/>
  <c r="I29" i="3" s="1"/>
  <c r="M29" i="3" s="1"/>
  <c r="AM1579" i="3" l="1"/>
  <c r="AQ1579" i="3" s="1"/>
  <c r="AM436" i="3"/>
  <c r="AQ436" i="3" s="1"/>
  <c r="C7" i="3"/>
  <c r="AS7" i="3" s="1"/>
  <c r="AG238" i="3"/>
  <c r="AK238" i="3" s="1"/>
  <c r="B91" i="3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I30" i="3"/>
  <c r="M30" i="3" s="1"/>
  <c r="O30" i="3"/>
  <c r="S30" i="3" s="1"/>
  <c r="AA30" i="3"/>
  <c r="AE30" i="3" s="1"/>
  <c r="U30" i="3"/>
  <c r="Y30" i="3" s="1"/>
  <c r="AM437" i="3" l="1"/>
  <c r="AQ437" i="3" s="1"/>
  <c r="AM1580" i="3"/>
  <c r="AQ1580" i="3" s="1"/>
  <c r="G7" i="3"/>
  <c r="AX7" i="3" s="1"/>
  <c r="AZ7" i="3" s="1"/>
  <c r="AG239" i="3"/>
  <c r="AK239" i="3" s="1"/>
  <c r="B103" i="3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U31" i="3"/>
  <c r="Y31" i="3" s="1"/>
  <c r="O31" i="3"/>
  <c r="S31" i="3" s="1"/>
  <c r="I31" i="3"/>
  <c r="M31" i="3" s="1"/>
  <c r="AA31" i="3"/>
  <c r="AE31" i="3" s="1"/>
  <c r="AM438" i="3" l="1"/>
  <c r="AQ438" i="3" s="1"/>
  <c r="AM1581" i="3"/>
  <c r="AQ1581" i="3" s="1"/>
  <c r="C8" i="3"/>
  <c r="AS8" i="3" s="1"/>
  <c r="B296" i="3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AG240" i="3"/>
  <c r="AK240" i="3" s="1"/>
  <c r="I32" i="3"/>
  <c r="M32" i="3" s="1"/>
  <c r="I33" i="3" s="1"/>
  <c r="M33" i="3" s="1"/>
  <c r="AA32" i="3"/>
  <c r="AE32" i="3" s="1"/>
  <c r="AA33" i="3" s="1"/>
  <c r="AE33" i="3" s="1"/>
  <c r="O32" i="3"/>
  <c r="S32" i="3" s="1"/>
  <c r="O33" i="3" s="1"/>
  <c r="S33" i="3" s="1"/>
  <c r="U32" i="3"/>
  <c r="Y32" i="3" s="1"/>
  <c r="U33" i="3" s="1"/>
  <c r="Y33" i="3" s="1"/>
  <c r="AM1582" i="3" l="1"/>
  <c r="AQ1582" i="3" s="1"/>
  <c r="AM439" i="3"/>
  <c r="AQ439" i="3" s="1"/>
  <c r="G8" i="3"/>
  <c r="AX8" i="3" s="1"/>
  <c r="AZ8" i="3" s="1"/>
  <c r="B360" i="3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AG241" i="3"/>
  <c r="AK241" i="3" s="1"/>
  <c r="AG242" i="3" s="1"/>
  <c r="AK242" i="3" s="1"/>
  <c r="U34" i="3"/>
  <c r="Y34" i="3" s="1"/>
  <c r="O34" i="3"/>
  <c r="S34" i="3" s="1"/>
  <c r="AA34" i="3"/>
  <c r="AE34" i="3" s="1"/>
  <c r="I34" i="3"/>
  <c r="M34" i="3" s="1"/>
  <c r="AM440" i="3" l="1"/>
  <c r="AQ440" i="3" s="1"/>
  <c r="AM1583" i="3"/>
  <c r="AQ1583" i="3" s="1"/>
  <c r="B456" i="3"/>
  <c r="B457" i="3" s="1"/>
  <c r="B458" i="3" s="1"/>
  <c r="B459" i="3" s="1"/>
  <c r="B460" i="3" s="1"/>
  <c r="B461" i="3" s="1"/>
  <c r="B462" i="3" s="1"/>
  <c r="B463" i="3" s="1"/>
  <c r="C9" i="3"/>
  <c r="AS9" i="3" s="1"/>
  <c r="AG243" i="3"/>
  <c r="AK243" i="3" s="1"/>
  <c r="O35" i="3"/>
  <c r="S35" i="3" s="1"/>
  <c r="I35" i="3"/>
  <c r="M35" i="3" s="1"/>
  <c r="AA35" i="3"/>
  <c r="AE35" i="3" s="1"/>
  <c r="U35" i="3"/>
  <c r="Y35" i="3" s="1"/>
  <c r="AM1584" i="3" l="1"/>
  <c r="AQ1584" i="3" s="1"/>
  <c r="AM441" i="3"/>
  <c r="AQ441" i="3" s="1"/>
  <c r="B464" i="3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G9" i="3"/>
  <c r="AX9" i="3" s="1"/>
  <c r="AZ9" i="3" s="1"/>
  <c r="AG244" i="3"/>
  <c r="AK244" i="3" s="1"/>
  <c r="I36" i="3"/>
  <c r="M36" i="3" s="1"/>
  <c r="I37" i="3" s="1"/>
  <c r="M37" i="3" s="1"/>
  <c r="O36" i="3"/>
  <c r="S36" i="3" s="1"/>
  <c r="O37" i="3" s="1"/>
  <c r="S37" i="3" s="1"/>
  <c r="U36" i="3"/>
  <c r="Y36" i="3" s="1"/>
  <c r="U37" i="3" s="1"/>
  <c r="Y37" i="3" s="1"/>
  <c r="AA36" i="3"/>
  <c r="AE36" i="3" s="1"/>
  <c r="AA37" i="3" s="1"/>
  <c r="AE37" i="3" s="1"/>
  <c r="AM442" i="3" l="1"/>
  <c r="AQ442" i="3" s="1"/>
  <c r="AM1585" i="3"/>
  <c r="AQ1585" i="3" s="1"/>
  <c r="B588" i="3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660" i="3" s="1"/>
  <c r="B661" i="3" s="1"/>
  <c r="B662" i="3" s="1"/>
  <c r="B663" i="3" s="1"/>
  <c r="B664" i="3" s="1"/>
  <c r="B665" i="3" s="1"/>
  <c r="B666" i="3" s="1"/>
  <c r="B667" i="3" s="1"/>
  <c r="B668" i="3" s="1"/>
  <c r="B669" i="3" s="1"/>
  <c r="B670" i="3" s="1"/>
  <c r="B671" i="3" s="1"/>
  <c r="B672" i="3" s="1"/>
  <c r="B673" i="3" s="1"/>
  <c r="B674" i="3" s="1"/>
  <c r="B675" i="3" s="1"/>
  <c r="B676" i="3" s="1"/>
  <c r="B677" i="3" s="1"/>
  <c r="B678" i="3" s="1"/>
  <c r="B679" i="3" s="1"/>
  <c r="B680" i="3" s="1"/>
  <c r="B681" i="3" s="1"/>
  <c r="B682" i="3" s="1"/>
  <c r="B683" i="3" s="1"/>
  <c r="B684" i="3" s="1"/>
  <c r="B685" i="3" s="1"/>
  <c r="B686" i="3" s="1"/>
  <c r="B687" i="3" s="1"/>
  <c r="B688" i="3" s="1"/>
  <c r="B689" i="3" s="1"/>
  <c r="B690" i="3" s="1"/>
  <c r="B691" i="3" s="1"/>
  <c r="B692" i="3" s="1"/>
  <c r="B693" i="3" s="1"/>
  <c r="B694" i="3" s="1"/>
  <c r="B695" i="3" s="1"/>
  <c r="B696" i="3" s="1"/>
  <c r="B697" i="3" s="1"/>
  <c r="B698" i="3" s="1"/>
  <c r="B699" i="3" s="1"/>
  <c r="B700" i="3" s="1"/>
  <c r="B701" i="3" s="1"/>
  <c r="B702" i="3" s="1"/>
  <c r="B703" i="3" s="1"/>
  <c r="B704" i="3" s="1"/>
  <c r="B705" i="3" s="1"/>
  <c r="B706" i="3" s="1"/>
  <c r="B707" i="3" s="1"/>
  <c r="B708" i="3" s="1"/>
  <c r="B709" i="3" s="1"/>
  <c r="B710" i="3" s="1"/>
  <c r="B711" i="3" s="1"/>
  <c r="B712" i="3" s="1"/>
  <c r="B713" i="3" s="1"/>
  <c r="B714" i="3" s="1"/>
  <c r="B715" i="3" s="1"/>
  <c r="B716" i="3" s="1"/>
  <c r="B717" i="3" s="1"/>
  <c r="B718" i="3" s="1"/>
  <c r="B719" i="3" s="1"/>
  <c r="B720" i="3" s="1"/>
  <c r="B721" i="3" s="1"/>
  <c r="B722" i="3" s="1"/>
  <c r="B723" i="3" s="1"/>
  <c r="B724" i="3" s="1"/>
  <c r="B725" i="3" s="1"/>
  <c r="B726" i="3" s="1"/>
  <c r="B727" i="3" s="1"/>
  <c r="B728" i="3" s="1"/>
  <c r="B729" i="3" s="1"/>
  <c r="B730" i="3" s="1"/>
  <c r="B731" i="3" s="1"/>
  <c r="B732" i="3" s="1"/>
  <c r="B733" i="3" s="1"/>
  <c r="B734" i="3" s="1"/>
  <c r="B735" i="3" s="1"/>
  <c r="B736" i="3" s="1"/>
  <c r="B737" i="3" s="1"/>
  <c r="B738" i="3" s="1"/>
  <c r="B739" i="3" s="1"/>
  <c r="B740" i="3" s="1"/>
  <c r="B741" i="3" s="1"/>
  <c r="B742" i="3" s="1"/>
  <c r="B743" i="3" s="1"/>
  <c r="B744" i="3" s="1"/>
  <c r="B745" i="3" s="1"/>
  <c r="B746" i="3" s="1"/>
  <c r="B747" i="3" s="1"/>
  <c r="B748" i="3" s="1"/>
  <c r="B749" i="3" s="1"/>
  <c r="B750" i="3" s="1"/>
  <c r="B751" i="3" s="1"/>
  <c r="B752" i="3" s="1"/>
  <c r="B753" i="3" s="1"/>
  <c r="B754" i="3" s="1"/>
  <c r="B755" i="3" s="1"/>
  <c r="B756" i="3" s="1"/>
  <c r="B757" i="3" s="1"/>
  <c r="B758" i="3" s="1"/>
  <c r="B759" i="3" s="1"/>
  <c r="B760" i="3" s="1"/>
  <c r="B761" i="3" s="1"/>
  <c r="B762" i="3" s="1"/>
  <c r="B763" i="3" s="1"/>
  <c r="B764" i="3" s="1"/>
  <c r="B765" i="3" s="1"/>
  <c r="B766" i="3" s="1"/>
  <c r="B767" i="3" s="1"/>
  <c r="B768" i="3" s="1"/>
  <c r="B769" i="3" s="1"/>
  <c r="B770" i="3" s="1"/>
  <c r="B771" i="3" s="1"/>
  <c r="B772" i="3" s="1"/>
  <c r="B773" i="3" s="1"/>
  <c r="B774" i="3" s="1"/>
  <c r="B775" i="3" s="1"/>
  <c r="B776" i="3" s="1"/>
  <c r="B777" i="3" s="1"/>
  <c r="B778" i="3" s="1"/>
  <c r="B779" i="3" s="1"/>
  <c r="B780" i="3" s="1"/>
  <c r="B781" i="3" s="1"/>
  <c r="B782" i="3" s="1"/>
  <c r="B783" i="3" s="1"/>
  <c r="B784" i="3" s="1"/>
  <c r="B785" i="3" s="1"/>
  <c r="B786" i="3" s="1"/>
  <c r="B787" i="3" s="1"/>
  <c r="B788" i="3" s="1"/>
  <c r="B789" i="3" s="1"/>
  <c r="B790" i="3" s="1"/>
  <c r="B791" i="3" s="1"/>
  <c r="B792" i="3" s="1"/>
  <c r="B793" i="3" s="1"/>
  <c r="B794" i="3" s="1"/>
  <c r="B795" i="3" s="1"/>
  <c r="B796" i="3" s="1"/>
  <c r="B797" i="3" s="1"/>
  <c r="B798" i="3" s="1"/>
  <c r="B799" i="3" s="1"/>
  <c r="B800" i="3" s="1"/>
  <c r="B801" i="3" s="1"/>
  <c r="B802" i="3" s="1"/>
  <c r="B803" i="3" s="1"/>
  <c r="B804" i="3" s="1"/>
  <c r="B805" i="3" s="1"/>
  <c r="B806" i="3" s="1"/>
  <c r="B807" i="3" s="1"/>
  <c r="B808" i="3" s="1"/>
  <c r="B809" i="3" s="1"/>
  <c r="B810" i="3" s="1"/>
  <c r="B811" i="3" s="1"/>
  <c r="B812" i="3" s="1"/>
  <c r="B813" i="3" s="1"/>
  <c r="B814" i="3" s="1"/>
  <c r="B815" i="3" s="1"/>
  <c r="B816" i="3" s="1"/>
  <c r="B817" i="3" s="1"/>
  <c r="B818" i="3" s="1"/>
  <c r="B819" i="3" s="1"/>
  <c r="B820" i="3" s="1"/>
  <c r="B821" i="3" s="1"/>
  <c r="B822" i="3" s="1"/>
  <c r="B823" i="3" s="1"/>
  <c r="B824" i="3" s="1"/>
  <c r="B825" i="3" s="1"/>
  <c r="B826" i="3" s="1"/>
  <c r="B827" i="3" s="1"/>
  <c r="B828" i="3" s="1"/>
  <c r="B829" i="3" s="1"/>
  <c r="B830" i="3" s="1"/>
  <c r="B831" i="3" s="1"/>
  <c r="B832" i="3" s="1"/>
  <c r="B833" i="3" s="1"/>
  <c r="B834" i="3" s="1"/>
  <c r="B835" i="3" s="1"/>
  <c r="B836" i="3" s="1"/>
  <c r="B837" i="3" s="1"/>
  <c r="B838" i="3" s="1"/>
  <c r="B839" i="3" s="1"/>
  <c r="B840" i="3" s="1"/>
  <c r="B841" i="3" s="1"/>
  <c r="B842" i="3" s="1"/>
  <c r="B843" i="3" s="1"/>
  <c r="B844" i="3" s="1"/>
  <c r="B845" i="3" s="1"/>
  <c r="B846" i="3" s="1"/>
  <c r="B847" i="3" s="1"/>
  <c r="B848" i="3" s="1"/>
  <c r="B849" i="3" s="1"/>
  <c r="B850" i="3" s="1"/>
  <c r="B851" i="3" s="1"/>
  <c r="B852" i="3" s="1"/>
  <c r="B853" i="3" s="1"/>
  <c r="B854" i="3" s="1"/>
  <c r="B855" i="3" s="1"/>
  <c r="B856" i="3" s="1"/>
  <c r="B857" i="3" s="1"/>
  <c r="B858" i="3" s="1"/>
  <c r="B859" i="3" s="1"/>
  <c r="B860" i="3" s="1"/>
  <c r="B861" i="3" s="1"/>
  <c r="B862" i="3" s="1"/>
  <c r="B863" i="3" s="1"/>
  <c r="B864" i="3" s="1"/>
  <c r="B865" i="3" s="1"/>
  <c r="B866" i="3" s="1"/>
  <c r="B867" i="3" s="1"/>
  <c r="B868" i="3" s="1"/>
  <c r="B869" i="3" s="1"/>
  <c r="B870" i="3" s="1"/>
  <c r="B871" i="3" s="1"/>
  <c r="B872" i="3" s="1"/>
  <c r="B873" i="3" s="1"/>
  <c r="B874" i="3" s="1"/>
  <c r="B875" i="3" s="1"/>
  <c r="B876" i="3" s="1"/>
  <c r="B877" i="3" s="1"/>
  <c r="B878" i="3" s="1"/>
  <c r="B879" i="3" s="1"/>
  <c r="B880" i="3" s="1"/>
  <c r="B881" i="3" s="1"/>
  <c r="B882" i="3" s="1"/>
  <c r="B883" i="3" s="1"/>
  <c r="B884" i="3" s="1"/>
  <c r="B885" i="3" s="1"/>
  <c r="B886" i="3" s="1"/>
  <c r="B887" i="3" s="1"/>
  <c r="B888" i="3" s="1"/>
  <c r="B889" i="3" s="1"/>
  <c r="B890" i="3" s="1"/>
  <c r="B891" i="3" s="1"/>
  <c r="B892" i="3" s="1"/>
  <c r="B893" i="3" s="1"/>
  <c r="B894" i="3" s="1"/>
  <c r="B895" i="3" s="1"/>
  <c r="B896" i="3" s="1"/>
  <c r="B897" i="3" s="1"/>
  <c r="B898" i="3" s="1"/>
  <c r="B899" i="3" s="1"/>
  <c r="B900" i="3" s="1"/>
  <c r="B901" i="3" s="1"/>
  <c r="B902" i="3" s="1"/>
  <c r="B903" i="3" s="1"/>
  <c r="B904" i="3" s="1"/>
  <c r="B905" i="3" s="1"/>
  <c r="B906" i="3" s="1"/>
  <c r="B907" i="3" s="1"/>
  <c r="B908" i="3" s="1"/>
  <c r="B909" i="3" s="1"/>
  <c r="B910" i="3" s="1"/>
  <c r="B911" i="3" s="1"/>
  <c r="B912" i="3" s="1"/>
  <c r="B913" i="3" s="1"/>
  <c r="B914" i="3" s="1"/>
  <c r="B915" i="3" s="1"/>
  <c r="B916" i="3" s="1"/>
  <c r="B917" i="3" s="1"/>
  <c r="B918" i="3" s="1"/>
  <c r="B919" i="3" s="1"/>
  <c r="B920" i="3" s="1"/>
  <c r="B921" i="3" s="1"/>
  <c r="B922" i="3" s="1"/>
  <c r="B923" i="3" s="1"/>
  <c r="B924" i="3" s="1"/>
  <c r="B925" i="3" s="1"/>
  <c r="B926" i="3" s="1"/>
  <c r="B927" i="3" s="1"/>
  <c r="B928" i="3" s="1"/>
  <c r="B929" i="3" s="1"/>
  <c r="B930" i="3" s="1"/>
  <c r="B931" i="3" s="1"/>
  <c r="B932" i="3" s="1"/>
  <c r="B933" i="3" s="1"/>
  <c r="B934" i="3" s="1"/>
  <c r="B935" i="3" s="1"/>
  <c r="B936" i="3" s="1"/>
  <c r="B937" i="3" s="1"/>
  <c r="B938" i="3" s="1"/>
  <c r="B939" i="3" s="1"/>
  <c r="B940" i="3" s="1"/>
  <c r="B941" i="3" s="1"/>
  <c r="B942" i="3" s="1"/>
  <c r="B943" i="3" s="1"/>
  <c r="B944" i="3" s="1"/>
  <c r="B945" i="3" s="1"/>
  <c r="B946" i="3" s="1"/>
  <c r="B947" i="3" s="1"/>
  <c r="B948" i="3" s="1"/>
  <c r="B949" i="3" s="1"/>
  <c r="B950" i="3" s="1"/>
  <c r="B951" i="3" s="1"/>
  <c r="B952" i="3" s="1"/>
  <c r="B953" i="3" s="1"/>
  <c r="B954" i="3" s="1"/>
  <c r="B955" i="3" s="1"/>
  <c r="B956" i="3" s="1"/>
  <c r="B957" i="3" s="1"/>
  <c r="B958" i="3" s="1"/>
  <c r="B959" i="3" s="1"/>
  <c r="B960" i="3" s="1"/>
  <c r="B961" i="3" s="1"/>
  <c r="B962" i="3" s="1"/>
  <c r="B963" i="3" s="1"/>
  <c r="B964" i="3" s="1"/>
  <c r="B965" i="3" s="1"/>
  <c r="B966" i="3" s="1"/>
  <c r="B967" i="3" s="1"/>
  <c r="B968" i="3" s="1"/>
  <c r="B969" i="3" s="1"/>
  <c r="B970" i="3" s="1"/>
  <c r="B971" i="3" s="1"/>
  <c r="B972" i="3" s="1"/>
  <c r="B973" i="3" s="1"/>
  <c r="B974" i="3" s="1"/>
  <c r="B975" i="3" s="1"/>
  <c r="B976" i="3" s="1"/>
  <c r="B977" i="3" s="1"/>
  <c r="B978" i="3" s="1"/>
  <c r="B979" i="3" s="1"/>
  <c r="B980" i="3" s="1"/>
  <c r="B981" i="3" s="1"/>
  <c r="B982" i="3" s="1"/>
  <c r="B983" i="3" s="1"/>
  <c r="B984" i="3" s="1"/>
  <c r="B985" i="3" s="1"/>
  <c r="B986" i="3" s="1"/>
  <c r="B987" i="3" s="1"/>
  <c r="B988" i="3" s="1"/>
  <c r="B989" i="3" s="1"/>
  <c r="B990" i="3" s="1"/>
  <c r="B991" i="3" s="1"/>
  <c r="B992" i="3" s="1"/>
  <c r="B993" i="3" s="1"/>
  <c r="B994" i="3" s="1"/>
  <c r="B995" i="3" s="1"/>
  <c r="B996" i="3" s="1"/>
  <c r="B997" i="3" s="1"/>
  <c r="B998" i="3" s="1"/>
  <c r="B999" i="3" s="1"/>
  <c r="B1000" i="3" s="1"/>
  <c r="B1001" i="3" s="1"/>
  <c r="B1002" i="3" s="1"/>
  <c r="B1003" i="3" s="1"/>
  <c r="B1004" i="3" s="1"/>
  <c r="B1005" i="3" s="1"/>
  <c r="B1006" i="3" s="1"/>
  <c r="B1007" i="3" s="1"/>
  <c r="B1008" i="3" s="1"/>
  <c r="B1009" i="3" s="1"/>
  <c r="B1010" i="3" s="1"/>
  <c r="B1011" i="3" s="1"/>
  <c r="B1012" i="3" s="1"/>
  <c r="B1013" i="3" s="1"/>
  <c r="B1014" i="3" s="1"/>
  <c r="B1015" i="3" s="1"/>
  <c r="B1016" i="3" s="1"/>
  <c r="B1017" i="3" s="1"/>
  <c r="B1018" i="3" s="1"/>
  <c r="B1019" i="3" s="1"/>
  <c r="B1020" i="3" s="1"/>
  <c r="B1021" i="3" s="1"/>
  <c r="B1022" i="3" s="1"/>
  <c r="B1023" i="3" s="1"/>
  <c r="B1024" i="3" s="1"/>
  <c r="B1025" i="3" s="1"/>
  <c r="B1026" i="3" s="1"/>
  <c r="B1027" i="3" s="1"/>
  <c r="B1028" i="3" s="1"/>
  <c r="B1029" i="3" s="1"/>
  <c r="B1030" i="3" s="1"/>
  <c r="B1031" i="3" s="1"/>
  <c r="B1032" i="3" s="1"/>
  <c r="B1033" i="3" s="1"/>
  <c r="B1034" i="3" s="1"/>
  <c r="B1035" i="3" s="1"/>
  <c r="B1036" i="3" s="1"/>
  <c r="B1037" i="3" s="1"/>
  <c r="B1038" i="3" s="1"/>
  <c r="B1039" i="3" s="1"/>
  <c r="B1040" i="3" s="1"/>
  <c r="B1041" i="3" s="1"/>
  <c r="B1042" i="3" s="1"/>
  <c r="B1043" i="3" s="1"/>
  <c r="B1044" i="3" s="1"/>
  <c r="B1045" i="3" s="1"/>
  <c r="B1046" i="3" s="1"/>
  <c r="B1047" i="3" s="1"/>
  <c r="B1048" i="3" s="1"/>
  <c r="B1049" i="3" s="1"/>
  <c r="B1050" i="3" s="1"/>
  <c r="B1051" i="3" s="1"/>
  <c r="B1052" i="3" s="1"/>
  <c r="B1053" i="3" s="1"/>
  <c r="B1054" i="3" s="1"/>
  <c r="B1055" i="3" s="1"/>
  <c r="B1056" i="3" s="1"/>
  <c r="B1057" i="3" s="1"/>
  <c r="B1058" i="3" s="1"/>
  <c r="B1059" i="3" s="1"/>
  <c r="B1060" i="3" s="1"/>
  <c r="B1061" i="3" s="1"/>
  <c r="B1062" i="3" s="1"/>
  <c r="B1063" i="3" s="1"/>
  <c r="B1064" i="3" s="1"/>
  <c r="B1065" i="3" s="1"/>
  <c r="B1066" i="3" s="1"/>
  <c r="B1067" i="3" s="1"/>
  <c r="B583" i="3"/>
  <c r="B584" i="3" s="1"/>
  <c r="C10" i="3"/>
  <c r="AS10" i="3" s="1"/>
  <c r="AG245" i="3"/>
  <c r="AK245" i="3" s="1"/>
  <c r="AG246" i="3" s="1"/>
  <c r="AK246" i="3" s="1"/>
  <c r="AG247" i="3" s="1"/>
  <c r="AK247" i="3" s="1"/>
  <c r="AA38" i="3"/>
  <c r="AE38" i="3" s="1"/>
  <c r="O38" i="3"/>
  <c r="S38" i="3" s="1"/>
  <c r="O39" i="3" s="1"/>
  <c r="S39" i="3" s="1"/>
  <c r="U38" i="3"/>
  <c r="Y38" i="3" s="1"/>
  <c r="U39" i="3" s="1"/>
  <c r="Y39" i="3" s="1"/>
  <c r="I38" i="3"/>
  <c r="M38" i="3" s="1"/>
  <c r="AM1586" i="3" l="1"/>
  <c r="AQ1586" i="3" s="1"/>
  <c r="AM443" i="3"/>
  <c r="AQ443" i="3" s="1"/>
  <c r="B1068" i="3"/>
  <c r="B1069" i="3" s="1"/>
  <c r="B1070" i="3" s="1"/>
  <c r="B1071" i="3" s="1"/>
  <c r="B1072" i="3" s="1"/>
  <c r="B1073" i="3" s="1"/>
  <c r="B1074" i="3" s="1"/>
  <c r="B1075" i="3" s="1"/>
  <c r="B1076" i="3" s="1"/>
  <c r="B1077" i="3" s="1"/>
  <c r="B1078" i="3" s="1"/>
  <c r="B1079" i="3" s="1"/>
  <c r="B1080" i="3" s="1"/>
  <c r="B1081" i="3" s="1"/>
  <c r="B1082" i="3" s="1"/>
  <c r="B1083" i="3" s="1"/>
  <c r="B1084" i="3" s="1"/>
  <c r="B1085" i="3" s="1"/>
  <c r="B1086" i="3" s="1"/>
  <c r="B1087" i="3" s="1"/>
  <c r="B1088" i="3" s="1"/>
  <c r="B1089" i="3" s="1"/>
  <c r="B1090" i="3" s="1"/>
  <c r="B1091" i="3" s="1"/>
  <c r="B1092" i="3" s="1"/>
  <c r="B1093" i="3" s="1"/>
  <c r="B1094" i="3" s="1"/>
  <c r="B1095" i="3" s="1"/>
  <c r="B1096" i="3" s="1"/>
  <c r="B1097" i="3" s="1"/>
  <c r="B1098" i="3" s="1"/>
  <c r="B1099" i="3" s="1"/>
  <c r="B1100" i="3" s="1"/>
  <c r="B1101" i="3" s="1"/>
  <c r="B1102" i="3" s="1"/>
  <c r="B1103" i="3" s="1"/>
  <c r="B1104" i="3" s="1"/>
  <c r="B1105" i="3" s="1"/>
  <c r="B1106" i="3" s="1"/>
  <c r="B1107" i="3" s="1"/>
  <c r="B1108" i="3" s="1"/>
  <c r="B1109" i="3" s="1"/>
  <c r="B1110" i="3" s="1"/>
  <c r="B1111" i="3" s="1"/>
  <c r="B1112" i="3" s="1"/>
  <c r="B1113" i="3" s="1"/>
  <c r="B1114" i="3" s="1"/>
  <c r="B1115" i="3" s="1"/>
  <c r="B1116" i="3" s="1"/>
  <c r="B1117" i="3" s="1"/>
  <c r="B1118" i="3" s="1"/>
  <c r="B1119" i="3" s="1"/>
  <c r="B1120" i="3" s="1"/>
  <c r="B1121" i="3" s="1"/>
  <c r="B1122" i="3" s="1"/>
  <c r="B1123" i="3" s="1"/>
  <c r="B1124" i="3" s="1"/>
  <c r="B1125" i="3" s="1"/>
  <c r="B1126" i="3" s="1"/>
  <c r="B1127" i="3" s="1"/>
  <c r="B1128" i="3" s="1"/>
  <c r="B1129" i="3" s="1"/>
  <c r="B1130" i="3" s="1"/>
  <c r="B1131" i="3" s="1"/>
  <c r="B1132" i="3" s="1"/>
  <c r="B1133" i="3" s="1"/>
  <c r="B1134" i="3" s="1"/>
  <c r="B1135" i="3" s="1"/>
  <c r="B1136" i="3" s="1"/>
  <c r="B1137" i="3" s="1"/>
  <c r="B1138" i="3" s="1"/>
  <c r="B1139" i="3" s="1"/>
  <c r="B1140" i="3" s="1"/>
  <c r="B1141" i="3" s="1"/>
  <c r="B1142" i="3" s="1"/>
  <c r="B1143" i="3" s="1"/>
  <c r="B1144" i="3" s="1"/>
  <c r="B1145" i="3" s="1"/>
  <c r="B1146" i="3" s="1"/>
  <c r="B1147" i="3" s="1"/>
  <c r="B1148" i="3" s="1"/>
  <c r="B1149" i="3" s="1"/>
  <c r="B1150" i="3" s="1"/>
  <c r="B1151" i="3" s="1"/>
  <c r="B1152" i="3" s="1"/>
  <c r="B1153" i="3" s="1"/>
  <c r="B1154" i="3" s="1"/>
  <c r="B1155" i="3" s="1"/>
  <c r="B1156" i="3" s="1"/>
  <c r="B1157" i="3" s="1"/>
  <c r="B1158" i="3" s="1"/>
  <c r="B1159" i="3" s="1"/>
  <c r="B1160" i="3" s="1"/>
  <c r="B1161" i="3" s="1"/>
  <c r="B1162" i="3" s="1"/>
  <c r="B1163" i="3" s="1"/>
  <c r="B1164" i="3" s="1"/>
  <c r="B1165" i="3" s="1"/>
  <c r="B1166" i="3" s="1"/>
  <c r="B1167" i="3" s="1"/>
  <c r="B1168" i="3" s="1"/>
  <c r="B1169" i="3" s="1"/>
  <c r="B1170" i="3" s="1"/>
  <c r="B1171" i="3" s="1"/>
  <c r="B1172" i="3" s="1"/>
  <c r="B1173" i="3" s="1"/>
  <c r="B1174" i="3" s="1"/>
  <c r="B1175" i="3" s="1"/>
  <c r="B1176" i="3" s="1"/>
  <c r="B1177" i="3" s="1"/>
  <c r="B1178" i="3" s="1"/>
  <c r="B1179" i="3" s="1"/>
  <c r="B1180" i="3" s="1"/>
  <c r="B1181" i="3" s="1"/>
  <c r="B1182" i="3" s="1"/>
  <c r="B1183" i="3" s="1"/>
  <c r="B1184" i="3" s="1"/>
  <c r="B1185" i="3" s="1"/>
  <c r="B1186" i="3" s="1"/>
  <c r="B1187" i="3" s="1"/>
  <c r="B1188" i="3" s="1"/>
  <c r="B1189" i="3" s="1"/>
  <c r="B1190" i="3" s="1"/>
  <c r="B1191" i="3" s="1"/>
  <c r="B1192" i="3" s="1"/>
  <c r="B1193" i="3" s="1"/>
  <c r="B1194" i="3" s="1"/>
  <c r="B1195" i="3" s="1"/>
  <c r="B1196" i="3" s="1"/>
  <c r="B1197" i="3" s="1"/>
  <c r="B1198" i="3" s="1"/>
  <c r="B1199" i="3" s="1"/>
  <c r="B1200" i="3" s="1"/>
  <c r="B1201" i="3" s="1"/>
  <c r="B1202" i="3" s="1"/>
  <c r="B1203" i="3" s="1"/>
  <c r="B1204" i="3" s="1"/>
  <c r="B1205" i="3" s="1"/>
  <c r="B1206" i="3" s="1"/>
  <c r="B1207" i="3" s="1"/>
  <c r="B1208" i="3" s="1"/>
  <c r="B1209" i="3" s="1"/>
  <c r="B1210" i="3" s="1"/>
  <c r="B1211" i="3" s="1"/>
  <c r="B1212" i="3" s="1"/>
  <c r="B1213" i="3" s="1"/>
  <c r="B1214" i="3" s="1"/>
  <c r="B1215" i="3" s="1"/>
  <c r="B1216" i="3" s="1"/>
  <c r="B1217" i="3" s="1"/>
  <c r="B1218" i="3" s="1"/>
  <c r="B1219" i="3" s="1"/>
  <c r="B1220" i="3" s="1"/>
  <c r="B1221" i="3" s="1"/>
  <c r="B1222" i="3" s="1"/>
  <c r="B1223" i="3" s="1"/>
  <c r="B1224" i="3" s="1"/>
  <c r="B1225" i="3" s="1"/>
  <c r="B1226" i="3" s="1"/>
  <c r="B1227" i="3" s="1"/>
  <c r="B1228" i="3" s="1"/>
  <c r="B1229" i="3" s="1"/>
  <c r="B1230" i="3" s="1"/>
  <c r="B1231" i="3" s="1"/>
  <c r="B1232" i="3" s="1"/>
  <c r="B1233" i="3" s="1"/>
  <c r="B1234" i="3" s="1"/>
  <c r="B1235" i="3" s="1"/>
  <c r="B1236" i="3" s="1"/>
  <c r="B1237" i="3" s="1"/>
  <c r="B1238" i="3" s="1"/>
  <c r="B1239" i="3" s="1"/>
  <c r="B1240" i="3" s="1"/>
  <c r="B1241" i="3" s="1"/>
  <c r="B1242" i="3" s="1"/>
  <c r="B1243" i="3" s="1"/>
  <c r="B1244" i="3" s="1"/>
  <c r="B1245" i="3" s="1"/>
  <c r="B1246" i="3" s="1"/>
  <c r="B1247" i="3" s="1"/>
  <c r="B1248" i="3" s="1"/>
  <c r="B1249" i="3" s="1"/>
  <c r="B1250" i="3" s="1"/>
  <c r="B1251" i="3" s="1"/>
  <c r="B1252" i="3" s="1"/>
  <c r="B1253" i="3" s="1"/>
  <c r="B1254" i="3" s="1"/>
  <c r="B1255" i="3" s="1"/>
  <c r="B1256" i="3" s="1"/>
  <c r="B1257" i="3" s="1"/>
  <c r="B1258" i="3" s="1"/>
  <c r="B1259" i="3" s="1"/>
  <c r="B1260" i="3" s="1"/>
  <c r="B1261" i="3" s="1"/>
  <c r="B1262" i="3" s="1"/>
  <c r="B1263" i="3" s="1"/>
  <c r="B1264" i="3" s="1"/>
  <c r="B1265" i="3" s="1"/>
  <c r="B1266" i="3" s="1"/>
  <c r="B1267" i="3" s="1"/>
  <c r="B1268" i="3" s="1"/>
  <c r="B1269" i="3" s="1"/>
  <c r="B1270" i="3" s="1"/>
  <c r="B1271" i="3" s="1"/>
  <c r="B1272" i="3" s="1"/>
  <c r="B1273" i="3" s="1"/>
  <c r="B1274" i="3" s="1"/>
  <c r="B1275" i="3" s="1"/>
  <c r="B1276" i="3" s="1"/>
  <c r="B1277" i="3" s="1"/>
  <c r="B1278" i="3" s="1"/>
  <c r="B1279" i="3" s="1"/>
  <c r="B1280" i="3" s="1"/>
  <c r="B1281" i="3" s="1"/>
  <c r="B1282" i="3" s="1"/>
  <c r="B1283" i="3" s="1"/>
  <c r="B1284" i="3" s="1"/>
  <c r="B1285" i="3" s="1"/>
  <c r="B1286" i="3" s="1"/>
  <c r="B1287" i="3" s="1"/>
  <c r="B1288" i="3" s="1"/>
  <c r="B1289" i="3" s="1"/>
  <c r="B1290" i="3" s="1"/>
  <c r="B1291" i="3" s="1"/>
  <c r="B1292" i="3" s="1"/>
  <c r="B1293" i="3" s="1"/>
  <c r="B1294" i="3" s="1"/>
  <c r="B1295" i="3" s="1"/>
  <c r="B1296" i="3" s="1"/>
  <c r="B1297" i="3" s="1"/>
  <c r="B1298" i="3" s="1"/>
  <c r="B1299" i="3" s="1"/>
  <c r="B1300" i="3" s="1"/>
  <c r="B1301" i="3" s="1"/>
  <c r="B1302" i="3" s="1"/>
  <c r="B1303" i="3" s="1"/>
  <c r="B1304" i="3" s="1"/>
  <c r="B1305" i="3" s="1"/>
  <c r="B1306" i="3" s="1"/>
  <c r="B1307" i="3" s="1"/>
  <c r="B1308" i="3" s="1"/>
  <c r="B1309" i="3" s="1"/>
  <c r="B1310" i="3" s="1"/>
  <c r="B1311" i="3" s="1"/>
  <c r="B1312" i="3" s="1"/>
  <c r="B1313" i="3" s="1"/>
  <c r="B1314" i="3" s="1"/>
  <c r="B1315" i="3" s="1"/>
  <c r="B1316" i="3" s="1"/>
  <c r="B1317" i="3" s="1"/>
  <c r="B1318" i="3" s="1"/>
  <c r="B1319" i="3" s="1"/>
  <c r="B1320" i="3" s="1"/>
  <c r="B1321" i="3" s="1"/>
  <c r="B1322" i="3" s="1"/>
  <c r="B1323" i="3" s="1"/>
  <c r="B1324" i="3" s="1"/>
  <c r="B1325" i="3" s="1"/>
  <c r="B1326" i="3" s="1"/>
  <c r="B1327" i="3" s="1"/>
  <c r="B1328" i="3" s="1"/>
  <c r="B1329" i="3" s="1"/>
  <c r="B1330" i="3" s="1"/>
  <c r="B1331" i="3" s="1"/>
  <c r="B1332" i="3" s="1"/>
  <c r="B1333" i="3" s="1"/>
  <c r="B1334" i="3" s="1"/>
  <c r="B1335" i="3" s="1"/>
  <c r="B1336" i="3" s="1"/>
  <c r="B1337" i="3" s="1"/>
  <c r="B1338" i="3" s="1"/>
  <c r="B1339" i="3" s="1"/>
  <c r="B1340" i="3" s="1"/>
  <c r="B1341" i="3" s="1"/>
  <c r="B1342" i="3" s="1"/>
  <c r="B1343" i="3" s="1"/>
  <c r="B1344" i="3" s="1"/>
  <c r="B1345" i="3" s="1"/>
  <c r="B1346" i="3" s="1"/>
  <c r="B1347" i="3" s="1"/>
  <c r="B1348" i="3" s="1"/>
  <c r="B1349" i="3" s="1"/>
  <c r="B1350" i="3" s="1"/>
  <c r="B1351" i="3" s="1"/>
  <c r="B1352" i="3" s="1"/>
  <c r="B1353" i="3" s="1"/>
  <c r="B1354" i="3" s="1"/>
  <c r="B1355" i="3" s="1"/>
  <c r="B1356" i="3" s="1"/>
  <c r="B1357" i="3" s="1"/>
  <c r="B1358" i="3" s="1"/>
  <c r="B1359" i="3" s="1"/>
  <c r="B1360" i="3" s="1"/>
  <c r="B1361" i="3" s="1"/>
  <c r="B1362" i="3" s="1"/>
  <c r="B1363" i="3" s="1"/>
  <c r="B1364" i="3" s="1"/>
  <c r="B1365" i="3" s="1"/>
  <c r="B1366" i="3" s="1"/>
  <c r="B1367" i="3" s="1"/>
  <c r="B1368" i="3" s="1"/>
  <c r="B1369" i="3" s="1"/>
  <c r="B1370" i="3" s="1"/>
  <c r="B1371" i="3" s="1"/>
  <c r="B1372" i="3" s="1"/>
  <c r="B1373" i="3" s="1"/>
  <c r="B1374" i="3" s="1"/>
  <c r="B1375" i="3" s="1"/>
  <c r="B1376" i="3" s="1"/>
  <c r="B1377" i="3" s="1"/>
  <c r="B1378" i="3" s="1"/>
  <c r="B1379" i="3" s="1"/>
  <c r="B1380" i="3" s="1"/>
  <c r="B1381" i="3" s="1"/>
  <c r="B1382" i="3" s="1"/>
  <c r="B1383" i="3" s="1"/>
  <c r="B1384" i="3" s="1"/>
  <c r="B1385" i="3" s="1"/>
  <c r="B1386" i="3" s="1"/>
  <c r="B1387" i="3" s="1"/>
  <c r="B1388" i="3" s="1"/>
  <c r="B1389" i="3" s="1"/>
  <c r="B1390" i="3" s="1"/>
  <c r="B1391" i="3" s="1"/>
  <c r="B1392" i="3" s="1"/>
  <c r="B1393" i="3" s="1"/>
  <c r="B1394" i="3" s="1"/>
  <c r="B1395" i="3" s="1"/>
  <c r="B1396" i="3" s="1"/>
  <c r="B1397" i="3" s="1"/>
  <c r="B1398" i="3" s="1"/>
  <c r="B1399" i="3" s="1"/>
  <c r="B1400" i="3" s="1"/>
  <c r="B1401" i="3" s="1"/>
  <c r="B1402" i="3" s="1"/>
  <c r="B1403" i="3" s="1"/>
  <c r="B1404" i="3" s="1"/>
  <c r="B1405" i="3" s="1"/>
  <c r="B1406" i="3" s="1"/>
  <c r="B1407" i="3" s="1"/>
  <c r="B1408" i="3" s="1"/>
  <c r="B1409" i="3" s="1"/>
  <c r="B1410" i="3" s="1"/>
  <c r="B1411" i="3" s="1"/>
  <c r="B1412" i="3" s="1"/>
  <c r="B1413" i="3" s="1"/>
  <c r="B1414" i="3" s="1"/>
  <c r="B1415" i="3" s="1"/>
  <c r="B1416" i="3" s="1"/>
  <c r="B1417" i="3" s="1"/>
  <c r="B1418" i="3" s="1"/>
  <c r="B1419" i="3" s="1"/>
  <c r="B1420" i="3" s="1"/>
  <c r="B1421" i="3" s="1"/>
  <c r="B1422" i="3" s="1"/>
  <c r="B1423" i="3" s="1"/>
  <c r="B1424" i="3" s="1"/>
  <c r="B1425" i="3" s="1"/>
  <c r="B1426" i="3" s="1"/>
  <c r="B1427" i="3" s="1"/>
  <c r="B1428" i="3" s="1"/>
  <c r="B1429" i="3" s="1"/>
  <c r="B1430" i="3" s="1"/>
  <c r="B1431" i="3" s="1"/>
  <c r="B1432" i="3" s="1"/>
  <c r="B1433" i="3" s="1"/>
  <c r="B1438" i="3" s="1"/>
  <c r="G10" i="3"/>
  <c r="AX10" i="3" s="1"/>
  <c r="AZ10" i="3" s="1"/>
  <c r="AG248" i="3"/>
  <c r="AK248" i="3" s="1"/>
  <c r="AG249" i="3" s="1"/>
  <c r="AK249" i="3" s="1"/>
  <c r="AG250" i="3" s="1"/>
  <c r="AK250" i="3" s="1"/>
  <c r="O40" i="3"/>
  <c r="S40" i="3" s="1"/>
  <c r="U40" i="3"/>
  <c r="Y40" i="3" s="1"/>
  <c r="AA39" i="3"/>
  <c r="AE39" i="3" s="1"/>
  <c r="I39" i="3"/>
  <c r="M39" i="3" s="1"/>
  <c r="B1439" i="3" l="1"/>
  <c r="B1440" i="3" s="1"/>
  <c r="B1468" i="3" s="1"/>
  <c r="B1469" i="3" s="1"/>
  <c r="B1470" i="3" s="1"/>
  <c r="B1471" i="3" s="1"/>
  <c r="B1472" i="3" s="1"/>
  <c r="B1473" i="3" s="1"/>
  <c r="B1474" i="3" s="1"/>
  <c r="B1475" i="3" s="1"/>
  <c r="B1476" i="3" s="1"/>
  <c r="B1477" i="3" s="1"/>
  <c r="B1478" i="3" s="1"/>
  <c r="B1479" i="3" s="1"/>
  <c r="B1480" i="3" s="1"/>
  <c r="B1481" i="3" s="1"/>
  <c r="B1482" i="3" s="1"/>
  <c r="B1483" i="3" s="1"/>
  <c r="B1484" i="3" s="1"/>
  <c r="B1485" i="3" s="1"/>
  <c r="B1486" i="3" s="1"/>
  <c r="B1487" i="3" s="1"/>
  <c r="B1488" i="3" s="1"/>
  <c r="B1489" i="3" s="1"/>
  <c r="B1490" i="3" s="1"/>
  <c r="B1491" i="3" s="1"/>
  <c r="B1492" i="3" s="1"/>
  <c r="B1493" i="3" s="1"/>
  <c r="B1494" i="3" s="1"/>
  <c r="B1495" i="3" s="1"/>
  <c r="B1496" i="3" s="1"/>
  <c r="B1497" i="3" s="1"/>
  <c r="B1498" i="3" s="1"/>
  <c r="B1499" i="3" s="1"/>
  <c r="B1500" i="3" s="1"/>
  <c r="B1501" i="3" s="1"/>
  <c r="B1502" i="3" s="1"/>
  <c r="B1503" i="3" s="1"/>
  <c r="B1504" i="3" s="1"/>
  <c r="B1505" i="3" s="1"/>
  <c r="B1506" i="3" s="1"/>
  <c r="B1507" i="3" s="1"/>
  <c r="B1508" i="3" s="1"/>
  <c r="B1509" i="3" s="1"/>
  <c r="B1510" i="3" s="1"/>
  <c r="B1511" i="3" s="1"/>
  <c r="B1512" i="3" s="1"/>
  <c r="B1513" i="3" s="1"/>
  <c r="B1514" i="3" s="1"/>
  <c r="B1515" i="3" s="1"/>
  <c r="B1516" i="3" s="1"/>
  <c r="B1517" i="3" s="1"/>
  <c r="B1518" i="3" s="1"/>
  <c r="B1519" i="3" s="1"/>
  <c r="B1520" i="3" s="1"/>
  <c r="B1521" i="3" s="1"/>
  <c r="B1522" i="3" s="1"/>
  <c r="B1523" i="3" s="1"/>
  <c r="B1524" i="3" s="1"/>
  <c r="B1525" i="3" s="1"/>
  <c r="B1526" i="3" s="1"/>
  <c r="B1527" i="3" s="1"/>
  <c r="B1528" i="3" s="1"/>
  <c r="B1529" i="3" s="1"/>
  <c r="B1530" i="3" s="1"/>
  <c r="B1531" i="3" s="1"/>
  <c r="B1532" i="3" s="1"/>
  <c r="B1533" i="3" s="1"/>
  <c r="B1534" i="3" s="1"/>
  <c r="B1535" i="3" s="1"/>
  <c r="B1536" i="3" s="1"/>
  <c r="B1537" i="3" s="1"/>
  <c r="B1538" i="3" s="1"/>
  <c r="B1539" i="3" s="1"/>
  <c r="B1540" i="3" s="1"/>
  <c r="B1541" i="3" s="1"/>
  <c r="B1542" i="3" s="1"/>
  <c r="B1543" i="3" s="1"/>
  <c r="B1544" i="3" s="1"/>
  <c r="B1545" i="3" s="1"/>
  <c r="B1546" i="3" s="1"/>
  <c r="B1547" i="3" s="1"/>
  <c r="B1548" i="3" s="1"/>
  <c r="B1549" i="3" s="1"/>
  <c r="B1550" i="3" s="1"/>
  <c r="B1551" i="3" s="1"/>
  <c r="B1552" i="3" s="1"/>
  <c r="B1553" i="3" s="1"/>
  <c r="B1554" i="3" s="1"/>
  <c r="B1555" i="3" s="1"/>
  <c r="B1556" i="3" s="1"/>
  <c r="B1557" i="3" s="1"/>
  <c r="B1558" i="3" s="1"/>
  <c r="B1559" i="3" s="1"/>
  <c r="B1560" i="3" s="1"/>
  <c r="B1561" i="3" s="1"/>
  <c r="B1562" i="3" s="1"/>
  <c r="B1563" i="3" s="1"/>
  <c r="B1564" i="3" s="1"/>
  <c r="B1565" i="3" s="1"/>
  <c r="B1566" i="3" s="1"/>
  <c r="B1567" i="3" s="1"/>
  <c r="B1568" i="3" s="1"/>
  <c r="B1569" i="3" s="1"/>
  <c r="B1570" i="3" s="1"/>
  <c r="B1571" i="3" s="1"/>
  <c r="B1572" i="3" s="1"/>
  <c r="B1573" i="3" s="1"/>
  <c r="B1574" i="3" s="1"/>
  <c r="B1575" i="3" s="1"/>
  <c r="B1576" i="3" s="1"/>
  <c r="B1577" i="3" s="1"/>
  <c r="B1578" i="3" s="1"/>
  <c r="B1579" i="3" s="1"/>
  <c r="B1580" i="3" s="1"/>
  <c r="B1581" i="3" s="1"/>
  <c r="B1582" i="3" s="1"/>
  <c r="B1583" i="3" s="1"/>
  <c r="B1584" i="3" s="1"/>
  <c r="B1585" i="3" s="1"/>
  <c r="B1586" i="3" s="1"/>
  <c r="B1587" i="3" s="1"/>
  <c r="B1588" i="3" s="1"/>
  <c r="B1589" i="3" s="1"/>
  <c r="B1590" i="3" s="1"/>
  <c r="B1591" i="3" s="1"/>
  <c r="B1592" i="3" s="1"/>
  <c r="B1593" i="3" s="1"/>
  <c r="B1594" i="3" s="1"/>
  <c r="B1595" i="3" s="1"/>
  <c r="B1596" i="3" s="1"/>
  <c r="B1597" i="3" s="1"/>
  <c r="B1598" i="3" s="1"/>
  <c r="B1599" i="3" s="1"/>
  <c r="B1600" i="3" s="1"/>
  <c r="B1601" i="3" s="1"/>
  <c r="B1602" i="3" s="1"/>
  <c r="B1603" i="3" s="1"/>
  <c r="B1604" i="3" s="1"/>
  <c r="B1605" i="3" s="1"/>
  <c r="B1606" i="3" s="1"/>
  <c r="B1607" i="3" s="1"/>
  <c r="B1608" i="3" s="1"/>
  <c r="B1609" i="3" s="1"/>
  <c r="B1610" i="3" s="1"/>
  <c r="B1611" i="3" s="1"/>
  <c r="B1612" i="3" s="1"/>
  <c r="B1613" i="3" s="1"/>
  <c r="B1614" i="3" s="1"/>
  <c r="B1615" i="3" s="1"/>
  <c r="B1616" i="3" s="1"/>
  <c r="B1617" i="3" s="1"/>
  <c r="B1618" i="3" s="1"/>
  <c r="B1619" i="3" s="1"/>
  <c r="B1620" i="3" s="1"/>
  <c r="B1621" i="3" s="1"/>
  <c r="B1622" i="3" s="1"/>
  <c r="B1623" i="3" s="1"/>
  <c r="B1624" i="3" s="1"/>
  <c r="B1625" i="3" s="1"/>
  <c r="B1626" i="3" s="1"/>
  <c r="B1627" i="3" s="1"/>
  <c r="B1628" i="3" s="1"/>
  <c r="B1629" i="3" s="1"/>
  <c r="B1630" i="3" s="1"/>
  <c r="B1631" i="3" s="1"/>
  <c r="B1632" i="3" s="1"/>
  <c r="B1633" i="3" s="1"/>
  <c r="B1634" i="3" s="1"/>
  <c r="AM444" i="3"/>
  <c r="AQ444" i="3" s="1"/>
  <c r="AM1587" i="3"/>
  <c r="AQ1587" i="3" s="1"/>
  <c r="C11" i="3"/>
  <c r="AS11" i="3" s="1"/>
  <c r="AG251" i="3"/>
  <c r="AK251" i="3" s="1"/>
  <c r="AG252" i="3" s="1"/>
  <c r="AK252" i="3" s="1"/>
  <c r="U41" i="3"/>
  <c r="Y41" i="3" s="1"/>
  <c r="O41" i="3"/>
  <c r="S41" i="3" s="1"/>
  <c r="I40" i="3"/>
  <c r="M40" i="3" s="1"/>
  <c r="AA40" i="3"/>
  <c r="AE40" i="3" s="1"/>
  <c r="AM1588" i="3" l="1"/>
  <c r="AQ1588" i="3" s="1"/>
  <c r="AM445" i="3"/>
  <c r="AQ445" i="3" s="1"/>
  <c r="G11" i="3"/>
  <c r="AX11" i="3" s="1"/>
  <c r="AZ11" i="3" s="1"/>
  <c r="AG253" i="3"/>
  <c r="AK253" i="3" s="1"/>
  <c r="O42" i="3"/>
  <c r="S42" i="3" s="1"/>
  <c r="O43" i="3" s="1"/>
  <c r="S43" i="3" s="1"/>
  <c r="U42" i="3"/>
  <c r="Y42" i="3" s="1"/>
  <c r="I41" i="3"/>
  <c r="M41" i="3" s="1"/>
  <c r="AA41" i="3"/>
  <c r="AE41" i="3" s="1"/>
  <c r="AM1589" i="3" l="1"/>
  <c r="AQ1589" i="3" s="1"/>
  <c r="AM446" i="3"/>
  <c r="AQ446" i="3" s="1"/>
  <c r="C12" i="3"/>
  <c r="AS12" i="3" s="1"/>
  <c r="AG254" i="3"/>
  <c r="AK254" i="3" s="1"/>
  <c r="AG255" i="3" s="1"/>
  <c r="AK255" i="3" s="1"/>
  <c r="U43" i="3"/>
  <c r="Y43" i="3" s="1"/>
  <c r="U44" i="3" s="1"/>
  <c r="Y44" i="3" s="1"/>
  <c r="O44" i="3"/>
  <c r="S44" i="3" s="1"/>
  <c r="I42" i="3"/>
  <c r="M42" i="3" s="1"/>
  <c r="AA42" i="3"/>
  <c r="AE42" i="3" s="1"/>
  <c r="AA43" i="3" s="1"/>
  <c r="AE43" i="3" s="1"/>
  <c r="AM447" i="3" l="1"/>
  <c r="AQ447" i="3" s="1"/>
  <c r="AM1590" i="3"/>
  <c r="AQ1590" i="3" s="1"/>
  <c r="G12" i="3"/>
  <c r="AX12" i="3" s="1"/>
  <c r="AZ12" i="3" s="1"/>
  <c r="AG256" i="3"/>
  <c r="AK256" i="3" s="1"/>
  <c r="O45" i="3"/>
  <c r="S45" i="3" s="1"/>
  <c r="O46" i="3" s="1"/>
  <c r="S46" i="3" s="1"/>
  <c r="U45" i="3"/>
  <c r="Y45" i="3" s="1"/>
  <c r="U46" i="3" s="1"/>
  <c r="Y46" i="3" s="1"/>
  <c r="AA44" i="3"/>
  <c r="AE44" i="3" s="1"/>
  <c r="I43" i="3"/>
  <c r="M43" i="3" s="1"/>
  <c r="AM1591" i="3" l="1"/>
  <c r="AQ1591" i="3" s="1"/>
  <c r="AM448" i="3"/>
  <c r="AQ448" i="3" s="1"/>
  <c r="C13" i="3"/>
  <c r="AS13" i="3" s="1"/>
  <c r="AG257" i="3"/>
  <c r="AK257" i="3" s="1"/>
  <c r="U47" i="3"/>
  <c r="Y47" i="3" s="1"/>
  <c r="O47" i="3"/>
  <c r="S47" i="3" s="1"/>
  <c r="AA45" i="3"/>
  <c r="AE45" i="3" s="1"/>
  <c r="AA46" i="3" s="1"/>
  <c r="AE46" i="3" s="1"/>
  <c r="I44" i="3"/>
  <c r="M44" i="3" s="1"/>
  <c r="AM449" i="3" l="1"/>
  <c r="AQ449" i="3" s="1"/>
  <c r="AM1592" i="3"/>
  <c r="AQ1592" i="3" s="1"/>
  <c r="G13" i="3"/>
  <c r="AX13" i="3" s="1"/>
  <c r="AZ13" i="3" s="1"/>
  <c r="AG258" i="3"/>
  <c r="AK258" i="3" s="1"/>
  <c r="AG259" i="3" s="1"/>
  <c r="AK259" i="3" s="1"/>
  <c r="O48" i="3"/>
  <c r="S48" i="3" s="1"/>
  <c r="O49" i="3" s="1"/>
  <c r="S49" i="3" s="1"/>
  <c r="U48" i="3"/>
  <c r="Y48" i="3" s="1"/>
  <c r="U49" i="3" s="1"/>
  <c r="Y49" i="3" s="1"/>
  <c r="AA47" i="3"/>
  <c r="AE47" i="3" s="1"/>
  <c r="I45" i="3"/>
  <c r="M45" i="3" s="1"/>
  <c r="I46" i="3" s="1"/>
  <c r="M46" i="3" s="1"/>
  <c r="AM1593" i="3" l="1"/>
  <c r="AQ1593" i="3" s="1"/>
  <c r="AM450" i="3"/>
  <c r="AQ450" i="3" s="1"/>
  <c r="C14" i="3"/>
  <c r="AS14" i="3" s="1"/>
  <c r="AG260" i="3"/>
  <c r="AK260" i="3" s="1"/>
  <c r="U50" i="3"/>
  <c r="Y50" i="3" s="1"/>
  <c r="U51" i="3" s="1"/>
  <c r="Y51" i="3" s="1"/>
  <c r="O50" i="3"/>
  <c r="S50" i="3" s="1"/>
  <c r="O51" i="3" s="1"/>
  <c r="S51" i="3" s="1"/>
  <c r="AA48" i="3"/>
  <c r="AE48" i="3" s="1"/>
  <c r="AA49" i="3" s="1"/>
  <c r="AE49" i="3" s="1"/>
  <c r="I47" i="3"/>
  <c r="M47" i="3" s="1"/>
  <c r="AM451" i="3" l="1"/>
  <c r="AQ451" i="3" s="1"/>
  <c r="AM1594" i="3"/>
  <c r="AQ1594" i="3" s="1"/>
  <c r="G14" i="3"/>
  <c r="AX14" i="3" s="1"/>
  <c r="AZ14" i="3" s="1"/>
  <c r="AG261" i="3"/>
  <c r="AK261" i="3" s="1"/>
  <c r="O52" i="3"/>
  <c r="S52" i="3" s="1"/>
  <c r="U52" i="3"/>
  <c r="Y52" i="3" s="1"/>
  <c r="AA50" i="3"/>
  <c r="AE50" i="3" s="1"/>
  <c r="AA51" i="3" s="1"/>
  <c r="AE51" i="3" s="1"/>
  <c r="I48" i="3"/>
  <c r="M48" i="3" s="1"/>
  <c r="I49" i="3" s="1"/>
  <c r="M49" i="3" s="1"/>
  <c r="AM452" i="3" l="1"/>
  <c r="AQ452" i="3" s="1"/>
  <c r="AM1595" i="3"/>
  <c r="AQ1595" i="3" s="1"/>
  <c r="C15" i="3"/>
  <c r="AS15" i="3" s="1"/>
  <c r="AG262" i="3"/>
  <c r="AK262" i="3" s="1"/>
  <c r="O53" i="3"/>
  <c r="S53" i="3" s="1"/>
  <c r="O54" i="3" s="1"/>
  <c r="S54" i="3" s="1"/>
  <c r="U53" i="3"/>
  <c r="Y53" i="3" s="1"/>
  <c r="U54" i="3" s="1"/>
  <c r="Y54" i="3" s="1"/>
  <c r="AA52" i="3"/>
  <c r="AE52" i="3" s="1"/>
  <c r="I50" i="3"/>
  <c r="M50" i="3" s="1"/>
  <c r="I51" i="3" s="1"/>
  <c r="M51" i="3" s="1"/>
  <c r="AM1596" i="3" l="1"/>
  <c r="AQ1596" i="3" s="1"/>
  <c r="AM453" i="3"/>
  <c r="AQ453" i="3" s="1"/>
  <c r="G15" i="3"/>
  <c r="AX15" i="3" s="1"/>
  <c r="AZ15" i="3" s="1"/>
  <c r="AG263" i="3"/>
  <c r="AK263" i="3" s="1"/>
  <c r="U55" i="3"/>
  <c r="Y55" i="3" s="1"/>
  <c r="U56" i="3" s="1"/>
  <c r="Y56" i="3" s="1"/>
  <c r="O55" i="3"/>
  <c r="S55" i="3" s="1"/>
  <c r="O56" i="3" s="1"/>
  <c r="S56" i="3" s="1"/>
  <c r="AA53" i="3"/>
  <c r="AE53" i="3" s="1"/>
  <c r="AA54" i="3" s="1"/>
  <c r="AE54" i="3" s="1"/>
  <c r="I52" i="3"/>
  <c r="M52" i="3" s="1"/>
  <c r="AM454" i="3" l="1"/>
  <c r="AQ454" i="3" s="1"/>
  <c r="AM1597" i="3"/>
  <c r="AQ1597" i="3" s="1"/>
  <c r="C16" i="3"/>
  <c r="AS16" i="3" s="1"/>
  <c r="AG264" i="3"/>
  <c r="AK264" i="3" s="1"/>
  <c r="AG265" i="3" s="1"/>
  <c r="AK265" i="3" s="1"/>
  <c r="O57" i="3"/>
  <c r="S57" i="3" s="1"/>
  <c r="U57" i="3"/>
  <c r="Y57" i="3" s="1"/>
  <c r="AA55" i="3"/>
  <c r="AE55" i="3" s="1"/>
  <c r="AA56" i="3" s="1"/>
  <c r="AE56" i="3" s="1"/>
  <c r="I53" i="3"/>
  <c r="M53" i="3" s="1"/>
  <c r="I54" i="3" s="1"/>
  <c r="M54" i="3" s="1"/>
  <c r="AM1598" i="3" l="1"/>
  <c r="AQ1598" i="3" s="1"/>
  <c r="AM455" i="3"/>
  <c r="AQ455" i="3" s="1"/>
  <c r="G16" i="3"/>
  <c r="AX16" i="3" s="1"/>
  <c r="AZ16" i="3" s="1"/>
  <c r="AG266" i="3"/>
  <c r="AK266" i="3" s="1"/>
  <c r="AG267" i="3" s="1"/>
  <c r="AK267" i="3" s="1"/>
  <c r="U58" i="3"/>
  <c r="Y58" i="3" s="1"/>
  <c r="O58" i="3"/>
  <c r="S58" i="3" s="1"/>
  <c r="AA57" i="3"/>
  <c r="AE57" i="3" s="1"/>
  <c r="I55" i="3"/>
  <c r="M55" i="3" s="1"/>
  <c r="I56" i="3" s="1"/>
  <c r="M56" i="3" s="1"/>
  <c r="AM456" i="3" l="1"/>
  <c r="AQ456" i="3" s="1"/>
  <c r="AM1599" i="3"/>
  <c r="AQ1599" i="3" s="1"/>
  <c r="C17" i="3"/>
  <c r="AS17" i="3" s="1"/>
  <c r="AG268" i="3"/>
  <c r="AK268" i="3" s="1"/>
  <c r="AG269" i="3" s="1"/>
  <c r="AK269" i="3" s="1"/>
  <c r="AG270" i="3" s="1"/>
  <c r="AK270" i="3" s="1"/>
  <c r="O59" i="3"/>
  <c r="S59" i="3" s="1"/>
  <c r="O60" i="3" s="1"/>
  <c r="S60" i="3" s="1"/>
  <c r="O61" i="3" s="1"/>
  <c r="S61" i="3" s="1"/>
  <c r="U59" i="3"/>
  <c r="Y59" i="3" s="1"/>
  <c r="U60" i="3" s="1"/>
  <c r="Y60" i="3" s="1"/>
  <c r="U61" i="3" s="1"/>
  <c r="Y61" i="3" s="1"/>
  <c r="AA58" i="3"/>
  <c r="AE58" i="3" s="1"/>
  <c r="I57" i="3"/>
  <c r="M57" i="3" s="1"/>
  <c r="G17" i="3" l="1"/>
  <c r="AX17" i="3" s="1"/>
  <c r="AZ17" i="3" s="1"/>
  <c r="AM1600" i="3"/>
  <c r="AQ1600" i="3" s="1"/>
  <c r="AM457" i="3"/>
  <c r="AQ457" i="3" s="1"/>
  <c r="AG271" i="3"/>
  <c r="AK271" i="3" s="1"/>
  <c r="AG272" i="3" s="1"/>
  <c r="AK272" i="3" s="1"/>
  <c r="U62" i="3"/>
  <c r="Y62" i="3" s="1"/>
  <c r="U63" i="3" s="1"/>
  <c r="Y63" i="3" s="1"/>
  <c r="O62" i="3"/>
  <c r="S62" i="3" s="1"/>
  <c r="AA59" i="3"/>
  <c r="AE59" i="3" s="1"/>
  <c r="AA60" i="3" s="1"/>
  <c r="AE60" i="3" s="1"/>
  <c r="AA61" i="3" s="1"/>
  <c r="AE61" i="3" s="1"/>
  <c r="I58" i="3"/>
  <c r="M58" i="3" s="1"/>
  <c r="C18" i="3"/>
  <c r="AS18" i="3" s="1"/>
  <c r="AM458" i="3" l="1"/>
  <c r="AQ458" i="3" s="1"/>
  <c r="AM1601" i="3"/>
  <c r="AQ1601" i="3" s="1"/>
  <c r="AG273" i="3"/>
  <c r="AK273" i="3" s="1"/>
  <c r="U64" i="3"/>
  <c r="Y64" i="3" s="1"/>
  <c r="U65" i="3" s="1"/>
  <c r="Y65" i="3" s="1"/>
  <c r="O63" i="3"/>
  <c r="S63" i="3" s="1"/>
  <c r="AA62" i="3"/>
  <c r="AE62" i="3" s="1"/>
  <c r="I59" i="3"/>
  <c r="M59" i="3" s="1"/>
  <c r="I60" i="3" s="1"/>
  <c r="M60" i="3" s="1"/>
  <c r="I61" i="3" s="1"/>
  <c r="M61" i="3" s="1"/>
  <c r="G18" i="3"/>
  <c r="AX18" i="3" s="1"/>
  <c r="AM1602" i="3" l="1"/>
  <c r="AQ1602" i="3" s="1"/>
  <c r="AM459" i="3"/>
  <c r="AQ459" i="3" s="1"/>
  <c r="AG274" i="3"/>
  <c r="AK274" i="3" s="1"/>
  <c r="U66" i="3"/>
  <c r="Y66" i="3" s="1"/>
  <c r="U67" i="3" s="1"/>
  <c r="Y67" i="3" s="1"/>
  <c r="O64" i="3"/>
  <c r="S64" i="3" s="1"/>
  <c r="O65" i="3" s="1"/>
  <c r="S65" i="3" s="1"/>
  <c r="AA63" i="3"/>
  <c r="AE63" i="3" s="1"/>
  <c r="I62" i="3"/>
  <c r="M62" i="3" s="1"/>
  <c r="AZ18" i="3"/>
  <c r="C19" i="3"/>
  <c r="AS19" i="3" s="1"/>
  <c r="AM1603" i="3" l="1"/>
  <c r="AQ1603" i="3" s="1"/>
  <c r="AM460" i="3"/>
  <c r="AQ460" i="3" s="1"/>
  <c r="AG275" i="3"/>
  <c r="AK275" i="3" s="1"/>
  <c r="U68" i="3"/>
  <c r="Y68" i="3" s="1"/>
  <c r="O66" i="3"/>
  <c r="S66" i="3" s="1"/>
  <c r="AA64" i="3"/>
  <c r="AE64" i="3" s="1"/>
  <c r="AA65" i="3" s="1"/>
  <c r="AE65" i="3" s="1"/>
  <c r="I63" i="3"/>
  <c r="M63" i="3" s="1"/>
  <c r="G19" i="3"/>
  <c r="AX19" i="3" s="1"/>
  <c r="AM1604" i="3" l="1"/>
  <c r="AQ1604" i="3" s="1"/>
  <c r="AM461" i="3"/>
  <c r="AQ461" i="3" s="1"/>
  <c r="AG276" i="3"/>
  <c r="AK276" i="3" s="1"/>
  <c r="AG277" i="3" s="1"/>
  <c r="AK277" i="3" s="1"/>
  <c r="U69" i="3"/>
  <c r="Y69" i="3" s="1"/>
  <c r="O67" i="3"/>
  <c r="S67" i="3" s="1"/>
  <c r="AA66" i="3"/>
  <c r="AE66" i="3" s="1"/>
  <c r="AA67" i="3" s="1"/>
  <c r="AE67" i="3" s="1"/>
  <c r="I64" i="3"/>
  <c r="M64" i="3" s="1"/>
  <c r="I65" i="3" s="1"/>
  <c r="M65" i="3" s="1"/>
  <c r="C20" i="3"/>
  <c r="AS20" i="3" s="1"/>
  <c r="AZ19" i="3"/>
  <c r="AM462" i="3" l="1"/>
  <c r="AQ462" i="3" s="1"/>
  <c r="AM1605" i="3"/>
  <c r="AQ1605" i="3" s="1"/>
  <c r="AG278" i="3"/>
  <c r="AK278" i="3" s="1"/>
  <c r="U70" i="3"/>
  <c r="Y70" i="3" s="1"/>
  <c r="U71" i="3" s="1"/>
  <c r="Y71" i="3" s="1"/>
  <c r="AA68" i="3"/>
  <c r="AE68" i="3" s="1"/>
  <c r="O68" i="3"/>
  <c r="S68" i="3" s="1"/>
  <c r="I66" i="3"/>
  <c r="M66" i="3" s="1"/>
  <c r="G20" i="3"/>
  <c r="AX20" i="3" s="1"/>
  <c r="AM1606" i="3" l="1"/>
  <c r="AQ1606" i="3" s="1"/>
  <c r="AM463" i="3"/>
  <c r="AQ463" i="3" s="1"/>
  <c r="AG279" i="3"/>
  <c r="AK279" i="3" s="1"/>
  <c r="AG280" i="3" s="1"/>
  <c r="AK280" i="3" s="1"/>
  <c r="U72" i="3"/>
  <c r="Y72" i="3" s="1"/>
  <c r="U73" i="3" s="1"/>
  <c r="Y73" i="3" s="1"/>
  <c r="O69" i="3"/>
  <c r="S69" i="3" s="1"/>
  <c r="AA69" i="3"/>
  <c r="AE69" i="3" s="1"/>
  <c r="I67" i="3"/>
  <c r="M67" i="3" s="1"/>
  <c r="C21" i="3"/>
  <c r="AS21" i="3" s="1"/>
  <c r="AZ20" i="3"/>
  <c r="AM464" i="3" l="1"/>
  <c r="AQ464" i="3" s="1"/>
  <c r="AM1607" i="3"/>
  <c r="AQ1607" i="3" s="1"/>
  <c r="AG281" i="3"/>
  <c r="AK281" i="3" s="1"/>
  <c r="U74" i="3"/>
  <c r="Y74" i="3" s="1"/>
  <c r="AA70" i="3"/>
  <c r="AE70" i="3" s="1"/>
  <c r="AA71" i="3" s="1"/>
  <c r="AE71" i="3" s="1"/>
  <c r="O70" i="3"/>
  <c r="S70" i="3" s="1"/>
  <c r="O71" i="3" s="1"/>
  <c r="S71" i="3" s="1"/>
  <c r="I68" i="3"/>
  <c r="M68" i="3" s="1"/>
  <c r="G21" i="3"/>
  <c r="AX21" i="3" s="1"/>
  <c r="AM1608" i="3" l="1"/>
  <c r="AQ1608" i="3" s="1"/>
  <c r="AM465" i="3"/>
  <c r="AQ465" i="3" s="1"/>
  <c r="AG282" i="3"/>
  <c r="AK282" i="3" s="1"/>
  <c r="AG283" i="3" s="1"/>
  <c r="AK283" i="3" s="1"/>
  <c r="AG284" i="3" s="1"/>
  <c r="AK284" i="3" s="1"/>
  <c r="U75" i="3"/>
  <c r="Y75" i="3" s="1"/>
  <c r="O72" i="3"/>
  <c r="S72" i="3" s="1"/>
  <c r="O73" i="3" s="1"/>
  <c r="S73" i="3" s="1"/>
  <c r="AA72" i="3"/>
  <c r="AE72" i="3" s="1"/>
  <c r="AA73" i="3" s="1"/>
  <c r="AE73" i="3" s="1"/>
  <c r="I69" i="3"/>
  <c r="M69" i="3" s="1"/>
  <c r="AZ21" i="3"/>
  <c r="C22" i="3"/>
  <c r="AS22" i="3" s="1"/>
  <c r="AM466" i="3" l="1"/>
  <c r="AQ466" i="3" s="1"/>
  <c r="AM1609" i="3"/>
  <c r="AQ1609" i="3" s="1"/>
  <c r="AG285" i="3"/>
  <c r="AK285" i="3" s="1"/>
  <c r="U76" i="3"/>
  <c r="Y76" i="3" s="1"/>
  <c r="AA74" i="3"/>
  <c r="AE74" i="3" s="1"/>
  <c r="O74" i="3"/>
  <c r="S74" i="3" s="1"/>
  <c r="I70" i="3"/>
  <c r="M70" i="3" s="1"/>
  <c r="I71" i="3" s="1"/>
  <c r="M71" i="3" s="1"/>
  <c r="G22" i="3"/>
  <c r="AX22" i="3" s="1"/>
  <c r="AM1610" i="3" l="1"/>
  <c r="AQ1610" i="3" s="1"/>
  <c r="AM467" i="3"/>
  <c r="AQ467" i="3" s="1"/>
  <c r="AG286" i="3"/>
  <c r="AK286" i="3" s="1"/>
  <c r="AG287" i="3" s="1"/>
  <c r="AK287" i="3" s="1"/>
  <c r="U77" i="3"/>
  <c r="Y77" i="3" s="1"/>
  <c r="O75" i="3"/>
  <c r="S75" i="3" s="1"/>
  <c r="AA75" i="3"/>
  <c r="AE75" i="3" s="1"/>
  <c r="I72" i="3"/>
  <c r="M72" i="3" s="1"/>
  <c r="C23" i="3"/>
  <c r="AS23" i="3" s="1"/>
  <c r="AZ22" i="3"/>
  <c r="AM468" i="3" l="1"/>
  <c r="AQ468" i="3" s="1"/>
  <c r="AM1611" i="3"/>
  <c r="AQ1611" i="3" s="1"/>
  <c r="AG288" i="3"/>
  <c r="AK288" i="3" s="1"/>
  <c r="U78" i="3"/>
  <c r="Y78" i="3" s="1"/>
  <c r="AA76" i="3"/>
  <c r="AE76" i="3" s="1"/>
  <c r="O76" i="3"/>
  <c r="S76" i="3" s="1"/>
  <c r="I73" i="3"/>
  <c r="M73" i="3" s="1"/>
  <c r="G23" i="3"/>
  <c r="AX23" i="3" s="1"/>
  <c r="AM1612" i="3" l="1"/>
  <c r="AQ1612" i="3" s="1"/>
  <c r="AM469" i="3"/>
  <c r="AQ469" i="3" s="1"/>
  <c r="AG289" i="3"/>
  <c r="AK289" i="3" s="1"/>
  <c r="AG290" i="3" s="1"/>
  <c r="AK290" i="3" s="1"/>
  <c r="U79" i="3"/>
  <c r="Y79" i="3" s="1"/>
  <c r="U80" i="3" s="1"/>
  <c r="Y80" i="3" s="1"/>
  <c r="O77" i="3"/>
  <c r="S77" i="3" s="1"/>
  <c r="AA77" i="3"/>
  <c r="AE77" i="3" s="1"/>
  <c r="I74" i="3"/>
  <c r="M74" i="3" s="1"/>
  <c r="C24" i="3"/>
  <c r="AS24" i="3" s="1"/>
  <c r="AZ23" i="3"/>
  <c r="AM470" i="3" l="1"/>
  <c r="AQ470" i="3" s="1"/>
  <c r="AM1613" i="3"/>
  <c r="AQ1613" i="3" s="1"/>
  <c r="AG291" i="3"/>
  <c r="AK291" i="3" s="1"/>
  <c r="U81" i="3"/>
  <c r="Y81" i="3" s="1"/>
  <c r="AA78" i="3"/>
  <c r="AE78" i="3" s="1"/>
  <c r="O78" i="3"/>
  <c r="S78" i="3" s="1"/>
  <c r="I75" i="3"/>
  <c r="M75" i="3" s="1"/>
  <c r="G24" i="3"/>
  <c r="AX24" i="3" s="1"/>
  <c r="AM1614" i="3" l="1"/>
  <c r="AQ1614" i="3" s="1"/>
  <c r="AM471" i="3"/>
  <c r="AQ471" i="3" s="1"/>
  <c r="AG292" i="3"/>
  <c r="AK292" i="3" s="1"/>
  <c r="AG293" i="3" s="1"/>
  <c r="AK293" i="3" s="1"/>
  <c r="U82" i="3"/>
  <c r="Y82" i="3" s="1"/>
  <c r="AA79" i="3"/>
  <c r="AE79" i="3" s="1"/>
  <c r="AA80" i="3" s="1"/>
  <c r="AE80" i="3" s="1"/>
  <c r="O79" i="3"/>
  <c r="S79" i="3" s="1"/>
  <c r="I76" i="3"/>
  <c r="M76" i="3" s="1"/>
  <c r="C25" i="3"/>
  <c r="AS25" i="3" s="1"/>
  <c r="AZ24" i="3"/>
  <c r="AM1615" i="3" l="1"/>
  <c r="AQ1615" i="3" s="1"/>
  <c r="AM472" i="3"/>
  <c r="AQ472" i="3" s="1"/>
  <c r="AG294" i="3"/>
  <c r="AK294" i="3" s="1"/>
  <c r="U83" i="3"/>
  <c r="Y83" i="3" s="1"/>
  <c r="AA81" i="3"/>
  <c r="AE81" i="3" s="1"/>
  <c r="O80" i="3"/>
  <c r="S80" i="3" s="1"/>
  <c r="I77" i="3"/>
  <c r="M77" i="3" s="1"/>
  <c r="G25" i="3"/>
  <c r="AX25" i="3" s="1"/>
  <c r="AM473" i="3" l="1"/>
  <c r="AQ473" i="3" s="1"/>
  <c r="AM1616" i="3"/>
  <c r="AQ1616" i="3" s="1"/>
  <c r="AG295" i="3"/>
  <c r="AK295" i="3" s="1"/>
  <c r="AG296" i="3" s="1"/>
  <c r="AK296" i="3" s="1"/>
  <c r="AA82" i="3"/>
  <c r="AE82" i="3" s="1"/>
  <c r="O81" i="3"/>
  <c r="S81" i="3" s="1"/>
  <c r="I78" i="3"/>
  <c r="M78" i="3" s="1"/>
  <c r="AZ25" i="3"/>
  <c r="C26" i="3"/>
  <c r="AS26" i="3" s="1"/>
  <c r="AM1617" i="3" l="1"/>
  <c r="AQ1617" i="3" s="1"/>
  <c r="AM474" i="3"/>
  <c r="AQ474" i="3" s="1"/>
  <c r="AG297" i="3"/>
  <c r="AK297" i="3" s="1"/>
  <c r="AG298" i="3" s="1"/>
  <c r="AK298" i="3" s="1"/>
  <c r="AG299" i="3" s="1"/>
  <c r="AK299" i="3" s="1"/>
  <c r="AA83" i="3"/>
  <c r="AE83" i="3" s="1"/>
  <c r="O82" i="3"/>
  <c r="S82" i="3" s="1"/>
  <c r="I79" i="3"/>
  <c r="M79" i="3" s="1"/>
  <c r="G26" i="3"/>
  <c r="AX26" i="3" s="1"/>
  <c r="AM1618" i="3" l="1"/>
  <c r="AQ1618" i="3" s="1"/>
  <c r="AM475" i="3"/>
  <c r="AQ475" i="3" s="1"/>
  <c r="AG300" i="3"/>
  <c r="AK300" i="3" s="1"/>
  <c r="AG301" i="3" s="1"/>
  <c r="AK301" i="3" s="1"/>
  <c r="U86" i="3"/>
  <c r="Y86" i="3" s="1"/>
  <c r="O83" i="3"/>
  <c r="S83" i="3" s="1"/>
  <c r="I80" i="3"/>
  <c r="M80" i="3" s="1"/>
  <c r="C27" i="3"/>
  <c r="AS27" i="3" s="1"/>
  <c r="AZ26" i="3"/>
  <c r="AM476" i="3" l="1"/>
  <c r="AQ476" i="3" s="1"/>
  <c r="AM1619" i="3"/>
  <c r="AQ1619" i="3" s="1"/>
  <c r="AG302" i="3"/>
  <c r="AK302" i="3" s="1"/>
  <c r="U87" i="3"/>
  <c r="Y87" i="3" s="1"/>
  <c r="I81" i="3"/>
  <c r="M81" i="3" s="1"/>
  <c r="G27" i="3"/>
  <c r="AX27" i="3" s="1"/>
  <c r="AM1620" i="3" l="1"/>
  <c r="AQ1620" i="3" s="1"/>
  <c r="AM477" i="3"/>
  <c r="AQ477" i="3" s="1"/>
  <c r="AG303" i="3"/>
  <c r="AK303" i="3" s="1"/>
  <c r="AG304" i="3" s="1"/>
  <c r="AK304" i="3" s="1"/>
  <c r="U88" i="3"/>
  <c r="Y88" i="3" s="1"/>
  <c r="AA86" i="3"/>
  <c r="AE86" i="3" s="1"/>
  <c r="I82" i="3"/>
  <c r="M82" i="3" s="1"/>
  <c r="AZ27" i="3"/>
  <c r="C28" i="3"/>
  <c r="AS28" i="3" s="1"/>
  <c r="AM478" i="3" l="1"/>
  <c r="AQ478" i="3" s="1"/>
  <c r="AM1621" i="3"/>
  <c r="AQ1621" i="3" s="1"/>
  <c r="AG305" i="3"/>
  <c r="AK305" i="3" s="1"/>
  <c r="AG306" i="3" s="1"/>
  <c r="AK306" i="3" s="1"/>
  <c r="U89" i="3"/>
  <c r="Y89" i="3" s="1"/>
  <c r="AA87" i="3"/>
  <c r="AE87" i="3" s="1"/>
  <c r="O86" i="3"/>
  <c r="S86" i="3" s="1"/>
  <c r="I83" i="3"/>
  <c r="M83" i="3" s="1"/>
  <c r="G28" i="3"/>
  <c r="AX28" i="3" s="1"/>
  <c r="AM1622" i="3" l="1"/>
  <c r="AQ1622" i="3" s="1"/>
  <c r="AM479" i="3"/>
  <c r="AQ479" i="3" s="1"/>
  <c r="AG307" i="3"/>
  <c r="AK307" i="3" s="1"/>
  <c r="U90" i="3"/>
  <c r="Y90" i="3" s="1"/>
  <c r="U91" i="3" s="1"/>
  <c r="Y91" i="3" s="1"/>
  <c r="AA88" i="3"/>
  <c r="AE88" i="3" s="1"/>
  <c r="O87" i="3"/>
  <c r="S87" i="3" s="1"/>
  <c r="AZ28" i="3"/>
  <c r="C29" i="3"/>
  <c r="AS29" i="3" s="1"/>
  <c r="AM480" i="3" l="1"/>
  <c r="AQ480" i="3" s="1"/>
  <c r="AM1623" i="3"/>
  <c r="AQ1623" i="3" s="1"/>
  <c r="AG308" i="3"/>
  <c r="AK308" i="3" s="1"/>
  <c r="U92" i="3"/>
  <c r="Y92" i="3" s="1"/>
  <c r="AA89" i="3"/>
  <c r="AE89" i="3" s="1"/>
  <c r="O88" i="3"/>
  <c r="S88" i="3" s="1"/>
  <c r="G29" i="3"/>
  <c r="AX29" i="3" s="1"/>
  <c r="AM1624" i="3" l="1"/>
  <c r="AQ1624" i="3" s="1"/>
  <c r="AM481" i="3"/>
  <c r="AQ481" i="3" s="1"/>
  <c r="AG309" i="3"/>
  <c r="AK309" i="3" s="1"/>
  <c r="U93" i="3"/>
  <c r="Y93" i="3" s="1"/>
  <c r="AA90" i="3"/>
  <c r="AE90" i="3" s="1"/>
  <c r="AA91" i="3" s="1"/>
  <c r="AE91" i="3" s="1"/>
  <c r="O89" i="3"/>
  <c r="S89" i="3" s="1"/>
  <c r="I86" i="3"/>
  <c r="M86" i="3" s="1"/>
  <c r="C30" i="3"/>
  <c r="AS30" i="3" s="1"/>
  <c r="AZ29" i="3"/>
  <c r="AM1625" i="3" l="1"/>
  <c r="AQ1625" i="3" s="1"/>
  <c r="AM482" i="3"/>
  <c r="AQ482" i="3" s="1"/>
  <c r="AG310" i="3"/>
  <c r="AK310" i="3" s="1"/>
  <c r="AG311" i="3" s="1"/>
  <c r="AK311" i="3" s="1"/>
  <c r="U94" i="3"/>
  <c r="Y94" i="3" s="1"/>
  <c r="AA92" i="3"/>
  <c r="AE92" i="3" s="1"/>
  <c r="O90" i="3"/>
  <c r="S90" i="3" s="1"/>
  <c r="O91" i="3" s="1"/>
  <c r="S91" i="3" s="1"/>
  <c r="I87" i="3"/>
  <c r="M87" i="3" s="1"/>
  <c r="G30" i="3"/>
  <c r="AX30" i="3" s="1"/>
  <c r="AM483" i="3" l="1"/>
  <c r="AQ483" i="3" s="1"/>
  <c r="AM1626" i="3"/>
  <c r="AQ1626" i="3" s="1"/>
  <c r="AG312" i="3"/>
  <c r="AK312" i="3" s="1"/>
  <c r="U95" i="3"/>
  <c r="Y95" i="3" s="1"/>
  <c r="AA93" i="3"/>
  <c r="AE93" i="3" s="1"/>
  <c r="O92" i="3"/>
  <c r="S92" i="3" s="1"/>
  <c r="I88" i="3"/>
  <c r="M88" i="3" s="1"/>
  <c r="C31" i="3"/>
  <c r="AS31" i="3" s="1"/>
  <c r="AZ30" i="3"/>
  <c r="AM1627" i="3" l="1"/>
  <c r="AQ1627" i="3" s="1"/>
  <c r="AM484" i="3"/>
  <c r="AQ484" i="3" s="1"/>
  <c r="AG313" i="3"/>
  <c r="AK313" i="3" s="1"/>
  <c r="U96" i="3"/>
  <c r="Y96" i="3" s="1"/>
  <c r="AA94" i="3"/>
  <c r="AE94" i="3" s="1"/>
  <c r="O93" i="3"/>
  <c r="S93" i="3" s="1"/>
  <c r="I89" i="3"/>
  <c r="M89" i="3" s="1"/>
  <c r="G31" i="3"/>
  <c r="AX31" i="3" s="1"/>
  <c r="AM1628" i="3" l="1"/>
  <c r="AQ1628" i="3" s="1"/>
  <c r="AM485" i="3"/>
  <c r="AQ485" i="3" s="1"/>
  <c r="AG314" i="3"/>
  <c r="AK314" i="3" s="1"/>
  <c r="U97" i="3"/>
  <c r="Y97" i="3" s="1"/>
  <c r="AA95" i="3"/>
  <c r="AE95" i="3" s="1"/>
  <c r="O94" i="3"/>
  <c r="S94" i="3" s="1"/>
  <c r="I90" i="3"/>
  <c r="M90" i="3" s="1"/>
  <c r="I91" i="3" s="1"/>
  <c r="M91" i="3" s="1"/>
  <c r="C32" i="3"/>
  <c r="AS32" i="3" s="1"/>
  <c r="AZ31" i="3"/>
  <c r="AM486" i="3" l="1"/>
  <c r="AQ486" i="3" s="1"/>
  <c r="AM1629" i="3"/>
  <c r="AQ1629" i="3" s="1"/>
  <c r="AG315" i="3"/>
  <c r="AK315" i="3" s="1"/>
  <c r="U98" i="3"/>
  <c r="Y98" i="3" s="1"/>
  <c r="AA96" i="3"/>
  <c r="AE96" i="3" s="1"/>
  <c r="O95" i="3"/>
  <c r="S95" i="3" s="1"/>
  <c r="I92" i="3"/>
  <c r="M92" i="3" s="1"/>
  <c r="G32" i="3"/>
  <c r="AX32" i="3" s="1"/>
  <c r="AM1630" i="3" l="1"/>
  <c r="AQ1630" i="3" s="1"/>
  <c r="AM487" i="3"/>
  <c r="AQ487" i="3" s="1"/>
  <c r="AG316" i="3"/>
  <c r="AK316" i="3" s="1"/>
  <c r="U99" i="3"/>
  <c r="Y99" i="3" s="1"/>
  <c r="U100" i="3" s="1"/>
  <c r="Y100" i="3" s="1"/>
  <c r="AA97" i="3"/>
  <c r="AE97" i="3" s="1"/>
  <c r="O96" i="3"/>
  <c r="S96" i="3" s="1"/>
  <c r="I93" i="3"/>
  <c r="M93" i="3" s="1"/>
  <c r="AZ32" i="3"/>
  <c r="C33" i="3"/>
  <c r="AS33" i="3" s="1"/>
  <c r="AM488" i="3" l="1"/>
  <c r="AQ488" i="3" s="1"/>
  <c r="AM1631" i="3"/>
  <c r="AQ1631" i="3" s="1"/>
  <c r="AG317" i="3"/>
  <c r="AK317" i="3" s="1"/>
  <c r="AG318" i="3" s="1"/>
  <c r="AK318" i="3" s="1"/>
  <c r="U101" i="3"/>
  <c r="Y101" i="3" s="1"/>
  <c r="AA98" i="3"/>
  <c r="AE98" i="3" s="1"/>
  <c r="O97" i="3"/>
  <c r="S97" i="3" s="1"/>
  <c r="I94" i="3"/>
  <c r="M94" i="3" s="1"/>
  <c r="G33" i="3"/>
  <c r="AX33" i="3" s="1"/>
  <c r="AM489" i="3" l="1"/>
  <c r="AQ489" i="3" s="1"/>
  <c r="AM1632" i="3"/>
  <c r="AQ1632" i="3" s="1"/>
  <c r="AG319" i="3"/>
  <c r="AK319" i="3" s="1"/>
  <c r="U102" i="3"/>
  <c r="Y102" i="3" s="1"/>
  <c r="U103" i="3" s="1"/>
  <c r="Y103" i="3" s="1"/>
  <c r="AA99" i="3"/>
  <c r="AE99" i="3" s="1"/>
  <c r="AA100" i="3" s="1"/>
  <c r="AE100" i="3" s="1"/>
  <c r="O98" i="3"/>
  <c r="S98" i="3" s="1"/>
  <c r="I95" i="3"/>
  <c r="M95" i="3" s="1"/>
  <c r="C34" i="3"/>
  <c r="AS34" i="3" s="1"/>
  <c r="AZ33" i="3"/>
  <c r="AM1633" i="3" l="1"/>
  <c r="AQ1633" i="3" s="1"/>
  <c r="AM490" i="3"/>
  <c r="AQ490" i="3" s="1"/>
  <c r="AG320" i="3"/>
  <c r="AK320" i="3" s="1"/>
  <c r="U104" i="3"/>
  <c r="Y104" i="3" s="1"/>
  <c r="U105" i="3" s="1"/>
  <c r="Y105" i="3" s="1"/>
  <c r="U106" i="3" s="1"/>
  <c r="Y106" i="3" s="1"/>
  <c r="AA101" i="3"/>
  <c r="AE101" i="3" s="1"/>
  <c r="O99" i="3"/>
  <c r="S99" i="3" s="1"/>
  <c r="O100" i="3" s="1"/>
  <c r="S100" i="3" s="1"/>
  <c r="I96" i="3"/>
  <c r="M96" i="3" s="1"/>
  <c r="G34" i="3"/>
  <c r="AX34" i="3" s="1"/>
  <c r="AM491" i="3" l="1"/>
  <c r="AQ491" i="3" s="1"/>
  <c r="AM1634" i="3"/>
  <c r="AQ1634" i="3" s="1"/>
  <c r="AG321" i="3"/>
  <c r="AK321" i="3" s="1"/>
  <c r="U107" i="3"/>
  <c r="Y107" i="3" s="1"/>
  <c r="U108" i="3" s="1"/>
  <c r="Y108" i="3" s="1"/>
  <c r="AA102" i="3"/>
  <c r="AE102" i="3" s="1"/>
  <c r="AA103" i="3" s="1"/>
  <c r="AE103" i="3" s="1"/>
  <c r="O101" i="3"/>
  <c r="S101" i="3" s="1"/>
  <c r="I97" i="3"/>
  <c r="M97" i="3" s="1"/>
  <c r="C35" i="3"/>
  <c r="AS35" i="3" s="1"/>
  <c r="AZ34" i="3"/>
  <c r="AM492" i="3" l="1"/>
  <c r="AQ492" i="3" s="1"/>
  <c r="AG322" i="3"/>
  <c r="AK322" i="3" s="1"/>
  <c r="U109" i="3"/>
  <c r="Y109" i="3" s="1"/>
  <c r="AA104" i="3"/>
  <c r="AE104" i="3" s="1"/>
  <c r="AA105" i="3" s="1"/>
  <c r="AE105" i="3" s="1"/>
  <c r="AA106" i="3" s="1"/>
  <c r="AE106" i="3" s="1"/>
  <c r="O102" i="3"/>
  <c r="S102" i="3" s="1"/>
  <c r="O103" i="3" s="1"/>
  <c r="S103" i="3" s="1"/>
  <c r="I98" i="3"/>
  <c r="M98" i="3" s="1"/>
  <c r="G35" i="3"/>
  <c r="AX35" i="3" s="1"/>
  <c r="AM493" i="3" l="1"/>
  <c r="AQ493" i="3" s="1"/>
  <c r="AG323" i="3"/>
  <c r="AK323" i="3" s="1"/>
  <c r="U110" i="3"/>
  <c r="Y110" i="3" s="1"/>
  <c r="U111" i="3" s="1"/>
  <c r="Y111" i="3" s="1"/>
  <c r="AA107" i="3"/>
  <c r="AE107" i="3" s="1"/>
  <c r="AA108" i="3" s="1"/>
  <c r="AE108" i="3" s="1"/>
  <c r="O104" i="3"/>
  <c r="S104" i="3" s="1"/>
  <c r="O105" i="3" s="1"/>
  <c r="S105" i="3" s="1"/>
  <c r="I99" i="3"/>
  <c r="M99" i="3" s="1"/>
  <c r="C36" i="3"/>
  <c r="AS36" i="3" s="1"/>
  <c r="AZ35" i="3"/>
  <c r="AM494" i="3" l="1"/>
  <c r="AQ494" i="3" s="1"/>
  <c r="AG324" i="3"/>
  <c r="AK324" i="3" s="1"/>
  <c r="U112" i="3"/>
  <c r="Y112" i="3" s="1"/>
  <c r="AA109" i="3"/>
  <c r="AE109" i="3" s="1"/>
  <c r="O106" i="3"/>
  <c r="S106" i="3" s="1"/>
  <c r="I100" i="3"/>
  <c r="M100" i="3" s="1"/>
  <c r="G36" i="3"/>
  <c r="AX36" i="3" s="1"/>
  <c r="AM495" i="3" l="1"/>
  <c r="AQ495" i="3" s="1"/>
  <c r="AG325" i="3"/>
  <c r="AK325" i="3" s="1"/>
  <c r="AG326" i="3" s="1"/>
  <c r="AK326" i="3" s="1"/>
  <c r="U113" i="3"/>
  <c r="Y113" i="3" s="1"/>
  <c r="AA110" i="3"/>
  <c r="AE110" i="3" s="1"/>
  <c r="AA111" i="3" s="1"/>
  <c r="AE111" i="3" s="1"/>
  <c r="O107" i="3"/>
  <c r="S107" i="3" s="1"/>
  <c r="O108" i="3" s="1"/>
  <c r="S108" i="3" s="1"/>
  <c r="I101" i="3"/>
  <c r="M101" i="3" s="1"/>
  <c r="C37" i="3"/>
  <c r="AS37" i="3" s="1"/>
  <c r="AZ36" i="3"/>
  <c r="AM496" i="3" l="1"/>
  <c r="AQ496" i="3" s="1"/>
  <c r="AG327" i="3"/>
  <c r="AK327" i="3" s="1"/>
  <c r="U114" i="3"/>
  <c r="Y114" i="3" s="1"/>
  <c r="U115" i="3" s="1"/>
  <c r="Y115" i="3" s="1"/>
  <c r="AA112" i="3"/>
  <c r="AE112" i="3" s="1"/>
  <c r="O109" i="3"/>
  <c r="S109" i="3" s="1"/>
  <c r="I102" i="3"/>
  <c r="M102" i="3" s="1"/>
  <c r="I103" i="3" s="1"/>
  <c r="M103" i="3" s="1"/>
  <c r="G37" i="3"/>
  <c r="AX37" i="3" s="1"/>
  <c r="AM497" i="3" l="1"/>
  <c r="AQ497" i="3" s="1"/>
  <c r="AG328" i="3"/>
  <c r="AK328" i="3" s="1"/>
  <c r="U116" i="3"/>
  <c r="Y116" i="3" s="1"/>
  <c r="U117" i="3" s="1"/>
  <c r="Y117" i="3" s="1"/>
  <c r="AA113" i="3"/>
  <c r="AE113" i="3" s="1"/>
  <c r="O110" i="3"/>
  <c r="S110" i="3" s="1"/>
  <c r="O111" i="3" s="1"/>
  <c r="S111" i="3" s="1"/>
  <c r="I104" i="3"/>
  <c r="M104" i="3" s="1"/>
  <c r="C38" i="3"/>
  <c r="AS38" i="3" s="1"/>
  <c r="AZ37" i="3"/>
  <c r="AM498" i="3" l="1"/>
  <c r="AQ498" i="3" s="1"/>
  <c r="AG329" i="3"/>
  <c r="AK329" i="3" s="1"/>
  <c r="U118" i="3"/>
  <c r="Y118" i="3" s="1"/>
  <c r="U119" i="3" s="1"/>
  <c r="Y119" i="3" s="1"/>
  <c r="AA114" i="3"/>
  <c r="AE114" i="3" s="1"/>
  <c r="AA115" i="3" s="1"/>
  <c r="AE115" i="3" s="1"/>
  <c r="O112" i="3"/>
  <c r="S112" i="3" s="1"/>
  <c r="I105" i="3"/>
  <c r="M105" i="3" s="1"/>
  <c r="G38" i="3"/>
  <c r="AX38" i="3" s="1"/>
  <c r="AM499" i="3" l="1"/>
  <c r="AQ499" i="3" s="1"/>
  <c r="AG330" i="3"/>
  <c r="AK330" i="3" s="1"/>
  <c r="U120" i="3"/>
  <c r="Y120" i="3" s="1"/>
  <c r="AA116" i="3"/>
  <c r="AE116" i="3" s="1"/>
  <c r="AA117" i="3" s="1"/>
  <c r="AE117" i="3" s="1"/>
  <c r="O113" i="3"/>
  <c r="S113" i="3" s="1"/>
  <c r="I106" i="3"/>
  <c r="M106" i="3" s="1"/>
  <c r="C39" i="3"/>
  <c r="AS39" i="3" s="1"/>
  <c r="AZ38" i="3"/>
  <c r="AM500" i="3" l="1"/>
  <c r="AQ500" i="3" s="1"/>
  <c r="AG331" i="3"/>
  <c r="AK331" i="3" s="1"/>
  <c r="U121" i="3"/>
  <c r="Y121" i="3" s="1"/>
  <c r="AA118" i="3"/>
  <c r="AE118" i="3" s="1"/>
  <c r="AA119" i="3" s="1"/>
  <c r="AE119" i="3" s="1"/>
  <c r="O114" i="3"/>
  <c r="S114" i="3" s="1"/>
  <c r="O115" i="3" s="1"/>
  <c r="S115" i="3" s="1"/>
  <c r="I107" i="3"/>
  <c r="M107" i="3" s="1"/>
  <c r="G39" i="3"/>
  <c r="AX39" i="3" s="1"/>
  <c r="AM501" i="3" l="1"/>
  <c r="AQ501" i="3" s="1"/>
  <c r="AG332" i="3"/>
  <c r="AK332" i="3" s="1"/>
  <c r="U122" i="3"/>
  <c r="Y122" i="3" s="1"/>
  <c r="AA120" i="3"/>
  <c r="AE120" i="3" s="1"/>
  <c r="O116" i="3"/>
  <c r="S116" i="3" s="1"/>
  <c r="O117" i="3" s="1"/>
  <c r="S117" i="3" s="1"/>
  <c r="I108" i="3"/>
  <c r="M108" i="3" s="1"/>
  <c r="C40" i="3"/>
  <c r="AS40" i="3" s="1"/>
  <c r="AZ39" i="3"/>
  <c r="AM502" i="3" l="1"/>
  <c r="AQ502" i="3" s="1"/>
  <c r="AG333" i="3"/>
  <c r="AK333" i="3" s="1"/>
  <c r="AG334" i="3" s="1"/>
  <c r="AK334" i="3" s="1"/>
  <c r="U123" i="3"/>
  <c r="Y123" i="3" s="1"/>
  <c r="AA121" i="3"/>
  <c r="AE121" i="3" s="1"/>
  <c r="O118" i="3"/>
  <c r="S118" i="3" s="1"/>
  <c r="O119" i="3" s="1"/>
  <c r="S119" i="3" s="1"/>
  <c r="I109" i="3"/>
  <c r="M109" i="3" s="1"/>
  <c r="G40" i="3"/>
  <c r="AX40" i="3" s="1"/>
  <c r="AM503" i="3" l="1"/>
  <c r="AQ503" i="3" s="1"/>
  <c r="AG335" i="3"/>
  <c r="AK335" i="3" s="1"/>
  <c r="U124" i="3"/>
  <c r="Y124" i="3" s="1"/>
  <c r="AA122" i="3"/>
  <c r="AE122" i="3" s="1"/>
  <c r="O120" i="3"/>
  <c r="S120" i="3" s="1"/>
  <c r="I110" i="3"/>
  <c r="M110" i="3" s="1"/>
  <c r="C41" i="3"/>
  <c r="AS41" i="3" s="1"/>
  <c r="AZ40" i="3"/>
  <c r="AM504" i="3" l="1"/>
  <c r="AQ504" i="3" s="1"/>
  <c r="AG336" i="3"/>
  <c r="AK336" i="3" s="1"/>
  <c r="AG337" i="3" s="1"/>
  <c r="AK337" i="3" s="1"/>
  <c r="U125" i="3"/>
  <c r="Y125" i="3" s="1"/>
  <c r="AA123" i="3"/>
  <c r="AE123" i="3" s="1"/>
  <c r="O121" i="3"/>
  <c r="S121" i="3" s="1"/>
  <c r="I111" i="3"/>
  <c r="M111" i="3" s="1"/>
  <c r="G41" i="3"/>
  <c r="AX41" i="3" s="1"/>
  <c r="AM505" i="3" l="1"/>
  <c r="AQ505" i="3" s="1"/>
  <c r="AG338" i="3"/>
  <c r="AK338" i="3" s="1"/>
  <c r="U126" i="3"/>
  <c r="Y126" i="3" s="1"/>
  <c r="AA124" i="3"/>
  <c r="AE124" i="3" s="1"/>
  <c r="O122" i="3"/>
  <c r="S122" i="3" s="1"/>
  <c r="I112" i="3"/>
  <c r="M112" i="3" s="1"/>
  <c r="C42" i="3"/>
  <c r="AS42" i="3" s="1"/>
  <c r="AZ41" i="3"/>
  <c r="AM506" i="3" l="1"/>
  <c r="AQ506" i="3" s="1"/>
  <c r="AG339" i="3"/>
  <c r="AK339" i="3" s="1"/>
  <c r="U127" i="3"/>
  <c r="Y127" i="3" s="1"/>
  <c r="U128" i="3" s="1"/>
  <c r="Y128" i="3" s="1"/>
  <c r="AA125" i="3"/>
  <c r="AE125" i="3" s="1"/>
  <c r="O123" i="3"/>
  <c r="S123" i="3" s="1"/>
  <c r="I113" i="3"/>
  <c r="M113" i="3" s="1"/>
  <c r="G42" i="3"/>
  <c r="AX42" i="3" s="1"/>
  <c r="AM507" i="3" l="1"/>
  <c r="AQ507" i="3" s="1"/>
  <c r="AG340" i="3"/>
  <c r="AK340" i="3" s="1"/>
  <c r="U129" i="3"/>
  <c r="Y129" i="3" s="1"/>
  <c r="AA126" i="3"/>
  <c r="AE126" i="3" s="1"/>
  <c r="O124" i="3"/>
  <c r="S124" i="3" s="1"/>
  <c r="I114" i="3"/>
  <c r="M114" i="3" s="1"/>
  <c r="I115" i="3" s="1"/>
  <c r="M115" i="3" s="1"/>
  <c r="C43" i="3"/>
  <c r="AS43" i="3" s="1"/>
  <c r="AZ42" i="3"/>
  <c r="AM508" i="3" l="1"/>
  <c r="AQ508" i="3" s="1"/>
  <c r="AG341" i="3"/>
  <c r="AK341" i="3" s="1"/>
  <c r="U130" i="3"/>
  <c r="Y130" i="3" s="1"/>
  <c r="AA127" i="3"/>
  <c r="AE127" i="3" s="1"/>
  <c r="AA128" i="3" s="1"/>
  <c r="AE128" i="3" s="1"/>
  <c r="O125" i="3"/>
  <c r="S125" i="3" s="1"/>
  <c r="I116" i="3"/>
  <c r="M116" i="3" s="1"/>
  <c r="G43" i="3"/>
  <c r="AX43" i="3" s="1"/>
  <c r="AM509" i="3" l="1"/>
  <c r="AQ509" i="3" s="1"/>
  <c r="AG342" i="3"/>
  <c r="AK342" i="3" s="1"/>
  <c r="AG343" i="3" s="1"/>
  <c r="AK343" i="3" s="1"/>
  <c r="AG344" i="3" s="1"/>
  <c r="AK344" i="3" s="1"/>
  <c r="I117" i="3"/>
  <c r="M117" i="3" s="1"/>
  <c r="I118" i="3" s="1"/>
  <c r="M118" i="3" s="1"/>
  <c r="U131" i="3"/>
  <c r="Y131" i="3" s="1"/>
  <c r="U132" i="3" s="1"/>
  <c r="Y132" i="3" s="1"/>
  <c r="AA129" i="3"/>
  <c r="AE129" i="3" s="1"/>
  <c r="O126" i="3"/>
  <c r="S126" i="3" s="1"/>
  <c r="C44" i="3"/>
  <c r="AS44" i="3" s="1"/>
  <c r="AZ43" i="3"/>
  <c r="AM510" i="3" l="1"/>
  <c r="AQ510" i="3" s="1"/>
  <c r="AG345" i="3"/>
  <c r="AK345" i="3" s="1"/>
  <c r="U133" i="3"/>
  <c r="Y133" i="3" s="1"/>
  <c r="AA130" i="3"/>
  <c r="AE130" i="3" s="1"/>
  <c r="O127" i="3"/>
  <c r="S127" i="3" s="1"/>
  <c r="O128" i="3" s="1"/>
  <c r="S128" i="3" s="1"/>
  <c r="I119" i="3"/>
  <c r="M119" i="3" s="1"/>
  <c r="G44" i="3"/>
  <c r="AX44" i="3" s="1"/>
  <c r="AM511" i="3" l="1"/>
  <c r="AQ511" i="3" s="1"/>
  <c r="AG346" i="3"/>
  <c r="AK346" i="3" s="1"/>
  <c r="U134" i="3"/>
  <c r="Y134" i="3" s="1"/>
  <c r="U135" i="3" s="1"/>
  <c r="Y135" i="3" s="1"/>
  <c r="U136" i="3" s="1"/>
  <c r="Y136" i="3" s="1"/>
  <c r="U137" i="3" s="1"/>
  <c r="Y137" i="3" s="1"/>
  <c r="AA131" i="3"/>
  <c r="AE131" i="3" s="1"/>
  <c r="AA132" i="3" s="1"/>
  <c r="AE132" i="3" s="1"/>
  <c r="O129" i="3"/>
  <c r="S129" i="3" s="1"/>
  <c r="I120" i="3"/>
  <c r="M120" i="3" s="1"/>
  <c r="C45" i="3"/>
  <c r="AS45" i="3" s="1"/>
  <c r="AZ44" i="3"/>
  <c r="AM512" i="3" l="1"/>
  <c r="AQ512" i="3" s="1"/>
  <c r="AG347" i="3"/>
  <c r="AK347" i="3" s="1"/>
  <c r="U138" i="3"/>
  <c r="Y138" i="3" s="1"/>
  <c r="AA133" i="3"/>
  <c r="AE133" i="3" s="1"/>
  <c r="O130" i="3"/>
  <c r="S130" i="3" s="1"/>
  <c r="I121" i="3"/>
  <c r="M121" i="3" s="1"/>
  <c r="G45" i="3"/>
  <c r="AX45" i="3" s="1"/>
  <c r="AM513" i="3" l="1"/>
  <c r="AQ513" i="3" s="1"/>
  <c r="AG348" i="3"/>
  <c r="AK348" i="3" s="1"/>
  <c r="U139" i="3"/>
  <c r="Y139" i="3" s="1"/>
  <c r="U140" i="3" s="1"/>
  <c r="Y140" i="3" s="1"/>
  <c r="AA134" i="3"/>
  <c r="AE134" i="3" s="1"/>
  <c r="AA135" i="3" s="1"/>
  <c r="AE135" i="3" s="1"/>
  <c r="AA136" i="3" s="1"/>
  <c r="AE136" i="3" s="1"/>
  <c r="AA137" i="3" s="1"/>
  <c r="AE137" i="3" s="1"/>
  <c r="O131" i="3"/>
  <c r="S131" i="3" s="1"/>
  <c r="O132" i="3" s="1"/>
  <c r="S132" i="3" s="1"/>
  <c r="I122" i="3"/>
  <c r="M122" i="3" s="1"/>
  <c r="C46" i="3"/>
  <c r="AS46" i="3" s="1"/>
  <c r="AZ45" i="3"/>
  <c r="AM514" i="3" l="1"/>
  <c r="AQ514" i="3" s="1"/>
  <c r="AG349" i="3"/>
  <c r="AK349" i="3" s="1"/>
  <c r="U141" i="3"/>
  <c r="Y141" i="3" s="1"/>
  <c r="U142" i="3" s="1"/>
  <c r="Y142" i="3" s="1"/>
  <c r="AA138" i="3"/>
  <c r="AE138" i="3" s="1"/>
  <c r="O133" i="3"/>
  <c r="S133" i="3" s="1"/>
  <c r="I123" i="3"/>
  <c r="M123" i="3" s="1"/>
  <c r="G46" i="3"/>
  <c r="AX46" i="3" s="1"/>
  <c r="AM515" i="3" l="1"/>
  <c r="AQ515" i="3" s="1"/>
  <c r="AG350" i="3"/>
  <c r="AK350" i="3" s="1"/>
  <c r="U143" i="3"/>
  <c r="Y143" i="3" s="1"/>
  <c r="AA139" i="3"/>
  <c r="AE139" i="3" s="1"/>
  <c r="AA140" i="3" s="1"/>
  <c r="AE140" i="3" s="1"/>
  <c r="O134" i="3"/>
  <c r="S134" i="3" s="1"/>
  <c r="O135" i="3" s="1"/>
  <c r="S135" i="3" s="1"/>
  <c r="O136" i="3" s="1"/>
  <c r="S136" i="3" s="1"/>
  <c r="I124" i="3"/>
  <c r="M124" i="3" s="1"/>
  <c r="C47" i="3"/>
  <c r="AS47" i="3" s="1"/>
  <c r="AZ46" i="3"/>
  <c r="AM516" i="3" l="1"/>
  <c r="AQ516" i="3" s="1"/>
  <c r="AG351" i="3"/>
  <c r="AK351" i="3" s="1"/>
  <c r="AG352" i="3" s="1"/>
  <c r="AK352" i="3" s="1"/>
  <c r="U144" i="3"/>
  <c r="Y144" i="3" s="1"/>
  <c r="U145" i="3" s="1"/>
  <c r="Y145" i="3" s="1"/>
  <c r="AA141" i="3"/>
  <c r="AE141" i="3" s="1"/>
  <c r="AA142" i="3" s="1"/>
  <c r="AE142" i="3" s="1"/>
  <c r="O137" i="3"/>
  <c r="S137" i="3" s="1"/>
  <c r="I125" i="3"/>
  <c r="M125" i="3" s="1"/>
  <c r="G47" i="3"/>
  <c r="AX47" i="3" s="1"/>
  <c r="AM517" i="3" l="1"/>
  <c r="AQ517" i="3" s="1"/>
  <c r="AG353" i="3"/>
  <c r="AK353" i="3" s="1"/>
  <c r="U146" i="3"/>
  <c r="Y146" i="3" s="1"/>
  <c r="AA143" i="3"/>
  <c r="AE143" i="3" s="1"/>
  <c r="O138" i="3"/>
  <c r="S138" i="3" s="1"/>
  <c r="I126" i="3"/>
  <c r="M126" i="3" s="1"/>
  <c r="C48" i="3"/>
  <c r="AS48" i="3" s="1"/>
  <c r="AZ47" i="3"/>
  <c r="AM518" i="3" l="1"/>
  <c r="AQ518" i="3" s="1"/>
  <c r="AG354" i="3"/>
  <c r="AK354" i="3" s="1"/>
  <c r="U147" i="3"/>
  <c r="Y147" i="3" s="1"/>
  <c r="AA144" i="3"/>
  <c r="AE144" i="3" s="1"/>
  <c r="AA145" i="3" s="1"/>
  <c r="AE145" i="3" s="1"/>
  <c r="O139" i="3"/>
  <c r="S139" i="3" s="1"/>
  <c r="O140" i="3" s="1"/>
  <c r="S140" i="3" s="1"/>
  <c r="I127" i="3"/>
  <c r="M127" i="3" s="1"/>
  <c r="I128" i="3" s="1"/>
  <c r="M128" i="3" s="1"/>
  <c r="G48" i="3"/>
  <c r="AX48" i="3" s="1"/>
  <c r="AM519" i="3" l="1"/>
  <c r="AQ519" i="3" s="1"/>
  <c r="AG355" i="3"/>
  <c r="AK355" i="3" s="1"/>
  <c r="U148" i="3"/>
  <c r="Y148" i="3" s="1"/>
  <c r="AA146" i="3"/>
  <c r="AE146" i="3" s="1"/>
  <c r="O141" i="3"/>
  <c r="S141" i="3" s="1"/>
  <c r="I129" i="3"/>
  <c r="M129" i="3" s="1"/>
  <c r="C49" i="3"/>
  <c r="AS49" i="3" s="1"/>
  <c r="AZ48" i="3"/>
  <c r="AM520" i="3" l="1"/>
  <c r="AQ520" i="3" s="1"/>
  <c r="AG356" i="3"/>
  <c r="AK356" i="3" s="1"/>
  <c r="U149" i="3"/>
  <c r="Y149" i="3" s="1"/>
  <c r="AA147" i="3"/>
  <c r="AE147" i="3" s="1"/>
  <c r="O142" i="3"/>
  <c r="S142" i="3" s="1"/>
  <c r="I130" i="3"/>
  <c r="M130" i="3" s="1"/>
  <c r="G49" i="3"/>
  <c r="AX49" i="3" s="1"/>
  <c r="AM521" i="3" l="1"/>
  <c r="AQ521" i="3" s="1"/>
  <c r="AG357" i="3"/>
  <c r="AK357" i="3" s="1"/>
  <c r="AG358" i="3" s="1"/>
  <c r="AK358" i="3" s="1"/>
  <c r="AG359" i="3" s="1"/>
  <c r="AK359" i="3" s="1"/>
  <c r="U150" i="3"/>
  <c r="Y150" i="3" s="1"/>
  <c r="U151" i="3" s="1"/>
  <c r="Y151" i="3" s="1"/>
  <c r="AA148" i="3"/>
  <c r="AE148" i="3" s="1"/>
  <c r="O143" i="3"/>
  <c r="S143" i="3" s="1"/>
  <c r="I131" i="3"/>
  <c r="M131" i="3" s="1"/>
  <c r="I132" i="3" s="1"/>
  <c r="M132" i="3" s="1"/>
  <c r="C50" i="3"/>
  <c r="AS50" i="3" s="1"/>
  <c r="AZ49" i="3"/>
  <c r="AM522" i="3" l="1"/>
  <c r="AQ522" i="3" s="1"/>
  <c r="AG360" i="3"/>
  <c r="AK360" i="3" s="1"/>
  <c r="AG361" i="3" s="1"/>
  <c r="AK361" i="3" s="1"/>
  <c r="AG362" i="3" s="1"/>
  <c r="AK362" i="3" s="1"/>
  <c r="AG363" i="3" s="1"/>
  <c r="AK363" i="3" s="1"/>
  <c r="U152" i="3"/>
  <c r="Y152" i="3" s="1"/>
  <c r="AA149" i="3"/>
  <c r="AE149" i="3" s="1"/>
  <c r="O144" i="3"/>
  <c r="S144" i="3" s="1"/>
  <c r="O145" i="3" s="1"/>
  <c r="S145" i="3" s="1"/>
  <c r="I133" i="3"/>
  <c r="M133" i="3" s="1"/>
  <c r="G50" i="3"/>
  <c r="AX50" i="3" s="1"/>
  <c r="AM523" i="3" l="1"/>
  <c r="AQ523" i="3" s="1"/>
  <c r="AG364" i="3"/>
  <c r="AK364" i="3" s="1"/>
  <c r="U153" i="3"/>
  <c r="Y153" i="3" s="1"/>
  <c r="AA150" i="3"/>
  <c r="AE150" i="3" s="1"/>
  <c r="AA151" i="3" s="1"/>
  <c r="AE151" i="3" s="1"/>
  <c r="O146" i="3"/>
  <c r="S146" i="3" s="1"/>
  <c r="I134" i="3"/>
  <c r="M134" i="3" s="1"/>
  <c r="I135" i="3" s="1"/>
  <c r="M135" i="3" s="1"/>
  <c r="I136" i="3" s="1"/>
  <c r="M136" i="3" s="1"/>
  <c r="C51" i="3"/>
  <c r="AS51" i="3" s="1"/>
  <c r="AZ50" i="3"/>
  <c r="AM524" i="3" l="1"/>
  <c r="AQ524" i="3" s="1"/>
  <c r="AG365" i="3"/>
  <c r="AK365" i="3" s="1"/>
  <c r="AG366" i="3" s="1"/>
  <c r="AK366" i="3" s="1"/>
  <c r="U154" i="3"/>
  <c r="Y154" i="3" s="1"/>
  <c r="AA152" i="3"/>
  <c r="AE152" i="3" s="1"/>
  <c r="O147" i="3"/>
  <c r="S147" i="3" s="1"/>
  <c r="I137" i="3"/>
  <c r="M137" i="3" s="1"/>
  <c r="G51" i="3"/>
  <c r="AX51" i="3" s="1"/>
  <c r="AM525" i="3" l="1"/>
  <c r="AQ525" i="3" s="1"/>
  <c r="AG367" i="3"/>
  <c r="AK367" i="3" s="1"/>
  <c r="U155" i="3"/>
  <c r="Y155" i="3" s="1"/>
  <c r="AA153" i="3"/>
  <c r="AE153" i="3" s="1"/>
  <c r="O148" i="3"/>
  <c r="S148" i="3" s="1"/>
  <c r="I138" i="3"/>
  <c r="M138" i="3" s="1"/>
  <c r="AZ51" i="3"/>
  <c r="C52" i="3"/>
  <c r="AS52" i="3" s="1"/>
  <c r="AM526" i="3" l="1"/>
  <c r="AQ526" i="3" s="1"/>
  <c r="AG368" i="3"/>
  <c r="AK368" i="3" s="1"/>
  <c r="U156" i="3"/>
  <c r="Y156" i="3" s="1"/>
  <c r="U157" i="3" s="1"/>
  <c r="Y157" i="3" s="1"/>
  <c r="AA154" i="3"/>
  <c r="AE154" i="3" s="1"/>
  <c r="O149" i="3"/>
  <c r="S149" i="3" s="1"/>
  <c r="I139" i="3"/>
  <c r="M139" i="3" s="1"/>
  <c r="I140" i="3" s="1"/>
  <c r="M140" i="3" s="1"/>
  <c r="G52" i="3"/>
  <c r="AX52" i="3" s="1"/>
  <c r="AM527" i="3" l="1"/>
  <c r="AQ527" i="3" s="1"/>
  <c r="AG369" i="3"/>
  <c r="AK369" i="3" s="1"/>
  <c r="AG370" i="3" s="1"/>
  <c r="AK370" i="3" s="1"/>
  <c r="U158" i="3"/>
  <c r="Y158" i="3" s="1"/>
  <c r="U159" i="3" s="1"/>
  <c r="Y159" i="3" s="1"/>
  <c r="AA155" i="3"/>
  <c r="AE155" i="3" s="1"/>
  <c r="O150" i="3"/>
  <c r="S150" i="3" s="1"/>
  <c r="O151" i="3" s="1"/>
  <c r="S151" i="3" s="1"/>
  <c r="I141" i="3"/>
  <c r="M141" i="3" s="1"/>
  <c r="AZ52" i="3"/>
  <c r="C53" i="3"/>
  <c r="AS53" i="3" s="1"/>
  <c r="AM528" i="3" l="1"/>
  <c r="AQ528" i="3" s="1"/>
  <c r="AG371" i="3"/>
  <c r="AK371" i="3" s="1"/>
  <c r="U160" i="3"/>
  <c r="Y160" i="3" s="1"/>
  <c r="AA156" i="3"/>
  <c r="AE156" i="3" s="1"/>
  <c r="AA157" i="3" s="1"/>
  <c r="AE157" i="3" s="1"/>
  <c r="O152" i="3"/>
  <c r="S152" i="3" s="1"/>
  <c r="I142" i="3"/>
  <c r="M142" i="3" s="1"/>
  <c r="G53" i="3"/>
  <c r="AX53" i="3" s="1"/>
  <c r="AM529" i="3" l="1"/>
  <c r="AQ529" i="3" s="1"/>
  <c r="AG372" i="3"/>
  <c r="AK372" i="3" s="1"/>
  <c r="AG373" i="3" s="1"/>
  <c r="AK373" i="3" s="1"/>
  <c r="U161" i="3"/>
  <c r="Y161" i="3" s="1"/>
  <c r="U162" i="3" s="1"/>
  <c r="Y162" i="3" s="1"/>
  <c r="AA158" i="3"/>
  <c r="AE158" i="3" s="1"/>
  <c r="AA159" i="3" s="1"/>
  <c r="AE159" i="3" s="1"/>
  <c r="O153" i="3"/>
  <c r="S153" i="3" s="1"/>
  <c r="I143" i="3"/>
  <c r="M143" i="3" s="1"/>
  <c r="AZ53" i="3"/>
  <c r="C54" i="3"/>
  <c r="AS54" i="3" s="1"/>
  <c r="AM530" i="3" l="1"/>
  <c r="AQ530" i="3" s="1"/>
  <c r="AG374" i="3"/>
  <c r="AK374" i="3" s="1"/>
  <c r="U163" i="3"/>
  <c r="Y163" i="3" s="1"/>
  <c r="AA160" i="3"/>
  <c r="AE160" i="3" s="1"/>
  <c r="O154" i="3"/>
  <c r="S154" i="3" s="1"/>
  <c r="I144" i="3"/>
  <c r="M144" i="3" s="1"/>
  <c r="G54" i="3"/>
  <c r="AX54" i="3" s="1"/>
  <c r="AM531" i="3" l="1"/>
  <c r="AQ531" i="3" s="1"/>
  <c r="AG375" i="3"/>
  <c r="AK375" i="3" s="1"/>
  <c r="U164" i="3"/>
  <c r="Y164" i="3" s="1"/>
  <c r="AA161" i="3"/>
  <c r="AE161" i="3" s="1"/>
  <c r="AA162" i="3" s="1"/>
  <c r="AE162" i="3" s="1"/>
  <c r="O155" i="3"/>
  <c r="S155" i="3" s="1"/>
  <c r="I145" i="3"/>
  <c r="M145" i="3" s="1"/>
  <c r="C55" i="3"/>
  <c r="AS55" i="3" s="1"/>
  <c r="AZ54" i="3"/>
  <c r="AM532" i="3" l="1"/>
  <c r="AQ532" i="3" s="1"/>
  <c r="AG376" i="3"/>
  <c r="AK376" i="3" s="1"/>
  <c r="U165" i="3"/>
  <c r="Y165" i="3" s="1"/>
  <c r="AA163" i="3"/>
  <c r="AE163" i="3" s="1"/>
  <c r="O156" i="3"/>
  <c r="S156" i="3" s="1"/>
  <c r="O157" i="3" s="1"/>
  <c r="S157" i="3" s="1"/>
  <c r="I146" i="3"/>
  <c r="M146" i="3" s="1"/>
  <c r="G55" i="3"/>
  <c r="AX55" i="3" s="1"/>
  <c r="AM533" i="3" l="1"/>
  <c r="AQ533" i="3" s="1"/>
  <c r="AG377" i="3"/>
  <c r="AK377" i="3" s="1"/>
  <c r="U166" i="3"/>
  <c r="Y166" i="3" s="1"/>
  <c r="AA164" i="3"/>
  <c r="AE164" i="3" s="1"/>
  <c r="O158" i="3"/>
  <c r="S158" i="3" s="1"/>
  <c r="O159" i="3" s="1"/>
  <c r="S159" i="3" s="1"/>
  <c r="I147" i="3"/>
  <c r="M147" i="3" s="1"/>
  <c r="AZ55" i="3"/>
  <c r="C56" i="3"/>
  <c r="AS56" i="3" s="1"/>
  <c r="AM534" i="3" l="1"/>
  <c r="AQ534" i="3" s="1"/>
  <c r="AG378" i="3"/>
  <c r="AK378" i="3" s="1"/>
  <c r="AG379" i="3" s="1"/>
  <c r="AK379" i="3" s="1"/>
  <c r="U167" i="3"/>
  <c r="Y167" i="3" s="1"/>
  <c r="U168" i="3" s="1"/>
  <c r="Y168" i="3" s="1"/>
  <c r="U169" i="3" s="1"/>
  <c r="Y169" i="3" s="1"/>
  <c r="U170" i="3" s="1"/>
  <c r="Y170" i="3" s="1"/>
  <c r="U171" i="3" s="1"/>
  <c r="Y171" i="3" s="1"/>
  <c r="AA165" i="3"/>
  <c r="AE165" i="3" s="1"/>
  <c r="O160" i="3"/>
  <c r="S160" i="3" s="1"/>
  <c r="I148" i="3"/>
  <c r="M148" i="3" s="1"/>
  <c r="G56" i="3"/>
  <c r="AX56" i="3" s="1"/>
  <c r="AM535" i="3" l="1"/>
  <c r="AQ535" i="3" s="1"/>
  <c r="AG380" i="3"/>
  <c r="AK380" i="3" s="1"/>
  <c r="U172" i="3"/>
  <c r="Y172" i="3" s="1"/>
  <c r="AA166" i="3"/>
  <c r="AE166" i="3" s="1"/>
  <c r="O161" i="3"/>
  <c r="S161" i="3" s="1"/>
  <c r="O162" i="3" s="1"/>
  <c r="S162" i="3" s="1"/>
  <c r="I149" i="3"/>
  <c r="M149" i="3" s="1"/>
  <c r="C57" i="3"/>
  <c r="AS57" i="3" s="1"/>
  <c r="AZ56" i="3"/>
  <c r="AM536" i="3" l="1"/>
  <c r="AQ536" i="3" s="1"/>
  <c r="AG381" i="3"/>
  <c r="AK381" i="3" s="1"/>
  <c r="AG382" i="3" s="1"/>
  <c r="AK382" i="3" s="1"/>
  <c r="U173" i="3"/>
  <c r="Y173" i="3" s="1"/>
  <c r="AA167" i="3"/>
  <c r="AE167" i="3" s="1"/>
  <c r="AA168" i="3" s="1"/>
  <c r="AE168" i="3" s="1"/>
  <c r="AA169" i="3" s="1"/>
  <c r="AE169" i="3" s="1"/>
  <c r="AA170" i="3" s="1"/>
  <c r="AE170" i="3" s="1"/>
  <c r="AA171" i="3" s="1"/>
  <c r="AE171" i="3" s="1"/>
  <c r="O163" i="3"/>
  <c r="S163" i="3" s="1"/>
  <c r="I150" i="3"/>
  <c r="M150" i="3" s="1"/>
  <c r="I151" i="3" s="1"/>
  <c r="M151" i="3" s="1"/>
  <c r="G57" i="3"/>
  <c r="AX57" i="3" s="1"/>
  <c r="AM537" i="3" l="1"/>
  <c r="AQ537" i="3" s="1"/>
  <c r="AG383" i="3"/>
  <c r="AK383" i="3" s="1"/>
  <c r="U174" i="3"/>
  <c r="Y174" i="3" s="1"/>
  <c r="AA172" i="3"/>
  <c r="AE172" i="3" s="1"/>
  <c r="O164" i="3"/>
  <c r="S164" i="3" s="1"/>
  <c r="I152" i="3"/>
  <c r="M152" i="3" s="1"/>
  <c r="AZ57" i="3"/>
  <c r="C58" i="3"/>
  <c r="AS58" i="3" s="1"/>
  <c r="AM538" i="3" l="1"/>
  <c r="AQ538" i="3" s="1"/>
  <c r="AG384" i="3"/>
  <c r="AK384" i="3" s="1"/>
  <c r="U175" i="3"/>
  <c r="Y175" i="3" s="1"/>
  <c r="AA173" i="3"/>
  <c r="AE173" i="3" s="1"/>
  <c r="O165" i="3"/>
  <c r="S165" i="3" s="1"/>
  <c r="I153" i="3"/>
  <c r="M153" i="3" s="1"/>
  <c r="G58" i="3"/>
  <c r="AX58" i="3" s="1"/>
  <c r="AM539" i="3" l="1"/>
  <c r="AQ539" i="3" s="1"/>
  <c r="AG385" i="3"/>
  <c r="AK385" i="3" s="1"/>
  <c r="U176" i="3"/>
  <c r="Y176" i="3" s="1"/>
  <c r="U177" i="3" s="1"/>
  <c r="Y177" i="3" s="1"/>
  <c r="AA174" i="3"/>
  <c r="AE174" i="3" s="1"/>
  <c r="O166" i="3"/>
  <c r="S166" i="3" s="1"/>
  <c r="I154" i="3"/>
  <c r="M154" i="3" s="1"/>
  <c r="I155" i="3" s="1"/>
  <c r="AZ58" i="3"/>
  <c r="C59" i="3"/>
  <c r="AS59" i="3" s="1"/>
  <c r="AM540" i="3" l="1"/>
  <c r="AQ540" i="3" s="1"/>
  <c r="AG386" i="3"/>
  <c r="AK386" i="3" s="1"/>
  <c r="U178" i="3"/>
  <c r="Y178" i="3" s="1"/>
  <c r="AA175" i="3"/>
  <c r="AE175" i="3" s="1"/>
  <c r="O167" i="3"/>
  <c r="S167" i="3" s="1"/>
  <c r="O168" i="3" s="1"/>
  <c r="S168" i="3" s="1"/>
  <c r="O169" i="3" s="1"/>
  <c r="S169" i="3" s="1"/>
  <c r="O170" i="3" s="1"/>
  <c r="S170" i="3" s="1"/>
  <c r="O171" i="3" s="1"/>
  <c r="S171" i="3" s="1"/>
  <c r="M155" i="3"/>
  <c r="G59" i="3"/>
  <c r="AX59" i="3" s="1"/>
  <c r="AM541" i="3" l="1"/>
  <c r="AQ541" i="3" s="1"/>
  <c r="AG387" i="3"/>
  <c r="AK387" i="3" s="1"/>
  <c r="U179" i="3"/>
  <c r="Y179" i="3" s="1"/>
  <c r="U180" i="3" s="1"/>
  <c r="Y180" i="3" s="1"/>
  <c r="AA176" i="3"/>
  <c r="AE176" i="3" s="1"/>
  <c r="AA177" i="3" s="1"/>
  <c r="AE177" i="3" s="1"/>
  <c r="O172" i="3"/>
  <c r="S172" i="3" s="1"/>
  <c r="I156" i="3"/>
  <c r="M156" i="3" s="1"/>
  <c r="AZ59" i="3"/>
  <c r="C60" i="3"/>
  <c r="AS60" i="3" s="1"/>
  <c r="AM542" i="3" l="1"/>
  <c r="AQ542" i="3" s="1"/>
  <c r="AG388" i="3"/>
  <c r="AK388" i="3" s="1"/>
  <c r="U181" i="3"/>
  <c r="AA178" i="3"/>
  <c r="AE178" i="3" s="1"/>
  <c r="O173" i="3"/>
  <c r="S173" i="3" s="1"/>
  <c r="I157" i="3"/>
  <c r="M157" i="3" s="1"/>
  <c r="G60" i="3"/>
  <c r="AX60" i="3" s="1"/>
  <c r="AM543" i="3" l="1"/>
  <c r="AQ543" i="3" s="1"/>
  <c r="AG389" i="3"/>
  <c r="AK389" i="3" s="1"/>
  <c r="Y181" i="3"/>
  <c r="U182" i="3" s="1"/>
  <c r="Y182" i="3" s="1"/>
  <c r="AA179" i="3"/>
  <c r="AE179" i="3" s="1"/>
  <c r="AA180" i="3" s="1"/>
  <c r="AE180" i="3" s="1"/>
  <c r="O174" i="3"/>
  <c r="S174" i="3" s="1"/>
  <c r="I158" i="3"/>
  <c r="M158" i="3" s="1"/>
  <c r="I159" i="3" s="1"/>
  <c r="M159" i="3" s="1"/>
  <c r="C61" i="3"/>
  <c r="AS61" i="3" s="1"/>
  <c r="AZ60" i="3"/>
  <c r="AM544" i="3" l="1"/>
  <c r="AQ544" i="3" s="1"/>
  <c r="AG390" i="3"/>
  <c r="AK390" i="3" s="1"/>
  <c r="U183" i="3"/>
  <c r="Y183" i="3" s="1"/>
  <c r="AA181" i="3"/>
  <c r="AE181" i="3" s="1"/>
  <c r="O175" i="3"/>
  <c r="S175" i="3" s="1"/>
  <c r="I160" i="3"/>
  <c r="M160" i="3" s="1"/>
  <c r="G61" i="3"/>
  <c r="AX61" i="3" s="1"/>
  <c r="AM545" i="3" l="1"/>
  <c r="AQ545" i="3" s="1"/>
  <c r="AG391" i="3"/>
  <c r="AK391" i="3" s="1"/>
  <c r="U184" i="3"/>
  <c r="Y184" i="3" s="1"/>
  <c r="AA182" i="3"/>
  <c r="AE182" i="3" s="1"/>
  <c r="O176" i="3"/>
  <c r="S176" i="3" s="1"/>
  <c r="O177" i="3" s="1"/>
  <c r="S177" i="3" s="1"/>
  <c r="I161" i="3"/>
  <c r="M161" i="3" s="1"/>
  <c r="C62" i="3"/>
  <c r="AS62" i="3" s="1"/>
  <c r="AZ61" i="3"/>
  <c r="AM546" i="3" l="1"/>
  <c r="AQ546" i="3" s="1"/>
  <c r="AG392" i="3"/>
  <c r="AK392" i="3" s="1"/>
  <c r="AG393" i="3" s="1"/>
  <c r="AK393" i="3" s="1"/>
  <c r="U185" i="3"/>
  <c r="Y185" i="3" s="1"/>
  <c r="AA183" i="3"/>
  <c r="AE183" i="3" s="1"/>
  <c r="O178" i="3"/>
  <c r="S178" i="3" s="1"/>
  <c r="I162" i="3"/>
  <c r="M162" i="3" s="1"/>
  <c r="G62" i="3"/>
  <c r="AX62" i="3" s="1"/>
  <c r="AM547" i="3" l="1"/>
  <c r="AQ547" i="3" s="1"/>
  <c r="AG394" i="3"/>
  <c r="AK394" i="3" s="1"/>
  <c r="U186" i="3"/>
  <c r="Y186" i="3" s="1"/>
  <c r="AA184" i="3"/>
  <c r="AE184" i="3" s="1"/>
  <c r="O179" i="3"/>
  <c r="S179" i="3" s="1"/>
  <c r="O180" i="3" s="1"/>
  <c r="S180" i="3" s="1"/>
  <c r="I163" i="3"/>
  <c r="M163" i="3" s="1"/>
  <c r="AZ62" i="3"/>
  <c r="C63" i="3"/>
  <c r="AS63" i="3" s="1"/>
  <c r="AM548" i="3" l="1"/>
  <c r="AQ548" i="3" s="1"/>
  <c r="AG395" i="3"/>
  <c r="AK395" i="3" s="1"/>
  <c r="U187" i="3"/>
  <c r="Y187" i="3" s="1"/>
  <c r="AA185" i="3"/>
  <c r="AE185" i="3" s="1"/>
  <c r="O181" i="3"/>
  <c r="S181" i="3" s="1"/>
  <c r="I164" i="3"/>
  <c r="M164" i="3" s="1"/>
  <c r="G63" i="3"/>
  <c r="AX63" i="3" s="1"/>
  <c r="AM549" i="3" l="1"/>
  <c r="AQ549" i="3" s="1"/>
  <c r="AG396" i="3"/>
  <c r="AK396" i="3" s="1"/>
  <c r="AG397" i="3" s="1"/>
  <c r="AK397" i="3" s="1"/>
  <c r="U188" i="3"/>
  <c r="Y188" i="3" s="1"/>
  <c r="AA186" i="3"/>
  <c r="AE186" i="3" s="1"/>
  <c r="O182" i="3"/>
  <c r="S182" i="3" s="1"/>
  <c r="I165" i="3"/>
  <c r="M165" i="3" s="1"/>
  <c r="C64" i="3"/>
  <c r="AS64" i="3" s="1"/>
  <c r="AZ63" i="3"/>
  <c r="AM550" i="3" l="1"/>
  <c r="AQ550" i="3" s="1"/>
  <c r="AG398" i="3"/>
  <c r="AK398" i="3" s="1"/>
  <c r="U189" i="3"/>
  <c r="Y189" i="3" s="1"/>
  <c r="AA187" i="3"/>
  <c r="AE187" i="3" s="1"/>
  <c r="O183" i="3"/>
  <c r="S183" i="3" s="1"/>
  <c r="I166" i="3"/>
  <c r="M166" i="3" s="1"/>
  <c r="G64" i="3"/>
  <c r="AX64" i="3" s="1"/>
  <c r="AM551" i="3" l="1"/>
  <c r="AQ551" i="3" s="1"/>
  <c r="AG399" i="3"/>
  <c r="AK399" i="3" s="1"/>
  <c r="AG400" i="3" s="1"/>
  <c r="AK400" i="3" s="1"/>
  <c r="U190" i="3"/>
  <c r="Y190" i="3" s="1"/>
  <c r="AA188" i="3"/>
  <c r="AE188" i="3" s="1"/>
  <c r="O184" i="3"/>
  <c r="S184" i="3" s="1"/>
  <c r="I167" i="3"/>
  <c r="M167" i="3" s="1"/>
  <c r="I168" i="3" s="1"/>
  <c r="M168" i="3" s="1"/>
  <c r="I169" i="3" s="1"/>
  <c r="M169" i="3" s="1"/>
  <c r="I170" i="3" s="1"/>
  <c r="M170" i="3" s="1"/>
  <c r="I171" i="3" s="1"/>
  <c r="M171" i="3" s="1"/>
  <c r="C65" i="3"/>
  <c r="AS65" i="3" s="1"/>
  <c r="AZ64" i="3"/>
  <c r="AM552" i="3" l="1"/>
  <c r="AQ552" i="3" s="1"/>
  <c r="AG401" i="3"/>
  <c r="AK401" i="3" s="1"/>
  <c r="AG402" i="3" s="1"/>
  <c r="AK402" i="3" s="1"/>
  <c r="U191" i="3"/>
  <c r="Y191" i="3" s="1"/>
  <c r="AA189" i="3"/>
  <c r="AE189" i="3" s="1"/>
  <c r="O185" i="3"/>
  <c r="S185" i="3" s="1"/>
  <c r="I172" i="3"/>
  <c r="M172" i="3" s="1"/>
  <c r="G65" i="3"/>
  <c r="AX65" i="3" s="1"/>
  <c r="AM553" i="3" l="1"/>
  <c r="AQ553" i="3" s="1"/>
  <c r="AG403" i="3"/>
  <c r="AK403" i="3" s="1"/>
  <c r="U192" i="3"/>
  <c r="Y192" i="3" s="1"/>
  <c r="AA190" i="3"/>
  <c r="AE190" i="3" s="1"/>
  <c r="O186" i="3"/>
  <c r="S186" i="3" s="1"/>
  <c r="I173" i="3"/>
  <c r="M173" i="3" s="1"/>
  <c r="AZ65" i="3"/>
  <c r="C66" i="3"/>
  <c r="AS66" i="3" s="1"/>
  <c r="AM554" i="3" l="1"/>
  <c r="AQ554" i="3" s="1"/>
  <c r="AG404" i="3"/>
  <c r="AK404" i="3" s="1"/>
  <c r="AG405" i="3" s="1"/>
  <c r="AK405" i="3" s="1"/>
  <c r="U193" i="3"/>
  <c r="Y193" i="3" s="1"/>
  <c r="AA191" i="3"/>
  <c r="AE191" i="3" s="1"/>
  <c r="O187" i="3"/>
  <c r="S187" i="3" s="1"/>
  <c r="I174" i="3"/>
  <c r="M174" i="3" s="1"/>
  <c r="G66" i="3"/>
  <c r="AX66" i="3" s="1"/>
  <c r="AM555" i="3" l="1"/>
  <c r="AQ555" i="3" s="1"/>
  <c r="AG406" i="3"/>
  <c r="AK406" i="3" s="1"/>
  <c r="AG407" i="3" s="1"/>
  <c r="AK407" i="3" s="1"/>
  <c r="U194" i="3"/>
  <c r="Y194" i="3" s="1"/>
  <c r="AA192" i="3"/>
  <c r="AE192" i="3" s="1"/>
  <c r="AA193" i="3" s="1"/>
  <c r="AE193" i="3" s="1"/>
  <c r="O188" i="3"/>
  <c r="S188" i="3" s="1"/>
  <c r="I175" i="3"/>
  <c r="M175" i="3" s="1"/>
  <c r="C67" i="3"/>
  <c r="AS67" i="3" s="1"/>
  <c r="AZ66" i="3"/>
  <c r="AM556" i="3" l="1"/>
  <c r="AQ556" i="3" s="1"/>
  <c r="AG408" i="3"/>
  <c r="AK408" i="3" s="1"/>
  <c r="AG409" i="3" s="1"/>
  <c r="AK409" i="3" s="1"/>
  <c r="AG410" i="3" s="1"/>
  <c r="AK410" i="3" s="1"/>
  <c r="AG411" i="3" s="1"/>
  <c r="AK411" i="3" s="1"/>
  <c r="AG412" i="3" s="1"/>
  <c r="AK412" i="3" s="1"/>
  <c r="U195" i="3"/>
  <c r="Y195" i="3" s="1"/>
  <c r="U196" i="3" s="1"/>
  <c r="Y196" i="3" s="1"/>
  <c r="AA194" i="3"/>
  <c r="AE194" i="3" s="1"/>
  <c r="O189" i="3"/>
  <c r="S189" i="3" s="1"/>
  <c r="I176" i="3"/>
  <c r="M176" i="3" s="1"/>
  <c r="G67" i="3"/>
  <c r="AX67" i="3" s="1"/>
  <c r="AM557" i="3" l="1"/>
  <c r="AQ557" i="3" s="1"/>
  <c r="AG413" i="3"/>
  <c r="AK413" i="3" s="1"/>
  <c r="U197" i="3"/>
  <c r="Y197" i="3" s="1"/>
  <c r="AA195" i="3"/>
  <c r="AE195" i="3" s="1"/>
  <c r="AA196" i="3" s="1"/>
  <c r="AE196" i="3" s="1"/>
  <c r="O190" i="3"/>
  <c r="S190" i="3" s="1"/>
  <c r="I177" i="3"/>
  <c r="M177" i="3" s="1"/>
  <c r="AZ67" i="3"/>
  <c r="C68" i="3"/>
  <c r="AS68" i="3" s="1"/>
  <c r="AM558" i="3" l="1"/>
  <c r="AQ558" i="3" s="1"/>
  <c r="AG414" i="3"/>
  <c r="AK414" i="3" s="1"/>
  <c r="U198" i="3"/>
  <c r="Y198" i="3" s="1"/>
  <c r="AA197" i="3"/>
  <c r="AE197" i="3" s="1"/>
  <c r="O191" i="3"/>
  <c r="S191" i="3" s="1"/>
  <c r="I178" i="3"/>
  <c r="M178" i="3" s="1"/>
  <c r="G68" i="3"/>
  <c r="AX68" i="3" s="1"/>
  <c r="AM559" i="3" l="1"/>
  <c r="AQ559" i="3" s="1"/>
  <c r="AG415" i="3"/>
  <c r="AK415" i="3" s="1"/>
  <c r="U199" i="3"/>
  <c r="Y199" i="3" s="1"/>
  <c r="U200" i="3" s="1"/>
  <c r="Y200" i="3" s="1"/>
  <c r="AA198" i="3"/>
  <c r="AE198" i="3" s="1"/>
  <c r="O192" i="3"/>
  <c r="S192" i="3" s="1"/>
  <c r="I179" i="3"/>
  <c r="M179" i="3" s="1"/>
  <c r="I180" i="3" s="1"/>
  <c r="M180" i="3" s="1"/>
  <c r="AZ68" i="3"/>
  <c r="C69" i="3"/>
  <c r="AM560" i="3" l="1"/>
  <c r="AQ560" i="3" s="1"/>
  <c r="AG416" i="3"/>
  <c r="AK416" i="3" s="1"/>
  <c r="U201" i="3"/>
  <c r="Y201" i="3" s="1"/>
  <c r="AA199" i="3"/>
  <c r="AE199" i="3" s="1"/>
  <c r="AA200" i="3" s="1"/>
  <c r="AE200" i="3" s="1"/>
  <c r="O193" i="3"/>
  <c r="S193" i="3" s="1"/>
  <c r="G69" i="3"/>
  <c r="AS69" i="3"/>
  <c r="I181" i="3"/>
  <c r="M181" i="3" s="1"/>
  <c r="AM561" i="3" l="1"/>
  <c r="AQ561" i="3" s="1"/>
  <c r="AG417" i="3"/>
  <c r="AK417" i="3" s="1"/>
  <c r="U202" i="3"/>
  <c r="Y202" i="3" s="1"/>
  <c r="U203" i="3" s="1"/>
  <c r="Y203" i="3" s="1"/>
  <c r="AA201" i="3"/>
  <c r="AE201" i="3" s="1"/>
  <c r="O194" i="3"/>
  <c r="S194" i="3" s="1"/>
  <c r="C70" i="3"/>
  <c r="AX69" i="3"/>
  <c r="AZ69" i="3" s="1"/>
  <c r="I182" i="3"/>
  <c r="M182" i="3" s="1"/>
  <c r="AM562" i="3" l="1"/>
  <c r="AQ562" i="3" s="1"/>
  <c r="AG418" i="3"/>
  <c r="AK418" i="3" s="1"/>
  <c r="AG419" i="3" s="1"/>
  <c r="AK419" i="3" s="1"/>
  <c r="U204" i="3"/>
  <c r="Y204" i="3" s="1"/>
  <c r="AA202" i="3"/>
  <c r="AE202" i="3" s="1"/>
  <c r="AA203" i="3" s="1"/>
  <c r="AE203" i="3" s="1"/>
  <c r="O195" i="3"/>
  <c r="S195" i="3" s="1"/>
  <c r="O196" i="3" s="1"/>
  <c r="S196" i="3" s="1"/>
  <c r="G70" i="3"/>
  <c r="AS70" i="3"/>
  <c r="I183" i="3"/>
  <c r="M183" i="3" s="1"/>
  <c r="AM563" i="3" l="1"/>
  <c r="AQ563" i="3" s="1"/>
  <c r="AG420" i="3"/>
  <c r="AK420" i="3" s="1"/>
  <c r="AG421" i="3" s="1"/>
  <c r="AK421" i="3" s="1"/>
  <c r="AG422" i="3" s="1"/>
  <c r="AK422" i="3" s="1"/>
  <c r="U205" i="3"/>
  <c r="Y205" i="3" s="1"/>
  <c r="AA204" i="3"/>
  <c r="AE204" i="3" s="1"/>
  <c r="O197" i="3"/>
  <c r="S197" i="3" s="1"/>
  <c r="I184" i="3"/>
  <c r="M184" i="3" s="1"/>
  <c r="C71" i="3"/>
  <c r="AX70" i="3"/>
  <c r="AZ70" i="3" s="1"/>
  <c r="AM564" i="3" l="1"/>
  <c r="AQ564" i="3" s="1"/>
  <c r="AG423" i="3"/>
  <c r="AK423" i="3" s="1"/>
  <c r="AG424" i="3" s="1"/>
  <c r="AK424" i="3" s="1"/>
  <c r="AG425" i="3" s="1"/>
  <c r="AK425" i="3" s="1"/>
  <c r="AG426" i="3" s="1"/>
  <c r="AK426" i="3" s="1"/>
  <c r="AG427" i="3" s="1"/>
  <c r="AK427" i="3" s="1"/>
  <c r="U206" i="3"/>
  <c r="Y206" i="3" s="1"/>
  <c r="AA205" i="3"/>
  <c r="AE205" i="3" s="1"/>
  <c r="O198" i="3"/>
  <c r="S198" i="3" s="1"/>
  <c r="I185" i="3"/>
  <c r="M185" i="3" s="1"/>
  <c r="G71" i="3"/>
  <c r="AS71" i="3"/>
  <c r="AM565" i="3" l="1"/>
  <c r="AQ565" i="3" s="1"/>
  <c r="AG428" i="3"/>
  <c r="AK428" i="3" s="1"/>
  <c r="U207" i="3"/>
  <c r="Y207" i="3" s="1"/>
  <c r="U208" i="3" s="1"/>
  <c r="Y208" i="3" s="1"/>
  <c r="AA206" i="3"/>
  <c r="AE206" i="3" s="1"/>
  <c r="O199" i="3"/>
  <c r="S199" i="3" s="1"/>
  <c r="O200" i="3" s="1"/>
  <c r="S200" i="3" s="1"/>
  <c r="I186" i="3"/>
  <c r="M186" i="3" s="1"/>
  <c r="AX71" i="3"/>
  <c r="AZ71" i="3" s="1"/>
  <c r="C72" i="3"/>
  <c r="AM566" i="3" l="1"/>
  <c r="AQ566" i="3" s="1"/>
  <c r="AG429" i="3"/>
  <c r="AK429" i="3" s="1"/>
  <c r="U209" i="3"/>
  <c r="Y209" i="3" s="1"/>
  <c r="U210" i="3" s="1"/>
  <c r="Y210" i="3" s="1"/>
  <c r="AA207" i="3"/>
  <c r="AE207" i="3" s="1"/>
  <c r="O201" i="3"/>
  <c r="S201" i="3" s="1"/>
  <c r="I187" i="3"/>
  <c r="M187" i="3" s="1"/>
  <c r="G72" i="3"/>
  <c r="AS72" i="3"/>
  <c r="AM567" i="3" l="1"/>
  <c r="AQ567" i="3" s="1"/>
  <c r="AG430" i="3"/>
  <c r="AK430" i="3" s="1"/>
  <c r="AG431" i="3" s="1"/>
  <c r="AK431" i="3" s="1"/>
  <c r="AG432" i="3" s="1"/>
  <c r="AK432" i="3" s="1"/>
  <c r="U211" i="3"/>
  <c r="Y211" i="3" s="1"/>
  <c r="AA208" i="3"/>
  <c r="AE208" i="3" s="1"/>
  <c r="O202" i="3"/>
  <c r="S202" i="3" s="1"/>
  <c r="O203" i="3" s="1"/>
  <c r="S203" i="3" s="1"/>
  <c r="I188" i="3"/>
  <c r="M188" i="3" s="1"/>
  <c r="AX72" i="3"/>
  <c r="AZ72" i="3" s="1"/>
  <c r="C73" i="3"/>
  <c r="AM568" i="3" l="1"/>
  <c r="AQ568" i="3" s="1"/>
  <c r="AG433" i="3"/>
  <c r="AK433" i="3" s="1"/>
  <c r="U212" i="3"/>
  <c r="Y212" i="3" s="1"/>
  <c r="U213" i="3" s="1"/>
  <c r="Y213" i="3" s="1"/>
  <c r="AA209" i="3"/>
  <c r="AE209" i="3" s="1"/>
  <c r="AA210" i="3" s="1"/>
  <c r="AE210" i="3" s="1"/>
  <c r="O204" i="3"/>
  <c r="S204" i="3" s="1"/>
  <c r="I189" i="3"/>
  <c r="M189" i="3" s="1"/>
  <c r="G73" i="3"/>
  <c r="AS73" i="3"/>
  <c r="AM569" i="3" l="1"/>
  <c r="AQ569" i="3" s="1"/>
  <c r="AG434" i="3"/>
  <c r="AK434" i="3" s="1"/>
  <c r="U214" i="3"/>
  <c r="Y214" i="3" s="1"/>
  <c r="U215" i="3" s="1"/>
  <c r="Y215" i="3" s="1"/>
  <c r="U216" i="3" s="1"/>
  <c r="Y216" i="3" s="1"/>
  <c r="U217" i="3" s="1"/>
  <c r="Y217" i="3" s="1"/>
  <c r="AA211" i="3"/>
  <c r="AE211" i="3" s="1"/>
  <c r="O205" i="3"/>
  <c r="S205" i="3" s="1"/>
  <c r="I190" i="3"/>
  <c r="M190" i="3" s="1"/>
  <c r="AX73" i="3"/>
  <c r="AZ73" i="3" s="1"/>
  <c r="C74" i="3"/>
  <c r="AM570" i="3" l="1"/>
  <c r="AQ570" i="3" s="1"/>
  <c r="AG435" i="3"/>
  <c r="AK435" i="3" s="1"/>
  <c r="U218" i="3"/>
  <c r="Y218" i="3" s="1"/>
  <c r="U219" i="3" s="1"/>
  <c r="Y219" i="3" s="1"/>
  <c r="AA212" i="3"/>
  <c r="AE212" i="3" s="1"/>
  <c r="AA213" i="3" s="1"/>
  <c r="AE213" i="3" s="1"/>
  <c r="AA214" i="3" s="1"/>
  <c r="AE214" i="3" s="1"/>
  <c r="AA215" i="3" s="1"/>
  <c r="AE215" i="3" s="1"/>
  <c r="AA216" i="3" s="1"/>
  <c r="AE216" i="3" s="1"/>
  <c r="AA217" i="3" s="1"/>
  <c r="AE217" i="3" s="1"/>
  <c r="O206" i="3"/>
  <c r="S206" i="3" s="1"/>
  <c r="I191" i="3"/>
  <c r="M191" i="3" s="1"/>
  <c r="G74" i="3"/>
  <c r="AS74" i="3"/>
  <c r="AM571" i="3" l="1"/>
  <c r="AQ571" i="3" s="1"/>
  <c r="AG436" i="3"/>
  <c r="AK436" i="3" s="1"/>
  <c r="AG437" i="3" s="1"/>
  <c r="AK437" i="3" s="1"/>
  <c r="AG438" i="3" s="1"/>
  <c r="AK438" i="3" s="1"/>
  <c r="AG439" i="3" s="1"/>
  <c r="AK439" i="3" s="1"/>
  <c r="AG440" i="3" s="1"/>
  <c r="AK440" i="3" s="1"/>
  <c r="U220" i="3"/>
  <c r="Y220" i="3" s="1"/>
  <c r="AA218" i="3"/>
  <c r="AE218" i="3" s="1"/>
  <c r="AA219" i="3" s="1"/>
  <c r="AE219" i="3" s="1"/>
  <c r="O207" i="3"/>
  <c r="S207" i="3" s="1"/>
  <c r="O208" i="3" s="1"/>
  <c r="S208" i="3" s="1"/>
  <c r="I192" i="3"/>
  <c r="M192" i="3" s="1"/>
  <c r="AX74" i="3"/>
  <c r="AZ74" i="3" s="1"/>
  <c r="C75" i="3"/>
  <c r="AM572" i="3" l="1"/>
  <c r="AQ572" i="3" s="1"/>
  <c r="AG441" i="3"/>
  <c r="AK441" i="3" s="1"/>
  <c r="U221" i="3"/>
  <c r="Y221" i="3" s="1"/>
  <c r="U222" i="3" s="1"/>
  <c r="Y222" i="3" s="1"/>
  <c r="AA220" i="3"/>
  <c r="AE220" i="3" s="1"/>
  <c r="O209" i="3"/>
  <c r="S209" i="3" s="1"/>
  <c r="O210" i="3" s="1"/>
  <c r="S210" i="3" s="1"/>
  <c r="I193" i="3"/>
  <c r="M193" i="3" s="1"/>
  <c r="G75" i="3"/>
  <c r="AS75" i="3"/>
  <c r="C86" i="3"/>
  <c r="AM573" i="3" l="1"/>
  <c r="AQ573" i="3" s="1"/>
  <c r="AG442" i="3"/>
  <c r="AK442" i="3" s="1"/>
  <c r="AG443" i="3" s="1"/>
  <c r="AK443" i="3" s="1"/>
  <c r="U223" i="3"/>
  <c r="Y223" i="3" s="1"/>
  <c r="AA221" i="3"/>
  <c r="AE221" i="3" s="1"/>
  <c r="AA222" i="3" s="1"/>
  <c r="AE222" i="3" s="1"/>
  <c r="O211" i="3"/>
  <c r="S211" i="3" s="1"/>
  <c r="I194" i="3"/>
  <c r="M194" i="3" s="1"/>
  <c r="G86" i="3"/>
  <c r="AX86" i="3" s="1"/>
  <c r="AS86" i="3"/>
  <c r="AX75" i="3"/>
  <c r="AZ75" i="3" s="1"/>
  <c r="C76" i="3"/>
  <c r="AM574" i="3" l="1"/>
  <c r="AQ574" i="3" s="1"/>
  <c r="AG444" i="3"/>
  <c r="AK444" i="3" s="1"/>
  <c r="C87" i="3"/>
  <c r="G87" i="3" s="1"/>
  <c r="AX87" i="3" s="1"/>
  <c r="U224" i="3"/>
  <c r="Y224" i="3" s="1"/>
  <c r="U225" i="3" s="1"/>
  <c r="Y225" i="3" s="1"/>
  <c r="AA223" i="3"/>
  <c r="AE223" i="3" s="1"/>
  <c r="O212" i="3"/>
  <c r="S212" i="3" s="1"/>
  <c r="O213" i="3" s="1"/>
  <c r="S213" i="3" s="1"/>
  <c r="I195" i="3"/>
  <c r="M195" i="3" s="1"/>
  <c r="G76" i="3"/>
  <c r="AS76" i="3"/>
  <c r="AM575" i="3" l="1"/>
  <c r="AQ575" i="3" s="1"/>
  <c r="AS87" i="3"/>
  <c r="AG445" i="3"/>
  <c r="AK445" i="3" s="1"/>
  <c r="U226" i="3"/>
  <c r="Y226" i="3" s="1"/>
  <c r="AA224" i="3"/>
  <c r="AE224" i="3" s="1"/>
  <c r="AA225" i="3" s="1"/>
  <c r="AE225" i="3" s="1"/>
  <c r="O214" i="3"/>
  <c r="S214" i="3" s="1"/>
  <c r="O215" i="3" s="1"/>
  <c r="S215" i="3" s="1"/>
  <c r="I196" i="3"/>
  <c r="M196" i="3" s="1"/>
  <c r="C88" i="3"/>
  <c r="AX76" i="3"/>
  <c r="AZ76" i="3" s="1"/>
  <c r="C77" i="3"/>
  <c r="AM576" i="3" l="1"/>
  <c r="AQ576" i="3" s="1"/>
  <c r="AG446" i="3"/>
  <c r="AK446" i="3" s="1"/>
  <c r="U227" i="3"/>
  <c r="Y227" i="3" s="1"/>
  <c r="U228" i="3" s="1"/>
  <c r="Y228" i="3" s="1"/>
  <c r="AA226" i="3"/>
  <c r="AE226" i="3" s="1"/>
  <c r="O216" i="3"/>
  <c r="S216" i="3" s="1"/>
  <c r="O217" i="3" s="1"/>
  <c r="S217" i="3" s="1"/>
  <c r="I197" i="3"/>
  <c r="M197" i="3" s="1"/>
  <c r="G77" i="3"/>
  <c r="AS77" i="3"/>
  <c r="G88" i="3"/>
  <c r="AS88" i="3"/>
  <c r="AM577" i="3" l="1"/>
  <c r="AQ577" i="3" s="1"/>
  <c r="AG447" i="3"/>
  <c r="AK447" i="3" s="1"/>
  <c r="AG448" i="3" s="1"/>
  <c r="AK448" i="3" s="1"/>
  <c r="U229" i="3"/>
  <c r="Y229" i="3" s="1"/>
  <c r="AA227" i="3"/>
  <c r="AE227" i="3" s="1"/>
  <c r="O218" i="3"/>
  <c r="S218" i="3" s="1"/>
  <c r="O219" i="3" s="1"/>
  <c r="S219" i="3" s="1"/>
  <c r="I198" i="3"/>
  <c r="M198" i="3" s="1"/>
  <c r="AX88" i="3"/>
  <c r="C89" i="3"/>
  <c r="AX77" i="3"/>
  <c r="AZ77" i="3" s="1"/>
  <c r="C78" i="3"/>
  <c r="AM578" i="3" l="1"/>
  <c r="AQ578" i="3" s="1"/>
  <c r="AG449" i="3"/>
  <c r="AK449" i="3" s="1"/>
  <c r="U230" i="3"/>
  <c r="Y230" i="3" s="1"/>
  <c r="U231" i="3" s="1"/>
  <c r="Y231" i="3" s="1"/>
  <c r="AA228" i="3"/>
  <c r="AE228" i="3" s="1"/>
  <c r="O220" i="3"/>
  <c r="S220" i="3" s="1"/>
  <c r="I199" i="3"/>
  <c r="M199" i="3" s="1"/>
  <c r="G89" i="3"/>
  <c r="AS89" i="3"/>
  <c r="G78" i="3"/>
  <c r="AS78" i="3"/>
  <c r="AM579" i="3" l="1"/>
  <c r="AQ579" i="3" s="1"/>
  <c r="AG450" i="3"/>
  <c r="AK450" i="3" s="1"/>
  <c r="U232" i="3"/>
  <c r="Y232" i="3" s="1"/>
  <c r="AA229" i="3"/>
  <c r="AE229" i="3" s="1"/>
  <c r="O221" i="3"/>
  <c r="S221" i="3" s="1"/>
  <c r="O222" i="3" s="1"/>
  <c r="S222" i="3" s="1"/>
  <c r="I200" i="3"/>
  <c r="M200" i="3" s="1"/>
  <c r="AX78" i="3"/>
  <c r="AZ78" i="3" s="1"/>
  <c r="C79" i="3"/>
  <c r="AX89" i="3"/>
  <c r="C90" i="3"/>
  <c r="AM580" i="3" l="1"/>
  <c r="AQ580" i="3" s="1"/>
  <c r="AG451" i="3"/>
  <c r="AK451" i="3" s="1"/>
  <c r="U233" i="3"/>
  <c r="Y233" i="3" s="1"/>
  <c r="U234" i="3" s="1"/>
  <c r="Y234" i="3" s="1"/>
  <c r="AA230" i="3"/>
  <c r="AE230" i="3" s="1"/>
  <c r="AA231" i="3" s="1"/>
  <c r="AE231" i="3" s="1"/>
  <c r="O223" i="3"/>
  <c r="S223" i="3" s="1"/>
  <c r="I201" i="3"/>
  <c r="M201" i="3" s="1"/>
  <c r="G79" i="3"/>
  <c r="AS79" i="3"/>
  <c r="G90" i="3"/>
  <c r="AS90" i="3"/>
  <c r="AM581" i="3" l="1"/>
  <c r="AQ581" i="3" s="1"/>
  <c r="AG452" i="3"/>
  <c r="AK452" i="3" s="1"/>
  <c r="U235" i="3"/>
  <c r="Y235" i="3" s="1"/>
  <c r="AA232" i="3"/>
  <c r="AE232" i="3" s="1"/>
  <c r="O224" i="3"/>
  <c r="S224" i="3" s="1"/>
  <c r="I202" i="3"/>
  <c r="M202" i="3" s="1"/>
  <c r="C91" i="3"/>
  <c r="AX90" i="3"/>
  <c r="C80" i="3"/>
  <c r="AX79" i="3"/>
  <c r="AZ79" i="3" s="1"/>
  <c r="AM582" i="3" l="1"/>
  <c r="AQ582" i="3" s="1"/>
  <c r="AG453" i="3"/>
  <c r="AK453" i="3" s="1"/>
  <c r="U236" i="3"/>
  <c r="Y236" i="3" s="1"/>
  <c r="U237" i="3" s="1"/>
  <c r="Y237" i="3" s="1"/>
  <c r="AA233" i="3"/>
  <c r="AE233" i="3" s="1"/>
  <c r="AA234" i="3" s="1"/>
  <c r="AE234" i="3" s="1"/>
  <c r="O225" i="3"/>
  <c r="S225" i="3" s="1"/>
  <c r="I203" i="3"/>
  <c r="M203" i="3" s="1"/>
  <c r="G80" i="3"/>
  <c r="AS80" i="3"/>
  <c r="G91" i="3"/>
  <c r="AS91" i="3"/>
  <c r="AM583" i="3" l="1"/>
  <c r="AQ583" i="3" s="1"/>
  <c r="AG454" i="3"/>
  <c r="AK454" i="3" s="1"/>
  <c r="U238" i="3"/>
  <c r="Y238" i="3" s="1"/>
  <c r="AA235" i="3"/>
  <c r="AE235" i="3" s="1"/>
  <c r="O226" i="3"/>
  <c r="S226" i="3" s="1"/>
  <c r="I204" i="3"/>
  <c r="M204" i="3" s="1"/>
  <c r="C92" i="3"/>
  <c r="AX91" i="3"/>
  <c r="AX80" i="3"/>
  <c r="AZ80" i="3" s="1"/>
  <c r="C81" i="3"/>
  <c r="AM584" i="3" l="1"/>
  <c r="AQ584" i="3" s="1"/>
  <c r="AG455" i="3"/>
  <c r="AK455" i="3" s="1"/>
  <c r="U239" i="3"/>
  <c r="Y239" i="3" s="1"/>
  <c r="AA236" i="3"/>
  <c r="AE236" i="3" s="1"/>
  <c r="AA237" i="3" s="1"/>
  <c r="AE237" i="3" s="1"/>
  <c r="O227" i="3"/>
  <c r="S227" i="3" s="1"/>
  <c r="O228" i="3" s="1"/>
  <c r="S228" i="3" s="1"/>
  <c r="I205" i="3"/>
  <c r="M205" i="3" s="1"/>
  <c r="G81" i="3"/>
  <c r="AS81" i="3"/>
  <c r="G92" i="3"/>
  <c r="AS92" i="3"/>
  <c r="AM585" i="3" l="1"/>
  <c r="AQ585" i="3" s="1"/>
  <c r="AG456" i="3"/>
  <c r="AK456" i="3" s="1"/>
  <c r="U240" i="3"/>
  <c r="Y240" i="3" s="1"/>
  <c r="AA238" i="3"/>
  <c r="AE238" i="3" s="1"/>
  <c r="O229" i="3"/>
  <c r="S229" i="3" s="1"/>
  <c r="I206" i="3"/>
  <c r="M206" i="3" s="1"/>
  <c r="AX92" i="3"/>
  <c r="C93" i="3"/>
  <c r="AX81" i="3"/>
  <c r="AZ81" i="3" s="1"/>
  <c r="C82" i="3"/>
  <c r="AM586" i="3" l="1"/>
  <c r="AQ586" i="3" s="1"/>
  <c r="AG457" i="3"/>
  <c r="AK457" i="3" s="1"/>
  <c r="U241" i="3"/>
  <c r="Y241" i="3" s="1"/>
  <c r="U242" i="3" s="1"/>
  <c r="Y242" i="3" s="1"/>
  <c r="AA239" i="3"/>
  <c r="AE239" i="3" s="1"/>
  <c r="O230" i="3"/>
  <c r="S230" i="3" s="1"/>
  <c r="O231" i="3" s="1"/>
  <c r="S231" i="3" s="1"/>
  <c r="I207" i="3"/>
  <c r="M207" i="3" s="1"/>
  <c r="G93" i="3"/>
  <c r="AS93" i="3"/>
  <c r="G82" i="3"/>
  <c r="AS82" i="3"/>
  <c r="AM587" i="3" l="1"/>
  <c r="AQ587" i="3" s="1"/>
  <c r="AG458" i="3"/>
  <c r="AK458" i="3" s="1"/>
  <c r="U243" i="3"/>
  <c r="Y243" i="3" s="1"/>
  <c r="AA240" i="3"/>
  <c r="AE240" i="3" s="1"/>
  <c r="O232" i="3"/>
  <c r="S232" i="3" s="1"/>
  <c r="I208" i="3"/>
  <c r="M208" i="3" s="1"/>
  <c r="AX82" i="3"/>
  <c r="AZ82" i="3" s="1"/>
  <c r="C83" i="3"/>
  <c r="AX93" i="3"/>
  <c r="C94" i="3"/>
  <c r="AM588" i="3" l="1"/>
  <c r="AQ588" i="3" s="1"/>
  <c r="AG459" i="3"/>
  <c r="AK459" i="3" s="1"/>
  <c r="U244" i="3"/>
  <c r="Y244" i="3" s="1"/>
  <c r="AA241" i="3"/>
  <c r="AE241" i="3" s="1"/>
  <c r="AA242" i="3" s="1"/>
  <c r="AE242" i="3" s="1"/>
  <c r="O233" i="3"/>
  <c r="S233" i="3" s="1"/>
  <c r="O234" i="3" s="1"/>
  <c r="S234" i="3" s="1"/>
  <c r="I209" i="3"/>
  <c r="M209" i="3" s="1"/>
  <c r="G94" i="3"/>
  <c r="AS94" i="3"/>
  <c r="G83" i="3"/>
  <c r="AX83" i="3" s="1"/>
  <c r="AZ83" i="3" s="1"/>
  <c r="AS83" i="3"/>
  <c r="AM589" i="3" l="1"/>
  <c r="AQ589" i="3" s="1"/>
  <c r="AG460" i="3"/>
  <c r="AK460" i="3" s="1"/>
  <c r="U245" i="3"/>
  <c r="Y245" i="3" s="1"/>
  <c r="U246" i="3" s="1"/>
  <c r="Y246" i="3" s="1"/>
  <c r="U247" i="3" s="1"/>
  <c r="Y247" i="3" s="1"/>
  <c r="AA243" i="3"/>
  <c r="AE243" i="3" s="1"/>
  <c r="O235" i="3"/>
  <c r="S235" i="3" s="1"/>
  <c r="I210" i="3"/>
  <c r="M210" i="3" s="1"/>
  <c r="AX94" i="3"/>
  <c r="C95" i="3"/>
  <c r="AM590" i="3" l="1"/>
  <c r="AQ590" i="3" s="1"/>
  <c r="AG461" i="3"/>
  <c r="AK461" i="3" s="1"/>
  <c r="AG462" i="3" s="1"/>
  <c r="AK462" i="3" s="1"/>
  <c r="U248" i="3"/>
  <c r="Y248" i="3" s="1"/>
  <c r="U249" i="3" s="1"/>
  <c r="Y249" i="3" s="1"/>
  <c r="U250" i="3" s="1"/>
  <c r="Y250" i="3" s="1"/>
  <c r="AA244" i="3"/>
  <c r="AE244" i="3" s="1"/>
  <c r="O236" i="3"/>
  <c r="S236" i="3" s="1"/>
  <c r="O237" i="3" s="1"/>
  <c r="S237" i="3" s="1"/>
  <c r="I211" i="3"/>
  <c r="M211" i="3" s="1"/>
  <c r="G95" i="3"/>
  <c r="AS95" i="3"/>
  <c r="AZ86" i="3"/>
  <c r="AM591" i="3" l="1"/>
  <c r="AQ591" i="3" s="1"/>
  <c r="AG463" i="3"/>
  <c r="AK463" i="3" s="1"/>
  <c r="AG464" i="3" s="1"/>
  <c r="AK464" i="3" s="1"/>
  <c r="U251" i="3"/>
  <c r="Y251" i="3" s="1"/>
  <c r="U252" i="3" s="1"/>
  <c r="Y252" i="3" s="1"/>
  <c r="AA245" i="3"/>
  <c r="AE245" i="3" s="1"/>
  <c r="AA246" i="3" s="1"/>
  <c r="AE246" i="3" s="1"/>
  <c r="AA247" i="3" s="1"/>
  <c r="AE247" i="3" s="1"/>
  <c r="O238" i="3"/>
  <c r="S238" i="3" s="1"/>
  <c r="I212" i="3"/>
  <c r="M212" i="3" s="1"/>
  <c r="AX95" i="3"/>
  <c r="C96" i="3"/>
  <c r="AM592" i="3" l="1"/>
  <c r="AQ592" i="3" s="1"/>
  <c r="AG465" i="3"/>
  <c r="AK465" i="3" s="1"/>
  <c r="AG466" i="3" s="1"/>
  <c r="AK466" i="3" s="1"/>
  <c r="U253" i="3"/>
  <c r="Y253" i="3" s="1"/>
  <c r="AA248" i="3"/>
  <c r="AE248" i="3" s="1"/>
  <c r="AA249" i="3" s="1"/>
  <c r="AE249" i="3" s="1"/>
  <c r="AA250" i="3" s="1"/>
  <c r="AE250" i="3" s="1"/>
  <c r="O239" i="3"/>
  <c r="S239" i="3" s="1"/>
  <c r="I213" i="3"/>
  <c r="M213" i="3" s="1"/>
  <c r="G96" i="3"/>
  <c r="AS96" i="3"/>
  <c r="AZ87" i="3"/>
  <c r="AM593" i="3" l="1"/>
  <c r="AQ593" i="3" s="1"/>
  <c r="AG467" i="3"/>
  <c r="AK467" i="3" s="1"/>
  <c r="U254" i="3"/>
  <c r="Y254" i="3" s="1"/>
  <c r="U255" i="3" s="1"/>
  <c r="Y255" i="3" s="1"/>
  <c r="AA251" i="3"/>
  <c r="AE251" i="3" s="1"/>
  <c r="AA252" i="3" s="1"/>
  <c r="AE252" i="3" s="1"/>
  <c r="O240" i="3"/>
  <c r="S240" i="3" s="1"/>
  <c r="I214" i="3"/>
  <c r="M214" i="3" s="1"/>
  <c r="AX96" i="3"/>
  <c r="C97" i="3"/>
  <c r="AM594" i="3" l="1"/>
  <c r="AQ594" i="3" s="1"/>
  <c r="AG468" i="3"/>
  <c r="AK468" i="3" s="1"/>
  <c r="U256" i="3"/>
  <c r="Y256" i="3" s="1"/>
  <c r="AA253" i="3"/>
  <c r="AE253" i="3" s="1"/>
  <c r="O241" i="3"/>
  <c r="S241" i="3" s="1"/>
  <c r="O242" i="3" s="1"/>
  <c r="S242" i="3" s="1"/>
  <c r="I215" i="3"/>
  <c r="M215" i="3" s="1"/>
  <c r="G97" i="3"/>
  <c r="AS97" i="3"/>
  <c r="AZ88" i="3"/>
  <c r="AM595" i="3" l="1"/>
  <c r="AQ595" i="3" s="1"/>
  <c r="AG469" i="3"/>
  <c r="AK469" i="3" s="1"/>
  <c r="U257" i="3"/>
  <c r="Y257" i="3" s="1"/>
  <c r="AA254" i="3"/>
  <c r="AE254" i="3" s="1"/>
  <c r="AA255" i="3" s="1"/>
  <c r="AE255" i="3" s="1"/>
  <c r="O243" i="3"/>
  <c r="S243" i="3" s="1"/>
  <c r="I216" i="3"/>
  <c r="M216" i="3" s="1"/>
  <c r="AX97" i="3"/>
  <c r="C98" i="3"/>
  <c r="AM596" i="3" l="1"/>
  <c r="AQ596" i="3" s="1"/>
  <c r="AG470" i="3"/>
  <c r="AK470" i="3" s="1"/>
  <c r="U258" i="3"/>
  <c r="Y258" i="3" s="1"/>
  <c r="U259" i="3" s="1"/>
  <c r="Y259" i="3" s="1"/>
  <c r="AA256" i="3"/>
  <c r="AE256" i="3" s="1"/>
  <c r="O244" i="3"/>
  <c r="S244" i="3" s="1"/>
  <c r="I217" i="3"/>
  <c r="M217" i="3" s="1"/>
  <c r="G98" i="3"/>
  <c r="AS98" i="3"/>
  <c r="AZ89" i="3"/>
  <c r="AM597" i="3" l="1"/>
  <c r="AQ597" i="3" s="1"/>
  <c r="AG471" i="3"/>
  <c r="AK471" i="3" s="1"/>
  <c r="U260" i="3"/>
  <c r="Y260" i="3" s="1"/>
  <c r="AA257" i="3"/>
  <c r="AE257" i="3" s="1"/>
  <c r="O245" i="3"/>
  <c r="S245" i="3" s="1"/>
  <c r="O246" i="3" s="1"/>
  <c r="S246" i="3" s="1"/>
  <c r="O247" i="3" s="1"/>
  <c r="S247" i="3" s="1"/>
  <c r="I218" i="3"/>
  <c r="M218" i="3" s="1"/>
  <c r="AX98" i="3"/>
  <c r="C99" i="3"/>
  <c r="AM598" i="3" l="1"/>
  <c r="AQ598" i="3" s="1"/>
  <c r="AG472" i="3"/>
  <c r="AK472" i="3" s="1"/>
  <c r="U261" i="3"/>
  <c r="Y261" i="3" s="1"/>
  <c r="AA258" i="3"/>
  <c r="AE258" i="3" s="1"/>
  <c r="AA259" i="3" s="1"/>
  <c r="AE259" i="3" s="1"/>
  <c r="O248" i="3"/>
  <c r="S248" i="3" s="1"/>
  <c r="O249" i="3" s="1"/>
  <c r="S249" i="3" s="1"/>
  <c r="O250" i="3" s="1"/>
  <c r="S250" i="3" s="1"/>
  <c r="I219" i="3"/>
  <c r="M219" i="3" s="1"/>
  <c r="G99" i="3"/>
  <c r="AS99" i="3"/>
  <c r="AZ90" i="3"/>
  <c r="AM599" i="3" l="1"/>
  <c r="AQ599" i="3" s="1"/>
  <c r="AG473" i="3"/>
  <c r="AK473" i="3" s="1"/>
  <c r="U262" i="3"/>
  <c r="Y262" i="3" s="1"/>
  <c r="AA260" i="3"/>
  <c r="AE260" i="3" s="1"/>
  <c r="O251" i="3"/>
  <c r="S251" i="3" s="1"/>
  <c r="O252" i="3" s="1"/>
  <c r="S252" i="3" s="1"/>
  <c r="I220" i="3"/>
  <c r="M220" i="3" s="1"/>
  <c r="C100" i="3"/>
  <c r="AX99" i="3"/>
  <c r="AM600" i="3" l="1"/>
  <c r="AQ600" i="3" s="1"/>
  <c r="AG474" i="3"/>
  <c r="AK474" i="3" s="1"/>
  <c r="U263" i="3"/>
  <c r="Y263" i="3" s="1"/>
  <c r="AA261" i="3"/>
  <c r="AE261" i="3" s="1"/>
  <c r="O253" i="3"/>
  <c r="S253" i="3" s="1"/>
  <c r="I221" i="3"/>
  <c r="M221" i="3" s="1"/>
  <c r="G100" i="3"/>
  <c r="AS100" i="3"/>
  <c r="AZ91" i="3"/>
  <c r="AM601" i="3" l="1"/>
  <c r="AQ601" i="3" s="1"/>
  <c r="AG475" i="3"/>
  <c r="AK475" i="3" s="1"/>
  <c r="U264" i="3"/>
  <c r="Y264" i="3" s="1"/>
  <c r="U265" i="3" s="1"/>
  <c r="Y265" i="3" s="1"/>
  <c r="AA262" i="3"/>
  <c r="AE262" i="3" s="1"/>
  <c r="O254" i="3"/>
  <c r="S254" i="3" s="1"/>
  <c r="I222" i="3"/>
  <c r="M222" i="3" s="1"/>
  <c r="AX100" i="3"/>
  <c r="C101" i="3"/>
  <c r="AM602" i="3" l="1"/>
  <c r="AQ602" i="3" s="1"/>
  <c r="AG476" i="3"/>
  <c r="AK476" i="3" s="1"/>
  <c r="U266" i="3"/>
  <c r="Y266" i="3" s="1"/>
  <c r="U267" i="3" s="1"/>
  <c r="Y267" i="3" s="1"/>
  <c r="AA263" i="3"/>
  <c r="AE263" i="3" s="1"/>
  <c r="O255" i="3"/>
  <c r="S255" i="3" s="1"/>
  <c r="I223" i="3"/>
  <c r="M223" i="3" s="1"/>
  <c r="G101" i="3"/>
  <c r="AS101" i="3"/>
  <c r="AZ92" i="3"/>
  <c r="AM603" i="3" l="1"/>
  <c r="AQ603" i="3" s="1"/>
  <c r="AG477" i="3"/>
  <c r="AK477" i="3" s="1"/>
  <c r="U268" i="3"/>
  <c r="Y268" i="3" s="1"/>
  <c r="U269" i="3" s="1"/>
  <c r="Y269" i="3" s="1"/>
  <c r="U270" i="3" s="1"/>
  <c r="Y270" i="3" s="1"/>
  <c r="AA264" i="3"/>
  <c r="AE264" i="3" s="1"/>
  <c r="AA265" i="3" s="1"/>
  <c r="AE265" i="3" s="1"/>
  <c r="O256" i="3"/>
  <c r="S256" i="3" s="1"/>
  <c r="I224" i="3"/>
  <c r="M224" i="3" s="1"/>
  <c r="AX101" i="3"/>
  <c r="C102" i="3"/>
  <c r="AM604" i="3" l="1"/>
  <c r="AQ604" i="3" s="1"/>
  <c r="AG478" i="3"/>
  <c r="AK478" i="3" s="1"/>
  <c r="U271" i="3"/>
  <c r="Y271" i="3" s="1"/>
  <c r="U272" i="3" s="1"/>
  <c r="Y272" i="3" s="1"/>
  <c r="AA266" i="3"/>
  <c r="AE266" i="3" s="1"/>
  <c r="AA267" i="3" s="1"/>
  <c r="AE267" i="3" s="1"/>
  <c r="O257" i="3"/>
  <c r="S257" i="3" s="1"/>
  <c r="I225" i="3"/>
  <c r="M225" i="3" s="1"/>
  <c r="G102" i="3"/>
  <c r="AS102" i="3"/>
  <c r="AZ93" i="3"/>
  <c r="AM605" i="3" l="1"/>
  <c r="AQ605" i="3" s="1"/>
  <c r="AG479" i="3"/>
  <c r="AK479" i="3" s="1"/>
  <c r="AG480" i="3" s="1"/>
  <c r="AK480" i="3" s="1"/>
  <c r="U273" i="3"/>
  <c r="Y273" i="3" s="1"/>
  <c r="AA268" i="3"/>
  <c r="AE268" i="3" s="1"/>
  <c r="AA269" i="3" s="1"/>
  <c r="AE269" i="3" s="1"/>
  <c r="AA270" i="3" s="1"/>
  <c r="AE270" i="3" s="1"/>
  <c r="O258" i="3"/>
  <c r="S258" i="3" s="1"/>
  <c r="O259" i="3" s="1"/>
  <c r="S259" i="3" s="1"/>
  <c r="I226" i="3"/>
  <c r="M226" i="3" s="1"/>
  <c r="C103" i="3"/>
  <c r="AX102" i="3"/>
  <c r="AM606" i="3" l="1"/>
  <c r="AQ606" i="3" s="1"/>
  <c r="AG481" i="3"/>
  <c r="AK481" i="3" s="1"/>
  <c r="U274" i="3"/>
  <c r="Y274" i="3" s="1"/>
  <c r="AA271" i="3"/>
  <c r="AE271" i="3" s="1"/>
  <c r="AA272" i="3" s="1"/>
  <c r="AE272" i="3" s="1"/>
  <c r="O260" i="3"/>
  <c r="S260" i="3" s="1"/>
  <c r="I227" i="3"/>
  <c r="M227" i="3" s="1"/>
  <c r="AS103" i="3"/>
  <c r="G103" i="3"/>
  <c r="AZ94" i="3"/>
  <c r="AM607" i="3" l="1"/>
  <c r="AQ607" i="3" s="1"/>
  <c r="AG482" i="3"/>
  <c r="AK482" i="3" s="1"/>
  <c r="U275" i="3"/>
  <c r="Y275" i="3" s="1"/>
  <c r="AA273" i="3"/>
  <c r="AE273" i="3" s="1"/>
  <c r="O261" i="3"/>
  <c r="S261" i="3" s="1"/>
  <c r="I228" i="3"/>
  <c r="M228" i="3" s="1"/>
  <c r="AX103" i="3"/>
  <c r="AZ103" i="3" s="1"/>
  <c r="C104" i="3"/>
  <c r="AM608" i="3" l="1"/>
  <c r="AQ608" i="3" s="1"/>
  <c r="AG483" i="3"/>
  <c r="AK483" i="3" s="1"/>
  <c r="AG484" i="3" s="1"/>
  <c r="AK484" i="3" s="1"/>
  <c r="AG485" i="3" s="1"/>
  <c r="AK485" i="3" s="1"/>
  <c r="AG486" i="3" s="1"/>
  <c r="AK486" i="3" s="1"/>
  <c r="U276" i="3"/>
  <c r="Y276" i="3" s="1"/>
  <c r="U277" i="3" s="1"/>
  <c r="Y277" i="3" s="1"/>
  <c r="AA274" i="3"/>
  <c r="AE274" i="3" s="1"/>
  <c r="O262" i="3"/>
  <c r="S262" i="3" s="1"/>
  <c r="I229" i="3"/>
  <c r="M229" i="3" s="1"/>
  <c r="G104" i="3"/>
  <c r="AS104" i="3"/>
  <c r="AZ95" i="3"/>
  <c r="AM609" i="3" l="1"/>
  <c r="AQ609" i="3" s="1"/>
  <c r="AG487" i="3"/>
  <c r="AK487" i="3" s="1"/>
  <c r="AG488" i="3" s="1"/>
  <c r="AK488" i="3" s="1"/>
  <c r="U278" i="3"/>
  <c r="Y278" i="3" s="1"/>
  <c r="AA275" i="3"/>
  <c r="AE275" i="3" s="1"/>
  <c r="O263" i="3"/>
  <c r="S263" i="3" s="1"/>
  <c r="I230" i="3"/>
  <c r="M230" i="3" s="1"/>
  <c r="C105" i="3"/>
  <c r="AX104" i="3"/>
  <c r="AM610" i="3" l="1"/>
  <c r="AQ610" i="3" s="1"/>
  <c r="AG489" i="3"/>
  <c r="AK489" i="3" s="1"/>
  <c r="AG490" i="3" s="1"/>
  <c r="AK490" i="3" s="1"/>
  <c r="AG491" i="3" s="1"/>
  <c r="AK491" i="3" s="1"/>
  <c r="AG492" i="3" s="1"/>
  <c r="AK492" i="3" s="1"/>
  <c r="U279" i="3"/>
  <c r="Y279" i="3" s="1"/>
  <c r="U280" i="3" s="1"/>
  <c r="Y280" i="3" s="1"/>
  <c r="AA276" i="3"/>
  <c r="AE276" i="3" s="1"/>
  <c r="AA277" i="3" s="1"/>
  <c r="AE277" i="3" s="1"/>
  <c r="O264" i="3"/>
  <c r="S264" i="3" s="1"/>
  <c r="I231" i="3"/>
  <c r="M231" i="3" s="1"/>
  <c r="G105" i="3"/>
  <c r="AS105" i="3"/>
  <c r="AZ96" i="3"/>
  <c r="AM611" i="3" l="1"/>
  <c r="AQ611" i="3" s="1"/>
  <c r="AG493" i="3"/>
  <c r="AK493" i="3" s="1"/>
  <c r="AG494" i="3" s="1"/>
  <c r="AK494" i="3" s="1"/>
  <c r="U281" i="3"/>
  <c r="Y281" i="3" s="1"/>
  <c r="AA278" i="3"/>
  <c r="AE278" i="3" s="1"/>
  <c r="O265" i="3"/>
  <c r="S265" i="3" s="1"/>
  <c r="I232" i="3"/>
  <c r="M232" i="3" s="1"/>
  <c r="AX105" i="3"/>
  <c r="C106" i="3"/>
  <c r="AM612" i="3" l="1"/>
  <c r="AQ612" i="3" s="1"/>
  <c r="AG495" i="3"/>
  <c r="AK495" i="3" s="1"/>
  <c r="U282" i="3"/>
  <c r="Y282" i="3" s="1"/>
  <c r="U283" i="3" s="1"/>
  <c r="Y283" i="3" s="1"/>
  <c r="U284" i="3" s="1"/>
  <c r="Y284" i="3" s="1"/>
  <c r="AA279" i="3"/>
  <c r="AE279" i="3" s="1"/>
  <c r="AA280" i="3" s="1"/>
  <c r="AE280" i="3" s="1"/>
  <c r="O266" i="3"/>
  <c r="S266" i="3" s="1"/>
  <c r="O267" i="3" s="1"/>
  <c r="S267" i="3" s="1"/>
  <c r="I233" i="3"/>
  <c r="M233" i="3" s="1"/>
  <c r="G106" i="3"/>
  <c r="AS106" i="3"/>
  <c r="AZ97" i="3"/>
  <c r="AM613" i="3" l="1"/>
  <c r="AQ613" i="3" s="1"/>
  <c r="AG496" i="3"/>
  <c r="AK496" i="3" s="1"/>
  <c r="U285" i="3"/>
  <c r="Y285" i="3" s="1"/>
  <c r="AA281" i="3"/>
  <c r="AE281" i="3" s="1"/>
  <c r="O268" i="3"/>
  <c r="S268" i="3" s="1"/>
  <c r="O269" i="3" s="1"/>
  <c r="S269" i="3" s="1"/>
  <c r="O270" i="3" s="1"/>
  <c r="S270" i="3" s="1"/>
  <c r="I234" i="3"/>
  <c r="M234" i="3" s="1"/>
  <c r="AX106" i="3"/>
  <c r="C107" i="3"/>
  <c r="AM614" i="3" l="1"/>
  <c r="AQ614" i="3" s="1"/>
  <c r="AG497" i="3"/>
  <c r="AK497" i="3" s="1"/>
  <c r="U286" i="3"/>
  <c r="Y286" i="3" s="1"/>
  <c r="U287" i="3" s="1"/>
  <c r="Y287" i="3" s="1"/>
  <c r="AA282" i="3"/>
  <c r="AE282" i="3" s="1"/>
  <c r="AA283" i="3" s="1"/>
  <c r="AE283" i="3" s="1"/>
  <c r="AA284" i="3" s="1"/>
  <c r="AE284" i="3" s="1"/>
  <c r="O271" i="3"/>
  <c r="S271" i="3" s="1"/>
  <c r="I235" i="3"/>
  <c r="M235" i="3" s="1"/>
  <c r="G107" i="3"/>
  <c r="AS107" i="3"/>
  <c r="AZ98" i="3"/>
  <c r="AM615" i="3" l="1"/>
  <c r="AQ615" i="3" s="1"/>
  <c r="AG498" i="3"/>
  <c r="AK498" i="3" s="1"/>
  <c r="U288" i="3"/>
  <c r="Y288" i="3" s="1"/>
  <c r="AA285" i="3"/>
  <c r="AE285" i="3" s="1"/>
  <c r="O272" i="3"/>
  <c r="S272" i="3" s="1"/>
  <c r="I236" i="3"/>
  <c r="M236" i="3" s="1"/>
  <c r="C108" i="3"/>
  <c r="AX107" i="3"/>
  <c r="AM616" i="3" l="1"/>
  <c r="AQ616" i="3" s="1"/>
  <c r="AG499" i="3"/>
  <c r="AK499" i="3" s="1"/>
  <c r="AG500" i="3" s="1"/>
  <c r="AK500" i="3" s="1"/>
  <c r="U289" i="3"/>
  <c r="Y289" i="3" s="1"/>
  <c r="U290" i="3" s="1"/>
  <c r="Y290" i="3" s="1"/>
  <c r="AA286" i="3"/>
  <c r="AE286" i="3" s="1"/>
  <c r="AA287" i="3" s="1"/>
  <c r="AE287" i="3" s="1"/>
  <c r="O273" i="3"/>
  <c r="S273" i="3" s="1"/>
  <c r="I237" i="3"/>
  <c r="M237" i="3" s="1"/>
  <c r="G108" i="3"/>
  <c r="AS108" i="3"/>
  <c r="AZ99" i="3"/>
  <c r="AM617" i="3" l="1"/>
  <c r="AQ617" i="3" s="1"/>
  <c r="AG501" i="3"/>
  <c r="AK501" i="3" s="1"/>
  <c r="U291" i="3"/>
  <c r="Y291" i="3" s="1"/>
  <c r="AA288" i="3"/>
  <c r="AE288" i="3" s="1"/>
  <c r="O274" i="3"/>
  <c r="S274" i="3" s="1"/>
  <c r="I238" i="3"/>
  <c r="M238" i="3" s="1"/>
  <c r="AX108" i="3"/>
  <c r="C109" i="3"/>
  <c r="AM618" i="3" l="1"/>
  <c r="AQ618" i="3" s="1"/>
  <c r="AG502" i="3"/>
  <c r="AK502" i="3" s="1"/>
  <c r="U292" i="3"/>
  <c r="Y292" i="3" s="1"/>
  <c r="AA289" i="3"/>
  <c r="AE289" i="3" s="1"/>
  <c r="AA290" i="3" s="1"/>
  <c r="AE290" i="3" s="1"/>
  <c r="O275" i="3"/>
  <c r="S275" i="3" s="1"/>
  <c r="I239" i="3"/>
  <c r="M239" i="3" s="1"/>
  <c r="G109" i="3"/>
  <c r="AS109" i="3"/>
  <c r="AZ100" i="3"/>
  <c r="AM619" i="3" l="1"/>
  <c r="AQ619" i="3" s="1"/>
  <c r="AG503" i="3"/>
  <c r="AK503" i="3" s="1"/>
  <c r="U293" i="3"/>
  <c r="Y293" i="3" s="1"/>
  <c r="U294" i="3" s="1"/>
  <c r="Y294" i="3" s="1"/>
  <c r="AA291" i="3"/>
  <c r="AE291" i="3" s="1"/>
  <c r="O276" i="3"/>
  <c r="S276" i="3" s="1"/>
  <c r="O277" i="3" s="1"/>
  <c r="S277" i="3" s="1"/>
  <c r="I240" i="3"/>
  <c r="M240" i="3" s="1"/>
  <c r="AX109" i="3"/>
  <c r="C110" i="3"/>
  <c r="AM620" i="3" l="1"/>
  <c r="AQ620" i="3" s="1"/>
  <c r="AG504" i="3"/>
  <c r="AK504" i="3" s="1"/>
  <c r="AG505" i="3" s="1"/>
  <c r="AK505" i="3" s="1"/>
  <c r="U295" i="3"/>
  <c r="Y295" i="3" s="1"/>
  <c r="U296" i="3" s="1"/>
  <c r="Y296" i="3" s="1"/>
  <c r="AA292" i="3"/>
  <c r="AE292" i="3" s="1"/>
  <c r="O278" i="3"/>
  <c r="S278" i="3" s="1"/>
  <c r="I241" i="3"/>
  <c r="M241" i="3" s="1"/>
  <c r="G110" i="3"/>
  <c r="AS110" i="3"/>
  <c r="AZ101" i="3"/>
  <c r="AM621" i="3" l="1"/>
  <c r="AQ621" i="3" s="1"/>
  <c r="AG506" i="3"/>
  <c r="AK506" i="3" s="1"/>
  <c r="U297" i="3"/>
  <c r="Y297" i="3" s="1"/>
  <c r="U298" i="3" s="1"/>
  <c r="Y298" i="3" s="1"/>
  <c r="U299" i="3" s="1"/>
  <c r="Y299" i="3" s="1"/>
  <c r="AA293" i="3"/>
  <c r="AE293" i="3" s="1"/>
  <c r="O279" i="3"/>
  <c r="S279" i="3" s="1"/>
  <c r="O280" i="3" s="1"/>
  <c r="S280" i="3" s="1"/>
  <c r="I242" i="3"/>
  <c r="M242" i="3" s="1"/>
  <c r="C111" i="3"/>
  <c r="AX110" i="3"/>
  <c r="AM622" i="3" l="1"/>
  <c r="AQ622" i="3" s="1"/>
  <c r="AG507" i="3"/>
  <c r="AK507" i="3" s="1"/>
  <c r="U300" i="3"/>
  <c r="Y300" i="3" s="1"/>
  <c r="U301" i="3" s="1"/>
  <c r="Y301" i="3" s="1"/>
  <c r="AA294" i="3"/>
  <c r="AE294" i="3" s="1"/>
  <c r="O281" i="3"/>
  <c r="S281" i="3" s="1"/>
  <c r="I243" i="3"/>
  <c r="M243" i="3" s="1"/>
  <c r="G111" i="3"/>
  <c r="AS111" i="3"/>
  <c r="AZ102" i="3"/>
  <c r="AM623" i="3" l="1"/>
  <c r="AQ623" i="3" s="1"/>
  <c r="AG508" i="3"/>
  <c r="AK508" i="3" s="1"/>
  <c r="AG509" i="3" s="1"/>
  <c r="AK509" i="3" s="1"/>
  <c r="U302" i="3"/>
  <c r="Y302" i="3" s="1"/>
  <c r="AA295" i="3"/>
  <c r="AE295" i="3" s="1"/>
  <c r="AA296" i="3" s="1"/>
  <c r="AE296" i="3" s="1"/>
  <c r="O282" i="3"/>
  <c r="S282" i="3" s="1"/>
  <c r="O283" i="3" s="1"/>
  <c r="S283" i="3" s="1"/>
  <c r="O284" i="3" s="1"/>
  <c r="S284" i="3" s="1"/>
  <c r="I244" i="3"/>
  <c r="M244" i="3" s="1"/>
  <c r="AX111" i="3"/>
  <c r="C112" i="3"/>
  <c r="AM624" i="3" l="1"/>
  <c r="AQ624" i="3" s="1"/>
  <c r="AG510" i="3"/>
  <c r="AK510" i="3" s="1"/>
  <c r="AG511" i="3" s="1"/>
  <c r="AK511" i="3" s="1"/>
  <c r="AG512" i="3" s="1"/>
  <c r="AK512" i="3" s="1"/>
  <c r="AG513" i="3" s="1"/>
  <c r="AK513" i="3" s="1"/>
  <c r="U303" i="3"/>
  <c r="Y303" i="3" s="1"/>
  <c r="U304" i="3" s="1"/>
  <c r="Y304" i="3" s="1"/>
  <c r="AA297" i="3"/>
  <c r="AE297" i="3" s="1"/>
  <c r="AA298" i="3" s="1"/>
  <c r="AE298" i="3" s="1"/>
  <c r="AA299" i="3" s="1"/>
  <c r="AE299" i="3" s="1"/>
  <c r="O285" i="3"/>
  <c r="S285" i="3" s="1"/>
  <c r="I245" i="3"/>
  <c r="M245" i="3" s="1"/>
  <c r="G112" i="3"/>
  <c r="AS112" i="3"/>
  <c r="AZ104" i="3"/>
  <c r="AM625" i="3" l="1"/>
  <c r="AQ625" i="3" s="1"/>
  <c r="AG514" i="3"/>
  <c r="AK514" i="3" s="1"/>
  <c r="U305" i="3"/>
  <c r="Y305" i="3" s="1"/>
  <c r="U306" i="3" s="1"/>
  <c r="Y306" i="3" s="1"/>
  <c r="AA300" i="3"/>
  <c r="AE300" i="3" s="1"/>
  <c r="AA301" i="3" s="1"/>
  <c r="AE301" i="3" s="1"/>
  <c r="O286" i="3"/>
  <c r="S286" i="3" s="1"/>
  <c r="O287" i="3" s="1"/>
  <c r="S287" i="3" s="1"/>
  <c r="I246" i="3"/>
  <c r="M246" i="3" s="1"/>
  <c r="AX112" i="3"/>
  <c r="C113" i="3"/>
  <c r="AM626" i="3" l="1"/>
  <c r="AQ626" i="3" s="1"/>
  <c r="AG515" i="3"/>
  <c r="AK515" i="3" s="1"/>
  <c r="U307" i="3"/>
  <c r="Y307" i="3" s="1"/>
  <c r="AA302" i="3"/>
  <c r="AE302" i="3" s="1"/>
  <c r="O288" i="3"/>
  <c r="S288" i="3" s="1"/>
  <c r="I247" i="3"/>
  <c r="M247" i="3" s="1"/>
  <c r="G113" i="3"/>
  <c r="AS113" i="3"/>
  <c r="AZ105" i="3"/>
  <c r="AM627" i="3" l="1"/>
  <c r="AQ627" i="3" s="1"/>
  <c r="AG516" i="3"/>
  <c r="AK516" i="3" s="1"/>
  <c r="U308" i="3"/>
  <c r="Y308" i="3" s="1"/>
  <c r="AA303" i="3"/>
  <c r="AE303" i="3" s="1"/>
  <c r="AA304" i="3" s="1"/>
  <c r="AE304" i="3" s="1"/>
  <c r="O289" i="3"/>
  <c r="S289" i="3" s="1"/>
  <c r="O290" i="3" s="1"/>
  <c r="S290" i="3" s="1"/>
  <c r="I248" i="3"/>
  <c r="M248" i="3" s="1"/>
  <c r="AX113" i="3"/>
  <c r="C114" i="3"/>
  <c r="AM628" i="3" l="1"/>
  <c r="AQ628" i="3" s="1"/>
  <c r="AG517" i="3"/>
  <c r="AK517" i="3" s="1"/>
  <c r="U309" i="3"/>
  <c r="Y309" i="3" s="1"/>
  <c r="AA305" i="3"/>
  <c r="AE305" i="3" s="1"/>
  <c r="AA306" i="3" s="1"/>
  <c r="AE306" i="3" s="1"/>
  <c r="O291" i="3"/>
  <c r="S291" i="3" s="1"/>
  <c r="I249" i="3"/>
  <c r="M249" i="3" s="1"/>
  <c r="G114" i="3"/>
  <c r="AS114" i="3"/>
  <c r="AZ106" i="3"/>
  <c r="AM629" i="3" l="1"/>
  <c r="AQ629" i="3" s="1"/>
  <c r="AG518" i="3"/>
  <c r="AK518" i="3" s="1"/>
  <c r="AG519" i="3" s="1"/>
  <c r="AK519" i="3" s="1"/>
  <c r="U310" i="3"/>
  <c r="Y310" i="3" s="1"/>
  <c r="U311" i="3" s="1"/>
  <c r="Y311" i="3" s="1"/>
  <c r="AA307" i="3"/>
  <c r="AE307" i="3" s="1"/>
  <c r="O292" i="3"/>
  <c r="S292" i="3" s="1"/>
  <c r="I250" i="3"/>
  <c r="M250" i="3" s="1"/>
  <c r="C115" i="3"/>
  <c r="AX114" i="3"/>
  <c r="AM630" i="3" l="1"/>
  <c r="AQ630" i="3" s="1"/>
  <c r="AG520" i="3"/>
  <c r="AK520" i="3" s="1"/>
  <c r="U312" i="3"/>
  <c r="Y312" i="3" s="1"/>
  <c r="AA308" i="3"/>
  <c r="AE308" i="3" s="1"/>
  <c r="O293" i="3"/>
  <c r="S293" i="3" s="1"/>
  <c r="I251" i="3"/>
  <c r="M251" i="3" s="1"/>
  <c r="G115" i="3"/>
  <c r="AS115" i="3"/>
  <c r="AZ107" i="3"/>
  <c r="AM631" i="3" l="1"/>
  <c r="AQ631" i="3" s="1"/>
  <c r="AG521" i="3"/>
  <c r="AK521" i="3" s="1"/>
  <c r="U313" i="3"/>
  <c r="Y313" i="3" s="1"/>
  <c r="AA309" i="3"/>
  <c r="AE309" i="3" s="1"/>
  <c r="AA310" i="3" s="1"/>
  <c r="AE310" i="3" s="1"/>
  <c r="O294" i="3"/>
  <c r="S294" i="3" s="1"/>
  <c r="I252" i="3"/>
  <c r="M252" i="3" s="1"/>
  <c r="AX115" i="3"/>
  <c r="C116" i="3"/>
  <c r="AM632" i="3" l="1"/>
  <c r="AQ632" i="3" s="1"/>
  <c r="AG522" i="3"/>
  <c r="AK522" i="3" s="1"/>
  <c r="U314" i="3"/>
  <c r="Y314" i="3" s="1"/>
  <c r="AA311" i="3"/>
  <c r="AE311" i="3" s="1"/>
  <c r="O295" i="3"/>
  <c r="S295" i="3" s="1"/>
  <c r="O296" i="3" s="1"/>
  <c r="S296" i="3" s="1"/>
  <c r="I253" i="3"/>
  <c r="M253" i="3" s="1"/>
  <c r="G116" i="3"/>
  <c r="AS116" i="3"/>
  <c r="AZ108" i="3"/>
  <c r="AM633" i="3" l="1"/>
  <c r="AQ633" i="3" s="1"/>
  <c r="AG523" i="3"/>
  <c r="AK523" i="3" s="1"/>
  <c r="U315" i="3"/>
  <c r="Y315" i="3" s="1"/>
  <c r="AA312" i="3"/>
  <c r="AE312" i="3" s="1"/>
  <c r="O297" i="3"/>
  <c r="S297" i="3" s="1"/>
  <c r="O298" i="3" s="1"/>
  <c r="S298" i="3" s="1"/>
  <c r="O299" i="3" s="1"/>
  <c r="S299" i="3" s="1"/>
  <c r="I254" i="3"/>
  <c r="M254" i="3" s="1"/>
  <c r="C117" i="3"/>
  <c r="AX116" i="3"/>
  <c r="AM634" i="3" l="1"/>
  <c r="AQ634" i="3" s="1"/>
  <c r="AG524" i="3"/>
  <c r="AK524" i="3" s="1"/>
  <c r="U316" i="3"/>
  <c r="Y316" i="3" s="1"/>
  <c r="AA313" i="3"/>
  <c r="AE313" i="3" s="1"/>
  <c r="O300" i="3"/>
  <c r="S300" i="3" s="1"/>
  <c r="O301" i="3" s="1"/>
  <c r="S301" i="3" s="1"/>
  <c r="I255" i="3"/>
  <c r="M255" i="3" s="1"/>
  <c r="G117" i="3"/>
  <c r="AS117" i="3"/>
  <c r="AZ109" i="3"/>
  <c r="AM635" i="3" l="1"/>
  <c r="AQ635" i="3" s="1"/>
  <c r="AG525" i="3"/>
  <c r="AK525" i="3" s="1"/>
  <c r="U317" i="3"/>
  <c r="Y317" i="3" s="1"/>
  <c r="U318" i="3" s="1"/>
  <c r="Y318" i="3" s="1"/>
  <c r="AA314" i="3"/>
  <c r="AE314" i="3" s="1"/>
  <c r="O302" i="3"/>
  <c r="S302" i="3" s="1"/>
  <c r="I256" i="3"/>
  <c r="M256" i="3" s="1"/>
  <c r="AX117" i="3"/>
  <c r="C118" i="3"/>
  <c r="AM636" i="3" l="1"/>
  <c r="AQ636" i="3" s="1"/>
  <c r="AG526" i="3"/>
  <c r="AK526" i="3" s="1"/>
  <c r="U319" i="3"/>
  <c r="Y319" i="3" s="1"/>
  <c r="AA315" i="3"/>
  <c r="AE315" i="3" s="1"/>
  <c r="O303" i="3"/>
  <c r="S303" i="3" s="1"/>
  <c r="O304" i="3" s="1"/>
  <c r="S304" i="3" s="1"/>
  <c r="I257" i="3"/>
  <c r="M257" i="3" s="1"/>
  <c r="G118" i="3"/>
  <c r="AS118" i="3"/>
  <c r="AZ110" i="3"/>
  <c r="AM637" i="3" l="1"/>
  <c r="AQ637" i="3" s="1"/>
  <c r="AG527" i="3"/>
  <c r="AK527" i="3" s="1"/>
  <c r="AG528" i="3" s="1"/>
  <c r="AK528" i="3" s="1"/>
  <c r="U320" i="3"/>
  <c r="Y320" i="3" s="1"/>
  <c r="AA316" i="3"/>
  <c r="AE316" i="3" s="1"/>
  <c r="O305" i="3"/>
  <c r="S305" i="3" s="1"/>
  <c r="O306" i="3" s="1"/>
  <c r="S306" i="3" s="1"/>
  <c r="I258" i="3"/>
  <c r="M258" i="3" s="1"/>
  <c r="C119" i="3"/>
  <c r="AX118" i="3"/>
  <c r="AM638" i="3" l="1"/>
  <c r="AQ638" i="3" s="1"/>
  <c r="AG529" i="3"/>
  <c r="AK529" i="3" s="1"/>
  <c r="AG530" i="3" s="1"/>
  <c r="AK530" i="3" s="1"/>
  <c r="AG531" i="3" s="1"/>
  <c r="AK531" i="3" s="1"/>
  <c r="U321" i="3"/>
  <c r="Y321" i="3" s="1"/>
  <c r="AA317" i="3"/>
  <c r="AE317" i="3" s="1"/>
  <c r="AA318" i="3" s="1"/>
  <c r="AE318" i="3" s="1"/>
  <c r="O307" i="3"/>
  <c r="S307" i="3" s="1"/>
  <c r="I259" i="3"/>
  <c r="M259" i="3" s="1"/>
  <c r="G119" i="3"/>
  <c r="AS119" i="3"/>
  <c r="AZ111" i="3"/>
  <c r="AM639" i="3" l="1"/>
  <c r="AQ639" i="3" s="1"/>
  <c r="AG532" i="3"/>
  <c r="AK532" i="3" s="1"/>
  <c r="U322" i="3"/>
  <c r="Y322" i="3" s="1"/>
  <c r="AA319" i="3"/>
  <c r="AE319" i="3" s="1"/>
  <c r="O308" i="3"/>
  <c r="S308" i="3" s="1"/>
  <c r="I260" i="3"/>
  <c r="M260" i="3" s="1"/>
  <c r="AX119" i="3"/>
  <c r="C120" i="3"/>
  <c r="AM640" i="3" l="1"/>
  <c r="AQ640" i="3" s="1"/>
  <c r="AG533" i="3"/>
  <c r="AK533" i="3" s="1"/>
  <c r="U323" i="3"/>
  <c r="Y323" i="3" s="1"/>
  <c r="AA320" i="3"/>
  <c r="AE320" i="3" s="1"/>
  <c r="O309" i="3"/>
  <c r="S309" i="3" s="1"/>
  <c r="O310" i="3" s="1"/>
  <c r="S310" i="3" s="1"/>
  <c r="I261" i="3"/>
  <c r="M261" i="3" s="1"/>
  <c r="G120" i="3"/>
  <c r="AS120" i="3"/>
  <c r="AZ112" i="3"/>
  <c r="AM641" i="3" l="1"/>
  <c r="AQ641" i="3" s="1"/>
  <c r="AG534" i="3"/>
  <c r="AK534" i="3" s="1"/>
  <c r="U324" i="3"/>
  <c r="Y324" i="3" s="1"/>
  <c r="AA321" i="3"/>
  <c r="AE321" i="3" s="1"/>
  <c r="O311" i="3"/>
  <c r="S311" i="3" s="1"/>
  <c r="I262" i="3"/>
  <c r="M262" i="3" s="1"/>
  <c r="AX120" i="3"/>
  <c r="C121" i="3"/>
  <c r="AM642" i="3" l="1"/>
  <c r="AQ642" i="3" s="1"/>
  <c r="AG535" i="3"/>
  <c r="AK535" i="3" s="1"/>
  <c r="U325" i="3"/>
  <c r="Y325" i="3" s="1"/>
  <c r="U326" i="3" s="1"/>
  <c r="Y326" i="3" s="1"/>
  <c r="AA322" i="3"/>
  <c r="AE322" i="3" s="1"/>
  <c r="O312" i="3"/>
  <c r="S312" i="3" s="1"/>
  <c r="I263" i="3"/>
  <c r="M263" i="3" s="1"/>
  <c r="G121" i="3"/>
  <c r="AS121" i="3"/>
  <c r="AZ113" i="3"/>
  <c r="AM643" i="3" l="1"/>
  <c r="AQ643" i="3" s="1"/>
  <c r="AG536" i="3"/>
  <c r="AK536" i="3" s="1"/>
  <c r="U327" i="3"/>
  <c r="Y327" i="3" s="1"/>
  <c r="AA323" i="3"/>
  <c r="AE323" i="3" s="1"/>
  <c r="O313" i="3"/>
  <c r="S313" i="3" s="1"/>
  <c r="I264" i="3"/>
  <c r="M264" i="3" s="1"/>
  <c r="AX121" i="3"/>
  <c r="C122" i="3"/>
  <c r="AM644" i="3" l="1"/>
  <c r="AQ644" i="3" s="1"/>
  <c r="AG537" i="3"/>
  <c r="AK537" i="3" s="1"/>
  <c r="U328" i="3"/>
  <c r="Y328" i="3" s="1"/>
  <c r="AA324" i="3"/>
  <c r="AE324" i="3" s="1"/>
  <c r="O314" i="3"/>
  <c r="S314" i="3" s="1"/>
  <c r="I265" i="3"/>
  <c r="M265" i="3" s="1"/>
  <c r="G122" i="3"/>
  <c r="AS122" i="3"/>
  <c r="AZ114" i="3"/>
  <c r="AM645" i="3" l="1"/>
  <c r="AQ645" i="3" s="1"/>
  <c r="AG538" i="3"/>
  <c r="AK538" i="3" s="1"/>
  <c r="U329" i="3"/>
  <c r="Y329" i="3" s="1"/>
  <c r="AA325" i="3"/>
  <c r="AE325" i="3" s="1"/>
  <c r="AA326" i="3" s="1"/>
  <c r="AE326" i="3" s="1"/>
  <c r="O315" i="3"/>
  <c r="S315" i="3" s="1"/>
  <c r="I266" i="3"/>
  <c r="M266" i="3" s="1"/>
  <c r="AX122" i="3"/>
  <c r="C123" i="3"/>
  <c r="AM646" i="3" l="1"/>
  <c r="AQ646" i="3" s="1"/>
  <c r="AG539" i="3"/>
  <c r="AK539" i="3" s="1"/>
  <c r="U330" i="3"/>
  <c r="Y330" i="3" s="1"/>
  <c r="AA327" i="3"/>
  <c r="AE327" i="3" s="1"/>
  <c r="O316" i="3"/>
  <c r="S316" i="3" s="1"/>
  <c r="I267" i="3"/>
  <c r="M267" i="3" s="1"/>
  <c r="AS123" i="3"/>
  <c r="G123" i="3"/>
  <c r="AZ115" i="3"/>
  <c r="AM647" i="3" l="1"/>
  <c r="AQ647" i="3" s="1"/>
  <c r="AG540" i="3"/>
  <c r="AK540" i="3" s="1"/>
  <c r="U331" i="3"/>
  <c r="Y331" i="3" s="1"/>
  <c r="AA328" i="3"/>
  <c r="AE328" i="3" s="1"/>
  <c r="O317" i="3"/>
  <c r="S317" i="3" s="1"/>
  <c r="O318" i="3" s="1"/>
  <c r="S318" i="3" s="1"/>
  <c r="I268" i="3"/>
  <c r="M268" i="3" s="1"/>
  <c r="AX123" i="3"/>
  <c r="AZ123" i="3" s="1"/>
  <c r="C124" i="3"/>
  <c r="AM648" i="3" l="1"/>
  <c r="AQ648" i="3" s="1"/>
  <c r="AG541" i="3"/>
  <c r="AK541" i="3" s="1"/>
  <c r="U332" i="3"/>
  <c r="Y332" i="3" s="1"/>
  <c r="AA329" i="3"/>
  <c r="AE329" i="3" s="1"/>
  <c r="O319" i="3"/>
  <c r="S319" i="3" s="1"/>
  <c r="I269" i="3"/>
  <c r="M269" i="3" s="1"/>
  <c r="AS124" i="3"/>
  <c r="G124" i="3"/>
  <c r="AZ116" i="3"/>
  <c r="AM649" i="3" l="1"/>
  <c r="AQ649" i="3" s="1"/>
  <c r="AG542" i="3"/>
  <c r="AK542" i="3" s="1"/>
  <c r="AG543" i="3" s="1"/>
  <c r="AK543" i="3" s="1"/>
  <c r="AG544" i="3" s="1"/>
  <c r="AK544" i="3" s="1"/>
  <c r="U333" i="3"/>
  <c r="Y333" i="3" s="1"/>
  <c r="U334" i="3" s="1"/>
  <c r="Y334" i="3" s="1"/>
  <c r="AA330" i="3"/>
  <c r="AE330" i="3" s="1"/>
  <c r="O320" i="3"/>
  <c r="S320" i="3" s="1"/>
  <c r="I270" i="3"/>
  <c r="M270" i="3" s="1"/>
  <c r="AX124" i="3"/>
  <c r="AZ124" i="3" s="1"/>
  <c r="C125" i="3"/>
  <c r="AM650" i="3" l="1"/>
  <c r="AQ650" i="3" s="1"/>
  <c r="AG545" i="3"/>
  <c r="AK545" i="3" s="1"/>
  <c r="U335" i="3"/>
  <c r="Y335" i="3" s="1"/>
  <c r="AA331" i="3"/>
  <c r="AE331" i="3" s="1"/>
  <c r="O321" i="3"/>
  <c r="S321" i="3" s="1"/>
  <c r="I271" i="3"/>
  <c r="M271" i="3" s="1"/>
  <c r="AS125" i="3"/>
  <c r="G125" i="3"/>
  <c r="AZ117" i="3"/>
  <c r="AM651" i="3" l="1"/>
  <c r="AQ651" i="3" s="1"/>
  <c r="AG546" i="3"/>
  <c r="AK546" i="3" s="1"/>
  <c r="U336" i="3"/>
  <c r="Y336" i="3" s="1"/>
  <c r="U337" i="3" s="1"/>
  <c r="Y337" i="3" s="1"/>
  <c r="AA332" i="3"/>
  <c r="AE332" i="3" s="1"/>
  <c r="O322" i="3"/>
  <c r="S322" i="3" s="1"/>
  <c r="I272" i="3"/>
  <c r="M272" i="3" s="1"/>
  <c r="AX125" i="3"/>
  <c r="AZ125" i="3" s="1"/>
  <c r="C126" i="3"/>
  <c r="AM652" i="3" l="1"/>
  <c r="AQ652" i="3" s="1"/>
  <c r="AG547" i="3"/>
  <c r="AK547" i="3" s="1"/>
  <c r="U338" i="3"/>
  <c r="Y338" i="3" s="1"/>
  <c r="AA333" i="3"/>
  <c r="AE333" i="3" s="1"/>
  <c r="AA334" i="3" s="1"/>
  <c r="AE334" i="3" s="1"/>
  <c r="O323" i="3"/>
  <c r="S323" i="3" s="1"/>
  <c r="I273" i="3"/>
  <c r="M273" i="3" s="1"/>
  <c r="AS126" i="3"/>
  <c r="G126" i="3"/>
  <c r="AZ118" i="3"/>
  <c r="AM653" i="3" l="1"/>
  <c r="AQ653" i="3" s="1"/>
  <c r="AG548" i="3"/>
  <c r="AK548" i="3" s="1"/>
  <c r="U339" i="3"/>
  <c r="Y339" i="3" s="1"/>
  <c r="AA335" i="3"/>
  <c r="AE335" i="3" s="1"/>
  <c r="O324" i="3"/>
  <c r="S324" i="3" s="1"/>
  <c r="I274" i="3"/>
  <c r="M274" i="3" s="1"/>
  <c r="AX126" i="3"/>
  <c r="AZ126" i="3" s="1"/>
  <c r="C127" i="3"/>
  <c r="AM654" i="3" l="1"/>
  <c r="AQ654" i="3" s="1"/>
  <c r="AG549" i="3"/>
  <c r="AK549" i="3" s="1"/>
  <c r="AG550" i="3" s="1"/>
  <c r="AK550" i="3" s="1"/>
  <c r="AG551" i="3" s="1"/>
  <c r="AK551" i="3" s="1"/>
  <c r="U340" i="3"/>
  <c r="Y340" i="3" s="1"/>
  <c r="AA336" i="3"/>
  <c r="AE336" i="3" s="1"/>
  <c r="AA337" i="3" s="1"/>
  <c r="AE337" i="3" s="1"/>
  <c r="O325" i="3"/>
  <c r="S325" i="3" s="1"/>
  <c r="I275" i="3"/>
  <c r="M275" i="3" s="1"/>
  <c r="AS127" i="3"/>
  <c r="G127" i="3"/>
  <c r="AZ119" i="3"/>
  <c r="AM655" i="3" l="1"/>
  <c r="AQ655" i="3" s="1"/>
  <c r="AG552" i="3"/>
  <c r="AK552" i="3" s="1"/>
  <c r="AG553" i="3" s="1"/>
  <c r="AK553" i="3" s="1"/>
  <c r="AG554" i="3" s="1"/>
  <c r="AK554" i="3" s="1"/>
  <c r="U341" i="3"/>
  <c r="Y341" i="3" s="1"/>
  <c r="AA338" i="3"/>
  <c r="AE338" i="3" s="1"/>
  <c r="O326" i="3"/>
  <c r="S326" i="3" s="1"/>
  <c r="I276" i="3"/>
  <c r="M276" i="3" s="1"/>
  <c r="AX127" i="3"/>
  <c r="AZ127" i="3" s="1"/>
  <c r="C128" i="3"/>
  <c r="AM656" i="3" l="1"/>
  <c r="AQ656" i="3" s="1"/>
  <c r="AG555" i="3"/>
  <c r="AK555" i="3" s="1"/>
  <c r="U342" i="3"/>
  <c r="Y342" i="3" s="1"/>
  <c r="U343" i="3" s="1"/>
  <c r="Y343" i="3" s="1"/>
  <c r="U344" i="3" s="1"/>
  <c r="Y344" i="3" s="1"/>
  <c r="AA339" i="3"/>
  <c r="AE339" i="3" s="1"/>
  <c r="O327" i="3"/>
  <c r="S327" i="3" s="1"/>
  <c r="I277" i="3"/>
  <c r="M277" i="3" s="1"/>
  <c r="AS128" i="3"/>
  <c r="G128" i="3"/>
  <c r="AZ120" i="3"/>
  <c r="AM657" i="3" l="1"/>
  <c r="AQ657" i="3" s="1"/>
  <c r="AG556" i="3"/>
  <c r="AK556" i="3" s="1"/>
  <c r="U345" i="3"/>
  <c r="Y345" i="3" s="1"/>
  <c r="AA340" i="3"/>
  <c r="AE340" i="3" s="1"/>
  <c r="O328" i="3"/>
  <c r="S328" i="3" s="1"/>
  <c r="I278" i="3"/>
  <c r="M278" i="3" s="1"/>
  <c r="AX128" i="3"/>
  <c r="AZ128" i="3" s="1"/>
  <c r="C129" i="3"/>
  <c r="AM658" i="3" l="1"/>
  <c r="AQ658" i="3" s="1"/>
  <c r="AG557" i="3"/>
  <c r="AK557" i="3" s="1"/>
  <c r="U346" i="3"/>
  <c r="Y346" i="3" s="1"/>
  <c r="AA341" i="3"/>
  <c r="AE341" i="3" s="1"/>
  <c r="O329" i="3"/>
  <c r="S329" i="3" s="1"/>
  <c r="I279" i="3"/>
  <c r="M279" i="3" s="1"/>
  <c r="AS129" i="3"/>
  <c r="G129" i="3"/>
  <c r="AZ121" i="3"/>
  <c r="AM659" i="3" l="1"/>
  <c r="AQ659" i="3" s="1"/>
  <c r="AG558" i="3"/>
  <c r="AK558" i="3" s="1"/>
  <c r="AG559" i="3" s="1"/>
  <c r="AK559" i="3" s="1"/>
  <c r="AG560" i="3" s="1"/>
  <c r="AK560" i="3" s="1"/>
  <c r="U347" i="3"/>
  <c r="Y347" i="3" s="1"/>
  <c r="AA342" i="3"/>
  <c r="AE342" i="3" s="1"/>
  <c r="AA343" i="3" s="1"/>
  <c r="AE343" i="3" s="1"/>
  <c r="AA344" i="3" s="1"/>
  <c r="AE344" i="3" s="1"/>
  <c r="O330" i="3"/>
  <c r="S330" i="3" s="1"/>
  <c r="I280" i="3"/>
  <c r="M280" i="3" s="1"/>
  <c r="AX129" i="3"/>
  <c r="AZ129" i="3" s="1"/>
  <c r="C130" i="3"/>
  <c r="AZ122" i="3"/>
  <c r="AM660" i="3" l="1"/>
  <c r="AQ660" i="3" s="1"/>
  <c r="AG561" i="3"/>
  <c r="AK561" i="3" s="1"/>
  <c r="U348" i="3"/>
  <c r="Y348" i="3" s="1"/>
  <c r="AA345" i="3"/>
  <c r="AE345" i="3" s="1"/>
  <c r="O331" i="3"/>
  <c r="S331" i="3" s="1"/>
  <c r="I281" i="3"/>
  <c r="M281" i="3" s="1"/>
  <c r="AS130" i="3"/>
  <c r="G130" i="3"/>
  <c r="AM661" i="3" l="1"/>
  <c r="AQ661" i="3" s="1"/>
  <c r="AG562" i="3"/>
  <c r="AK562" i="3" s="1"/>
  <c r="U349" i="3"/>
  <c r="Y349" i="3" s="1"/>
  <c r="AA346" i="3"/>
  <c r="AE346" i="3" s="1"/>
  <c r="O332" i="3"/>
  <c r="S332" i="3" s="1"/>
  <c r="I282" i="3"/>
  <c r="M282" i="3" s="1"/>
  <c r="AX130" i="3"/>
  <c r="AZ130" i="3" s="1"/>
  <c r="C131" i="3"/>
  <c r="AM662" i="3" l="1"/>
  <c r="AQ662" i="3" s="1"/>
  <c r="AG563" i="3"/>
  <c r="AK563" i="3" s="1"/>
  <c r="AG564" i="3" s="1"/>
  <c r="AK564" i="3" s="1"/>
  <c r="AG565" i="3" s="1"/>
  <c r="AK565" i="3" s="1"/>
  <c r="U350" i="3"/>
  <c r="Y350" i="3" s="1"/>
  <c r="AA347" i="3"/>
  <c r="AE347" i="3" s="1"/>
  <c r="O333" i="3"/>
  <c r="S333" i="3" s="1"/>
  <c r="O334" i="3" s="1"/>
  <c r="S334" i="3" s="1"/>
  <c r="I283" i="3"/>
  <c r="M283" i="3" s="1"/>
  <c r="AS131" i="3"/>
  <c r="G131" i="3"/>
  <c r="AM663" i="3" l="1"/>
  <c r="AQ663" i="3" s="1"/>
  <c r="AG566" i="3"/>
  <c r="AK566" i="3" s="1"/>
  <c r="U351" i="3"/>
  <c r="Y351" i="3" s="1"/>
  <c r="AA348" i="3"/>
  <c r="AE348" i="3" s="1"/>
  <c r="O335" i="3"/>
  <c r="S335" i="3" s="1"/>
  <c r="I284" i="3"/>
  <c r="M284" i="3" s="1"/>
  <c r="AX131" i="3"/>
  <c r="AZ131" i="3" s="1"/>
  <c r="C132" i="3"/>
  <c r="AM664" i="3" l="1"/>
  <c r="AQ664" i="3" s="1"/>
  <c r="AG567" i="3"/>
  <c r="AK567" i="3" s="1"/>
  <c r="AG568" i="3" s="1"/>
  <c r="AK568" i="3" s="1"/>
  <c r="U352" i="3"/>
  <c r="Y352" i="3" s="1"/>
  <c r="AA349" i="3"/>
  <c r="AE349" i="3" s="1"/>
  <c r="O336" i="3"/>
  <c r="S336" i="3" s="1"/>
  <c r="O337" i="3" s="1"/>
  <c r="S337" i="3" s="1"/>
  <c r="I285" i="3"/>
  <c r="M285" i="3" s="1"/>
  <c r="AS132" i="3"/>
  <c r="G132" i="3"/>
  <c r="AM665" i="3" l="1"/>
  <c r="AQ665" i="3" s="1"/>
  <c r="AG569" i="3"/>
  <c r="AK569" i="3" s="1"/>
  <c r="U353" i="3"/>
  <c r="Y353" i="3" s="1"/>
  <c r="AA350" i="3"/>
  <c r="AE350" i="3" s="1"/>
  <c r="O338" i="3"/>
  <c r="S338" i="3" s="1"/>
  <c r="I286" i="3"/>
  <c r="M286" i="3" s="1"/>
  <c r="AX132" i="3"/>
  <c r="AZ132" i="3" s="1"/>
  <c r="C133" i="3"/>
  <c r="AM666" i="3" l="1"/>
  <c r="AQ666" i="3" s="1"/>
  <c r="AG570" i="3"/>
  <c r="AK570" i="3" s="1"/>
  <c r="U354" i="3"/>
  <c r="Y354" i="3" s="1"/>
  <c r="AA351" i="3"/>
  <c r="AE351" i="3" s="1"/>
  <c r="O339" i="3"/>
  <c r="S339" i="3" s="1"/>
  <c r="I287" i="3"/>
  <c r="M287" i="3" s="1"/>
  <c r="AS133" i="3"/>
  <c r="G133" i="3"/>
  <c r="AM667" i="3" l="1"/>
  <c r="AQ667" i="3" s="1"/>
  <c r="AG571" i="3"/>
  <c r="AK571" i="3" s="1"/>
  <c r="U355" i="3"/>
  <c r="Y355" i="3" s="1"/>
  <c r="AA352" i="3"/>
  <c r="AE352" i="3" s="1"/>
  <c r="O340" i="3"/>
  <c r="S340" i="3" s="1"/>
  <c r="I288" i="3"/>
  <c r="M288" i="3" s="1"/>
  <c r="AX133" i="3"/>
  <c r="AZ133" i="3" s="1"/>
  <c r="C134" i="3"/>
  <c r="AM668" i="3" l="1"/>
  <c r="AQ668" i="3" s="1"/>
  <c r="AG572" i="3"/>
  <c r="AK572" i="3" s="1"/>
  <c r="U356" i="3"/>
  <c r="Y356" i="3" s="1"/>
  <c r="AA353" i="3"/>
  <c r="AE353" i="3" s="1"/>
  <c r="O341" i="3"/>
  <c r="S341" i="3" s="1"/>
  <c r="I289" i="3"/>
  <c r="M289" i="3" s="1"/>
  <c r="AS134" i="3"/>
  <c r="G134" i="3"/>
  <c r="AM669" i="3" l="1"/>
  <c r="AQ669" i="3" s="1"/>
  <c r="AG573" i="3"/>
  <c r="AK573" i="3" s="1"/>
  <c r="U357" i="3"/>
  <c r="Y357" i="3" s="1"/>
  <c r="U358" i="3" s="1"/>
  <c r="Y358" i="3" s="1"/>
  <c r="U359" i="3" s="1"/>
  <c r="Y359" i="3" s="1"/>
  <c r="AA354" i="3"/>
  <c r="AE354" i="3" s="1"/>
  <c r="O342" i="3"/>
  <c r="S342" i="3" s="1"/>
  <c r="O343" i="3" s="1"/>
  <c r="S343" i="3" s="1"/>
  <c r="O344" i="3" s="1"/>
  <c r="S344" i="3" s="1"/>
  <c r="I290" i="3"/>
  <c r="M290" i="3" s="1"/>
  <c r="AX134" i="3"/>
  <c r="AZ134" i="3" s="1"/>
  <c r="C135" i="3"/>
  <c r="AM670" i="3" l="1"/>
  <c r="AQ670" i="3" s="1"/>
  <c r="AG574" i="3"/>
  <c r="AK574" i="3" s="1"/>
  <c r="U360" i="3"/>
  <c r="Y360" i="3" s="1"/>
  <c r="U361" i="3" s="1"/>
  <c r="Y361" i="3" s="1"/>
  <c r="U362" i="3" s="1"/>
  <c r="Y362" i="3" s="1"/>
  <c r="U363" i="3" s="1"/>
  <c r="Y363" i="3" s="1"/>
  <c r="AA355" i="3"/>
  <c r="AE355" i="3" s="1"/>
  <c r="O345" i="3"/>
  <c r="S345" i="3" s="1"/>
  <c r="I291" i="3"/>
  <c r="M291" i="3" s="1"/>
  <c r="AS135" i="3"/>
  <c r="G135" i="3"/>
  <c r="AM671" i="3" l="1"/>
  <c r="AQ671" i="3" s="1"/>
  <c r="AG575" i="3"/>
  <c r="AK575" i="3" s="1"/>
  <c r="U364" i="3"/>
  <c r="Y364" i="3" s="1"/>
  <c r="AA356" i="3"/>
  <c r="AE356" i="3" s="1"/>
  <c r="O346" i="3"/>
  <c r="S346" i="3" s="1"/>
  <c r="I292" i="3"/>
  <c r="M292" i="3" s="1"/>
  <c r="AX135" i="3"/>
  <c r="AZ135" i="3" s="1"/>
  <c r="C136" i="3"/>
  <c r="AM672" i="3" l="1"/>
  <c r="AQ672" i="3" s="1"/>
  <c r="AG576" i="3"/>
  <c r="AK576" i="3" s="1"/>
  <c r="U365" i="3"/>
  <c r="Y365" i="3" s="1"/>
  <c r="U366" i="3" s="1"/>
  <c r="Y366" i="3" s="1"/>
  <c r="AA357" i="3"/>
  <c r="AE357" i="3" s="1"/>
  <c r="AA358" i="3" s="1"/>
  <c r="AE358" i="3" s="1"/>
  <c r="AA359" i="3" s="1"/>
  <c r="AE359" i="3" s="1"/>
  <c r="O347" i="3"/>
  <c r="S347" i="3" s="1"/>
  <c r="I293" i="3"/>
  <c r="M293" i="3" s="1"/>
  <c r="AS136" i="3"/>
  <c r="G136" i="3"/>
  <c r="AM673" i="3" l="1"/>
  <c r="AQ673" i="3" s="1"/>
  <c r="AG577" i="3"/>
  <c r="AK577" i="3" s="1"/>
  <c r="U367" i="3"/>
  <c r="Y367" i="3" s="1"/>
  <c r="AA360" i="3"/>
  <c r="AE360" i="3" s="1"/>
  <c r="AA361" i="3" s="1"/>
  <c r="AE361" i="3" s="1"/>
  <c r="AA362" i="3" s="1"/>
  <c r="AE362" i="3" s="1"/>
  <c r="AA363" i="3" s="1"/>
  <c r="AE363" i="3" s="1"/>
  <c r="O348" i="3"/>
  <c r="S348" i="3" s="1"/>
  <c r="I294" i="3"/>
  <c r="M294" i="3" s="1"/>
  <c r="AX136" i="3"/>
  <c r="AZ136" i="3" s="1"/>
  <c r="C137" i="3"/>
  <c r="AM674" i="3" l="1"/>
  <c r="AQ674" i="3" s="1"/>
  <c r="AG578" i="3"/>
  <c r="AK578" i="3" s="1"/>
  <c r="U368" i="3"/>
  <c r="Y368" i="3" s="1"/>
  <c r="AA364" i="3"/>
  <c r="AE364" i="3" s="1"/>
  <c r="O349" i="3"/>
  <c r="S349" i="3" s="1"/>
  <c r="I295" i="3"/>
  <c r="M295" i="3" s="1"/>
  <c r="I296" i="3" s="1"/>
  <c r="M296" i="3" s="1"/>
  <c r="AS137" i="3"/>
  <c r="G137" i="3"/>
  <c r="AM675" i="3" l="1"/>
  <c r="AQ675" i="3" s="1"/>
  <c r="AG579" i="3"/>
  <c r="AK579" i="3" s="1"/>
  <c r="AG580" i="3" s="1"/>
  <c r="AK580" i="3" s="1"/>
  <c r="U369" i="3"/>
  <c r="Y369" i="3" s="1"/>
  <c r="U370" i="3" s="1"/>
  <c r="Y370" i="3" s="1"/>
  <c r="AA365" i="3"/>
  <c r="AE365" i="3" s="1"/>
  <c r="AA366" i="3" s="1"/>
  <c r="AE366" i="3" s="1"/>
  <c r="O350" i="3"/>
  <c r="S350" i="3" s="1"/>
  <c r="AX137" i="3"/>
  <c r="AZ137" i="3" s="1"/>
  <c r="C138" i="3"/>
  <c r="AM676" i="3" l="1"/>
  <c r="AQ676" i="3" s="1"/>
  <c r="AG581" i="3"/>
  <c r="AK581" i="3" s="1"/>
  <c r="U371" i="3"/>
  <c r="Y371" i="3" s="1"/>
  <c r="AA367" i="3"/>
  <c r="AE367" i="3" s="1"/>
  <c r="O351" i="3"/>
  <c r="S351" i="3" s="1"/>
  <c r="O352" i="3" s="1"/>
  <c r="S352" i="3" s="1"/>
  <c r="I297" i="3"/>
  <c r="M297" i="3" s="1"/>
  <c r="AS138" i="3"/>
  <c r="G138" i="3"/>
  <c r="AM677" i="3" l="1"/>
  <c r="AQ677" i="3" s="1"/>
  <c r="AG582" i="3"/>
  <c r="AK582" i="3" s="1"/>
  <c r="AG583" i="3" s="1"/>
  <c r="AK583" i="3" s="1"/>
  <c r="AG584" i="3" s="1"/>
  <c r="AK584" i="3" s="1"/>
  <c r="AG585" i="3" s="1"/>
  <c r="AK585" i="3" s="1"/>
  <c r="U372" i="3"/>
  <c r="Y372" i="3" s="1"/>
  <c r="U373" i="3" s="1"/>
  <c r="Y373" i="3" s="1"/>
  <c r="AA368" i="3"/>
  <c r="AE368" i="3" s="1"/>
  <c r="O353" i="3"/>
  <c r="S353" i="3" s="1"/>
  <c r="I298" i="3"/>
  <c r="M298" i="3" s="1"/>
  <c r="AX138" i="3"/>
  <c r="AZ138" i="3" s="1"/>
  <c r="C139" i="3"/>
  <c r="AM678" i="3" l="1"/>
  <c r="AQ678" i="3" s="1"/>
  <c r="AG586" i="3"/>
  <c r="AK586" i="3" s="1"/>
  <c r="AG587" i="3" s="1"/>
  <c r="AK587" i="3" s="1"/>
  <c r="U374" i="3"/>
  <c r="Y374" i="3" s="1"/>
  <c r="U375" i="3" s="1"/>
  <c r="AA369" i="3"/>
  <c r="AE369" i="3" s="1"/>
  <c r="AA370" i="3" s="1"/>
  <c r="AE370" i="3" s="1"/>
  <c r="O354" i="3"/>
  <c r="S354" i="3" s="1"/>
  <c r="I299" i="3"/>
  <c r="M299" i="3" s="1"/>
  <c r="AS139" i="3"/>
  <c r="G139" i="3"/>
  <c r="AM679" i="3" l="1"/>
  <c r="AQ679" i="3" s="1"/>
  <c r="AG588" i="3"/>
  <c r="AK588" i="3" s="1"/>
  <c r="AG589" i="3" s="1"/>
  <c r="AK589" i="3" s="1"/>
  <c r="Y375" i="3"/>
  <c r="AA371" i="3"/>
  <c r="AE371" i="3" s="1"/>
  <c r="O355" i="3"/>
  <c r="S355" i="3" s="1"/>
  <c r="I300" i="3"/>
  <c r="M300" i="3" s="1"/>
  <c r="AX139" i="3"/>
  <c r="AZ139" i="3" s="1"/>
  <c r="C140" i="3"/>
  <c r="AM680" i="3" l="1"/>
  <c r="AQ680" i="3" s="1"/>
  <c r="AG590" i="3"/>
  <c r="AK590" i="3" s="1"/>
  <c r="U376" i="3"/>
  <c r="Y376" i="3" s="1"/>
  <c r="AA372" i="3"/>
  <c r="AE372" i="3" s="1"/>
  <c r="AA373" i="3" s="1"/>
  <c r="AE373" i="3" s="1"/>
  <c r="O356" i="3"/>
  <c r="S356" i="3" s="1"/>
  <c r="I301" i="3"/>
  <c r="M301" i="3" s="1"/>
  <c r="AS140" i="3"/>
  <c r="G140" i="3"/>
  <c r="AM681" i="3" l="1"/>
  <c r="AQ681" i="3" s="1"/>
  <c r="AG591" i="3"/>
  <c r="AK591" i="3" s="1"/>
  <c r="U377" i="3"/>
  <c r="Y377" i="3" s="1"/>
  <c r="AA374" i="3"/>
  <c r="AE374" i="3" s="1"/>
  <c r="O357" i="3"/>
  <c r="S357" i="3" s="1"/>
  <c r="O358" i="3" s="1"/>
  <c r="S358" i="3" s="1"/>
  <c r="O359" i="3" s="1"/>
  <c r="S359" i="3" s="1"/>
  <c r="I302" i="3"/>
  <c r="M302" i="3" s="1"/>
  <c r="AX140" i="3"/>
  <c r="AZ140" i="3" s="1"/>
  <c r="C141" i="3"/>
  <c r="AM682" i="3" l="1"/>
  <c r="AQ682" i="3" s="1"/>
  <c r="AG592" i="3"/>
  <c r="AK592" i="3" s="1"/>
  <c r="U378" i="3"/>
  <c r="Y378" i="3" s="1"/>
  <c r="U379" i="3" s="1"/>
  <c r="Y379" i="3" s="1"/>
  <c r="AA375" i="3"/>
  <c r="AE375" i="3" s="1"/>
  <c r="O360" i="3"/>
  <c r="S360" i="3" s="1"/>
  <c r="O361" i="3" s="1"/>
  <c r="S361" i="3" s="1"/>
  <c r="O362" i="3" s="1"/>
  <c r="S362" i="3" s="1"/>
  <c r="O363" i="3" s="1"/>
  <c r="S363" i="3" s="1"/>
  <c r="I303" i="3"/>
  <c r="M303" i="3" s="1"/>
  <c r="AS141" i="3"/>
  <c r="G141" i="3"/>
  <c r="AM683" i="3" l="1"/>
  <c r="AQ683" i="3" s="1"/>
  <c r="AG593" i="3"/>
  <c r="AK593" i="3" s="1"/>
  <c r="U380" i="3"/>
  <c r="Y380" i="3" s="1"/>
  <c r="AA376" i="3"/>
  <c r="AE376" i="3" s="1"/>
  <c r="O364" i="3"/>
  <c r="S364" i="3" s="1"/>
  <c r="I304" i="3"/>
  <c r="M304" i="3" s="1"/>
  <c r="AX141" i="3"/>
  <c r="AZ141" i="3" s="1"/>
  <c r="C142" i="3"/>
  <c r="AM684" i="3" l="1"/>
  <c r="AQ684" i="3" s="1"/>
  <c r="AG594" i="3"/>
  <c r="AK594" i="3" s="1"/>
  <c r="AG595" i="3" s="1"/>
  <c r="AK595" i="3" s="1"/>
  <c r="U381" i="3"/>
  <c r="Y381" i="3" s="1"/>
  <c r="U382" i="3" s="1"/>
  <c r="Y382" i="3" s="1"/>
  <c r="AA377" i="3"/>
  <c r="AE377" i="3" s="1"/>
  <c r="O365" i="3"/>
  <c r="S365" i="3" s="1"/>
  <c r="O366" i="3" s="1"/>
  <c r="S366" i="3" s="1"/>
  <c r="I305" i="3"/>
  <c r="M305" i="3" s="1"/>
  <c r="AS142" i="3"/>
  <c r="G142" i="3"/>
  <c r="AM685" i="3" l="1"/>
  <c r="AQ685" i="3" s="1"/>
  <c r="AG596" i="3"/>
  <c r="AK596" i="3" s="1"/>
  <c r="U383" i="3"/>
  <c r="Y383" i="3" s="1"/>
  <c r="AA378" i="3"/>
  <c r="AE378" i="3" s="1"/>
  <c r="AA379" i="3" s="1"/>
  <c r="AE379" i="3" s="1"/>
  <c r="O367" i="3"/>
  <c r="S367" i="3" s="1"/>
  <c r="I306" i="3"/>
  <c r="M306" i="3" s="1"/>
  <c r="AX142" i="3"/>
  <c r="AZ142" i="3" s="1"/>
  <c r="C143" i="3"/>
  <c r="AM686" i="3" l="1"/>
  <c r="AQ686" i="3" s="1"/>
  <c r="AG597" i="3"/>
  <c r="AK597" i="3" s="1"/>
  <c r="U384" i="3"/>
  <c r="Y384" i="3" s="1"/>
  <c r="AA380" i="3"/>
  <c r="AE380" i="3" s="1"/>
  <c r="O368" i="3"/>
  <c r="S368" i="3" s="1"/>
  <c r="I307" i="3"/>
  <c r="M307" i="3" s="1"/>
  <c r="AS143" i="3"/>
  <c r="G143" i="3"/>
  <c r="AM687" i="3" l="1"/>
  <c r="AQ687" i="3" s="1"/>
  <c r="AG598" i="3"/>
  <c r="AK598" i="3" s="1"/>
  <c r="U385" i="3"/>
  <c r="Y385" i="3" s="1"/>
  <c r="AA381" i="3"/>
  <c r="AE381" i="3" s="1"/>
  <c r="AA382" i="3" s="1"/>
  <c r="AE382" i="3" s="1"/>
  <c r="O369" i="3"/>
  <c r="S369" i="3" s="1"/>
  <c r="O370" i="3" s="1"/>
  <c r="S370" i="3" s="1"/>
  <c r="I308" i="3"/>
  <c r="M308" i="3" s="1"/>
  <c r="AX143" i="3"/>
  <c r="AZ143" i="3" s="1"/>
  <c r="C144" i="3"/>
  <c r="AM688" i="3" l="1"/>
  <c r="AQ688" i="3" s="1"/>
  <c r="AG599" i="3"/>
  <c r="AK599" i="3" s="1"/>
  <c r="U386" i="3"/>
  <c r="Y386" i="3" s="1"/>
  <c r="AA383" i="3"/>
  <c r="AE383" i="3" s="1"/>
  <c r="O371" i="3"/>
  <c r="S371" i="3" s="1"/>
  <c r="I309" i="3"/>
  <c r="M309" i="3" s="1"/>
  <c r="AS144" i="3"/>
  <c r="G144" i="3"/>
  <c r="AM689" i="3" l="1"/>
  <c r="AQ689" i="3" s="1"/>
  <c r="AG600" i="3"/>
  <c r="AK600" i="3" s="1"/>
  <c r="U387" i="3"/>
  <c r="Y387" i="3" s="1"/>
  <c r="AA384" i="3"/>
  <c r="AE384" i="3" s="1"/>
  <c r="O372" i="3"/>
  <c r="S372" i="3" s="1"/>
  <c r="O373" i="3" s="1"/>
  <c r="S373" i="3" s="1"/>
  <c r="I310" i="3"/>
  <c r="M310" i="3" s="1"/>
  <c r="AX144" i="3"/>
  <c r="AZ144" i="3" s="1"/>
  <c r="C145" i="3"/>
  <c r="AM690" i="3" l="1"/>
  <c r="AQ690" i="3" s="1"/>
  <c r="AG601" i="3"/>
  <c r="AK601" i="3" s="1"/>
  <c r="U388" i="3"/>
  <c r="Y388" i="3" s="1"/>
  <c r="AA385" i="3"/>
  <c r="AE385" i="3" s="1"/>
  <c r="O374" i="3"/>
  <c r="S374" i="3" s="1"/>
  <c r="I311" i="3"/>
  <c r="M311" i="3" s="1"/>
  <c r="AS145" i="3"/>
  <c r="G145" i="3"/>
  <c r="AM691" i="3" l="1"/>
  <c r="AQ691" i="3" s="1"/>
  <c r="AG602" i="3"/>
  <c r="AK602" i="3" s="1"/>
  <c r="U389" i="3"/>
  <c r="Y389" i="3" s="1"/>
  <c r="AA386" i="3"/>
  <c r="AE386" i="3" s="1"/>
  <c r="O375" i="3"/>
  <c r="S375" i="3" s="1"/>
  <c r="I312" i="3"/>
  <c r="M312" i="3" s="1"/>
  <c r="AX145" i="3"/>
  <c r="AZ145" i="3" s="1"/>
  <c r="C146" i="3"/>
  <c r="AM692" i="3" l="1"/>
  <c r="AQ692" i="3" s="1"/>
  <c r="AG603" i="3"/>
  <c r="AK603" i="3" s="1"/>
  <c r="U390" i="3"/>
  <c r="Y390" i="3" s="1"/>
  <c r="AA387" i="3"/>
  <c r="AE387" i="3" s="1"/>
  <c r="O376" i="3"/>
  <c r="S376" i="3" s="1"/>
  <c r="I313" i="3"/>
  <c r="M313" i="3" s="1"/>
  <c r="AS146" i="3"/>
  <c r="G146" i="3"/>
  <c r="AM693" i="3" l="1"/>
  <c r="AQ693" i="3" s="1"/>
  <c r="AG604" i="3"/>
  <c r="AK604" i="3" s="1"/>
  <c r="U391" i="3"/>
  <c r="Y391" i="3" s="1"/>
  <c r="AA388" i="3"/>
  <c r="AE388" i="3" s="1"/>
  <c r="O377" i="3"/>
  <c r="S377" i="3" s="1"/>
  <c r="I314" i="3"/>
  <c r="M314" i="3" s="1"/>
  <c r="AX146" i="3"/>
  <c r="AZ146" i="3" s="1"/>
  <c r="C147" i="3"/>
  <c r="AM694" i="3" l="1"/>
  <c r="AQ694" i="3" s="1"/>
  <c r="AG605" i="3"/>
  <c r="AK605" i="3" s="1"/>
  <c r="U392" i="3"/>
  <c r="Y392" i="3" s="1"/>
  <c r="U393" i="3" s="1"/>
  <c r="Y393" i="3" s="1"/>
  <c r="AA389" i="3"/>
  <c r="AE389" i="3" s="1"/>
  <c r="O378" i="3"/>
  <c r="S378" i="3" s="1"/>
  <c r="O379" i="3" s="1"/>
  <c r="S379" i="3" s="1"/>
  <c r="I315" i="3"/>
  <c r="M315" i="3" s="1"/>
  <c r="AS147" i="3"/>
  <c r="G147" i="3"/>
  <c r="AM695" i="3" l="1"/>
  <c r="AQ695" i="3" s="1"/>
  <c r="AG606" i="3"/>
  <c r="AK606" i="3" s="1"/>
  <c r="U394" i="3"/>
  <c r="Y394" i="3" s="1"/>
  <c r="AA390" i="3"/>
  <c r="AE390" i="3" s="1"/>
  <c r="O380" i="3"/>
  <c r="S380" i="3" s="1"/>
  <c r="I316" i="3"/>
  <c r="M316" i="3" s="1"/>
  <c r="AX147" i="3"/>
  <c r="AZ147" i="3" s="1"/>
  <c r="C148" i="3"/>
  <c r="AM696" i="3" l="1"/>
  <c r="AQ696" i="3" s="1"/>
  <c r="AG607" i="3"/>
  <c r="AK607" i="3" s="1"/>
  <c r="U395" i="3"/>
  <c r="Y395" i="3" s="1"/>
  <c r="AA391" i="3"/>
  <c r="AE391" i="3" s="1"/>
  <c r="O381" i="3"/>
  <c r="S381" i="3" s="1"/>
  <c r="O382" i="3" s="1"/>
  <c r="S382" i="3" s="1"/>
  <c r="I317" i="3"/>
  <c r="M317" i="3" s="1"/>
  <c r="AS148" i="3"/>
  <c r="G148" i="3"/>
  <c r="AM697" i="3" l="1"/>
  <c r="AQ697" i="3" s="1"/>
  <c r="AG608" i="3"/>
  <c r="AK608" i="3" s="1"/>
  <c r="U396" i="3"/>
  <c r="Y396" i="3" s="1"/>
  <c r="U397" i="3" s="1"/>
  <c r="Y397" i="3" s="1"/>
  <c r="AA392" i="3"/>
  <c r="AE392" i="3" s="1"/>
  <c r="AA393" i="3" s="1"/>
  <c r="AE393" i="3" s="1"/>
  <c r="O383" i="3"/>
  <c r="S383" i="3" s="1"/>
  <c r="I318" i="3"/>
  <c r="M318" i="3" s="1"/>
  <c r="AX148" i="3"/>
  <c r="AZ148" i="3" s="1"/>
  <c r="C149" i="3"/>
  <c r="AM698" i="3" l="1"/>
  <c r="AQ698" i="3" s="1"/>
  <c r="AG609" i="3"/>
  <c r="AK609" i="3" s="1"/>
  <c r="U398" i="3"/>
  <c r="Y398" i="3" s="1"/>
  <c r="AA394" i="3"/>
  <c r="AE394" i="3" s="1"/>
  <c r="O384" i="3"/>
  <c r="S384" i="3" s="1"/>
  <c r="I319" i="3"/>
  <c r="M319" i="3" s="1"/>
  <c r="AS149" i="3"/>
  <c r="G149" i="3"/>
  <c r="AM699" i="3" l="1"/>
  <c r="AQ699" i="3" s="1"/>
  <c r="AG610" i="3"/>
  <c r="AK610" i="3" s="1"/>
  <c r="U399" i="3"/>
  <c r="Y399" i="3" s="1"/>
  <c r="U400" i="3" s="1"/>
  <c r="Y400" i="3" s="1"/>
  <c r="AA395" i="3"/>
  <c r="AE395" i="3" s="1"/>
  <c r="O385" i="3"/>
  <c r="S385" i="3" s="1"/>
  <c r="I320" i="3"/>
  <c r="M320" i="3" s="1"/>
  <c r="C150" i="3"/>
  <c r="AX149" i="3"/>
  <c r="AZ149" i="3" s="1"/>
  <c r="AM700" i="3" l="1"/>
  <c r="AQ700" i="3" s="1"/>
  <c r="AG611" i="3"/>
  <c r="AK611" i="3" s="1"/>
  <c r="U401" i="3"/>
  <c r="Y401" i="3" s="1"/>
  <c r="U402" i="3" s="1"/>
  <c r="Y402" i="3" s="1"/>
  <c r="AA396" i="3"/>
  <c r="AE396" i="3" s="1"/>
  <c r="O386" i="3"/>
  <c r="S386" i="3" s="1"/>
  <c r="I321" i="3"/>
  <c r="M321" i="3" s="1"/>
  <c r="AS150" i="3"/>
  <c r="G150" i="3"/>
  <c r="AM701" i="3" l="1"/>
  <c r="AQ701" i="3" s="1"/>
  <c r="AG612" i="3"/>
  <c r="AK612" i="3" s="1"/>
  <c r="U403" i="3"/>
  <c r="Y403" i="3" s="1"/>
  <c r="AA397" i="3"/>
  <c r="AE397" i="3" s="1"/>
  <c r="O387" i="3"/>
  <c r="S387" i="3" s="1"/>
  <c r="I322" i="3"/>
  <c r="M322" i="3" s="1"/>
  <c r="AX150" i="3"/>
  <c r="AZ150" i="3" s="1"/>
  <c r="C151" i="3"/>
  <c r="AM702" i="3" l="1"/>
  <c r="AQ702" i="3" s="1"/>
  <c r="AG613" i="3"/>
  <c r="AK613" i="3" s="1"/>
  <c r="U404" i="3"/>
  <c r="Y404" i="3" s="1"/>
  <c r="U405" i="3" s="1"/>
  <c r="Y405" i="3" s="1"/>
  <c r="AA398" i="3"/>
  <c r="AE398" i="3" s="1"/>
  <c r="O388" i="3"/>
  <c r="S388" i="3" s="1"/>
  <c r="I323" i="3"/>
  <c r="M323" i="3" s="1"/>
  <c r="AS151" i="3"/>
  <c r="G151" i="3"/>
  <c r="AM703" i="3" l="1"/>
  <c r="AQ703" i="3" s="1"/>
  <c r="AG614" i="3"/>
  <c r="AK614" i="3" s="1"/>
  <c r="AG615" i="3" s="1"/>
  <c r="AK615" i="3" s="1"/>
  <c r="AG616" i="3" s="1"/>
  <c r="AK616" i="3" s="1"/>
  <c r="U406" i="3"/>
  <c r="Y406" i="3" s="1"/>
  <c r="U407" i="3" s="1"/>
  <c r="Y407" i="3" s="1"/>
  <c r="AA399" i="3"/>
  <c r="AE399" i="3" s="1"/>
  <c r="AA400" i="3" s="1"/>
  <c r="AE400" i="3" s="1"/>
  <c r="O389" i="3"/>
  <c r="S389" i="3" s="1"/>
  <c r="I324" i="3"/>
  <c r="M324" i="3" s="1"/>
  <c r="AX151" i="3"/>
  <c r="AZ151" i="3" s="1"/>
  <c r="C152" i="3"/>
  <c r="AM704" i="3" l="1"/>
  <c r="AQ704" i="3" s="1"/>
  <c r="AG617" i="3"/>
  <c r="AK617" i="3" s="1"/>
  <c r="U408" i="3"/>
  <c r="Y408" i="3" s="1"/>
  <c r="U409" i="3" s="1"/>
  <c r="Y409" i="3" s="1"/>
  <c r="U410" i="3" s="1"/>
  <c r="Y410" i="3" s="1"/>
  <c r="U411" i="3" s="1"/>
  <c r="Y411" i="3" s="1"/>
  <c r="U412" i="3" s="1"/>
  <c r="Y412" i="3" s="1"/>
  <c r="AA401" i="3"/>
  <c r="AE401" i="3" s="1"/>
  <c r="AA402" i="3" s="1"/>
  <c r="AE402" i="3" s="1"/>
  <c r="O390" i="3"/>
  <c r="S390" i="3" s="1"/>
  <c r="I325" i="3"/>
  <c r="M325" i="3" s="1"/>
  <c r="AS152" i="3"/>
  <c r="G152" i="3"/>
  <c r="AM705" i="3" l="1"/>
  <c r="AQ705" i="3" s="1"/>
  <c r="AG618" i="3"/>
  <c r="AK618" i="3" s="1"/>
  <c r="AG619" i="3" s="1"/>
  <c r="AK619" i="3" s="1"/>
  <c r="AG620" i="3" s="1"/>
  <c r="AK620" i="3" s="1"/>
  <c r="AG621" i="3" s="1"/>
  <c r="AK621" i="3" s="1"/>
  <c r="U413" i="3"/>
  <c r="Y413" i="3" s="1"/>
  <c r="AA403" i="3"/>
  <c r="AE403" i="3" s="1"/>
  <c r="O391" i="3"/>
  <c r="S391" i="3" s="1"/>
  <c r="I326" i="3"/>
  <c r="M326" i="3" s="1"/>
  <c r="AX152" i="3"/>
  <c r="AZ152" i="3" s="1"/>
  <c r="C153" i="3"/>
  <c r="AM706" i="3" l="1"/>
  <c r="AQ706" i="3" s="1"/>
  <c r="AG622" i="3"/>
  <c r="AK622" i="3" s="1"/>
  <c r="U414" i="3"/>
  <c r="Y414" i="3" s="1"/>
  <c r="AA404" i="3"/>
  <c r="AE404" i="3" s="1"/>
  <c r="AA405" i="3" s="1"/>
  <c r="AE405" i="3" s="1"/>
  <c r="O392" i="3"/>
  <c r="S392" i="3" s="1"/>
  <c r="O393" i="3" s="1"/>
  <c r="S393" i="3" s="1"/>
  <c r="I327" i="3"/>
  <c r="M327" i="3" s="1"/>
  <c r="AS153" i="3"/>
  <c r="G153" i="3"/>
  <c r="AM707" i="3" l="1"/>
  <c r="AQ707" i="3" s="1"/>
  <c r="AG623" i="3"/>
  <c r="AK623" i="3" s="1"/>
  <c r="U415" i="3"/>
  <c r="Y415" i="3" s="1"/>
  <c r="AA406" i="3"/>
  <c r="AE406" i="3" s="1"/>
  <c r="AA407" i="3" s="1"/>
  <c r="AE407" i="3" s="1"/>
  <c r="O394" i="3"/>
  <c r="S394" i="3" s="1"/>
  <c r="I328" i="3"/>
  <c r="M328" i="3" s="1"/>
  <c r="AX153" i="3"/>
  <c r="AZ153" i="3" s="1"/>
  <c r="C154" i="3"/>
  <c r="AM708" i="3" l="1"/>
  <c r="AQ708" i="3" s="1"/>
  <c r="AG624" i="3"/>
  <c r="AK624" i="3" s="1"/>
  <c r="AG625" i="3" s="1"/>
  <c r="AK625" i="3" s="1"/>
  <c r="U416" i="3"/>
  <c r="Y416" i="3" s="1"/>
  <c r="AA408" i="3"/>
  <c r="AE408" i="3" s="1"/>
  <c r="AA409" i="3" s="1"/>
  <c r="AE409" i="3" s="1"/>
  <c r="AA410" i="3" s="1"/>
  <c r="AE410" i="3" s="1"/>
  <c r="AA411" i="3" s="1"/>
  <c r="AE411" i="3" s="1"/>
  <c r="AA412" i="3" s="1"/>
  <c r="AE412" i="3" s="1"/>
  <c r="O395" i="3"/>
  <c r="S395" i="3" s="1"/>
  <c r="I329" i="3"/>
  <c r="M329" i="3" s="1"/>
  <c r="AS154" i="3"/>
  <c r="G154" i="3"/>
  <c r="AM709" i="3" l="1"/>
  <c r="AQ709" i="3" s="1"/>
  <c r="AG626" i="3"/>
  <c r="AK626" i="3" s="1"/>
  <c r="AG627" i="3" s="1"/>
  <c r="AK627" i="3" s="1"/>
  <c r="U417" i="3"/>
  <c r="Y417" i="3" s="1"/>
  <c r="AA413" i="3"/>
  <c r="AE413" i="3" s="1"/>
  <c r="O396" i="3"/>
  <c r="S396" i="3" s="1"/>
  <c r="O397" i="3" s="1"/>
  <c r="S397" i="3" s="1"/>
  <c r="I330" i="3"/>
  <c r="M330" i="3" s="1"/>
  <c r="AX154" i="3"/>
  <c r="AZ154" i="3" s="1"/>
  <c r="C155" i="3"/>
  <c r="AM710" i="3" l="1"/>
  <c r="AQ710" i="3" s="1"/>
  <c r="AG628" i="3"/>
  <c r="AK628" i="3" s="1"/>
  <c r="U418" i="3"/>
  <c r="Y418" i="3" s="1"/>
  <c r="U419" i="3" s="1"/>
  <c r="Y419" i="3" s="1"/>
  <c r="AA414" i="3"/>
  <c r="AE414" i="3" s="1"/>
  <c r="O398" i="3"/>
  <c r="S398" i="3" s="1"/>
  <c r="I331" i="3"/>
  <c r="M331" i="3" s="1"/>
  <c r="AS155" i="3"/>
  <c r="G155" i="3"/>
  <c r="AM711" i="3" l="1"/>
  <c r="AQ711" i="3" s="1"/>
  <c r="AG629" i="3"/>
  <c r="AK629" i="3" s="1"/>
  <c r="U420" i="3"/>
  <c r="Y420" i="3" s="1"/>
  <c r="U421" i="3" s="1"/>
  <c r="Y421" i="3" s="1"/>
  <c r="U422" i="3" s="1"/>
  <c r="Y422" i="3" s="1"/>
  <c r="AA415" i="3"/>
  <c r="AE415" i="3" s="1"/>
  <c r="O399" i="3"/>
  <c r="S399" i="3" s="1"/>
  <c r="O400" i="3" s="1"/>
  <c r="S400" i="3" s="1"/>
  <c r="I332" i="3"/>
  <c r="M332" i="3" s="1"/>
  <c r="AX155" i="3"/>
  <c r="AZ155" i="3" s="1"/>
  <c r="C156" i="3"/>
  <c r="AM712" i="3" l="1"/>
  <c r="AQ712" i="3" s="1"/>
  <c r="AG630" i="3"/>
  <c r="AK630" i="3" s="1"/>
  <c r="U423" i="3"/>
  <c r="Y423" i="3" s="1"/>
  <c r="U424" i="3" s="1"/>
  <c r="Y424" i="3" s="1"/>
  <c r="U425" i="3" s="1"/>
  <c r="Y425" i="3" s="1"/>
  <c r="U426" i="3" s="1"/>
  <c r="Y426" i="3" s="1"/>
  <c r="U427" i="3" s="1"/>
  <c r="Y427" i="3" s="1"/>
  <c r="AA416" i="3"/>
  <c r="AE416" i="3" s="1"/>
  <c r="O401" i="3"/>
  <c r="S401" i="3" s="1"/>
  <c r="O402" i="3" s="1"/>
  <c r="S402" i="3" s="1"/>
  <c r="I333" i="3"/>
  <c r="M333" i="3" s="1"/>
  <c r="AS156" i="3"/>
  <c r="G156" i="3"/>
  <c r="AM713" i="3" l="1"/>
  <c r="AQ713" i="3" s="1"/>
  <c r="AG631" i="3"/>
  <c r="AK631" i="3" s="1"/>
  <c r="U428" i="3"/>
  <c r="Y428" i="3" s="1"/>
  <c r="AA417" i="3"/>
  <c r="AE417" i="3" s="1"/>
  <c r="O403" i="3"/>
  <c r="S403" i="3" s="1"/>
  <c r="I334" i="3"/>
  <c r="M334" i="3" s="1"/>
  <c r="AX156" i="3"/>
  <c r="AZ156" i="3" s="1"/>
  <c r="C157" i="3"/>
  <c r="AM714" i="3" l="1"/>
  <c r="AQ714" i="3" s="1"/>
  <c r="AG632" i="3"/>
  <c r="AK632" i="3" s="1"/>
  <c r="U429" i="3"/>
  <c r="Y429" i="3" s="1"/>
  <c r="AA418" i="3"/>
  <c r="AE418" i="3" s="1"/>
  <c r="AA419" i="3" s="1"/>
  <c r="AE419" i="3" s="1"/>
  <c r="O404" i="3"/>
  <c r="S404" i="3" s="1"/>
  <c r="O405" i="3" s="1"/>
  <c r="S405" i="3" s="1"/>
  <c r="I335" i="3"/>
  <c r="M335" i="3" s="1"/>
  <c r="AS157" i="3"/>
  <c r="G157" i="3"/>
  <c r="AM715" i="3" l="1"/>
  <c r="AQ715" i="3" s="1"/>
  <c r="AG633" i="3"/>
  <c r="AK633" i="3" s="1"/>
  <c r="AG634" i="3" s="1"/>
  <c r="AK634" i="3" s="1"/>
  <c r="U430" i="3"/>
  <c r="Y430" i="3" s="1"/>
  <c r="U431" i="3" s="1"/>
  <c r="Y431" i="3" s="1"/>
  <c r="U432" i="3" s="1"/>
  <c r="Y432" i="3" s="1"/>
  <c r="AA420" i="3"/>
  <c r="AE420" i="3" s="1"/>
  <c r="AA421" i="3" s="1"/>
  <c r="AE421" i="3" s="1"/>
  <c r="AA422" i="3" s="1"/>
  <c r="AE422" i="3" s="1"/>
  <c r="O406" i="3"/>
  <c r="S406" i="3" s="1"/>
  <c r="O407" i="3" s="1"/>
  <c r="S407" i="3" s="1"/>
  <c r="I336" i="3"/>
  <c r="M336" i="3" s="1"/>
  <c r="AX157" i="3"/>
  <c r="AZ157" i="3" s="1"/>
  <c r="C158" i="3"/>
  <c r="AM716" i="3" l="1"/>
  <c r="AQ716" i="3" s="1"/>
  <c r="AG635" i="3"/>
  <c r="AK635" i="3" s="1"/>
  <c r="U433" i="3"/>
  <c r="Y433" i="3" s="1"/>
  <c r="AA423" i="3"/>
  <c r="AE423" i="3" s="1"/>
  <c r="AA424" i="3" s="1"/>
  <c r="AE424" i="3" s="1"/>
  <c r="AA425" i="3" s="1"/>
  <c r="AE425" i="3" s="1"/>
  <c r="AA426" i="3" s="1"/>
  <c r="AE426" i="3" s="1"/>
  <c r="AA427" i="3" s="1"/>
  <c r="AE427" i="3" s="1"/>
  <c r="O408" i="3"/>
  <c r="S408" i="3" s="1"/>
  <c r="O409" i="3" s="1"/>
  <c r="S409" i="3" s="1"/>
  <c r="O410" i="3" s="1"/>
  <c r="S410" i="3" s="1"/>
  <c r="O411" i="3" s="1"/>
  <c r="S411" i="3" s="1"/>
  <c r="O412" i="3" s="1"/>
  <c r="S412" i="3" s="1"/>
  <c r="I337" i="3"/>
  <c r="M337" i="3" s="1"/>
  <c r="AS158" i="3"/>
  <c r="G158" i="3"/>
  <c r="AM717" i="3" l="1"/>
  <c r="AQ717" i="3" s="1"/>
  <c r="AG636" i="3"/>
  <c r="AK636" i="3" s="1"/>
  <c r="U434" i="3"/>
  <c r="Y434" i="3" s="1"/>
  <c r="AA428" i="3"/>
  <c r="AE428" i="3" s="1"/>
  <c r="O413" i="3"/>
  <c r="S413" i="3" s="1"/>
  <c r="I338" i="3"/>
  <c r="M338" i="3" s="1"/>
  <c r="AX158" i="3"/>
  <c r="AZ158" i="3" s="1"/>
  <c r="C159" i="3"/>
  <c r="AM718" i="3" l="1"/>
  <c r="AQ718" i="3" s="1"/>
  <c r="AG637" i="3"/>
  <c r="AK637" i="3" s="1"/>
  <c r="U435" i="3"/>
  <c r="Y435" i="3" s="1"/>
  <c r="AA429" i="3"/>
  <c r="AE429" i="3" s="1"/>
  <c r="O414" i="3"/>
  <c r="S414" i="3" s="1"/>
  <c r="I339" i="3"/>
  <c r="M339" i="3" s="1"/>
  <c r="AS159" i="3"/>
  <c r="G159" i="3"/>
  <c r="AM719" i="3" l="1"/>
  <c r="AQ719" i="3" s="1"/>
  <c r="AG638" i="3"/>
  <c r="AK638" i="3" s="1"/>
  <c r="U436" i="3"/>
  <c r="Y436" i="3" s="1"/>
  <c r="U437" i="3" s="1"/>
  <c r="Y437" i="3" s="1"/>
  <c r="AA430" i="3"/>
  <c r="AE430" i="3" s="1"/>
  <c r="AA431" i="3" s="1"/>
  <c r="AE431" i="3" s="1"/>
  <c r="AA432" i="3" s="1"/>
  <c r="AE432" i="3" s="1"/>
  <c r="O415" i="3"/>
  <c r="S415" i="3" s="1"/>
  <c r="I340" i="3"/>
  <c r="M340" i="3" s="1"/>
  <c r="AX159" i="3"/>
  <c r="AZ159" i="3" s="1"/>
  <c r="C160" i="3"/>
  <c r="AM720" i="3" l="1"/>
  <c r="AQ720" i="3" s="1"/>
  <c r="AG639" i="3"/>
  <c r="AK639" i="3" s="1"/>
  <c r="U438" i="3"/>
  <c r="Y438" i="3" s="1"/>
  <c r="U439" i="3" s="1"/>
  <c r="Y439" i="3" s="1"/>
  <c r="U440" i="3" s="1"/>
  <c r="Y440" i="3" s="1"/>
  <c r="AA433" i="3"/>
  <c r="AE433" i="3" s="1"/>
  <c r="O416" i="3"/>
  <c r="S416" i="3" s="1"/>
  <c r="I341" i="3"/>
  <c r="M341" i="3" s="1"/>
  <c r="AS160" i="3"/>
  <c r="G160" i="3"/>
  <c r="AM721" i="3" l="1"/>
  <c r="AQ721" i="3" s="1"/>
  <c r="AG640" i="3"/>
  <c r="AK640" i="3" s="1"/>
  <c r="U441" i="3"/>
  <c r="Y441" i="3" s="1"/>
  <c r="AA434" i="3"/>
  <c r="AE434" i="3" s="1"/>
  <c r="O417" i="3"/>
  <c r="S417" i="3" s="1"/>
  <c r="I342" i="3"/>
  <c r="M342" i="3" s="1"/>
  <c r="AX160" i="3"/>
  <c r="AZ160" i="3" s="1"/>
  <c r="C161" i="3"/>
  <c r="AM722" i="3" l="1"/>
  <c r="AQ722" i="3" s="1"/>
  <c r="AG641" i="3"/>
  <c r="AK641" i="3" s="1"/>
  <c r="AG642" i="3" s="1"/>
  <c r="AK642" i="3" s="1"/>
  <c r="U442" i="3"/>
  <c r="Y442" i="3" s="1"/>
  <c r="U443" i="3" s="1"/>
  <c r="Y443" i="3" s="1"/>
  <c r="AA435" i="3"/>
  <c r="AE435" i="3" s="1"/>
  <c r="O418" i="3"/>
  <c r="S418" i="3" s="1"/>
  <c r="O419" i="3" s="1"/>
  <c r="S419" i="3" s="1"/>
  <c r="I343" i="3"/>
  <c r="M343" i="3" s="1"/>
  <c r="AS161" i="3"/>
  <c r="G161" i="3"/>
  <c r="AM723" i="3" l="1"/>
  <c r="AQ723" i="3" s="1"/>
  <c r="AG643" i="3"/>
  <c r="AK643" i="3" s="1"/>
  <c r="U444" i="3"/>
  <c r="Y444" i="3" s="1"/>
  <c r="AA436" i="3"/>
  <c r="AE436" i="3" s="1"/>
  <c r="AA437" i="3" s="1"/>
  <c r="AE437" i="3" s="1"/>
  <c r="O420" i="3"/>
  <c r="S420" i="3" s="1"/>
  <c r="O421" i="3" s="1"/>
  <c r="S421" i="3" s="1"/>
  <c r="O422" i="3" s="1"/>
  <c r="S422" i="3" s="1"/>
  <c r="I344" i="3"/>
  <c r="AX161" i="3"/>
  <c r="AZ161" i="3" s="1"/>
  <c r="C162" i="3"/>
  <c r="AM724" i="3" l="1"/>
  <c r="AQ724" i="3" s="1"/>
  <c r="AG644" i="3"/>
  <c r="AK644" i="3" s="1"/>
  <c r="U445" i="3"/>
  <c r="Y445" i="3" s="1"/>
  <c r="AA438" i="3"/>
  <c r="AE438" i="3" s="1"/>
  <c r="AA439" i="3" s="1"/>
  <c r="AE439" i="3" s="1"/>
  <c r="AA440" i="3" s="1"/>
  <c r="AE440" i="3" s="1"/>
  <c r="O423" i="3"/>
  <c r="S423" i="3" s="1"/>
  <c r="O424" i="3" s="1"/>
  <c r="S424" i="3" s="1"/>
  <c r="O425" i="3" s="1"/>
  <c r="S425" i="3" s="1"/>
  <c r="O426" i="3" s="1"/>
  <c r="S426" i="3" s="1"/>
  <c r="O427" i="3" s="1"/>
  <c r="S427" i="3" s="1"/>
  <c r="M344" i="3"/>
  <c r="I345" i="3" s="1"/>
  <c r="AS162" i="3"/>
  <c r="G162" i="3"/>
  <c r="AM725" i="3" l="1"/>
  <c r="AQ725" i="3" s="1"/>
  <c r="AG645" i="3"/>
  <c r="AK645" i="3" s="1"/>
  <c r="U446" i="3"/>
  <c r="Y446" i="3" s="1"/>
  <c r="AA441" i="3"/>
  <c r="AE441" i="3" s="1"/>
  <c r="O428" i="3"/>
  <c r="S428" i="3" s="1"/>
  <c r="M345" i="3"/>
  <c r="I346" i="3" s="1"/>
  <c r="AX162" i="3"/>
  <c r="AZ162" i="3" s="1"/>
  <c r="C163" i="3"/>
  <c r="AM726" i="3" l="1"/>
  <c r="AQ726" i="3" s="1"/>
  <c r="AG646" i="3"/>
  <c r="AK646" i="3" s="1"/>
  <c r="U447" i="3"/>
  <c r="Y447" i="3" s="1"/>
  <c r="U448" i="3" s="1"/>
  <c r="Y448" i="3" s="1"/>
  <c r="AA442" i="3"/>
  <c r="AE442" i="3" s="1"/>
  <c r="AA443" i="3" s="1"/>
  <c r="AE443" i="3" s="1"/>
  <c r="O429" i="3"/>
  <c r="S429" i="3" s="1"/>
  <c r="M346" i="3"/>
  <c r="I347" i="3" s="1"/>
  <c r="AS163" i="3"/>
  <c r="G163" i="3"/>
  <c r="AM727" i="3" l="1"/>
  <c r="AQ727" i="3" s="1"/>
  <c r="AG647" i="3"/>
  <c r="AK647" i="3" s="1"/>
  <c r="U449" i="3"/>
  <c r="Y449" i="3" s="1"/>
  <c r="AA444" i="3"/>
  <c r="AE444" i="3" s="1"/>
  <c r="O430" i="3"/>
  <c r="S430" i="3" s="1"/>
  <c r="O431" i="3" s="1"/>
  <c r="S431" i="3" s="1"/>
  <c r="O432" i="3" s="1"/>
  <c r="S432" i="3" s="1"/>
  <c r="M347" i="3"/>
  <c r="AX163" i="3"/>
  <c r="AZ163" i="3" s="1"/>
  <c r="C164" i="3"/>
  <c r="AM728" i="3" l="1"/>
  <c r="AQ728" i="3" s="1"/>
  <c r="AG648" i="3"/>
  <c r="AK648" i="3" s="1"/>
  <c r="U450" i="3"/>
  <c r="Y450" i="3" s="1"/>
  <c r="AA445" i="3"/>
  <c r="AE445" i="3" s="1"/>
  <c r="O433" i="3"/>
  <c r="S433" i="3" s="1"/>
  <c r="I348" i="3"/>
  <c r="M348" i="3" s="1"/>
  <c r="AS164" i="3"/>
  <c r="G164" i="3"/>
  <c r="AM729" i="3" l="1"/>
  <c r="AQ729" i="3" s="1"/>
  <c r="AG649" i="3"/>
  <c r="AK649" i="3" s="1"/>
  <c r="U451" i="3"/>
  <c r="Y451" i="3" s="1"/>
  <c r="AA446" i="3"/>
  <c r="AE446" i="3" s="1"/>
  <c r="O434" i="3"/>
  <c r="S434" i="3" s="1"/>
  <c r="I349" i="3"/>
  <c r="M349" i="3" s="1"/>
  <c r="AX164" i="3"/>
  <c r="AZ164" i="3" s="1"/>
  <c r="C165" i="3"/>
  <c r="AM730" i="3" l="1"/>
  <c r="AQ730" i="3" s="1"/>
  <c r="AG650" i="3"/>
  <c r="AK650" i="3" s="1"/>
  <c r="U452" i="3"/>
  <c r="Y452" i="3" s="1"/>
  <c r="AA447" i="3"/>
  <c r="AE447" i="3" s="1"/>
  <c r="AA448" i="3" s="1"/>
  <c r="AE448" i="3" s="1"/>
  <c r="O435" i="3"/>
  <c r="S435" i="3" s="1"/>
  <c r="I350" i="3"/>
  <c r="M350" i="3" s="1"/>
  <c r="AS165" i="3"/>
  <c r="G165" i="3"/>
  <c r="AM731" i="3" l="1"/>
  <c r="AQ731" i="3" s="1"/>
  <c r="AG651" i="3"/>
  <c r="AK651" i="3" s="1"/>
  <c r="U453" i="3"/>
  <c r="Y453" i="3" s="1"/>
  <c r="AA449" i="3"/>
  <c r="AE449" i="3" s="1"/>
  <c r="O436" i="3"/>
  <c r="S436" i="3" s="1"/>
  <c r="O437" i="3" s="1"/>
  <c r="S437" i="3" s="1"/>
  <c r="I351" i="3"/>
  <c r="M351" i="3" s="1"/>
  <c r="AX165" i="3"/>
  <c r="AZ165" i="3" s="1"/>
  <c r="C166" i="3"/>
  <c r="AM732" i="3" l="1"/>
  <c r="AQ732" i="3" s="1"/>
  <c r="AG652" i="3"/>
  <c r="AK652" i="3" s="1"/>
  <c r="U454" i="3"/>
  <c r="Y454" i="3" s="1"/>
  <c r="AA450" i="3"/>
  <c r="AE450" i="3" s="1"/>
  <c r="O438" i="3"/>
  <c r="S438" i="3" s="1"/>
  <c r="O439" i="3" s="1"/>
  <c r="S439" i="3" s="1"/>
  <c r="O440" i="3" s="1"/>
  <c r="S440" i="3" s="1"/>
  <c r="I352" i="3"/>
  <c r="M352" i="3" s="1"/>
  <c r="AS166" i="3"/>
  <c r="G166" i="3"/>
  <c r="AM733" i="3" l="1"/>
  <c r="AQ733" i="3" s="1"/>
  <c r="AG653" i="3"/>
  <c r="AK653" i="3" s="1"/>
  <c r="U455" i="3"/>
  <c r="Y455" i="3" s="1"/>
  <c r="AA451" i="3"/>
  <c r="AE451" i="3" s="1"/>
  <c r="O441" i="3"/>
  <c r="S441" i="3" s="1"/>
  <c r="I353" i="3"/>
  <c r="M353" i="3" s="1"/>
  <c r="AX166" i="3"/>
  <c r="AZ166" i="3" s="1"/>
  <c r="C167" i="3"/>
  <c r="AM734" i="3" l="1"/>
  <c r="AQ734" i="3" s="1"/>
  <c r="AG654" i="3"/>
  <c r="AK654" i="3" s="1"/>
  <c r="U456" i="3"/>
  <c r="Y456" i="3" s="1"/>
  <c r="AA452" i="3"/>
  <c r="AE452" i="3" s="1"/>
  <c r="O442" i="3"/>
  <c r="S442" i="3" s="1"/>
  <c r="O443" i="3" s="1"/>
  <c r="S443" i="3" s="1"/>
  <c r="I354" i="3"/>
  <c r="M354" i="3" s="1"/>
  <c r="AS167" i="3"/>
  <c r="G167" i="3"/>
  <c r="AM735" i="3" l="1"/>
  <c r="AQ735" i="3" s="1"/>
  <c r="AG655" i="3"/>
  <c r="AK655" i="3" s="1"/>
  <c r="U457" i="3"/>
  <c r="Y457" i="3" s="1"/>
  <c r="AA453" i="3"/>
  <c r="AE453" i="3" s="1"/>
  <c r="O444" i="3"/>
  <c r="S444" i="3" s="1"/>
  <c r="I355" i="3"/>
  <c r="M355" i="3" s="1"/>
  <c r="AX167" i="3"/>
  <c r="AZ167" i="3" s="1"/>
  <c r="C168" i="3"/>
  <c r="AM736" i="3" l="1"/>
  <c r="AQ736" i="3" s="1"/>
  <c r="AG656" i="3"/>
  <c r="AK656" i="3" s="1"/>
  <c r="U458" i="3"/>
  <c r="Y458" i="3" s="1"/>
  <c r="AA454" i="3"/>
  <c r="AE454" i="3" s="1"/>
  <c r="O445" i="3"/>
  <c r="S445" i="3" s="1"/>
  <c r="I356" i="3"/>
  <c r="M356" i="3" s="1"/>
  <c r="AS168" i="3"/>
  <c r="G168" i="3"/>
  <c r="AM737" i="3" l="1"/>
  <c r="AQ737" i="3" s="1"/>
  <c r="AG657" i="3"/>
  <c r="AK657" i="3" s="1"/>
  <c r="U459" i="3"/>
  <c r="Y459" i="3" s="1"/>
  <c r="AA455" i="3"/>
  <c r="AE455" i="3" s="1"/>
  <c r="O446" i="3"/>
  <c r="S446" i="3" s="1"/>
  <c r="I357" i="3"/>
  <c r="M357" i="3" s="1"/>
  <c r="I358" i="3" s="1"/>
  <c r="AX168" i="3"/>
  <c r="AZ168" i="3" s="1"/>
  <c r="C169" i="3"/>
  <c r="AM738" i="3" l="1"/>
  <c r="AQ738" i="3" s="1"/>
  <c r="AG658" i="3"/>
  <c r="AK658" i="3" s="1"/>
  <c r="U460" i="3"/>
  <c r="Y460" i="3" s="1"/>
  <c r="AA456" i="3"/>
  <c r="AE456" i="3" s="1"/>
  <c r="O447" i="3"/>
  <c r="S447" i="3" s="1"/>
  <c r="O448" i="3" s="1"/>
  <c r="S448" i="3" s="1"/>
  <c r="M358" i="3"/>
  <c r="I359" i="3" s="1"/>
  <c r="AS169" i="3"/>
  <c r="G169" i="3"/>
  <c r="AM739" i="3" l="1"/>
  <c r="AQ739" i="3" s="1"/>
  <c r="AG659" i="3"/>
  <c r="AK659" i="3" s="1"/>
  <c r="AG660" i="3" s="1"/>
  <c r="AK660" i="3" s="1"/>
  <c r="U461" i="3"/>
  <c r="Y461" i="3" s="1"/>
  <c r="U462" i="3" s="1"/>
  <c r="Y462" i="3" s="1"/>
  <c r="AA457" i="3"/>
  <c r="AE457" i="3" s="1"/>
  <c r="AA458" i="3" s="1"/>
  <c r="O449" i="3"/>
  <c r="S449" i="3" s="1"/>
  <c r="M359" i="3"/>
  <c r="AX169" i="3"/>
  <c r="AZ169" i="3" s="1"/>
  <c r="C170" i="3"/>
  <c r="AM740" i="3" l="1"/>
  <c r="AQ740" i="3" s="1"/>
  <c r="AG661" i="3"/>
  <c r="AK661" i="3" s="1"/>
  <c r="U463" i="3"/>
  <c r="Y463" i="3" s="1"/>
  <c r="U464" i="3" s="1"/>
  <c r="Y464" i="3" s="1"/>
  <c r="AE458" i="3"/>
  <c r="O450" i="3"/>
  <c r="S450" i="3" s="1"/>
  <c r="I360" i="3"/>
  <c r="M360" i="3" s="1"/>
  <c r="I361" i="3" s="1"/>
  <c r="AS170" i="3"/>
  <c r="G170" i="3"/>
  <c r="AM741" i="3" l="1"/>
  <c r="AQ741" i="3" s="1"/>
  <c r="AG662" i="3"/>
  <c r="AK662" i="3" s="1"/>
  <c r="U465" i="3"/>
  <c r="Y465" i="3" s="1"/>
  <c r="U466" i="3" s="1"/>
  <c r="Y466" i="3" s="1"/>
  <c r="AA459" i="3"/>
  <c r="AE459" i="3" s="1"/>
  <c r="O451" i="3"/>
  <c r="S451" i="3" s="1"/>
  <c r="M361" i="3"/>
  <c r="I362" i="3" s="1"/>
  <c r="AX170" i="3"/>
  <c r="AZ170" i="3" s="1"/>
  <c r="C171" i="3"/>
  <c r="AM742" i="3" l="1"/>
  <c r="AQ742" i="3" s="1"/>
  <c r="AG663" i="3"/>
  <c r="AK663" i="3" s="1"/>
  <c r="U467" i="3"/>
  <c r="Y467" i="3" s="1"/>
  <c r="AA460" i="3"/>
  <c r="AE460" i="3" s="1"/>
  <c r="O452" i="3"/>
  <c r="S452" i="3" s="1"/>
  <c r="M362" i="3"/>
  <c r="I363" i="3" s="1"/>
  <c r="AS171" i="3"/>
  <c r="G171" i="3"/>
  <c r="AM743" i="3" l="1"/>
  <c r="AQ743" i="3" s="1"/>
  <c r="AG664" i="3"/>
  <c r="AK664" i="3" s="1"/>
  <c r="AG665" i="3" s="1"/>
  <c r="AK665" i="3" s="1"/>
  <c r="U468" i="3"/>
  <c r="Y468" i="3" s="1"/>
  <c r="AA461" i="3"/>
  <c r="AE461" i="3" s="1"/>
  <c r="O453" i="3"/>
  <c r="S453" i="3" s="1"/>
  <c r="M363" i="3"/>
  <c r="AX171" i="3"/>
  <c r="AZ171" i="3" s="1"/>
  <c r="C172" i="3"/>
  <c r="AM744" i="3" l="1"/>
  <c r="AQ744" i="3" s="1"/>
  <c r="AG666" i="3"/>
  <c r="AK666" i="3" s="1"/>
  <c r="AG667" i="3" s="1"/>
  <c r="AK667" i="3" s="1"/>
  <c r="AG668" i="3" s="1"/>
  <c r="AK668" i="3" s="1"/>
  <c r="AG669" i="3" s="1"/>
  <c r="AK669" i="3" s="1"/>
  <c r="U469" i="3"/>
  <c r="Y469" i="3" s="1"/>
  <c r="AA462" i="3"/>
  <c r="AE462" i="3" s="1"/>
  <c r="O454" i="3"/>
  <c r="S454" i="3" s="1"/>
  <c r="I364" i="3"/>
  <c r="M364" i="3" s="1"/>
  <c r="AS172" i="3"/>
  <c r="G172" i="3"/>
  <c r="AM745" i="3" l="1"/>
  <c r="AQ745" i="3" s="1"/>
  <c r="AG670" i="3"/>
  <c r="AK670" i="3" s="1"/>
  <c r="AG671" i="3" s="1"/>
  <c r="AK671" i="3" s="1"/>
  <c r="U470" i="3"/>
  <c r="Y470" i="3" s="1"/>
  <c r="AA463" i="3"/>
  <c r="AE463" i="3" s="1"/>
  <c r="O455" i="3"/>
  <c r="S455" i="3" s="1"/>
  <c r="I365" i="3"/>
  <c r="M365" i="3" s="1"/>
  <c r="I366" i="3" s="1"/>
  <c r="AX172" i="3"/>
  <c r="AZ172" i="3" s="1"/>
  <c r="C173" i="3"/>
  <c r="AM746" i="3" l="1"/>
  <c r="AQ746" i="3" s="1"/>
  <c r="AG672" i="3"/>
  <c r="AK672" i="3" s="1"/>
  <c r="AG673" i="3" s="1"/>
  <c r="AK673" i="3" s="1"/>
  <c r="U471" i="3"/>
  <c r="Y471" i="3" s="1"/>
  <c r="AA464" i="3"/>
  <c r="AE464" i="3" s="1"/>
  <c r="O456" i="3"/>
  <c r="S456" i="3" s="1"/>
  <c r="M366" i="3"/>
  <c r="AS173" i="3"/>
  <c r="G173" i="3"/>
  <c r="AM747" i="3" l="1"/>
  <c r="AQ747" i="3" s="1"/>
  <c r="AG674" i="3"/>
  <c r="AK674" i="3" s="1"/>
  <c r="AG675" i="3" s="1"/>
  <c r="AK675" i="3" s="1"/>
  <c r="U472" i="3"/>
  <c r="Y472" i="3" s="1"/>
  <c r="AA465" i="3"/>
  <c r="AE465" i="3" s="1"/>
  <c r="AA466" i="3" s="1"/>
  <c r="AE466" i="3" s="1"/>
  <c r="O457" i="3"/>
  <c r="S457" i="3" s="1"/>
  <c r="I367" i="3"/>
  <c r="M367" i="3" s="1"/>
  <c r="AX173" i="3"/>
  <c r="AZ173" i="3" s="1"/>
  <c r="C174" i="3"/>
  <c r="AM748" i="3" l="1"/>
  <c r="AQ748" i="3" s="1"/>
  <c r="AG676" i="3"/>
  <c r="AK676" i="3" s="1"/>
  <c r="AG677" i="3" s="1"/>
  <c r="AK677" i="3" s="1"/>
  <c r="U473" i="3"/>
  <c r="Y473" i="3" s="1"/>
  <c r="AA467" i="3"/>
  <c r="AE467" i="3" s="1"/>
  <c r="O458" i="3"/>
  <c r="S458" i="3" s="1"/>
  <c r="I368" i="3"/>
  <c r="M368" i="3" s="1"/>
  <c r="AS174" i="3"/>
  <c r="G174" i="3"/>
  <c r="AM749" i="3" l="1"/>
  <c r="AQ749" i="3" s="1"/>
  <c r="AG678" i="3"/>
  <c r="AK678" i="3" s="1"/>
  <c r="U474" i="3"/>
  <c r="Y474" i="3" s="1"/>
  <c r="AA468" i="3"/>
  <c r="AE468" i="3" s="1"/>
  <c r="O459" i="3"/>
  <c r="S459" i="3" s="1"/>
  <c r="I369" i="3"/>
  <c r="M369" i="3" s="1"/>
  <c r="I370" i="3" s="1"/>
  <c r="AX174" i="3"/>
  <c r="AZ174" i="3" s="1"/>
  <c r="C175" i="3"/>
  <c r="AM750" i="3" l="1"/>
  <c r="AQ750" i="3" s="1"/>
  <c r="AG679" i="3"/>
  <c r="AK679" i="3" s="1"/>
  <c r="AG680" i="3" s="1"/>
  <c r="AK680" i="3" s="1"/>
  <c r="U475" i="3"/>
  <c r="Y475" i="3" s="1"/>
  <c r="AA469" i="3"/>
  <c r="AE469" i="3" s="1"/>
  <c r="O460" i="3"/>
  <c r="S460" i="3" s="1"/>
  <c r="M370" i="3"/>
  <c r="AS175" i="3"/>
  <c r="G175" i="3"/>
  <c r="AM751" i="3" l="1"/>
  <c r="AQ751" i="3" s="1"/>
  <c r="AG681" i="3"/>
  <c r="AK681" i="3" s="1"/>
  <c r="U476" i="3"/>
  <c r="Y476" i="3" s="1"/>
  <c r="AA470" i="3"/>
  <c r="AE470" i="3" s="1"/>
  <c r="O461" i="3"/>
  <c r="S461" i="3" s="1"/>
  <c r="O462" i="3" s="1"/>
  <c r="S462" i="3" s="1"/>
  <c r="I371" i="3"/>
  <c r="M371" i="3" s="1"/>
  <c r="AX175" i="3"/>
  <c r="AZ175" i="3" s="1"/>
  <c r="C176" i="3"/>
  <c r="AM752" i="3" l="1"/>
  <c r="AQ752" i="3" s="1"/>
  <c r="AG682" i="3"/>
  <c r="AK682" i="3" s="1"/>
  <c r="U477" i="3"/>
  <c r="Y477" i="3" s="1"/>
  <c r="AA471" i="3"/>
  <c r="AE471" i="3" s="1"/>
  <c r="AA472" i="3" s="1"/>
  <c r="O463" i="3"/>
  <c r="S463" i="3" s="1"/>
  <c r="O464" i="3" s="1"/>
  <c r="S464" i="3" s="1"/>
  <c r="I372" i="3"/>
  <c r="M372" i="3" s="1"/>
  <c r="AS176" i="3"/>
  <c r="G176" i="3"/>
  <c r="AM753" i="3" l="1"/>
  <c r="AQ753" i="3" s="1"/>
  <c r="AG683" i="3"/>
  <c r="AK683" i="3" s="1"/>
  <c r="AG684" i="3" s="1"/>
  <c r="AK684" i="3" s="1"/>
  <c r="U478" i="3"/>
  <c r="Y478" i="3" s="1"/>
  <c r="AE472" i="3"/>
  <c r="O465" i="3"/>
  <c r="S465" i="3" s="1"/>
  <c r="O466" i="3" s="1"/>
  <c r="S466" i="3" s="1"/>
  <c r="I373" i="3"/>
  <c r="M373" i="3" s="1"/>
  <c r="AX176" i="3"/>
  <c r="AZ176" i="3" s="1"/>
  <c r="C177" i="3"/>
  <c r="AM754" i="3" l="1"/>
  <c r="AQ754" i="3" s="1"/>
  <c r="AG685" i="3"/>
  <c r="AK685" i="3" s="1"/>
  <c r="U479" i="3"/>
  <c r="Y479" i="3" s="1"/>
  <c r="U480" i="3" s="1"/>
  <c r="Y480" i="3" s="1"/>
  <c r="AA473" i="3"/>
  <c r="AE473" i="3" s="1"/>
  <c r="O467" i="3"/>
  <c r="S467" i="3" s="1"/>
  <c r="I374" i="3"/>
  <c r="M374" i="3" s="1"/>
  <c r="AS177" i="3"/>
  <c r="G177" i="3"/>
  <c r="AM755" i="3" l="1"/>
  <c r="AQ755" i="3" s="1"/>
  <c r="AG686" i="3"/>
  <c r="AK686" i="3" s="1"/>
  <c r="AG687" i="3" s="1"/>
  <c r="AK687" i="3" s="1"/>
  <c r="U481" i="3"/>
  <c r="Y481" i="3" s="1"/>
  <c r="AA474" i="3"/>
  <c r="AE474" i="3" s="1"/>
  <c r="O468" i="3"/>
  <c r="S468" i="3" s="1"/>
  <c r="I375" i="3"/>
  <c r="M375" i="3" s="1"/>
  <c r="AX177" i="3"/>
  <c r="AZ177" i="3" s="1"/>
  <c r="C178" i="3"/>
  <c r="AM756" i="3" l="1"/>
  <c r="AQ756" i="3" s="1"/>
  <c r="AG688" i="3"/>
  <c r="AK688" i="3" s="1"/>
  <c r="U482" i="3"/>
  <c r="Y482" i="3" s="1"/>
  <c r="AA475" i="3"/>
  <c r="AE475" i="3" s="1"/>
  <c r="O469" i="3"/>
  <c r="S469" i="3" s="1"/>
  <c r="I376" i="3"/>
  <c r="M376" i="3" s="1"/>
  <c r="AS178" i="3"/>
  <c r="G178" i="3"/>
  <c r="AM757" i="3" l="1"/>
  <c r="AQ757" i="3" s="1"/>
  <c r="AG689" i="3"/>
  <c r="AK689" i="3" s="1"/>
  <c r="U483" i="3"/>
  <c r="Y483" i="3" s="1"/>
  <c r="U484" i="3" s="1"/>
  <c r="Y484" i="3" s="1"/>
  <c r="U485" i="3" s="1"/>
  <c r="Y485" i="3" s="1"/>
  <c r="U486" i="3" s="1"/>
  <c r="Y486" i="3" s="1"/>
  <c r="AA476" i="3"/>
  <c r="AE476" i="3" s="1"/>
  <c r="O470" i="3"/>
  <c r="S470" i="3" s="1"/>
  <c r="I377" i="3"/>
  <c r="M377" i="3" s="1"/>
  <c r="AX178" i="3"/>
  <c r="AZ178" i="3" s="1"/>
  <c r="C179" i="3"/>
  <c r="AM758" i="3" l="1"/>
  <c r="AQ758" i="3" s="1"/>
  <c r="AG690" i="3"/>
  <c r="AK690" i="3" s="1"/>
  <c r="U487" i="3"/>
  <c r="Y487" i="3" s="1"/>
  <c r="U488" i="3" s="1"/>
  <c r="Y488" i="3" s="1"/>
  <c r="AA477" i="3"/>
  <c r="AE477" i="3" s="1"/>
  <c r="O471" i="3"/>
  <c r="S471" i="3" s="1"/>
  <c r="I378" i="3"/>
  <c r="M378" i="3" s="1"/>
  <c r="I379" i="3" s="1"/>
  <c r="M379" i="3" s="1"/>
  <c r="AS179" i="3"/>
  <c r="G179" i="3"/>
  <c r="AM759" i="3" l="1"/>
  <c r="AQ759" i="3" s="1"/>
  <c r="AG691" i="3"/>
  <c r="AK691" i="3" s="1"/>
  <c r="AG692" i="3" s="1"/>
  <c r="AK692" i="3" s="1"/>
  <c r="U489" i="3"/>
  <c r="Y489" i="3" s="1"/>
  <c r="U490" i="3" s="1"/>
  <c r="Y490" i="3" s="1"/>
  <c r="U491" i="3" s="1"/>
  <c r="Y491" i="3" s="1"/>
  <c r="U492" i="3" s="1"/>
  <c r="Y492" i="3" s="1"/>
  <c r="AA478" i="3"/>
  <c r="AE478" i="3" s="1"/>
  <c r="O472" i="3"/>
  <c r="S472" i="3" s="1"/>
  <c r="I380" i="3"/>
  <c r="M380" i="3" s="1"/>
  <c r="AX179" i="3"/>
  <c r="AZ179" i="3" s="1"/>
  <c r="C180" i="3"/>
  <c r="AM760" i="3" l="1"/>
  <c r="AQ760" i="3" s="1"/>
  <c r="AG693" i="3"/>
  <c r="AK693" i="3" s="1"/>
  <c r="U493" i="3"/>
  <c r="Y493" i="3" s="1"/>
  <c r="U494" i="3" s="1"/>
  <c r="Y494" i="3" s="1"/>
  <c r="AA479" i="3"/>
  <c r="AE479" i="3" s="1"/>
  <c r="AA480" i="3" s="1"/>
  <c r="AE480" i="3" s="1"/>
  <c r="O473" i="3"/>
  <c r="S473" i="3" s="1"/>
  <c r="I381" i="3"/>
  <c r="M381" i="3" s="1"/>
  <c r="AS180" i="3"/>
  <c r="G180" i="3"/>
  <c r="AM761" i="3" l="1"/>
  <c r="AQ761" i="3" s="1"/>
  <c r="AG694" i="3"/>
  <c r="AK694" i="3" s="1"/>
  <c r="U495" i="3"/>
  <c r="Y495" i="3" s="1"/>
  <c r="AA481" i="3"/>
  <c r="AE481" i="3" s="1"/>
  <c r="O474" i="3"/>
  <c r="S474" i="3" s="1"/>
  <c r="I382" i="3"/>
  <c r="M382" i="3" s="1"/>
  <c r="AX180" i="3"/>
  <c r="AZ180" i="3" s="1"/>
  <c r="C181" i="3"/>
  <c r="AS181" i="3" s="1"/>
  <c r="AZ181" i="3" s="1"/>
  <c r="AM762" i="3" l="1"/>
  <c r="AQ762" i="3" s="1"/>
  <c r="AG695" i="3"/>
  <c r="AK695" i="3" s="1"/>
  <c r="U496" i="3"/>
  <c r="Y496" i="3" s="1"/>
  <c r="AA482" i="3"/>
  <c r="AE482" i="3" s="1"/>
  <c r="O475" i="3"/>
  <c r="S475" i="3" s="1"/>
  <c r="I383" i="3"/>
  <c r="M383" i="3" s="1"/>
  <c r="G181" i="3"/>
  <c r="AX181" i="3" s="1"/>
  <c r="AM763" i="3" l="1"/>
  <c r="AQ763" i="3" s="1"/>
  <c r="AG696" i="3"/>
  <c r="AK696" i="3" s="1"/>
  <c r="U497" i="3"/>
  <c r="Y497" i="3" s="1"/>
  <c r="AA483" i="3"/>
  <c r="AE483" i="3" s="1"/>
  <c r="AA484" i="3" s="1"/>
  <c r="AE484" i="3" s="1"/>
  <c r="AA485" i="3" s="1"/>
  <c r="AE485" i="3" s="1"/>
  <c r="AA486" i="3" s="1"/>
  <c r="AE486" i="3" s="1"/>
  <c r="O476" i="3"/>
  <c r="S476" i="3" s="1"/>
  <c r="I384" i="3"/>
  <c r="C182" i="3"/>
  <c r="AM764" i="3" l="1"/>
  <c r="AQ764" i="3" s="1"/>
  <c r="AG697" i="3"/>
  <c r="AK697" i="3" s="1"/>
  <c r="U498" i="3"/>
  <c r="Y498" i="3" s="1"/>
  <c r="AA487" i="3"/>
  <c r="AE487" i="3" s="1"/>
  <c r="AA488" i="3" s="1"/>
  <c r="AE488" i="3" s="1"/>
  <c r="O477" i="3"/>
  <c r="S477" i="3" s="1"/>
  <c r="M384" i="3"/>
  <c r="AS182" i="3"/>
  <c r="G182" i="3"/>
  <c r="AX182" i="3" s="1"/>
  <c r="AM765" i="3" l="1"/>
  <c r="AQ765" i="3" s="1"/>
  <c r="AG698" i="3"/>
  <c r="AK698" i="3" s="1"/>
  <c r="U499" i="3"/>
  <c r="Y499" i="3" s="1"/>
  <c r="U500" i="3" s="1"/>
  <c r="Y500" i="3" s="1"/>
  <c r="AA489" i="3"/>
  <c r="AE489" i="3" s="1"/>
  <c r="AA490" i="3" s="1"/>
  <c r="AE490" i="3" s="1"/>
  <c r="AA491" i="3" s="1"/>
  <c r="AE491" i="3" s="1"/>
  <c r="AA492" i="3" s="1"/>
  <c r="AE492" i="3" s="1"/>
  <c r="O478" i="3"/>
  <c r="S478" i="3" s="1"/>
  <c r="I385" i="3"/>
  <c r="M385" i="3" s="1"/>
  <c r="AZ182" i="3"/>
  <c r="C183" i="3"/>
  <c r="AM766" i="3" l="1"/>
  <c r="AQ766" i="3" s="1"/>
  <c r="AG699" i="3"/>
  <c r="AK699" i="3" s="1"/>
  <c r="U501" i="3"/>
  <c r="Y501" i="3" s="1"/>
  <c r="AA493" i="3"/>
  <c r="AE493" i="3" s="1"/>
  <c r="AA494" i="3" s="1"/>
  <c r="AE494" i="3" s="1"/>
  <c r="O479" i="3"/>
  <c r="S479" i="3" s="1"/>
  <c r="O480" i="3" s="1"/>
  <c r="S480" i="3" s="1"/>
  <c r="I386" i="3"/>
  <c r="M386" i="3" s="1"/>
  <c r="AS183" i="3"/>
  <c r="G183" i="3"/>
  <c r="AX183" i="3" s="1"/>
  <c r="AM767" i="3" l="1"/>
  <c r="AQ767" i="3" s="1"/>
  <c r="AG700" i="3"/>
  <c r="AK700" i="3" s="1"/>
  <c r="U502" i="3"/>
  <c r="Y502" i="3" s="1"/>
  <c r="AA495" i="3"/>
  <c r="AE495" i="3" s="1"/>
  <c r="O481" i="3"/>
  <c r="S481" i="3" s="1"/>
  <c r="I387" i="3"/>
  <c r="M387" i="3" s="1"/>
  <c r="AZ183" i="3"/>
  <c r="C184" i="3"/>
  <c r="AM768" i="3" l="1"/>
  <c r="AQ768" i="3" s="1"/>
  <c r="AG701" i="3"/>
  <c r="AK701" i="3" s="1"/>
  <c r="U503" i="3"/>
  <c r="Y503" i="3" s="1"/>
  <c r="AA496" i="3"/>
  <c r="AE496" i="3" s="1"/>
  <c r="O482" i="3"/>
  <c r="S482" i="3" s="1"/>
  <c r="I388" i="3"/>
  <c r="M388" i="3" s="1"/>
  <c r="AS184" i="3"/>
  <c r="G184" i="3"/>
  <c r="AX184" i="3" s="1"/>
  <c r="AM769" i="3" l="1"/>
  <c r="AQ769" i="3" s="1"/>
  <c r="AG702" i="3"/>
  <c r="AK702" i="3" s="1"/>
  <c r="U504" i="3"/>
  <c r="Y504" i="3" s="1"/>
  <c r="U505" i="3" s="1"/>
  <c r="Y505" i="3" s="1"/>
  <c r="AA497" i="3"/>
  <c r="AE497" i="3" s="1"/>
  <c r="O483" i="3"/>
  <c r="S483" i="3" s="1"/>
  <c r="O484" i="3" s="1"/>
  <c r="S484" i="3" s="1"/>
  <c r="O485" i="3" s="1"/>
  <c r="S485" i="3" s="1"/>
  <c r="O486" i="3" s="1"/>
  <c r="S486" i="3" s="1"/>
  <c r="I389" i="3"/>
  <c r="M389" i="3" s="1"/>
  <c r="AZ184" i="3"/>
  <c r="C185" i="3"/>
  <c r="AM770" i="3" l="1"/>
  <c r="AQ770" i="3" s="1"/>
  <c r="AG703" i="3"/>
  <c r="AK703" i="3" s="1"/>
  <c r="U506" i="3"/>
  <c r="Y506" i="3" s="1"/>
  <c r="AA498" i="3"/>
  <c r="AE498" i="3" s="1"/>
  <c r="O487" i="3"/>
  <c r="S487" i="3" s="1"/>
  <c r="O488" i="3" s="1"/>
  <c r="S488" i="3" s="1"/>
  <c r="I390" i="3"/>
  <c r="M390" i="3" s="1"/>
  <c r="AS185" i="3"/>
  <c r="G185" i="3"/>
  <c r="AM771" i="3" l="1"/>
  <c r="AQ771" i="3" s="1"/>
  <c r="AG704" i="3"/>
  <c r="AK704" i="3" s="1"/>
  <c r="AG705" i="3" s="1"/>
  <c r="AK705" i="3" s="1"/>
  <c r="U507" i="3"/>
  <c r="Y507" i="3" s="1"/>
  <c r="AA499" i="3"/>
  <c r="AE499" i="3" s="1"/>
  <c r="AA500" i="3" s="1"/>
  <c r="AE500" i="3" s="1"/>
  <c r="O489" i="3"/>
  <c r="S489" i="3" s="1"/>
  <c r="O490" i="3" s="1"/>
  <c r="S490" i="3" s="1"/>
  <c r="O491" i="3" s="1"/>
  <c r="S491" i="3" s="1"/>
  <c r="O492" i="3" s="1"/>
  <c r="S492" i="3" s="1"/>
  <c r="I391" i="3"/>
  <c r="M391" i="3" s="1"/>
  <c r="AX185" i="3"/>
  <c r="AZ185" i="3" s="1"/>
  <c r="C186" i="3"/>
  <c r="AM772" i="3" l="1"/>
  <c r="AQ772" i="3" s="1"/>
  <c r="AG706" i="3"/>
  <c r="AK706" i="3" s="1"/>
  <c r="U508" i="3"/>
  <c r="Y508" i="3" s="1"/>
  <c r="U509" i="3" s="1"/>
  <c r="Y509" i="3" s="1"/>
  <c r="AA501" i="3"/>
  <c r="AE501" i="3" s="1"/>
  <c r="O493" i="3"/>
  <c r="S493" i="3" s="1"/>
  <c r="O494" i="3" s="1"/>
  <c r="S494" i="3" s="1"/>
  <c r="I392" i="3"/>
  <c r="M392" i="3" s="1"/>
  <c r="I393" i="3" s="1"/>
  <c r="AS186" i="3"/>
  <c r="G186" i="3"/>
  <c r="AM773" i="3" l="1"/>
  <c r="AQ773" i="3" s="1"/>
  <c r="AG707" i="3"/>
  <c r="AK707" i="3" s="1"/>
  <c r="AG708" i="3" s="1"/>
  <c r="AK708" i="3" s="1"/>
  <c r="U510" i="3"/>
  <c r="Y510" i="3" s="1"/>
  <c r="U511" i="3" s="1"/>
  <c r="Y511" i="3" s="1"/>
  <c r="U512" i="3" s="1"/>
  <c r="Y512" i="3" s="1"/>
  <c r="U513" i="3" s="1"/>
  <c r="Y513" i="3" s="1"/>
  <c r="AA502" i="3"/>
  <c r="AE502" i="3" s="1"/>
  <c r="O495" i="3"/>
  <c r="S495" i="3" s="1"/>
  <c r="M393" i="3"/>
  <c r="AX186" i="3"/>
  <c r="AZ186" i="3" s="1"/>
  <c r="C187" i="3"/>
  <c r="AM774" i="3" l="1"/>
  <c r="AQ774" i="3" s="1"/>
  <c r="AG709" i="3"/>
  <c r="AK709" i="3" s="1"/>
  <c r="U514" i="3"/>
  <c r="Y514" i="3" s="1"/>
  <c r="AA503" i="3"/>
  <c r="AE503" i="3" s="1"/>
  <c r="O496" i="3"/>
  <c r="S496" i="3" s="1"/>
  <c r="I394" i="3"/>
  <c r="M394" i="3" s="1"/>
  <c r="AS187" i="3"/>
  <c r="G187" i="3"/>
  <c r="AM775" i="3" l="1"/>
  <c r="AQ775" i="3" s="1"/>
  <c r="AG710" i="3"/>
  <c r="AK710" i="3" s="1"/>
  <c r="U515" i="3"/>
  <c r="Y515" i="3" s="1"/>
  <c r="AA504" i="3"/>
  <c r="AE504" i="3" s="1"/>
  <c r="AA505" i="3" s="1"/>
  <c r="AE505" i="3" s="1"/>
  <c r="O497" i="3"/>
  <c r="S497" i="3" s="1"/>
  <c r="I395" i="3"/>
  <c r="M395" i="3" s="1"/>
  <c r="AX187" i="3"/>
  <c r="AZ187" i="3" s="1"/>
  <c r="C188" i="3"/>
  <c r="AM776" i="3" l="1"/>
  <c r="AQ776" i="3" s="1"/>
  <c r="AG711" i="3"/>
  <c r="AK711" i="3" s="1"/>
  <c r="AG712" i="3" s="1"/>
  <c r="AK712" i="3" s="1"/>
  <c r="U516" i="3"/>
  <c r="Y516" i="3" s="1"/>
  <c r="AA506" i="3"/>
  <c r="AE506" i="3" s="1"/>
  <c r="O498" i="3"/>
  <c r="S498" i="3" s="1"/>
  <c r="I396" i="3"/>
  <c r="M396" i="3" s="1"/>
  <c r="AS188" i="3"/>
  <c r="G188" i="3"/>
  <c r="AM777" i="3" l="1"/>
  <c r="AQ777" i="3" s="1"/>
  <c r="AG713" i="3"/>
  <c r="AK713" i="3" s="1"/>
  <c r="U517" i="3"/>
  <c r="Y517" i="3" s="1"/>
  <c r="AA507" i="3"/>
  <c r="AE507" i="3" s="1"/>
  <c r="O499" i="3"/>
  <c r="S499" i="3" s="1"/>
  <c r="O500" i="3" s="1"/>
  <c r="S500" i="3" s="1"/>
  <c r="I397" i="3"/>
  <c r="M397" i="3" s="1"/>
  <c r="AX188" i="3"/>
  <c r="AZ188" i="3" s="1"/>
  <c r="C189" i="3"/>
  <c r="AM778" i="3" l="1"/>
  <c r="AQ778" i="3" s="1"/>
  <c r="AG714" i="3"/>
  <c r="AK714" i="3" s="1"/>
  <c r="AG715" i="3" s="1"/>
  <c r="AK715" i="3" s="1"/>
  <c r="U518" i="3"/>
  <c r="Y518" i="3" s="1"/>
  <c r="U519" i="3" s="1"/>
  <c r="Y519" i="3" s="1"/>
  <c r="AA508" i="3"/>
  <c r="AE508" i="3" s="1"/>
  <c r="AA509" i="3" s="1"/>
  <c r="AE509" i="3" s="1"/>
  <c r="O501" i="3"/>
  <c r="S501" i="3" s="1"/>
  <c r="I398" i="3"/>
  <c r="M398" i="3" s="1"/>
  <c r="AS189" i="3"/>
  <c r="G189" i="3"/>
  <c r="AM779" i="3" l="1"/>
  <c r="AQ779" i="3" s="1"/>
  <c r="AG716" i="3"/>
  <c r="AK716" i="3" s="1"/>
  <c r="U520" i="3"/>
  <c r="Y520" i="3" s="1"/>
  <c r="AA510" i="3"/>
  <c r="AE510" i="3" s="1"/>
  <c r="AA511" i="3" s="1"/>
  <c r="AE511" i="3" s="1"/>
  <c r="AA512" i="3" s="1"/>
  <c r="AE512" i="3" s="1"/>
  <c r="O502" i="3"/>
  <c r="S502" i="3" s="1"/>
  <c r="I399" i="3"/>
  <c r="M399" i="3" s="1"/>
  <c r="I400" i="3" s="1"/>
  <c r="AX189" i="3"/>
  <c r="AZ189" i="3" s="1"/>
  <c r="C190" i="3"/>
  <c r="AM780" i="3" l="1"/>
  <c r="AQ780" i="3" s="1"/>
  <c r="AG717" i="3"/>
  <c r="AK717" i="3" s="1"/>
  <c r="U521" i="3"/>
  <c r="Y521" i="3" s="1"/>
  <c r="AA513" i="3"/>
  <c r="AE513" i="3" s="1"/>
  <c r="O503" i="3"/>
  <c r="S503" i="3" s="1"/>
  <c r="M400" i="3"/>
  <c r="AS190" i="3"/>
  <c r="G190" i="3"/>
  <c r="AM781" i="3" l="1"/>
  <c r="AQ781" i="3" s="1"/>
  <c r="AG718" i="3"/>
  <c r="AK718" i="3" s="1"/>
  <c r="U522" i="3"/>
  <c r="Y522" i="3" s="1"/>
  <c r="AA514" i="3"/>
  <c r="AE514" i="3" s="1"/>
  <c r="O504" i="3"/>
  <c r="S504" i="3" s="1"/>
  <c r="O505" i="3" s="1"/>
  <c r="S505" i="3" s="1"/>
  <c r="I401" i="3"/>
  <c r="M401" i="3" s="1"/>
  <c r="AX190" i="3"/>
  <c r="AZ190" i="3" s="1"/>
  <c r="C191" i="3"/>
  <c r="AM782" i="3" l="1"/>
  <c r="AQ782" i="3" s="1"/>
  <c r="AG719" i="3"/>
  <c r="AK719" i="3" s="1"/>
  <c r="U523" i="3"/>
  <c r="Y523" i="3" s="1"/>
  <c r="AA515" i="3"/>
  <c r="AE515" i="3" s="1"/>
  <c r="O506" i="3"/>
  <c r="S506" i="3" s="1"/>
  <c r="I402" i="3"/>
  <c r="M402" i="3" s="1"/>
  <c r="AS191" i="3"/>
  <c r="G191" i="3"/>
  <c r="AM783" i="3" l="1"/>
  <c r="AQ783" i="3" s="1"/>
  <c r="AG720" i="3"/>
  <c r="AK720" i="3" s="1"/>
  <c r="U524" i="3"/>
  <c r="Y524" i="3" s="1"/>
  <c r="AA516" i="3"/>
  <c r="AE516" i="3" s="1"/>
  <c r="O507" i="3"/>
  <c r="S507" i="3" s="1"/>
  <c r="I403" i="3"/>
  <c r="M403" i="3" s="1"/>
  <c r="AX191" i="3"/>
  <c r="AZ191" i="3" s="1"/>
  <c r="C192" i="3"/>
  <c r="AM784" i="3" l="1"/>
  <c r="AQ784" i="3" s="1"/>
  <c r="AG721" i="3"/>
  <c r="AK721" i="3" s="1"/>
  <c r="U525" i="3"/>
  <c r="Y525" i="3" s="1"/>
  <c r="AA517" i="3"/>
  <c r="AE517" i="3" s="1"/>
  <c r="O508" i="3"/>
  <c r="S508" i="3" s="1"/>
  <c r="O509" i="3" s="1"/>
  <c r="S509" i="3" s="1"/>
  <c r="I404" i="3"/>
  <c r="M404" i="3" s="1"/>
  <c r="I405" i="3" s="1"/>
  <c r="AS192" i="3"/>
  <c r="G192" i="3"/>
  <c r="AM785" i="3" l="1"/>
  <c r="AQ785" i="3" s="1"/>
  <c r="AG722" i="3"/>
  <c r="AK722" i="3" s="1"/>
  <c r="U526" i="3"/>
  <c r="Y526" i="3" s="1"/>
  <c r="AA518" i="3"/>
  <c r="AE518" i="3" s="1"/>
  <c r="AA519" i="3" s="1"/>
  <c r="AE519" i="3" s="1"/>
  <c r="O510" i="3"/>
  <c r="S510" i="3" s="1"/>
  <c r="O511" i="3" s="1"/>
  <c r="S511" i="3" s="1"/>
  <c r="O512" i="3" s="1"/>
  <c r="S512" i="3" s="1"/>
  <c r="O513" i="3" s="1"/>
  <c r="S513" i="3" s="1"/>
  <c r="M405" i="3"/>
  <c r="AX192" i="3"/>
  <c r="AZ192" i="3" s="1"/>
  <c r="C193" i="3"/>
  <c r="AM786" i="3" l="1"/>
  <c r="AQ786" i="3" s="1"/>
  <c r="AG723" i="3"/>
  <c r="AK723" i="3" s="1"/>
  <c r="U527" i="3"/>
  <c r="Y527" i="3" s="1"/>
  <c r="U528" i="3" s="1"/>
  <c r="Y528" i="3" s="1"/>
  <c r="AA520" i="3"/>
  <c r="AE520" i="3" s="1"/>
  <c r="O514" i="3"/>
  <c r="S514" i="3" s="1"/>
  <c r="I406" i="3"/>
  <c r="M406" i="3" s="1"/>
  <c r="I407" i="3" s="1"/>
  <c r="AS193" i="3"/>
  <c r="G193" i="3"/>
  <c r="AM787" i="3" l="1"/>
  <c r="AQ787" i="3" s="1"/>
  <c r="AG724" i="3"/>
  <c r="AK724" i="3" s="1"/>
  <c r="AG725" i="3" s="1"/>
  <c r="AK725" i="3" s="1"/>
  <c r="U529" i="3"/>
  <c r="Y529" i="3" s="1"/>
  <c r="U530" i="3" s="1"/>
  <c r="Y530" i="3" s="1"/>
  <c r="U531" i="3" s="1"/>
  <c r="Y531" i="3" s="1"/>
  <c r="AA521" i="3"/>
  <c r="AE521" i="3" s="1"/>
  <c r="O515" i="3"/>
  <c r="S515" i="3" s="1"/>
  <c r="M407" i="3"/>
  <c r="AX193" i="3"/>
  <c r="AZ193" i="3" s="1"/>
  <c r="C194" i="3"/>
  <c r="AM788" i="3" l="1"/>
  <c r="AQ788" i="3" s="1"/>
  <c r="AG726" i="3"/>
  <c r="AK726" i="3" s="1"/>
  <c r="AG727" i="3" s="1"/>
  <c r="AK727" i="3" s="1"/>
  <c r="U532" i="3"/>
  <c r="Y532" i="3" s="1"/>
  <c r="AA522" i="3"/>
  <c r="AE522" i="3" s="1"/>
  <c r="O516" i="3"/>
  <c r="S516" i="3" s="1"/>
  <c r="I408" i="3"/>
  <c r="M408" i="3" s="1"/>
  <c r="I409" i="3" s="1"/>
  <c r="AS194" i="3"/>
  <c r="G194" i="3"/>
  <c r="AM789" i="3" l="1"/>
  <c r="AQ789" i="3" s="1"/>
  <c r="AG728" i="3"/>
  <c r="AK728" i="3" s="1"/>
  <c r="U533" i="3"/>
  <c r="Y533" i="3" s="1"/>
  <c r="AA523" i="3"/>
  <c r="AE523" i="3" s="1"/>
  <c r="O517" i="3"/>
  <c r="S517" i="3" s="1"/>
  <c r="M409" i="3"/>
  <c r="I410" i="3" s="1"/>
  <c r="AX194" i="3"/>
  <c r="AZ194" i="3" s="1"/>
  <c r="C195" i="3"/>
  <c r="AM790" i="3" l="1"/>
  <c r="AQ790" i="3" s="1"/>
  <c r="AG729" i="3"/>
  <c r="AK729" i="3" s="1"/>
  <c r="U534" i="3"/>
  <c r="Y534" i="3" s="1"/>
  <c r="AA524" i="3"/>
  <c r="AE524" i="3" s="1"/>
  <c r="O518" i="3"/>
  <c r="S518" i="3" s="1"/>
  <c r="O519" i="3" s="1"/>
  <c r="S519" i="3" s="1"/>
  <c r="M410" i="3"/>
  <c r="I411" i="3" s="1"/>
  <c r="AS195" i="3"/>
  <c r="G195" i="3"/>
  <c r="AX195" i="3" s="1"/>
  <c r="AM791" i="3" l="1"/>
  <c r="AQ791" i="3" s="1"/>
  <c r="AG730" i="3"/>
  <c r="AK730" i="3" s="1"/>
  <c r="U535" i="3"/>
  <c r="Y535" i="3" s="1"/>
  <c r="AA525" i="3"/>
  <c r="AE525" i="3" s="1"/>
  <c r="O520" i="3"/>
  <c r="S520" i="3" s="1"/>
  <c r="M411" i="3"/>
  <c r="I412" i="3" s="1"/>
  <c r="AZ195" i="3"/>
  <c r="C196" i="3"/>
  <c r="AM792" i="3" l="1"/>
  <c r="AQ792" i="3" s="1"/>
  <c r="AG731" i="3"/>
  <c r="AK731" i="3" s="1"/>
  <c r="AG732" i="3" s="1"/>
  <c r="AK732" i="3" s="1"/>
  <c r="U536" i="3"/>
  <c r="Y536" i="3" s="1"/>
  <c r="AA526" i="3"/>
  <c r="AE526" i="3" s="1"/>
  <c r="O521" i="3"/>
  <c r="S521" i="3" s="1"/>
  <c r="M412" i="3"/>
  <c r="AS196" i="3"/>
  <c r="G196" i="3"/>
  <c r="AM793" i="3" l="1"/>
  <c r="AQ793" i="3" s="1"/>
  <c r="AG733" i="3"/>
  <c r="AK733" i="3" s="1"/>
  <c r="U537" i="3"/>
  <c r="Y537" i="3" s="1"/>
  <c r="AA527" i="3"/>
  <c r="AE527" i="3" s="1"/>
  <c r="AA528" i="3" s="1"/>
  <c r="AE528" i="3" s="1"/>
  <c r="O522" i="3"/>
  <c r="S522" i="3" s="1"/>
  <c r="I413" i="3"/>
  <c r="M413" i="3" s="1"/>
  <c r="AX196" i="3"/>
  <c r="AZ196" i="3" s="1"/>
  <c r="C197" i="3"/>
  <c r="AM794" i="3" l="1"/>
  <c r="AQ794" i="3" s="1"/>
  <c r="AG734" i="3"/>
  <c r="AK734" i="3" s="1"/>
  <c r="AG735" i="3" s="1"/>
  <c r="AK735" i="3" s="1"/>
  <c r="U538" i="3"/>
  <c r="Y538" i="3" s="1"/>
  <c r="AA529" i="3"/>
  <c r="AE529" i="3" s="1"/>
  <c r="AA530" i="3" s="1"/>
  <c r="AE530" i="3" s="1"/>
  <c r="AA531" i="3" s="1"/>
  <c r="AE531" i="3" s="1"/>
  <c r="O523" i="3"/>
  <c r="S523" i="3" s="1"/>
  <c r="I414" i="3"/>
  <c r="M414" i="3" s="1"/>
  <c r="AS197" i="3"/>
  <c r="G197" i="3"/>
  <c r="AM795" i="3" l="1"/>
  <c r="AQ795" i="3" s="1"/>
  <c r="AG736" i="3"/>
  <c r="AK736" i="3" s="1"/>
  <c r="U539" i="3"/>
  <c r="Y539" i="3" s="1"/>
  <c r="AA532" i="3"/>
  <c r="AE532" i="3" s="1"/>
  <c r="O524" i="3"/>
  <c r="S524" i="3" s="1"/>
  <c r="I415" i="3"/>
  <c r="M415" i="3" s="1"/>
  <c r="AX197" i="3"/>
  <c r="C198" i="3"/>
  <c r="AM796" i="3" l="1"/>
  <c r="AQ796" i="3" s="1"/>
  <c r="AG737" i="3"/>
  <c r="AK737" i="3" s="1"/>
  <c r="U540" i="3"/>
  <c r="Y540" i="3" s="1"/>
  <c r="AA533" i="3"/>
  <c r="AE533" i="3" s="1"/>
  <c r="O525" i="3"/>
  <c r="S525" i="3" s="1"/>
  <c r="AZ197" i="3"/>
  <c r="BB219" i="3"/>
  <c r="I416" i="3"/>
  <c r="M416" i="3" s="1"/>
  <c r="AS198" i="3"/>
  <c r="G198" i="3"/>
  <c r="AM797" i="3" l="1"/>
  <c r="AQ797" i="3" s="1"/>
  <c r="AG738" i="3"/>
  <c r="AK738" i="3" s="1"/>
  <c r="AG739" i="3" s="1"/>
  <c r="AK739" i="3" s="1"/>
  <c r="U541" i="3"/>
  <c r="Y541" i="3" s="1"/>
  <c r="AA534" i="3"/>
  <c r="AE534" i="3" s="1"/>
  <c r="O526" i="3"/>
  <c r="S526" i="3" s="1"/>
  <c r="I417" i="3"/>
  <c r="M417" i="3" s="1"/>
  <c r="AX198" i="3"/>
  <c r="AZ198" i="3" s="1"/>
  <c r="C199" i="3"/>
  <c r="AM798" i="3" l="1"/>
  <c r="AQ798" i="3" s="1"/>
  <c r="AG740" i="3"/>
  <c r="AK740" i="3" s="1"/>
  <c r="U542" i="3"/>
  <c r="Y542" i="3" s="1"/>
  <c r="U543" i="3" s="1"/>
  <c r="Y543" i="3" s="1"/>
  <c r="U544" i="3" s="1"/>
  <c r="Y544" i="3" s="1"/>
  <c r="AA535" i="3"/>
  <c r="AE535" i="3" s="1"/>
  <c r="O527" i="3"/>
  <c r="S527" i="3" s="1"/>
  <c r="O528" i="3" s="1"/>
  <c r="S528" i="3" s="1"/>
  <c r="I418" i="3"/>
  <c r="M418" i="3" s="1"/>
  <c r="I419" i="3" s="1"/>
  <c r="AS199" i="3"/>
  <c r="G199" i="3"/>
  <c r="AX199" i="3" s="1"/>
  <c r="AM799" i="3" l="1"/>
  <c r="AQ799" i="3" s="1"/>
  <c r="AG741" i="3"/>
  <c r="AK741" i="3" s="1"/>
  <c r="AG742" i="3" s="1"/>
  <c r="AK742" i="3" s="1"/>
  <c r="U545" i="3"/>
  <c r="Y545" i="3" s="1"/>
  <c r="AA536" i="3"/>
  <c r="AE536" i="3" s="1"/>
  <c r="O529" i="3"/>
  <c r="S529" i="3" s="1"/>
  <c r="O530" i="3" s="1"/>
  <c r="S530" i="3" s="1"/>
  <c r="O531" i="3" s="1"/>
  <c r="S531" i="3" s="1"/>
  <c r="M419" i="3"/>
  <c r="AZ199" i="3"/>
  <c r="C200" i="3"/>
  <c r="AM800" i="3" l="1"/>
  <c r="AQ800" i="3" s="1"/>
  <c r="AG743" i="3"/>
  <c r="AK743" i="3" s="1"/>
  <c r="U546" i="3"/>
  <c r="Y546" i="3" s="1"/>
  <c r="AA537" i="3"/>
  <c r="AE537" i="3" s="1"/>
  <c r="O532" i="3"/>
  <c r="S532" i="3" s="1"/>
  <c r="I420" i="3"/>
  <c r="M420" i="3" s="1"/>
  <c r="AS200" i="3"/>
  <c r="G200" i="3"/>
  <c r="AM801" i="3" l="1"/>
  <c r="AQ801" i="3" s="1"/>
  <c r="AG744" i="3"/>
  <c r="AK744" i="3" s="1"/>
  <c r="AG745" i="3" s="1"/>
  <c r="AK745" i="3" s="1"/>
  <c r="U547" i="3"/>
  <c r="Y547" i="3" s="1"/>
  <c r="AA538" i="3"/>
  <c r="AE538" i="3" s="1"/>
  <c r="O533" i="3"/>
  <c r="S533" i="3" s="1"/>
  <c r="I421" i="3"/>
  <c r="M421" i="3" s="1"/>
  <c r="AX200" i="3"/>
  <c r="C201" i="3"/>
  <c r="AM802" i="3" l="1"/>
  <c r="AQ802" i="3" s="1"/>
  <c r="AG746" i="3"/>
  <c r="AK746" i="3" s="1"/>
  <c r="U548" i="3"/>
  <c r="Y548" i="3" s="1"/>
  <c r="AA539" i="3"/>
  <c r="AE539" i="3" s="1"/>
  <c r="O534" i="3"/>
  <c r="S534" i="3" s="1"/>
  <c r="I422" i="3"/>
  <c r="M422" i="3" s="1"/>
  <c r="AZ200" i="3"/>
  <c r="BA200" i="3"/>
  <c r="BA202" i="3" s="1"/>
  <c r="BA204" i="3" s="1"/>
  <c r="AS201" i="3"/>
  <c r="G201" i="3"/>
  <c r="AM803" i="3" l="1"/>
  <c r="AQ803" i="3" s="1"/>
  <c r="AG747" i="3"/>
  <c r="AK747" i="3" s="1"/>
  <c r="U549" i="3"/>
  <c r="Y549" i="3" s="1"/>
  <c r="U550" i="3" s="1"/>
  <c r="Y550" i="3" s="1"/>
  <c r="U551" i="3" s="1"/>
  <c r="Y551" i="3" s="1"/>
  <c r="AA540" i="3"/>
  <c r="AE540" i="3" s="1"/>
  <c r="O535" i="3"/>
  <c r="S535" i="3" s="1"/>
  <c r="I423" i="3"/>
  <c r="M423" i="3" s="1"/>
  <c r="I424" i="3" s="1"/>
  <c r="AX201" i="3"/>
  <c r="AZ201" i="3" s="1"/>
  <c r="C202" i="3"/>
  <c r="AM804" i="3" l="1"/>
  <c r="AQ804" i="3" s="1"/>
  <c r="AG748" i="3"/>
  <c r="AK748" i="3" s="1"/>
  <c r="U552" i="3"/>
  <c r="Y552" i="3" s="1"/>
  <c r="U553" i="3" s="1"/>
  <c r="Y553" i="3" s="1"/>
  <c r="U554" i="3" s="1"/>
  <c r="Y554" i="3" s="1"/>
  <c r="AA541" i="3"/>
  <c r="AE541" i="3" s="1"/>
  <c r="O536" i="3"/>
  <c r="S536" i="3" s="1"/>
  <c r="M424" i="3"/>
  <c r="I425" i="3" s="1"/>
  <c r="AS202" i="3"/>
  <c r="G202" i="3"/>
  <c r="AX202" i="3" s="1"/>
  <c r="AM805" i="3" l="1"/>
  <c r="AQ805" i="3" s="1"/>
  <c r="AG749" i="3"/>
  <c r="AK749" i="3" s="1"/>
  <c r="AG750" i="3" s="1"/>
  <c r="AK750" i="3" s="1"/>
  <c r="U555" i="3"/>
  <c r="Y555" i="3" s="1"/>
  <c r="AA542" i="3"/>
  <c r="AE542" i="3" s="1"/>
  <c r="O537" i="3"/>
  <c r="S537" i="3" s="1"/>
  <c r="M425" i="3"/>
  <c r="I426" i="3" s="1"/>
  <c r="AZ202" i="3"/>
  <c r="C203" i="3"/>
  <c r="AM806" i="3" l="1"/>
  <c r="AQ806" i="3" s="1"/>
  <c r="AG751" i="3"/>
  <c r="AK751" i="3" s="1"/>
  <c r="AG752" i="3" s="1"/>
  <c r="AK752" i="3" s="1"/>
  <c r="U556" i="3"/>
  <c r="Y556" i="3" s="1"/>
  <c r="AA543" i="3"/>
  <c r="AE543" i="3" s="1"/>
  <c r="AA544" i="3" s="1"/>
  <c r="AE544" i="3" s="1"/>
  <c r="O538" i="3"/>
  <c r="S538" i="3" s="1"/>
  <c r="M426" i="3"/>
  <c r="I427" i="3" s="1"/>
  <c r="AS203" i="3"/>
  <c r="G203" i="3"/>
  <c r="AM807" i="3" l="1"/>
  <c r="AQ807" i="3" s="1"/>
  <c r="AG753" i="3"/>
  <c r="AK753" i="3" s="1"/>
  <c r="U557" i="3"/>
  <c r="Y557" i="3" s="1"/>
  <c r="AA545" i="3"/>
  <c r="AE545" i="3" s="1"/>
  <c r="O539" i="3"/>
  <c r="S539" i="3" s="1"/>
  <c r="M427" i="3"/>
  <c r="AX203" i="3"/>
  <c r="AZ203" i="3" s="1"/>
  <c r="C204" i="3"/>
  <c r="AM808" i="3" l="1"/>
  <c r="AQ808" i="3" s="1"/>
  <c r="AG754" i="3"/>
  <c r="AK754" i="3" s="1"/>
  <c r="U558" i="3"/>
  <c r="Y558" i="3" s="1"/>
  <c r="U559" i="3" s="1"/>
  <c r="Y559" i="3" s="1"/>
  <c r="U560" i="3" s="1"/>
  <c r="Y560" i="3" s="1"/>
  <c r="AA546" i="3"/>
  <c r="AE546" i="3" s="1"/>
  <c r="O540" i="3"/>
  <c r="S540" i="3" s="1"/>
  <c r="I428" i="3"/>
  <c r="M428" i="3" s="1"/>
  <c r="AS204" i="3"/>
  <c r="G204" i="3"/>
  <c r="AM809" i="3" l="1"/>
  <c r="AQ809" i="3" s="1"/>
  <c r="AG755" i="3"/>
  <c r="AK755" i="3" s="1"/>
  <c r="U561" i="3"/>
  <c r="Y561" i="3" s="1"/>
  <c r="AA547" i="3"/>
  <c r="AE547" i="3" s="1"/>
  <c r="O541" i="3"/>
  <c r="S541" i="3" s="1"/>
  <c r="I429" i="3"/>
  <c r="M429" i="3" s="1"/>
  <c r="AX204" i="3"/>
  <c r="AZ204" i="3" s="1"/>
  <c r="C205" i="3"/>
  <c r="AM810" i="3" l="1"/>
  <c r="AQ810" i="3" s="1"/>
  <c r="AG756" i="3"/>
  <c r="AK756" i="3" s="1"/>
  <c r="AG757" i="3" s="1"/>
  <c r="AK757" i="3" s="1"/>
  <c r="U562" i="3"/>
  <c r="Y562" i="3" s="1"/>
  <c r="AA548" i="3"/>
  <c r="AE548" i="3" s="1"/>
  <c r="O542" i="3"/>
  <c r="S542" i="3" s="1"/>
  <c r="I430" i="3"/>
  <c r="M430" i="3" s="1"/>
  <c r="I431" i="3" s="1"/>
  <c r="AS205" i="3"/>
  <c r="G205" i="3"/>
  <c r="AM811" i="3" l="1"/>
  <c r="AQ811" i="3" s="1"/>
  <c r="AG758" i="3"/>
  <c r="AK758" i="3" s="1"/>
  <c r="U563" i="3"/>
  <c r="Y563" i="3" s="1"/>
  <c r="U564" i="3" s="1"/>
  <c r="Y564" i="3" s="1"/>
  <c r="U565" i="3" s="1"/>
  <c r="Y565" i="3" s="1"/>
  <c r="AA549" i="3"/>
  <c r="AE549" i="3" s="1"/>
  <c r="AA550" i="3" s="1"/>
  <c r="AE550" i="3" s="1"/>
  <c r="AA551" i="3" s="1"/>
  <c r="AE551" i="3" s="1"/>
  <c r="O543" i="3"/>
  <c r="S543" i="3" s="1"/>
  <c r="O544" i="3" s="1"/>
  <c r="S544" i="3" s="1"/>
  <c r="M431" i="3"/>
  <c r="I432" i="3" s="1"/>
  <c r="AX205" i="3"/>
  <c r="AZ205" i="3" s="1"/>
  <c r="C206" i="3"/>
  <c r="AM812" i="3" l="1"/>
  <c r="AQ812" i="3" s="1"/>
  <c r="AG759" i="3"/>
  <c r="AK759" i="3" s="1"/>
  <c r="U566" i="3"/>
  <c r="Y566" i="3" s="1"/>
  <c r="AA552" i="3"/>
  <c r="AE552" i="3" s="1"/>
  <c r="AA553" i="3" s="1"/>
  <c r="AE553" i="3" s="1"/>
  <c r="AA554" i="3" s="1"/>
  <c r="AE554" i="3" s="1"/>
  <c r="O545" i="3"/>
  <c r="S545" i="3" s="1"/>
  <c r="M432" i="3"/>
  <c r="AS206" i="3"/>
  <c r="G206" i="3"/>
  <c r="AM813" i="3" l="1"/>
  <c r="AQ813" i="3" s="1"/>
  <c r="AG760" i="3"/>
  <c r="AK760" i="3" s="1"/>
  <c r="U567" i="3"/>
  <c r="Y567" i="3" s="1"/>
  <c r="U568" i="3" s="1"/>
  <c r="Y568" i="3" s="1"/>
  <c r="AA555" i="3"/>
  <c r="AE555" i="3" s="1"/>
  <c r="O546" i="3"/>
  <c r="S546" i="3" s="1"/>
  <c r="I433" i="3"/>
  <c r="M433" i="3" s="1"/>
  <c r="AX206" i="3"/>
  <c r="AZ206" i="3" s="1"/>
  <c r="C207" i="3"/>
  <c r="AM814" i="3" l="1"/>
  <c r="AQ814" i="3" s="1"/>
  <c r="AG761" i="3"/>
  <c r="AK761" i="3" s="1"/>
  <c r="U569" i="3"/>
  <c r="Y569" i="3" s="1"/>
  <c r="AA556" i="3"/>
  <c r="AE556" i="3" s="1"/>
  <c r="O547" i="3"/>
  <c r="S547" i="3" s="1"/>
  <c r="I434" i="3"/>
  <c r="M434" i="3" s="1"/>
  <c r="AS207" i="3"/>
  <c r="G207" i="3"/>
  <c r="AX207" i="3" s="1"/>
  <c r="AM815" i="3" l="1"/>
  <c r="AQ815" i="3" s="1"/>
  <c r="AG762" i="3"/>
  <c r="AK762" i="3" s="1"/>
  <c r="U570" i="3"/>
  <c r="Y570" i="3" s="1"/>
  <c r="AA557" i="3"/>
  <c r="AE557" i="3" s="1"/>
  <c r="O548" i="3"/>
  <c r="S548" i="3" s="1"/>
  <c r="I435" i="3"/>
  <c r="M435" i="3" s="1"/>
  <c r="AZ207" i="3"/>
  <c r="C208" i="3"/>
  <c r="AM816" i="3" l="1"/>
  <c r="AQ816" i="3" s="1"/>
  <c r="AG763" i="3"/>
  <c r="AK763" i="3" s="1"/>
  <c r="U571" i="3"/>
  <c r="Y571" i="3" s="1"/>
  <c r="AA558" i="3"/>
  <c r="AE558" i="3" s="1"/>
  <c r="AA559" i="3" s="1"/>
  <c r="AE559" i="3" s="1"/>
  <c r="AA560" i="3" s="1"/>
  <c r="AE560" i="3" s="1"/>
  <c r="O549" i="3"/>
  <c r="S549" i="3" s="1"/>
  <c r="O550" i="3" s="1"/>
  <c r="S550" i="3" s="1"/>
  <c r="O551" i="3" s="1"/>
  <c r="S551" i="3" s="1"/>
  <c r="I436" i="3"/>
  <c r="M436" i="3" s="1"/>
  <c r="I437" i="3" s="1"/>
  <c r="AS208" i="3"/>
  <c r="G208" i="3"/>
  <c r="AM817" i="3" l="1"/>
  <c r="AQ817" i="3" s="1"/>
  <c r="AG764" i="3"/>
  <c r="AK764" i="3" s="1"/>
  <c r="U572" i="3"/>
  <c r="Y572" i="3" s="1"/>
  <c r="AA561" i="3"/>
  <c r="AE561" i="3" s="1"/>
  <c r="O552" i="3"/>
  <c r="S552" i="3" s="1"/>
  <c r="O553" i="3" s="1"/>
  <c r="S553" i="3" s="1"/>
  <c r="O554" i="3" s="1"/>
  <c r="S554" i="3" s="1"/>
  <c r="M437" i="3"/>
  <c r="AX208" i="3"/>
  <c r="AZ208" i="3" s="1"/>
  <c r="C209" i="3"/>
  <c r="AM818" i="3" l="1"/>
  <c r="AQ818" i="3" s="1"/>
  <c r="AG765" i="3"/>
  <c r="AK765" i="3" s="1"/>
  <c r="U573" i="3"/>
  <c r="Y573" i="3" s="1"/>
  <c r="AA562" i="3"/>
  <c r="AE562" i="3" s="1"/>
  <c r="O555" i="3"/>
  <c r="S555" i="3" s="1"/>
  <c r="I438" i="3"/>
  <c r="M438" i="3" s="1"/>
  <c r="I439" i="3" s="1"/>
  <c r="AS209" i="3"/>
  <c r="G209" i="3"/>
  <c r="AX209" i="3" s="1"/>
  <c r="AM819" i="3" l="1"/>
  <c r="AQ819" i="3" s="1"/>
  <c r="AG766" i="3"/>
  <c r="AK766" i="3" s="1"/>
  <c r="U574" i="3"/>
  <c r="Y574" i="3" s="1"/>
  <c r="AA563" i="3"/>
  <c r="AE563" i="3" s="1"/>
  <c r="AA564" i="3" s="1"/>
  <c r="AE564" i="3" s="1"/>
  <c r="AA565" i="3" s="1"/>
  <c r="AE565" i="3" s="1"/>
  <c r="O556" i="3"/>
  <c r="S556" i="3" s="1"/>
  <c r="M439" i="3"/>
  <c r="I440" i="3" s="1"/>
  <c r="AZ209" i="3"/>
  <c r="C210" i="3"/>
  <c r="AM820" i="3" l="1"/>
  <c r="AQ820" i="3" s="1"/>
  <c r="AG767" i="3"/>
  <c r="AK767" i="3" s="1"/>
  <c r="U575" i="3"/>
  <c r="Y575" i="3" s="1"/>
  <c r="AA566" i="3"/>
  <c r="AE566" i="3" s="1"/>
  <c r="O557" i="3"/>
  <c r="S557" i="3" s="1"/>
  <c r="M440" i="3"/>
  <c r="AS210" i="3"/>
  <c r="G210" i="3"/>
  <c r="AM821" i="3" l="1"/>
  <c r="AQ821" i="3" s="1"/>
  <c r="AG768" i="3"/>
  <c r="AK768" i="3" s="1"/>
  <c r="AG769" i="3" s="1"/>
  <c r="AK769" i="3" s="1"/>
  <c r="U576" i="3"/>
  <c r="Y576" i="3" s="1"/>
  <c r="AA567" i="3"/>
  <c r="AE567" i="3" s="1"/>
  <c r="AA568" i="3" s="1"/>
  <c r="AE568" i="3" s="1"/>
  <c r="O558" i="3"/>
  <c r="S558" i="3" s="1"/>
  <c r="O559" i="3" s="1"/>
  <c r="S559" i="3" s="1"/>
  <c r="O560" i="3" s="1"/>
  <c r="S560" i="3" s="1"/>
  <c r="I441" i="3"/>
  <c r="M441" i="3" s="1"/>
  <c r="AX210" i="3"/>
  <c r="AZ210" i="3" s="1"/>
  <c r="C211" i="3"/>
  <c r="AM822" i="3" l="1"/>
  <c r="AQ822" i="3" s="1"/>
  <c r="AG770" i="3"/>
  <c r="AK770" i="3" s="1"/>
  <c r="U577" i="3"/>
  <c r="Y577" i="3" s="1"/>
  <c r="AA569" i="3"/>
  <c r="AE569" i="3" s="1"/>
  <c r="O561" i="3"/>
  <c r="S561" i="3" s="1"/>
  <c r="I442" i="3"/>
  <c r="M442" i="3" s="1"/>
  <c r="I443" i="3" s="1"/>
  <c r="AS211" i="3"/>
  <c r="G211" i="3"/>
  <c r="AM823" i="3" l="1"/>
  <c r="AQ823" i="3" s="1"/>
  <c r="AG771" i="3"/>
  <c r="AK771" i="3" s="1"/>
  <c r="U578" i="3"/>
  <c r="Y578" i="3" s="1"/>
  <c r="AA570" i="3"/>
  <c r="AE570" i="3" s="1"/>
  <c r="O562" i="3"/>
  <c r="S562" i="3" s="1"/>
  <c r="M443" i="3"/>
  <c r="AX211" i="3"/>
  <c r="AZ211" i="3" s="1"/>
  <c r="C212" i="3"/>
  <c r="AM824" i="3" l="1"/>
  <c r="AQ824" i="3" s="1"/>
  <c r="AG772" i="3"/>
  <c r="AK772" i="3" s="1"/>
  <c r="U579" i="3"/>
  <c r="Y579" i="3" s="1"/>
  <c r="U580" i="3" s="1"/>
  <c r="Y580" i="3" s="1"/>
  <c r="AA571" i="3"/>
  <c r="AE571" i="3" s="1"/>
  <c r="O563" i="3"/>
  <c r="S563" i="3" s="1"/>
  <c r="O564" i="3" s="1"/>
  <c r="S564" i="3" s="1"/>
  <c r="O565" i="3" s="1"/>
  <c r="S565" i="3" s="1"/>
  <c r="I444" i="3"/>
  <c r="M444" i="3" s="1"/>
  <c r="AS212" i="3"/>
  <c r="G212" i="3"/>
  <c r="AX212" i="3" s="1"/>
  <c r="AM825" i="3" l="1"/>
  <c r="AQ825" i="3" s="1"/>
  <c r="AG773" i="3"/>
  <c r="AK773" i="3" s="1"/>
  <c r="AG774" i="3" s="1"/>
  <c r="AK774" i="3" s="1"/>
  <c r="AG775" i="3" s="1"/>
  <c r="AK775" i="3" s="1"/>
  <c r="U581" i="3"/>
  <c r="Y581" i="3" s="1"/>
  <c r="AA572" i="3"/>
  <c r="AE572" i="3" s="1"/>
  <c r="O566" i="3"/>
  <c r="S566" i="3" s="1"/>
  <c r="I445" i="3"/>
  <c r="M445" i="3" s="1"/>
  <c r="AZ212" i="3"/>
  <c r="C213" i="3"/>
  <c r="AM826" i="3" l="1"/>
  <c r="AQ826" i="3" s="1"/>
  <c r="AG776" i="3"/>
  <c r="AK776" i="3" s="1"/>
  <c r="AG777" i="3" s="1"/>
  <c r="AK777" i="3" s="1"/>
  <c r="U582" i="3"/>
  <c r="Y582" i="3" s="1"/>
  <c r="U583" i="3" s="1"/>
  <c r="Y583" i="3" s="1"/>
  <c r="U584" i="3" s="1"/>
  <c r="Y584" i="3" s="1"/>
  <c r="U585" i="3" s="1"/>
  <c r="Y585" i="3" s="1"/>
  <c r="U586" i="3" s="1"/>
  <c r="Y586" i="3" s="1"/>
  <c r="U587" i="3" s="1"/>
  <c r="Y587" i="3" s="1"/>
  <c r="AA573" i="3"/>
  <c r="AE573" i="3" s="1"/>
  <c r="O567" i="3"/>
  <c r="S567" i="3" s="1"/>
  <c r="O568" i="3" s="1"/>
  <c r="S568" i="3" s="1"/>
  <c r="I446" i="3"/>
  <c r="M446" i="3" s="1"/>
  <c r="AS213" i="3"/>
  <c r="G213" i="3"/>
  <c r="AM827" i="3" l="1"/>
  <c r="AQ827" i="3" s="1"/>
  <c r="AG778" i="3"/>
  <c r="AK778" i="3" s="1"/>
  <c r="AA574" i="3"/>
  <c r="AE574" i="3" s="1"/>
  <c r="O569" i="3"/>
  <c r="S569" i="3" s="1"/>
  <c r="I447" i="3"/>
  <c r="M447" i="3" s="1"/>
  <c r="I448" i="3" s="1"/>
  <c r="AX213" i="3"/>
  <c r="AZ213" i="3" s="1"/>
  <c r="C214" i="3"/>
  <c r="AM828" i="3" l="1"/>
  <c r="AQ828" i="3" s="1"/>
  <c r="AG779" i="3"/>
  <c r="AK779" i="3" s="1"/>
  <c r="U588" i="3"/>
  <c r="Y588" i="3" s="1"/>
  <c r="U589" i="3" s="1"/>
  <c r="Y589" i="3" s="1"/>
  <c r="AA575" i="3"/>
  <c r="AE575" i="3" s="1"/>
  <c r="O570" i="3"/>
  <c r="S570" i="3" s="1"/>
  <c r="M448" i="3"/>
  <c r="AS214" i="3"/>
  <c r="G214" i="3"/>
  <c r="AX214" i="3" s="1"/>
  <c r="AM829" i="3" l="1"/>
  <c r="AQ829" i="3" s="1"/>
  <c r="AG780" i="3"/>
  <c r="AK780" i="3" s="1"/>
  <c r="U590" i="3"/>
  <c r="Y590" i="3" s="1"/>
  <c r="AA576" i="3"/>
  <c r="AE576" i="3" s="1"/>
  <c r="O571" i="3"/>
  <c r="S571" i="3" s="1"/>
  <c r="I449" i="3"/>
  <c r="M449" i="3" s="1"/>
  <c r="AZ214" i="3"/>
  <c r="C215" i="3"/>
  <c r="AM830" i="3" l="1"/>
  <c r="AQ830" i="3" s="1"/>
  <c r="AG781" i="3"/>
  <c r="AK781" i="3" s="1"/>
  <c r="U591" i="3"/>
  <c r="Y591" i="3" s="1"/>
  <c r="AA577" i="3"/>
  <c r="AE577" i="3" s="1"/>
  <c r="O572" i="3"/>
  <c r="S572" i="3" s="1"/>
  <c r="I450" i="3"/>
  <c r="M450" i="3" s="1"/>
  <c r="AS215" i="3"/>
  <c r="G215" i="3"/>
  <c r="AM831" i="3" l="1"/>
  <c r="AQ831" i="3" s="1"/>
  <c r="AG782" i="3"/>
  <c r="AK782" i="3" s="1"/>
  <c r="U592" i="3"/>
  <c r="Y592" i="3" s="1"/>
  <c r="AA578" i="3"/>
  <c r="AE578" i="3" s="1"/>
  <c r="O573" i="3"/>
  <c r="S573" i="3" s="1"/>
  <c r="I451" i="3"/>
  <c r="M451" i="3" s="1"/>
  <c r="AX215" i="3"/>
  <c r="AZ215" i="3" s="1"/>
  <c r="C216" i="3"/>
  <c r="AM832" i="3" l="1"/>
  <c r="AQ832" i="3" s="1"/>
  <c r="AG783" i="3"/>
  <c r="AK783" i="3" s="1"/>
  <c r="U593" i="3"/>
  <c r="Y593" i="3" s="1"/>
  <c r="AA579" i="3"/>
  <c r="AE579" i="3" s="1"/>
  <c r="AA580" i="3" s="1"/>
  <c r="AE580" i="3" s="1"/>
  <c r="O574" i="3"/>
  <c r="S574" i="3" s="1"/>
  <c r="I452" i="3"/>
  <c r="M452" i="3" s="1"/>
  <c r="AS216" i="3"/>
  <c r="G216" i="3"/>
  <c r="AX216" i="3" s="1"/>
  <c r="BC216" i="3" s="1"/>
  <c r="BC221" i="3" s="1"/>
  <c r="AM833" i="3" l="1"/>
  <c r="AQ833" i="3" s="1"/>
  <c r="AG784" i="3"/>
  <c r="AK784" i="3" s="1"/>
  <c r="U594" i="3"/>
  <c r="Y594" i="3" s="1"/>
  <c r="U595" i="3" s="1"/>
  <c r="Y595" i="3" s="1"/>
  <c r="AA581" i="3"/>
  <c r="AE581" i="3" s="1"/>
  <c r="O575" i="3"/>
  <c r="S575" i="3" s="1"/>
  <c r="I453" i="3"/>
  <c r="M453" i="3" s="1"/>
  <c r="AZ216" i="3"/>
  <c r="C217" i="3"/>
  <c r="AM834" i="3" l="1"/>
  <c r="AQ834" i="3" s="1"/>
  <c r="AG785" i="3"/>
  <c r="AK785" i="3" s="1"/>
  <c r="AG786" i="3" s="1"/>
  <c r="AK786" i="3" s="1"/>
  <c r="U596" i="3"/>
  <c r="Y596" i="3" s="1"/>
  <c r="AA582" i="3"/>
  <c r="AE582" i="3" s="1"/>
  <c r="AA583" i="3" s="1"/>
  <c r="AE583" i="3" s="1"/>
  <c r="AA584" i="3" s="1"/>
  <c r="AE584" i="3" s="1"/>
  <c r="AA585" i="3" s="1"/>
  <c r="AE585" i="3" s="1"/>
  <c r="AA586" i="3" s="1"/>
  <c r="AE586" i="3" s="1"/>
  <c r="AA587" i="3" s="1"/>
  <c r="AE587" i="3" s="1"/>
  <c r="O576" i="3"/>
  <c r="S576" i="3" s="1"/>
  <c r="I454" i="3"/>
  <c r="M454" i="3" s="1"/>
  <c r="AS217" i="3"/>
  <c r="G217" i="3"/>
  <c r="AM835" i="3" l="1"/>
  <c r="AQ835" i="3" s="1"/>
  <c r="AG787" i="3"/>
  <c r="AK787" i="3" s="1"/>
  <c r="AG788" i="3" s="1"/>
  <c r="AK788" i="3" s="1"/>
  <c r="U597" i="3"/>
  <c r="Y597" i="3" s="1"/>
  <c r="O577" i="3"/>
  <c r="S577" i="3" s="1"/>
  <c r="I455" i="3"/>
  <c r="M455" i="3" s="1"/>
  <c r="AX217" i="3"/>
  <c r="AZ217" i="3" s="1"/>
  <c r="C218" i="3"/>
  <c r="AM836" i="3" l="1"/>
  <c r="AQ836" i="3" s="1"/>
  <c r="AG789" i="3"/>
  <c r="AK789" i="3" s="1"/>
  <c r="AG790" i="3" s="1"/>
  <c r="AK790" i="3" s="1"/>
  <c r="U598" i="3"/>
  <c r="Y598" i="3" s="1"/>
  <c r="AA588" i="3"/>
  <c r="AE588" i="3" s="1"/>
  <c r="AA589" i="3" s="1"/>
  <c r="AE589" i="3" s="1"/>
  <c r="O578" i="3"/>
  <c r="S578" i="3" s="1"/>
  <c r="I456" i="3"/>
  <c r="M456" i="3" s="1"/>
  <c r="AS218" i="3"/>
  <c r="G218" i="3"/>
  <c r="AX218" i="3" s="1"/>
  <c r="AM837" i="3" l="1"/>
  <c r="AQ837" i="3" s="1"/>
  <c r="AG791" i="3"/>
  <c r="AK791" i="3" s="1"/>
  <c r="AG792" i="3" s="1"/>
  <c r="AK792" i="3" s="1"/>
  <c r="U599" i="3"/>
  <c r="Y599" i="3" s="1"/>
  <c r="AA590" i="3"/>
  <c r="AE590" i="3" s="1"/>
  <c r="O579" i="3"/>
  <c r="S579" i="3" s="1"/>
  <c r="O580" i="3" s="1"/>
  <c r="S580" i="3" s="1"/>
  <c r="I457" i="3"/>
  <c r="M457" i="3" s="1"/>
  <c r="AZ218" i="3"/>
  <c r="C219" i="3"/>
  <c r="AM838" i="3" l="1"/>
  <c r="AQ838" i="3" s="1"/>
  <c r="AG793" i="3"/>
  <c r="AK793" i="3" s="1"/>
  <c r="U600" i="3"/>
  <c r="Y600" i="3" s="1"/>
  <c r="AA591" i="3"/>
  <c r="AE591" i="3" s="1"/>
  <c r="O581" i="3"/>
  <c r="S581" i="3" s="1"/>
  <c r="I458" i="3"/>
  <c r="M458" i="3" s="1"/>
  <c r="AS219" i="3"/>
  <c r="G219" i="3"/>
  <c r="AM839" i="3" l="1"/>
  <c r="AQ839" i="3" s="1"/>
  <c r="AG794" i="3"/>
  <c r="AK794" i="3" s="1"/>
  <c r="U601" i="3"/>
  <c r="Y601" i="3" s="1"/>
  <c r="AA592" i="3"/>
  <c r="AE592" i="3" s="1"/>
  <c r="O582" i="3"/>
  <c r="S582" i="3" s="1"/>
  <c r="O583" i="3" s="1"/>
  <c r="S583" i="3" s="1"/>
  <c r="O584" i="3" s="1"/>
  <c r="S584" i="3" s="1"/>
  <c r="O585" i="3" s="1"/>
  <c r="S585" i="3" s="1"/>
  <c r="O586" i="3" s="1"/>
  <c r="S586" i="3" s="1"/>
  <c r="O587" i="3" s="1"/>
  <c r="S587" i="3" s="1"/>
  <c r="I459" i="3"/>
  <c r="AX219" i="3"/>
  <c r="AZ219" i="3" s="1"/>
  <c r="C220" i="3"/>
  <c r="AM840" i="3" l="1"/>
  <c r="AQ840" i="3" s="1"/>
  <c r="AG795" i="3"/>
  <c r="AK795" i="3" s="1"/>
  <c r="U602" i="3"/>
  <c r="Y602" i="3" s="1"/>
  <c r="AA593" i="3"/>
  <c r="AE593" i="3" s="1"/>
  <c r="M459" i="3"/>
  <c r="AS220" i="3"/>
  <c r="G220" i="3"/>
  <c r="AM841" i="3" l="1"/>
  <c r="AQ841" i="3" s="1"/>
  <c r="AG796" i="3"/>
  <c r="AK796" i="3" s="1"/>
  <c r="AG797" i="3" s="1"/>
  <c r="AK797" i="3" s="1"/>
  <c r="U603" i="3"/>
  <c r="Y603" i="3" s="1"/>
  <c r="AA594" i="3"/>
  <c r="AE594" i="3" s="1"/>
  <c r="AA595" i="3" s="1"/>
  <c r="AE595" i="3" s="1"/>
  <c r="O588" i="3"/>
  <c r="S588" i="3" s="1"/>
  <c r="O589" i="3" s="1"/>
  <c r="S589" i="3" s="1"/>
  <c r="I460" i="3"/>
  <c r="M460" i="3" s="1"/>
  <c r="AX220" i="3"/>
  <c r="AZ220" i="3" s="1"/>
  <c r="C221" i="3"/>
  <c r="AM842" i="3" l="1"/>
  <c r="AQ842" i="3" s="1"/>
  <c r="AG798" i="3"/>
  <c r="AK798" i="3" s="1"/>
  <c r="AG799" i="3" s="1"/>
  <c r="AK799" i="3" s="1"/>
  <c r="U604" i="3"/>
  <c r="Y604" i="3" s="1"/>
  <c r="AA596" i="3"/>
  <c r="AE596" i="3" s="1"/>
  <c r="O590" i="3"/>
  <c r="S590" i="3" s="1"/>
  <c r="I461" i="3"/>
  <c r="M461" i="3" s="1"/>
  <c r="I462" i="3" s="1"/>
  <c r="M462" i="3" s="1"/>
  <c r="AS221" i="3"/>
  <c r="G221" i="3"/>
  <c r="AX221" i="3" s="1"/>
  <c r="AM843" i="3" l="1"/>
  <c r="AQ843" i="3" s="1"/>
  <c r="AG800" i="3"/>
  <c r="AK800" i="3" s="1"/>
  <c r="U605" i="3"/>
  <c r="Y605" i="3" s="1"/>
  <c r="AA597" i="3"/>
  <c r="AE597" i="3" s="1"/>
  <c r="O591" i="3"/>
  <c r="S591" i="3" s="1"/>
  <c r="I463" i="3"/>
  <c r="M463" i="3" s="1"/>
  <c r="I464" i="3" s="1"/>
  <c r="AZ221" i="3"/>
  <c r="C222" i="3"/>
  <c r="AM844" i="3" l="1"/>
  <c r="AQ844" i="3" s="1"/>
  <c r="AG801" i="3"/>
  <c r="AK801" i="3" s="1"/>
  <c r="AG802" i="3" s="1"/>
  <c r="AK802" i="3" s="1"/>
  <c r="U606" i="3"/>
  <c r="Y606" i="3" s="1"/>
  <c r="AA598" i="3"/>
  <c r="AE598" i="3" s="1"/>
  <c r="O592" i="3"/>
  <c r="S592" i="3" s="1"/>
  <c r="M464" i="3"/>
  <c r="I465" i="3" s="1"/>
  <c r="M465" i="3" s="1"/>
  <c r="AS222" i="3"/>
  <c r="G222" i="3"/>
  <c r="AM845" i="3" l="1"/>
  <c r="AQ845" i="3" s="1"/>
  <c r="AG803" i="3"/>
  <c r="AK803" i="3" s="1"/>
  <c r="U607" i="3"/>
  <c r="Y607" i="3" s="1"/>
  <c r="AA599" i="3"/>
  <c r="AE599" i="3" s="1"/>
  <c r="O593" i="3"/>
  <c r="S593" i="3" s="1"/>
  <c r="I466" i="3"/>
  <c r="AX222" i="3"/>
  <c r="AZ222" i="3" s="1"/>
  <c r="C223" i="3"/>
  <c r="AM846" i="3" l="1"/>
  <c r="AQ846" i="3" s="1"/>
  <c r="AG804" i="3"/>
  <c r="AK804" i="3" s="1"/>
  <c r="U608" i="3"/>
  <c r="Y608" i="3" s="1"/>
  <c r="AA600" i="3"/>
  <c r="AE600" i="3" s="1"/>
  <c r="O594" i="3"/>
  <c r="S594" i="3" s="1"/>
  <c r="O595" i="3" s="1"/>
  <c r="S595" i="3" s="1"/>
  <c r="M466" i="3"/>
  <c r="AS223" i="3"/>
  <c r="G223" i="3"/>
  <c r="AM847" i="3" l="1"/>
  <c r="AQ847" i="3" s="1"/>
  <c r="AG805" i="3"/>
  <c r="AK805" i="3" s="1"/>
  <c r="U609" i="3"/>
  <c r="Y609" i="3" s="1"/>
  <c r="AA601" i="3"/>
  <c r="AE601" i="3" s="1"/>
  <c r="O596" i="3"/>
  <c r="S596" i="3" s="1"/>
  <c r="I467" i="3"/>
  <c r="M467" i="3" s="1"/>
  <c r="AX223" i="3"/>
  <c r="AZ223" i="3" s="1"/>
  <c r="C224" i="3"/>
  <c r="AM848" i="3" l="1"/>
  <c r="AQ848" i="3" s="1"/>
  <c r="AG806" i="3"/>
  <c r="AK806" i="3" s="1"/>
  <c r="AG807" i="3" s="1"/>
  <c r="AK807" i="3" s="1"/>
  <c r="U610" i="3"/>
  <c r="Y610" i="3" s="1"/>
  <c r="AA602" i="3"/>
  <c r="AE602" i="3" s="1"/>
  <c r="O597" i="3"/>
  <c r="S597" i="3" s="1"/>
  <c r="I468" i="3"/>
  <c r="M468" i="3" s="1"/>
  <c r="AS224" i="3"/>
  <c r="G224" i="3"/>
  <c r="AX224" i="3" s="1"/>
  <c r="AM849" i="3" l="1"/>
  <c r="AQ849" i="3" s="1"/>
  <c r="AG808" i="3"/>
  <c r="AK808" i="3" s="1"/>
  <c r="AG809" i="3" s="1"/>
  <c r="AK809" i="3" s="1"/>
  <c r="U611" i="3"/>
  <c r="Y611" i="3" s="1"/>
  <c r="AA603" i="3"/>
  <c r="AE603" i="3" s="1"/>
  <c r="O598" i="3"/>
  <c r="S598" i="3" s="1"/>
  <c r="I469" i="3"/>
  <c r="M469" i="3" s="1"/>
  <c r="AZ224" i="3"/>
  <c r="C225" i="3"/>
  <c r="AM850" i="3" l="1"/>
  <c r="AQ850" i="3" s="1"/>
  <c r="AG810" i="3"/>
  <c r="AK810" i="3" s="1"/>
  <c r="U612" i="3"/>
  <c r="Y612" i="3" s="1"/>
  <c r="AA604" i="3"/>
  <c r="AE604" i="3" s="1"/>
  <c r="O599" i="3"/>
  <c r="S599" i="3" s="1"/>
  <c r="I470" i="3"/>
  <c r="M470" i="3" s="1"/>
  <c r="AS225" i="3"/>
  <c r="G225" i="3"/>
  <c r="AM851" i="3" l="1"/>
  <c r="AQ851" i="3" s="1"/>
  <c r="AG811" i="3"/>
  <c r="AK811" i="3" s="1"/>
  <c r="U613" i="3"/>
  <c r="Y613" i="3" s="1"/>
  <c r="AA605" i="3"/>
  <c r="AE605" i="3" s="1"/>
  <c r="O600" i="3"/>
  <c r="S600" i="3" s="1"/>
  <c r="I471" i="3"/>
  <c r="M471" i="3" s="1"/>
  <c r="AX225" i="3"/>
  <c r="AZ225" i="3" s="1"/>
  <c r="C226" i="3"/>
  <c r="AM852" i="3" l="1"/>
  <c r="AQ852" i="3" s="1"/>
  <c r="AG812" i="3"/>
  <c r="AK812" i="3" s="1"/>
  <c r="AG813" i="3" s="1"/>
  <c r="AK813" i="3" s="1"/>
  <c r="U614" i="3"/>
  <c r="Y614" i="3" s="1"/>
  <c r="U615" i="3" s="1"/>
  <c r="Y615" i="3" s="1"/>
  <c r="U616" i="3" s="1"/>
  <c r="Y616" i="3" s="1"/>
  <c r="AA606" i="3"/>
  <c r="AE606" i="3" s="1"/>
  <c r="O601" i="3"/>
  <c r="S601" i="3" s="1"/>
  <c r="I472" i="3"/>
  <c r="M472" i="3" s="1"/>
  <c r="AS226" i="3"/>
  <c r="G226" i="3"/>
  <c r="AM853" i="3" l="1"/>
  <c r="AQ853" i="3" s="1"/>
  <c r="AG814" i="3"/>
  <c r="AK814" i="3" s="1"/>
  <c r="U617" i="3"/>
  <c r="Y617" i="3" s="1"/>
  <c r="AA607" i="3"/>
  <c r="AE607" i="3" s="1"/>
  <c r="O602" i="3"/>
  <c r="S602" i="3" s="1"/>
  <c r="I473" i="3"/>
  <c r="M473" i="3" s="1"/>
  <c r="AX226" i="3"/>
  <c r="AZ226" i="3" s="1"/>
  <c r="C227" i="3"/>
  <c r="AM854" i="3" l="1"/>
  <c r="AQ854" i="3" s="1"/>
  <c r="AG815" i="3"/>
  <c r="AK815" i="3" s="1"/>
  <c r="U618" i="3"/>
  <c r="Y618" i="3" s="1"/>
  <c r="U619" i="3" s="1"/>
  <c r="Y619" i="3" s="1"/>
  <c r="U620" i="3" s="1"/>
  <c r="Y620" i="3" s="1"/>
  <c r="U621" i="3" s="1"/>
  <c r="Y621" i="3" s="1"/>
  <c r="AA608" i="3"/>
  <c r="AE608" i="3" s="1"/>
  <c r="AA609" i="3" s="1"/>
  <c r="AE609" i="3" s="1"/>
  <c r="O603" i="3"/>
  <c r="S603" i="3" s="1"/>
  <c r="I474" i="3"/>
  <c r="M474" i="3" s="1"/>
  <c r="AS227" i="3"/>
  <c r="G227" i="3"/>
  <c r="AX227" i="3" s="1"/>
  <c r="AM855" i="3" l="1"/>
  <c r="AQ855" i="3" s="1"/>
  <c r="AG816" i="3"/>
  <c r="AK816" i="3" s="1"/>
  <c r="AG817" i="3" s="1"/>
  <c r="AK817" i="3" s="1"/>
  <c r="U622" i="3"/>
  <c r="Y622" i="3" s="1"/>
  <c r="AA610" i="3"/>
  <c r="AE610" i="3" s="1"/>
  <c r="O604" i="3"/>
  <c r="S604" i="3" s="1"/>
  <c r="I475" i="3"/>
  <c r="M475" i="3" s="1"/>
  <c r="AZ227" i="3"/>
  <c r="C228" i="3"/>
  <c r="AM856" i="3" l="1"/>
  <c r="AQ856" i="3" s="1"/>
  <c r="AG818" i="3"/>
  <c r="AK818" i="3" s="1"/>
  <c r="AG819" i="3" s="1"/>
  <c r="AK819" i="3" s="1"/>
  <c r="U623" i="3"/>
  <c r="Y623" i="3" s="1"/>
  <c r="AA611" i="3"/>
  <c r="AE611" i="3" s="1"/>
  <c r="O605" i="3"/>
  <c r="S605" i="3" s="1"/>
  <c r="I476" i="3"/>
  <c r="M476" i="3" s="1"/>
  <c r="AS228" i="3"/>
  <c r="G228" i="3"/>
  <c r="AM857" i="3" l="1"/>
  <c r="AQ857" i="3" s="1"/>
  <c r="AG820" i="3"/>
  <c r="AK820" i="3" s="1"/>
  <c r="U624" i="3"/>
  <c r="Y624" i="3" s="1"/>
  <c r="U625" i="3" s="1"/>
  <c r="Y625" i="3" s="1"/>
  <c r="AA612" i="3"/>
  <c r="AE612" i="3" s="1"/>
  <c r="O606" i="3"/>
  <c r="S606" i="3" s="1"/>
  <c r="I477" i="3"/>
  <c r="M477" i="3" s="1"/>
  <c r="AX228" i="3"/>
  <c r="AZ228" i="3" s="1"/>
  <c r="C229" i="3"/>
  <c r="AM858" i="3" l="1"/>
  <c r="AQ858" i="3" s="1"/>
  <c r="AG821" i="3"/>
  <c r="AK821" i="3" s="1"/>
  <c r="U626" i="3"/>
  <c r="Y626" i="3" s="1"/>
  <c r="U627" i="3" s="1"/>
  <c r="Y627" i="3" s="1"/>
  <c r="AA613" i="3"/>
  <c r="AE613" i="3" s="1"/>
  <c r="O607" i="3"/>
  <c r="S607" i="3" s="1"/>
  <c r="I478" i="3"/>
  <c r="M478" i="3" s="1"/>
  <c r="AS229" i="3"/>
  <c r="G229" i="3"/>
  <c r="AM859" i="3" l="1"/>
  <c r="AQ859" i="3" s="1"/>
  <c r="AG822" i="3"/>
  <c r="AK822" i="3" s="1"/>
  <c r="U628" i="3"/>
  <c r="Y628" i="3" s="1"/>
  <c r="AA614" i="3"/>
  <c r="AE614" i="3" s="1"/>
  <c r="AA615" i="3" s="1"/>
  <c r="AE615" i="3" s="1"/>
  <c r="AA616" i="3" s="1"/>
  <c r="AE616" i="3" s="1"/>
  <c r="O608" i="3"/>
  <c r="S608" i="3" s="1"/>
  <c r="I479" i="3"/>
  <c r="M479" i="3" s="1"/>
  <c r="I480" i="3" s="1"/>
  <c r="AX229" i="3"/>
  <c r="AZ229" i="3" s="1"/>
  <c r="C230" i="3"/>
  <c r="AM860" i="3" l="1"/>
  <c r="AQ860" i="3" s="1"/>
  <c r="AG823" i="3"/>
  <c r="AK823" i="3" s="1"/>
  <c r="U629" i="3"/>
  <c r="Y629" i="3" s="1"/>
  <c r="AA617" i="3"/>
  <c r="AE617" i="3" s="1"/>
  <c r="O609" i="3"/>
  <c r="S609" i="3" s="1"/>
  <c r="M480" i="3"/>
  <c r="AS230" i="3"/>
  <c r="G230" i="3"/>
  <c r="AX230" i="3" s="1"/>
  <c r="AM861" i="3" l="1"/>
  <c r="AQ861" i="3" s="1"/>
  <c r="AG824" i="3"/>
  <c r="AK824" i="3" s="1"/>
  <c r="U630" i="3"/>
  <c r="Y630" i="3" s="1"/>
  <c r="AA618" i="3"/>
  <c r="AE618" i="3" s="1"/>
  <c r="AA619" i="3" s="1"/>
  <c r="AE619" i="3" s="1"/>
  <c r="AA620" i="3" s="1"/>
  <c r="AE620" i="3" s="1"/>
  <c r="AA621" i="3" s="1"/>
  <c r="AE621" i="3" s="1"/>
  <c r="O610" i="3"/>
  <c r="S610" i="3" s="1"/>
  <c r="I481" i="3"/>
  <c r="M481" i="3" s="1"/>
  <c r="AZ230" i="3"/>
  <c r="C231" i="3"/>
  <c r="AM862" i="3" l="1"/>
  <c r="AQ862" i="3" s="1"/>
  <c r="AG825" i="3"/>
  <c r="AK825" i="3" s="1"/>
  <c r="U631" i="3"/>
  <c r="Y631" i="3" s="1"/>
  <c r="AA622" i="3"/>
  <c r="AE622" i="3" s="1"/>
  <c r="O611" i="3"/>
  <c r="S611" i="3" s="1"/>
  <c r="I482" i="3"/>
  <c r="M482" i="3" s="1"/>
  <c r="AS231" i="3"/>
  <c r="G231" i="3"/>
  <c r="AM863" i="3" l="1"/>
  <c r="AQ863" i="3" s="1"/>
  <c r="AG826" i="3"/>
  <c r="AK826" i="3" s="1"/>
  <c r="AG827" i="3" s="1"/>
  <c r="AK827" i="3" s="1"/>
  <c r="U632" i="3"/>
  <c r="Y632" i="3" s="1"/>
  <c r="AA623" i="3"/>
  <c r="AE623" i="3" s="1"/>
  <c r="O612" i="3"/>
  <c r="S612" i="3" s="1"/>
  <c r="I483" i="3"/>
  <c r="M483" i="3" s="1"/>
  <c r="I484" i="3" s="1"/>
  <c r="AX231" i="3"/>
  <c r="AZ231" i="3" s="1"/>
  <c r="C232" i="3"/>
  <c r="AM864" i="3" l="1"/>
  <c r="AQ864" i="3" s="1"/>
  <c r="AG828" i="3"/>
  <c r="AK828" i="3" s="1"/>
  <c r="U633" i="3"/>
  <c r="Y633" i="3" s="1"/>
  <c r="U634" i="3" s="1"/>
  <c r="Y634" i="3" s="1"/>
  <c r="AA624" i="3"/>
  <c r="AE624" i="3" s="1"/>
  <c r="AA625" i="3" s="1"/>
  <c r="AE625" i="3" s="1"/>
  <c r="O613" i="3"/>
  <c r="S613" i="3" s="1"/>
  <c r="M484" i="3"/>
  <c r="I485" i="3" s="1"/>
  <c r="AS232" i="3"/>
  <c r="G232" i="3"/>
  <c r="AM865" i="3" l="1"/>
  <c r="AQ865" i="3" s="1"/>
  <c r="AG829" i="3"/>
  <c r="AK829" i="3" s="1"/>
  <c r="AG830" i="3" s="1"/>
  <c r="AK830" i="3" s="1"/>
  <c r="U635" i="3"/>
  <c r="Y635" i="3" s="1"/>
  <c r="AA626" i="3"/>
  <c r="AE626" i="3" s="1"/>
  <c r="AA627" i="3" s="1"/>
  <c r="AE627" i="3" s="1"/>
  <c r="O614" i="3"/>
  <c r="S614" i="3" s="1"/>
  <c r="O615" i="3" s="1"/>
  <c r="S615" i="3" s="1"/>
  <c r="O616" i="3" s="1"/>
  <c r="S616" i="3" s="1"/>
  <c r="M485" i="3"/>
  <c r="AX232" i="3"/>
  <c r="AZ232" i="3" s="1"/>
  <c r="C233" i="3"/>
  <c r="AM866" i="3" l="1"/>
  <c r="AQ866" i="3" s="1"/>
  <c r="AG831" i="3"/>
  <c r="AK831" i="3" s="1"/>
  <c r="U636" i="3"/>
  <c r="Y636" i="3" s="1"/>
  <c r="AA628" i="3"/>
  <c r="AE628" i="3" s="1"/>
  <c r="O617" i="3"/>
  <c r="S617" i="3" s="1"/>
  <c r="I486" i="3"/>
  <c r="M486" i="3" s="1"/>
  <c r="AS233" i="3"/>
  <c r="G233" i="3"/>
  <c r="AX233" i="3" s="1"/>
  <c r="AM867" i="3" l="1"/>
  <c r="AQ867" i="3" s="1"/>
  <c r="AG832" i="3"/>
  <c r="AK832" i="3" s="1"/>
  <c r="AG833" i="3" s="1"/>
  <c r="AK833" i="3" s="1"/>
  <c r="U637" i="3"/>
  <c r="Y637" i="3" s="1"/>
  <c r="AA629" i="3"/>
  <c r="AE629" i="3" s="1"/>
  <c r="O618" i="3"/>
  <c r="S618" i="3" s="1"/>
  <c r="O619" i="3" s="1"/>
  <c r="S619" i="3" s="1"/>
  <c r="O620" i="3" s="1"/>
  <c r="S620" i="3" s="1"/>
  <c r="O621" i="3" s="1"/>
  <c r="S621" i="3" s="1"/>
  <c r="I487" i="3"/>
  <c r="M487" i="3" s="1"/>
  <c r="I488" i="3" s="1"/>
  <c r="AZ233" i="3"/>
  <c r="C234" i="3"/>
  <c r="AM868" i="3" l="1"/>
  <c r="AQ868" i="3" s="1"/>
  <c r="AG834" i="3"/>
  <c r="AK834" i="3" s="1"/>
  <c r="U638" i="3"/>
  <c r="Y638" i="3" s="1"/>
  <c r="AA630" i="3"/>
  <c r="AE630" i="3" s="1"/>
  <c r="O622" i="3"/>
  <c r="S622" i="3" s="1"/>
  <c r="M488" i="3"/>
  <c r="AS234" i="3"/>
  <c r="G234" i="3"/>
  <c r="AM869" i="3" l="1"/>
  <c r="AQ869" i="3" s="1"/>
  <c r="AG835" i="3"/>
  <c r="AK835" i="3" s="1"/>
  <c r="U639" i="3"/>
  <c r="Y639" i="3" s="1"/>
  <c r="AA631" i="3"/>
  <c r="AE631" i="3" s="1"/>
  <c r="O623" i="3"/>
  <c r="S623" i="3" s="1"/>
  <c r="I489" i="3"/>
  <c r="M489" i="3" s="1"/>
  <c r="I490" i="3" s="1"/>
  <c r="AX234" i="3"/>
  <c r="AZ234" i="3" s="1"/>
  <c r="C235" i="3"/>
  <c r="AM870" i="3" l="1"/>
  <c r="AQ870" i="3" s="1"/>
  <c r="AG836" i="3"/>
  <c r="AK836" i="3" s="1"/>
  <c r="AG837" i="3" s="1"/>
  <c r="AK837" i="3" s="1"/>
  <c r="AG838" i="3" s="1"/>
  <c r="AK838" i="3" s="1"/>
  <c r="AG839" i="3" s="1"/>
  <c r="AK839" i="3" s="1"/>
  <c r="U640" i="3"/>
  <c r="Y640" i="3" s="1"/>
  <c r="AA632" i="3"/>
  <c r="AE632" i="3" s="1"/>
  <c r="O624" i="3"/>
  <c r="S624" i="3" s="1"/>
  <c r="O625" i="3" s="1"/>
  <c r="S625" i="3" s="1"/>
  <c r="M490" i="3"/>
  <c r="I491" i="3" s="1"/>
  <c r="AS235" i="3"/>
  <c r="G235" i="3"/>
  <c r="AM871" i="3" l="1"/>
  <c r="AQ871" i="3" s="1"/>
  <c r="AG840" i="3"/>
  <c r="AK840" i="3" s="1"/>
  <c r="U641" i="3"/>
  <c r="Y641" i="3" s="1"/>
  <c r="U642" i="3" s="1"/>
  <c r="Y642" i="3" s="1"/>
  <c r="AA633" i="3"/>
  <c r="AE633" i="3" s="1"/>
  <c r="AA634" i="3" s="1"/>
  <c r="AE634" i="3" s="1"/>
  <c r="O626" i="3"/>
  <c r="S626" i="3" s="1"/>
  <c r="O627" i="3" s="1"/>
  <c r="S627" i="3" s="1"/>
  <c r="M491" i="3"/>
  <c r="I492" i="3" s="1"/>
  <c r="AX235" i="3"/>
  <c r="AZ235" i="3" s="1"/>
  <c r="C236" i="3"/>
  <c r="AM872" i="3" l="1"/>
  <c r="AQ872" i="3" s="1"/>
  <c r="AG841" i="3"/>
  <c r="AK841" i="3" s="1"/>
  <c r="U643" i="3"/>
  <c r="Y643" i="3" s="1"/>
  <c r="AA635" i="3"/>
  <c r="AE635" i="3" s="1"/>
  <c r="O628" i="3"/>
  <c r="S628" i="3" s="1"/>
  <c r="M492" i="3"/>
  <c r="AS236" i="3"/>
  <c r="G236" i="3"/>
  <c r="AX236" i="3" s="1"/>
  <c r="AM873" i="3" l="1"/>
  <c r="AQ873" i="3" s="1"/>
  <c r="AG842" i="3"/>
  <c r="AK842" i="3" s="1"/>
  <c r="U644" i="3"/>
  <c r="Y644" i="3" s="1"/>
  <c r="AA636" i="3"/>
  <c r="AE636" i="3" s="1"/>
  <c r="O629" i="3"/>
  <c r="S629" i="3" s="1"/>
  <c r="I493" i="3"/>
  <c r="M493" i="3" s="1"/>
  <c r="I494" i="3" s="1"/>
  <c r="AZ236" i="3"/>
  <c r="C237" i="3"/>
  <c r="AM874" i="3" l="1"/>
  <c r="AQ874" i="3" s="1"/>
  <c r="AG843" i="3"/>
  <c r="AK843" i="3" s="1"/>
  <c r="U645" i="3"/>
  <c r="Y645" i="3" s="1"/>
  <c r="AA637" i="3"/>
  <c r="AE637" i="3" s="1"/>
  <c r="O630" i="3"/>
  <c r="S630" i="3" s="1"/>
  <c r="M494" i="3"/>
  <c r="AS237" i="3"/>
  <c r="G237" i="3"/>
  <c r="AM875" i="3" l="1"/>
  <c r="AQ875" i="3" s="1"/>
  <c r="AG844" i="3"/>
  <c r="AK844" i="3" s="1"/>
  <c r="U646" i="3"/>
  <c r="Y646" i="3" s="1"/>
  <c r="AA638" i="3"/>
  <c r="AE638" i="3" s="1"/>
  <c r="O631" i="3"/>
  <c r="S631" i="3" s="1"/>
  <c r="I495" i="3"/>
  <c r="M495" i="3" s="1"/>
  <c r="AX237" i="3"/>
  <c r="AZ237" i="3" s="1"/>
  <c r="C238" i="3"/>
  <c r="AM876" i="3" l="1"/>
  <c r="AQ876" i="3" s="1"/>
  <c r="AG845" i="3"/>
  <c r="AK845" i="3" s="1"/>
  <c r="U647" i="3"/>
  <c r="Y647" i="3" s="1"/>
  <c r="AA639" i="3"/>
  <c r="AE639" i="3" s="1"/>
  <c r="O632" i="3"/>
  <c r="S632" i="3" s="1"/>
  <c r="I496" i="3"/>
  <c r="M496" i="3" s="1"/>
  <c r="AS238" i="3"/>
  <c r="G238" i="3"/>
  <c r="AM877" i="3" l="1"/>
  <c r="AQ877" i="3" s="1"/>
  <c r="AG846" i="3"/>
  <c r="AK846" i="3" s="1"/>
  <c r="U648" i="3"/>
  <c r="Y648" i="3" s="1"/>
  <c r="AA640" i="3"/>
  <c r="AE640" i="3" s="1"/>
  <c r="O633" i="3"/>
  <c r="S633" i="3" s="1"/>
  <c r="O634" i="3" s="1"/>
  <c r="S634" i="3" s="1"/>
  <c r="I497" i="3"/>
  <c r="M497" i="3" s="1"/>
  <c r="AX238" i="3"/>
  <c r="AZ238" i="3" s="1"/>
  <c r="C239" i="3"/>
  <c r="AM878" i="3" l="1"/>
  <c r="AQ878" i="3" s="1"/>
  <c r="AG847" i="3"/>
  <c r="AK847" i="3" s="1"/>
  <c r="U649" i="3"/>
  <c r="Y649" i="3" s="1"/>
  <c r="AA641" i="3"/>
  <c r="AE641" i="3" s="1"/>
  <c r="AA642" i="3" s="1"/>
  <c r="AE642" i="3" s="1"/>
  <c r="O635" i="3"/>
  <c r="S635" i="3" s="1"/>
  <c r="I498" i="3"/>
  <c r="M498" i="3" s="1"/>
  <c r="AS239" i="3"/>
  <c r="G239" i="3"/>
  <c r="AM879" i="3" l="1"/>
  <c r="AQ879" i="3" s="1"/>
  <c r="AG848" i="3"/>
  <c r="AK848" i="3" s="1"/>
  <c r="U650" i="3"/>
  <c r="Y650" i="3" s="1"/>
  <c r="AA643" i="3"/>
  <c r="AE643" i="3" s="1"/>
  <c r="O636" i="3"/>
  <c r="S636" i="3" s="1"/>
  <c r="I499" i="3"/>
  <c r="M499" i="3" s="1"/>
  <c r="I500" i="3" s="1"/>
  <c r="AX239" i="3"/>
  <c r="AZ239" i="3" s="1"/>
  <c r="C240" i="3"/>
  <c r="AM880" i="3" l="1"/>
  <c r="AQ880" i="3" s="1"/>
  <c r="AG849" i="3"/>
  <c r="AK849" i="3" s="1"/>
  <c r="U651" i="3"/>
  <c r="Y651" i="3" s="1"/>
  <c r="AA644" i="3"/>
  <c r="AE644" i="3" s="1"/>
  <c r="O637" i="3"/>
  <c r="S637" i="3" s="1"/>
  <c r="M500" i="3"/>
  <c r="AS240" i="3"/>
  <c r="G240" i="3"/>
  <c r="AM881" i="3" l="1"/>
  <c r="AQ881" i="3" s="1"/>
  <c r="AG850" i="3"/>
  <c r="AK850" i="3" s="1"/>
  <c r="U652" i="3"/>
  <c r="Y652" i="3" s="1"/>
  <c r="AA645" i="3"/>
  <c r="AE645" i="3" s="1"/>
  <c r="O638" i="3"/>
  <c r="S638" i="3" s="1"/>
  <c r="I501" i="3"/>
  <c r="M501" i="3" s="1"/>
  <c r="AX240" i="3"/>
  <c r="AZ240" i="3" s="1"/>
  <c r="C241" i="3"/>
  <c r="AM882" i="3" l="1"/>
  <c r="AQ882" i="3" s="1"/>
  <c r="AG851" i="3"/>
  <c r="AK851" i="3" s="1"/>
  <c r="U653" i="3"/>
  <c r="Y653" i="3" s="1"/>
  <c r="AA646" i="3"/>
  <c r="AE646" i="3" s="1"/>
  <c r="O639" i="3"/>
  <c r="S639" i="3" s="1"/>
  <c r="I502" i="3"/>
  <c r="M502" i="3" s="1"/>
  <c r="AS241" i="3"/>
  <c r="G241" i="3"/>
  <c r="AX241" i="3" s="1"/>
  <c r="AM883" i="3" l="1"/>
  <c r="AQ883" i="3" s="1"/>
  <c r="AG852" i="3"/>
  <c r="AK852" i="3" s="1"/>
  <c r="AG853" i="3" s="1"/>
  <c r="AK853" i="3" s="1"/>
  <c r="U654" i="3"/>
  <c r="Y654" i="3" s="1"/>
  <c r="AA647" i="3"/>
  <c r="AE647" i="3" s="1"/>
  <c r="O640" i="3"/>
  <c r="S640" i="3" s="1"/>
  <c r="I503" i="3"/>
  <c r="M503" i="3" s="1"/>
  <c r="AZ241" i="3"/>
  <c r="C242" i="3"/>
  <c r="AM884" i="3" l="1"/>
  <c r="AQ884" i="3" s="1"/>
  <c r="AG854" i="3"/>
  <c r="AK854" i="3" s="1"/>
  <c r="U655" i="3"/>
  <c r="Y655" i="3" s="1"/>
  <c r="AA648" i="3"/>
  <c r="AE648" i="3" s="1"/>
  <c r="O641" i="3"/>
  <c r="S641" i="3" s="1"/>
  <c r="O642" i="3" s="1"/>
  <c r="S642" i="3" s="1"/>
  <c r="I504" i="3"/>
  <c r="M504" i="3" s="1"/>
  <c r="I505" i="3" s="1"/>
  <c r="AS242" i="3"/>
  <c r="G242" i="3"/>
  <c r="AM885" i="3" l="1"/>
  <c r="AQ885" i="3" s="1"/>
  <c r="AG855" i="3"/>
  <c r="AK855" i="3" s="1"/>
  <c r="U656" i="3"/>
  <c r="Y656" i="3" s="1"/>
  <c r="AA649" i="3"/>
  <c r="AE649" i="3" s="1"/>
  <c r="O643" i="3"/>
  <c r="S643" i="3" s="1"/>
  <c r="M505" i="3"/>
  <c r="AX242" i="3"/>
  <c r="AZ242" i="3" s="1"/>
  <c r="C243" i="3"/>
  <c r="AM886" i="3" l="1"/>
  <c r="AQ886" i="3" s="1"/>
  <c r="AG856" i="3"/>
  <c r="AK856" i="3" s="1"/>
  <c r="U657" i="3"/>
  <c r="Y657" i="3" s="1"/>
  <c r="AA650" i="3"/>
  <c r="AE650" i="3" s="1"/>
  <c r="O644" i="3"/>
  <c r="S644" i="3" s="1"/>
  <c r="I506" i="3"/>
  <c r="M506" i="3" s="1"/>
  <c r="AS243" i="3"/>
  <c r="G243" i="3"/>
  <c r="AM887" i="3" l="1"/>
  <c r="AQ887" i="3" s="1"/>
  <c r="AG857" i="3"/>
  <c r="AK857" i="3" s="1"/>
  <c r="U658" i="3"/>
  <c r="Y658" i="3" s="1"/>
  <c r="AA651" i="3"/>
  <c r="AE651" i="3" s="1"/>
  <c r="O645" i="3"/>
  <c r="S645" i="3" s="1"/>
  <c r="I507" i="3"/>
  <c r="M507" i="3" s="1"/>
  <c r="AX243" i="3"/>
  <c r="AZ243" i="3" s="1"/>
  <c r="C244" i="3"/>
  <c r="AM888" i="3" l="1"/>
  <c r="AQ888" i="3" s="1"/>
  <c r="AG858" i="3"/>
  <c r="AK858" i="3" s="1"/>
  <c r="U659" i="3"/>
  <c r="Y659" i="3" s="1"/>
  <c r="U660" i="3" s="1"/>
  <c r="Y660" i="3" s="1"/>
  <c r="AA652" i="3"/>
  <c r="AE652" i="3" s="1"/>
  <c r="O646" i="3"/>
  <c r="S646" i="3" s="1"/>
  <c r="I508" i="3"/>
  <c r="M508" i="3" s="1"/>
  <c r="I509" i="3" s="1"/>
  <c r="AS244" i="3"/>
  <c r="G244" i="3"/>
  <c r="AM889" i="3" l="1"/>
  <c r="AQ889" i="3" s="1"/>
  <c r="AG859" i="3"/>
  <c r="AK859" i="3" s="1"/>
  <c r="U661" i="3"/>
  <c r="Y661" i="3" s="1"/>
  <c r="AA653" i="3"/>
  <c r="AE653" i="3" s="1"/>
  <c r="O647" i="3"/>
  <c r="S647" i="3" s="1"/>
  <c r="M509" i="3"/>
  <c r="AX244" i="3"/>
  <c r="AZ244" i="3" s="1"/>
  <c r="C245" i="3"/>
  <c r="AM890" i="3" l="1"/>
  <c r="AQ890" i="3" s="1"/>
  <c r="AG860" i="3"/>
  <c r="AK860" i="3" s="1"/>
  <c r="U662" i="3"/>
  <c r="Y662" i="3" s="1"/>
  <c r="AA654" i="3"/>
  <c r="AE654" i="3" s="1"/>
  <c r="O648" i="3"/>
  <c r="S648" i="3" s="1"/>
  <c r="I510" i="3"/>
  <c r="M510" i="3" s="1"/>
  <c r="I511" i="3" s="1"/>
  <c r="AS245" i="3"/>
  <c r="G245" i="3"/>
  <c r="AX245" i="3" s="1"/>
  <c r="AM891" i="3" l="1"/>
  <c r="AQ891" i="3" s="1"/>
  <c r="AG861" i="3"/>
  <c r="AK861" i="3" s="1"/>
  <c r="U663" i="3"/>
  <c r="Y663" i="3" s="1"/>
  <c r="AA655" i="3"/>
  <c r="AE655" i="3" s="1"/>
  <c r="O649" i="3"/>
  <c r="S649" i="3" s="1"/>
  <c r="M511" i="3"/>
  <c r="I512" i="3" s="1"/>
  <c r="AZ245" i="3"/>
  <c r="C246" i="3"/>
  <c r="AM892" i="3" l="1"/>
  <c r="AQ892" i="3" s="1"/>
  <c r="AG862" i="3"/>
  <c r="AK862" i="3" s="1"/>
  <c r="U664" i="3"/>
  <c r="Y664" i="3" s="1"/>
  <c r="U665" i="3" s="1"/>
  <c r="Y665" i="3" s="1"/>
  <c r="AA656" i="3"/>
  <c r="AE656" i="3" s="1"/>
  <c r="O650" i="3"/>
  <c r="S650" i="3" s="1"/>
  <c r="M512" i="3"/>
  <c r="AS246" i="3"/>
  <c r="G246" i="3"/>
  <c r="AX246" i="3" s="1"/>
  <c r="AM893" i="3" l="1"/>
  <c r="AQ893" i="3" s="1"/>
  <c r="AG863" i="3"/>
  <c r="AK863" i="3" s="1"/>
  <c r="U666" i="3"/>
  <c r="Y666" i="3" s="1"/>
  <c r="U667" i="3" s="1"/>
  <c r="Y667" i="3" s="1"/>
  <c r="U668" i="3" s="1"/>
  <c r="Y668" i="3" s="1"/>
  <c r="U669" i="3" s="1"/>
  <c r="Y669" i="3" s="1"/>
  <c r="U670" i="3" s="1"/>
  <c r="Y670" i="3" s="1"/>
  <c r="U671" i="3" s="1"/>
  <c r="Y671" i="3" s="1"/>
  <c r="U672" i="3" s="1"/>
  <c r="Y672" i="3" s="1"/>
  <c r="AA657" i="3"/>
  <c r="AE657" i="3" s="1"/>
  <c r="O651" i="3"/>
  <c r="S651" i="3" s="1"/>
  <c r="I513" i="3"/>
  <c r="M513" i="3" s="1"/>
  <c r="AZ246" i="3"/>
  <c r="C247" i="3"/>
  <c r="AM894" i="3" l="1"/>
  <c r="AQ894" i="3" s="1"/>
  <c r="AG864" i="3"/>
  <c r="AK864" i="3" s="1"/>
  <c r="U673" i="3"/>
  <c r="Y673" i="3" s="1"/>
  <c r="AA658" i="3"/>
  <c r="AE658" i="3" s="1"/>
  <c r="O652" i="3"/>
  <c r="S652" i="3" s="1"/>
  <c r="I514" i="3"/>
  <c r="M514" i="3" s="1"/>
  <c r="AS247" i="3"/>
  <c r="G247" i="3"/>
  <c r="AM895" i="3" l="1"/>
  <c r="AQ895" i="3" s="1"/>
  <c r="AG865" i="3"/>
  <c r="AK865" i="3" s="1"/>
  <c r="U674" i="3"/>
  <c r="Y674" i="3" s="1"/>
  <c r="U675" i="3" s="1"/>
  <c r="Y675" i="3" s="1"/>
  <c r="AA659" i="3"/>
  <c r="AE659" i="3" s="1"/>
  <c r="AA660" i="3" s="1"/>
  <c r="AE660" i="3" s="1"/>
  <c r="O653" i="3"/>
  <c r="S653" i="3" s="1"/>
  <c r="I515" i="3"/>
  <c r="M515" i="3" s="1"/>
  <c r="AX247" i="3"/>
  <c r="AZ247" i="3" s="1"/>
  <c r="C248" i="3"/>
  <c r="AM896" i="3" l="1"/>
  <c r="AQ896" i="3" s="1"/>
  <c r="AG866" i="3"/>
  <c r="AK866" i="3" s="1"/>
  <c r="U676" i="3"/>
  <c r="Y676" i="3" s="1"/>
  <c r="U677" i="3" s="1"/>
  <c r="Y677" i="3" s="1"/>
  <c r="AA661" i="3"/>
  <c r="AE661" i="3" s="1"/>
  <c r="O654" i="3"/>
  <c r="S654" i="3" s="1"/>
  <c r="I516" i="3"/>
  <c r="M516" i="3" s="1"/>
  <c r="AS248" i="3"/>
  <c r="G248" i="3"/>
  <c r="AX248" i="3" s="1"/>
  <c r="AM897" i="3" l="1"/>
  <c r="AQ897" i="3" s="1"/>
  <c r="AG867" i="3"/>
  <c r="AK867" i="3" s="1"/>
  <c r="U678" i="3"/>
  <c r="Y678" i="3" s="1"/>
  <c r="AA662" i="3"/>
  <c r="AE662" i="3" s="1"/>
  <c r="O655" i="3"/>
  <c r="S655" i="3" s="1"/>
  <c r="I517" i="3"/>
  <c r="M517" i="3" s="1"/>
  <c r="AZ248" i="3"/>
  <c r="C249" i="3"/>
  <c r="AM898" i="3" l="1"/>
  <c r="AQ898" i="3" s="1"/>
  <c r="AG868" i="3"/>
  <c r="AK868" i="3" s="1"/>
  <c r="U679" i="3"/>
  <c r="Y679" i="3" s="1"/>
  <c r="U680" i="3" s="1"/>
  <c r="Y680" i="3" s="1"/>
  <c r="AA663" i="3"/>
  <c r="AE663" i="3" s="1"/>
  <c r="O656" i="3"/>
  <c r="S656" i="3" s="1"/>
  <c r="I518" i="3"/>
  <c r="M518" i="3" s="1"/>
  <c r="I519" i="3" s="1"/>
  <c r="AS249" i="3"/>
  <c r="G249" i="3"/>
  <c r="AX249" i="3" s="1"/>
  <c r="AM899" i="3" l="1"/>
  <c r="AQ899" i="3" s="1"/>
  <c r="AG869" i="3"/>
  <c r="AK869" i="3" s="1"/>
  <c r="U681" i="3"/>
  <c r="Y681" i="3" s="1"/>
  <c r="AA664" i="3"/>
  <c r="AE664" i="3" s="1"/>
  <c r="AA665" i="3" s="1"/>
  <c r="AE665" i="3" s="1"/>
  <c r="O657" i="3"/>
  <c r="S657" i="3" s="1"/>
  <c r="M519" i="3"/>
  <c r="AZ249" i="3"/>
  <c r="C250" i="3"/>
  <c r="AM900" i="3" l="1"/>
  <c r="AQ900" i="3" s="1"/>
  <c r="AG870" i="3"/>
  <c r="AK870" i="3" s="1"/>
  <c r="U682" i="3"/>
  <c r="Y682" i="3" s="1"/>
  <c r="AA666" i="3"/>
  <c r="AE666" i="3" s="1"/>
  <c r="AA667" i="3" s="1"/>
  <c r="AE667" i="3" s="1"/>
  <c r="AA668" i="3" s="1"/>
  <c r="AE668" i="3" s="1"/>
  <c r="AA669" i="3" s="1"/>
  <c r="AE669" i="3" s="1"/>
  <c r="O658" i="3"/>
  <c r="S658" i="3" s="1"/>
  <c r="I520" i="3"/>
  <c r="M520" i="3" s="1"/>
  <c r="AS250" i="3"/>
  <c r="G250" i="3"/>
  <c r="AM901" i="3" l="1"/>
  <c r="AQ901" i="3" s="1"/>
  <c r="AG871" i="3"/>
  <c r="AK871" i="3" s="1"/>
  <c r="U683" i="3"/>
  <c r="Y683" i="3" s="1"/>
  <c r="U684" i="3" s="1"/>
  <c r="Y684" i="3" s="1"/>
  <c r="AA670" i="3"/>
  <c r="AE670" i="3" s="1"/>
  <c r="AA671" i="3" s="1"/>
  <c r="AE671" i="3" s="1"/>
  <c r="AA672" i="3" s="1"/>
  <c r="AE672" i="3" s="1"/>
  <c r="AA673" i="3" s="1"/>
  <c r="AE673" i="3" s="1"/>
  <c r="O659" i="3"/>
  <c r="S659" i="3" s="1"/>
  <c r="O660" i="3" s="1"/>
  <c r="S660" i="3" s="1"/>
  <c r="I521" i="3"/>
  <c r="M521" i="3" s="1"/>
  <c r="AX250" i="3"/>
  <c r="AZ250" i="3" s="1"/>
  <c r="C251" i="3"/>
  <c r="AM902" i="3" l="1"/>
  <c r="AQ902" i="3" s="1"/>
  <c r="AG872" i="3"/>
  <c r="AK872" i="3" s="1"/>
  <c r="AG873" i="3" s="1"/>
  <c r="AK873" i="3" s="1"/>
  <c r="U685" i="3"/>
  <c r="Y685" i="3" s="1"/>
  <c r="AA674" i="3"/>
  <c r="AE674" i="3" s="1"/>
  <c r="AA675" i="3" s="1"/>
  <c r="AE675" i="3" s="1"/>
  <c r="O661" i="3"/>
  <c r="S661" i="3" s="1"/>
  <c r="I522" i="3"/>
  <c r="M522" i="3" s="1"/>
  <c r="AS251" i="3"/>
  <c r="G251" i="3"/>
  <c r="AX251" i="3" s="1"/>
  <c r="AM903" i="3" l="1"/>
  <c r="AQ903" i="3" s="1"/>
  <c r="AG874" i="3"/>
  <c r="AK874" i="3" s="1"/>
  <c r="U686" i="3"/>
  <c r="Y686" i="3" s="1"/>
  <c r="U687" i="3" s="1"/>
  <c r="Y687" i="3" s="1"/>
  <c r="AA676" i="3"/>
  <c r="AE676" i="3" s="1"/>
  <c r="AA677" i="3" s="1"/>
  <c r="AE677" i="3" s="1"/>
  <c r="O662" i="3"/>
  <c r="S662" i="3" s="1"/>
  <c r="I523" i="3"/>
  <c r="M523" i="3" s="1"/>
  <c r="AZ251" i="3"/>
  <c r="C252" i="3"/>
  <c r="AS252" i="3" s="1"/>
  <c r="AM904" i="3" l="1"/>
  <c r="AQ904" i="3" s="1"/>
  <c r="AG875" i="3"/>
  <c r="AK875" i="3" s="1"/>
  <c r="U688" i="3"/>
  <c r="Y688" i="3" s="1"/>
  <c r="AA678" i="3"/>
  <c r="AE678" i="3" s="1"/>
  <c r="O663" i="3"/>
  <c r="S663" i="3" s="1"/>
  <c r="I524" i="3"/>
  <c r="M524" i="3" s="1"/>
  <c r="G252" i="3"/>
  <c r="AM905" i="3" l="1"/>
  <c r="AQ905" i="3" s="1"/>
  <c r="AG876" i="3"/>
  <c r="AK876" i="3" s="1"/>
  <c r="AG877" i="3" s="1"/>
  <c r="AK877" i="3" s="1"/>
  <c r="U689" i="3"/>
  <c r="Y689" i="3" s="1"/>
  <c r="AA679" i="3"/>
  <c r="AE679" i="3" s="1"/>
  <c r="AA680" i="3" s="1"/>
  <c r="AE680" i="3" s="1"/>
  <c r="O664" i="3"/>
  <c r="S664" i="3" s="1"/>
  <c r="O665" i="3" s="1"/>
  <c r="S665" i="3" s="1"/>
  <c r="I525" i="3"/>
  <c r="M525" i="3" s="1"/>
  <c r="AX252" i="3"/>
  <c r="AZ252" i="3" s="1"/>
  <c r="C253" i="3"/>
  <c r="AS253" i="3" s="1"/>
  <c r="AM906" i="3" l="1"/>
  <c r="AQ906" i="3" s="1"/>
  <c r="AG878" i="3"/>
  <c r="AK878" i="3" s="1"/>
  <c r="U690" i="3"/>
  <c r="Y690" i="3" s="1"/>
  <c r="AA681" i="3"/>
  <c r="AE681" i="3" s="1"/>
  <c r="O666" i="3"/>
  <c r="S666" i="3" s="1"/>
  <c r="I526" i="3"/>
  <c r="M526" i="3" s="1"/>
  <c r="G253" i="3"/>
  <c r="AM907" i="3" l="1"/>
  <c r="AQ907" i="3" s="1"/>
  <c r="AG879" i="3"/>
  <c r="AK879" i="3" s="1"/>
  <c r="U691" i="3"/>
  <c r="Y691" i="3" s="1"/>
  <c r="U692" i="3" s="1"/>
  <c r="Y692" i="3" s="1"/>
  <c r="AA682" i="3"/>
  <c r="AE682" i="3" s="1"/>
  <c r="O667" i="3"/>
  <c r="S667" i="3" s="1"/>
  <c r="O668" i="3" s="1"/>
  <c r="S668" i="3" s="1"/>
  <c r="O669" i="3" s="1"/>
  <c r="S669" i="3" s="1"/>
  <c r="I527" i="3"/>
  <c r="M527" i="3" s="1"/>
  <c r="I528" i="3" s="1"/>
  <c r="AX253" i="3"/>
  <c r="AZ253" i="3" s="1"/>
  <c r="C254" i="3"/>
  <c r="AS254" i="3" s="1"/>
  <c r="AM908" i="3" l="1"/>
  <c r="AQ908" i="3" s="1"/>
  <c r="AG880" i="3"/>
  <c r="AK880" i="3" s="1"/>
  <c r="U693" i="3"/>
  <c r="Y693" i="3" s="1"/>
  <c r="AA683" i="3"/>
  <c r="AE683" i="3" s="1"/>
  <c r="AA684" i="3" s="1"/>
  <c r="AE684" i="3" s="1"/>
  <c r="O670" i="3"/>
  <c r="S670" i="3" s="1"/>
  <c r="O671" i="3" s="1"/>
  <c r="S671" i="3" s="1"/>
  <c r="O672" i="3" s="1"/>
  <c r="S672" i="3" s="1"/>
  <c r="O673" i="3" s="1"/>
  <c r="S673" i="3" s="1"/>
  <c r="M528" i="3"/>
  <c r="G254" i="3"/>
  <c r="AM909" i="3" l="1"/>
  <c r="AQ909" i="3" s="1"/>
  <c r="AG881" i="3"/>
  <c r="AK881" i="3" s="1"/>
  <c r="U694" i="3"/>
  <c r="Y694" i="3" s="1"/>
  <c r="AA685" i="3"/>
  <c r="AE685" i="3" s="1"/>
  <c r="O674" i="3"/>
  <c r="S674" i="3" s="1"/>
  <c r="O675" i="3" s="1"/>
  <c r="S675" i="3" s="1"/>
  <c r="I529" i="3"/>
  <c r="M529" i="3" s="1"/>
  <c r="I530" i="3" s="1"/>
  <c r="AX254" i="3"/>
  <c r="AZ254" i="3" s="1"/>
  <c r="C255" i="3"/>
  <c r="AS255" i="3" s="1"/>
  <c r="AM910" i="3" l="1"/>
  <c r="AQ910" i="3" s="1"/>
  <c r="AG882" i="3"/>
  <c r="AK882" i="3" s="1"/>
  <c r="U695" i="3"/>
  <c r="Y695" i="3" s="1"/>
  <c r="AA686" i="3"/>
  <c r="AE686" i="3" s="1"/>
  <c r="AA687" i="3" s="1"/>
  <c r="AE687" i="3" s="1"/>
  <c r="O676" i="3"/>
  <c r="S676" i="3" s="1"/>
  <c r="O677" i="3" s="1"/>
  <c r="S677" i="3" s="1"/>
  <c r="M530" i="3"/>
  <c r="I531" i="3" s="1"/>
  <c r="G255" i="3"/>
  <c r="AM911" i="3" l="1"/>
  <c r="AQ911" i="3" s="1"/>
  <c r="AG883" i="3"/>
  <c r="AK883" i="3" s="1"/>
  <c r="U696" i="3"/>
  <c r="Y696" i="3" s="1"/>
  <c r="AA688" i="3"/>
  <c r="AE688" i="3" s="1"/>
  <c r="O678" i="3"/>
  <c r="S678" i="3" s="1"/>
  <c r="M531" i="3"/>
  <c r="AX255" i="3"/>
  <c r="C256" i="3"/>
  <c r="AS256" i="3" s="1"/>
  <c r="AM912" i="3" l="1"/>
  <c r="AQ912" i="3" s="1"/>
  <c r="AG884" i="3"/>
  <c r="AK884" i="3" s="1"/>
  <c r="U697" i="3"/>
  <c r="Y697" i="3" s="1"/>
  <c r="AA689" i="3"/>
  <c r="AE689" i="3" s="1"/>
  <c r="O679" i="3"/>
  <c r="S679" i="3" s="1"/>
  <c r="O680" i="3" s="1"/>
  <c r="S680" i="3" s="1"/>
  <c r="I532" i="3"/>
  <c r="M532" i="3" s="1"/>
  <c r="AZ255" i="3"/>
  <c r="BB255" i="3"/>
  <c r="BB257" i="3" s="1"/>
  <c r="G256" i="3"/>
  <c r="AM913" i="3" l="1"/>
  <c r="AQ913" i="3" s="1"/>
  <c r="AG885" i="3"/>
  <c r="AK885" i="3" s="1"/>
  <c r="U698" i="3"/>
  <c r="Y698" i="3" s="1"/>
  <c r="AA690" i="3"/>
  <c r="AE690" i="3" s="1"/>
  <c r="O681" i="3"/>
  <c r="S681" i="3" s="1"/>
  <c r="I533" i="3"/>
  <c r="M533" i="3" s="1"/>
  <c r="AX256" i="3"/>
  <c r="AZ256" i="3" s="1"/>
  <c r="C257" i="3"/>
  <c r="AS257" i="3" s="1"/>
  <c r="AM914" i="3" l="1"/>
  <c r="AQ914" i="3" s="1"/>
  <c r="AG886" i="3"/>
  <c r="AK886" i="3" s="1"/>
  <c r="AG887" i="3" s="1"/>
  <c r="AK887" i="3" s="1"/>
  <c r="U699" i="3"/>
  <c r="Y699" i="3" s="1"/>
  <c r="AA691" i="3"/>
  <c r="AE691" i="3" s="1"/>
  <c r="AA692" i="3" s="1"/>
  <c r="AE692" i="3" s="1"/>
  <c r="O682" i="3"/>
  <c r="S682" i="3" s="1"/>
  <c r="I534" i="3"/>
  <c r="M534" i="3" s="1"/>
  <c r="G257" i="3"/>
  <c r="AM915" i="3" l="1"/>
  <c r="AQ915" i="3" s="1"/>
  <c r="AG888" i="3"/>
  <c r="AK888" i="3" s="1"/>
  <c r="U700" i="3"/>
  <c r="Y700" i="3" s="1"/>
  <c r="AA693" i="3"/>
  <c r="AE693" i="3" s="1"/>
  <c r="O683" i="3"/>
  <c r="S683" i="3" s="1"/>
  <c r="O684" i="3" s="1"/>
  <c r="S684" i="3" s="1"/>
  <c r="I535" i="3"/>
  <c r="M535" i="3" s="1"/>
  <c r="AX257" i="3"/>
  <c r="AZ257" i="3" s="1"/>
  <c r="C258" i="3"/>
  <c r="AS258" i="3" s="1"/>
  <c r="AM916" i="3" l="1"/>
  <c r="AQ916" i="3" s="1"/>
  <c r="AG889" i="3"/>
  <c r="AK889" i="3" s="1"/>
  <c r="U701" i="3"/>
  <c r="Y701" i="3" s="1"/>
  <c r="AA694" i="3"/>
  <c r="AE694" i="3" s="1"/>
  <c r="O685" i="3"/>
  <c r="S685" i="3" s="1"/>
  <c r="I536" i="3"/>
  <c r="M536" i="3" s="1"/>
  <c r="G258" i="3"/>
  <c r="AX258" i="3" s="1"/>
  <c r="AM917" i="3" l="1"/>
  <c r="AQ917" i="3" s="1"/>
  <c r="AG890" i="3"/>
  <c r="AK890" i="3" s="1"/>
  <c r="U702" i="3"/>
  <c r="Y702" i="3" s="1"/>
  <c r="AA695" i="3"/>
  <c r="AE695" i="3" s="1"/>
  <c r="O686" i="3"/>
  <c r="S686" i="3" s="1"/>
  <c r="I537" i="3"/>
  <c r="M537" i="3" s="1"/>
  <c r="AZ258" i="3"/>
  <c r="C259" i="3"/>
  <c r="AS259" i="3" s="1"/>
  <c r="AM918" i="3" l="1"/>
  <c r="AQ918" i="3" s="1"/>
  <c r="AG891" i="3"/>
  <c r="AK891" i="3" s="1"/>
  <c r="U703" i="3"/>
  <c r="Y703" i="3" s="1"/>
  <c r="AA696" i="3"/>
  <c r="AE696" i="3" s="1"/>
  <c r="O687" i="3"/>
  <c r="S687" i="3" s="1"/>
  <c r="I538" i="3"/>
  <c r="M538" i="3" s="1"/>
  <c r="G259" i="3"/>
  <c r="AM919" i="3" l="1"/>
  <c r="AQ919" i="3" s="1"/>
  <c r="AG892" i="3"/>
  <c r="AK892" i="3" s="1"/>
  <c r="U704" i="3"/>
  <c r="Y704" i="3" s="1"/>
  <c r="U705" i="3" s="1"/>
  <c r="Y705" i="3" s="1"/>
  <c r="AA697" i="3"/>
  <c r="AE697" i="3" s="1"/>
  <c r="O688" i="3"/>
  <c r="S688" i="3" s="1"/>
  <c r="I539" i="3"/>
  <c r="M539" i="3" s="1"/>
  <c r="AX259" i="3"/>
  <c r="AZ259" i="3" s="1"/>
  <c r="C260" i="3"/>
  <c r="AS260" i="3" s="1"/>
  <c r="AM920" i="3" l="1"/>
  <c r="AQ920" i="3" s="1"/>
  <c r="AG893" i="3"/>
  <c r="AK893" i="3" s="1"/>
  <c r="AG894" i="3" s="1"/>
  <c r="AK894" i="3" s="1"/>
  <c r="U706" i="3"/>
  <c r="Y706" i="3" s="1"/>
  <c r="AA698" i="3"/>
  <c r="AE698" i="3" s="1"/>
  <c r="O689" i="3"/>
  <c r="S689" i="3" s="1"/>
  <c r="I540" i="3"/>
  <c r="M540" i="3" s="1"/>
  <c r="G260" i="3"/>
  <c r="AM921" i="3" l="1"/>
  <c r="AQ921" i="3" s="1"/>
  <c r="AG895" i="3"/>
  <c r="AK895" i="3" s="1"/>
  <c r="U707" i="3"/>
  <c r="Y707" i="3" s="1"/>
  <c r="U708" i="3" s="1"/>
  <c r="Y708" i="3" s="1"/>
  <c r="AA699" i="3"/>
  <c r="AE699" i="3" s="1"/>
  <c r="O690" i="3"/>
  <c r="S690" i="3" s="1"/>
  <c r="I541" i="3"/>
  <c r="M541" i="3" s="1"/>
  <c r="AX260" i="3"/>
  <c r="AZ260" i="3" s="1"/>
  <c r="C261" i="3"/>
  <c r="AS261" i="3" s="1"/>
  <c r="AM922" i="3" l="1"/>
  <c r="AQ922" i="3" s="1"/>
  <c r="AG896" i="3"/>
  <c r="AK896" i="3" s="1"/>
  <c r="U709" i="3"/>
  <c r="Y709" i="3" s="1"/>
  <c r="AA700" i="3"/>
  <c r="AE700" i="3" s="1"/>
  <c r="O691" i="3"/>
  <c r="S691" i="3" s="1"/>
  <c r="O692" i="3" s="1"/>
  <c r="S692" i="3" s="1"/>
  <c r="I542" i="3"/>
  <c r="M542" i="3" s="1"/>
  <c r="G261" i="3"/>
  <c r="AM923" i="3" l="1"/>
  <c r="AQ923" i="3" s="1"/>
  <c r="AG897" i="3"/>
  <c r="AK897" i="3" s="1"/>
  <c r="U710" i="3"/>
  <c r="Y710" i="3" s="1"/>
  <c r="AA701" i="3"/>
  <c r="AE701" i="3" s="1"/>
  <c r="O693" i="3"/>
  <c r="S693" i="3" s="1"/>
  <c r="I543" i="3"/>
  <c r="M543" i="3" s="1"/>
  <c r="I544" i="3" s="1"/>
  <c r="AX261" i="3"/>
  <c r="AZ261" i="3" s="1"/>
  <c r="C262" i="3"/>
  <c r="AS262" i="3" s="1"/>
  <c r="AM924" i="3" l="1"/>
  <c r="AQ924" i="3" s="1"/>
  <c r="AG898" i="3"/>
  <c r="AK898" i="3" s="1"/>
  <c r="AG899" i="3" s="1"/>
  <c r="AK899" i="3" s="1"/>
  <c r="U711" i="3"/>
  <c r="Y711" i="3" s="1"/>
  <c r="U712" i="3" s="1"/>
  <c r="Y712" i="3" s="1"/>
  <c r="AA702" i="3"/>
  <c r="AE702" i="3" s="1"/>
  <c r="O694" i="3"/>
  <c r="S694" i="3" s="1"/>
  <c r="M544" i="3"/>
  <c r="G262" i="3"/>
  <c r="AM925" i="3" l="1"/>
  <c r="AQ925" i="3" s="1"/>
  <c r="AG900" i="3"/>
  <c r="AK900" i="3" s="1"/>
  <c r="U713" i="3"/>
  <c r="Y713" i="3" s="1"/>
  <c r="AA703" i="3"/>
  <c r="AE703" i="3" s="1"/>
  <c r="O695" i="3"/>
  <c r="S695" i="3" s="1"/>
  <c r="I545" i="3"/>
  <c r="M545" i="3" s="1"/>
  <c r="AX262" i="3"/>
  <c r="AZ262" i="3" s="1"/>
  <c r="C263" i="3"/>
  <c r="AS263" i="3" s="1"/>
  <c r="AM926" i="3" l="1"/>
  <c r="AQ926" i="3" s="1"/>
  <c r="AG901" i="3"/>
  <c r="AK901" i="3" s="1"/>
  <c r="U714" i="3"/>
  <c r="Y714" i="3" s="1"/>
  <c r="AA704" i="3"/>
  <c r="AE704" i="3" s="1"/>
  <c r="AA705" i="3" s="1"/>
  <c r="AE705" i="3" s="1"/>
  <c r="O696" i="3"/>
  <c r="S696" i="3" s="1"/>
  <c r="I546" i="3"/>
  <c r="M546" i="3" s="1"/>
  <c r="G263" i="3"/>
  <c r="AM927" i="3" l="1"/>
  <c r="AQ927" i="3" s="1"/>
  <c r="AG902" i="3"/>
  <c r="AK902" i="3" s="1"/>
  <c r="U715" i="3"/>
  <c r="Y715" i="3" s="1"/>
  <c r="AA706" i="3"/>
  <c r="AE706" i="3" s="1"/>
  <c r="O697" i="3"/>
  <c r="S697" i="3" s="1"/>
  <c r="I547" i="3"/>
  <c r="M547" i="3" s="1"/>
  <c r="AX263" i="3"/>
  <c r="AZ263" i="3" s="1"/>
  <c r="C264" i="3"/>
  <c r="AS264" i="3" s="1"/>
  <c r="AM928" i="3" l="1"/>
  <c r="AQ928" i="3" s="1"/>
  <c r="AG903" i="3"/>
  <c r="AK903" i="3" s="1"/>
  <c r="U716" i="3"/>
  <c r="Y716" i="3" s="1"/>
  <c r="AA707" i="3"/>
  <c r="AE707" i="3" s="1"/>
  <c r="AA708" i="3" s="1"/>
  <c r="AE708" i="3" s="1"/>
  <c r="O698" i="3"/>
  <c r="S698" i="3" s="1"/>
  <c r="I548" i="3"/>
  <c r="M548" i="3" s="1"/>
  <c r="G264" i="3"/>
  <c r="AM929" i="3" l="1"/>
  <c r="AQ929" i="3" s="1"/>
  <c r="AG904" i="3"/>
  <c r="AK904" i="3" s="1"/>
  <c r="U717" i="3"/>
  <c r="Y717" i="3" s="1"/>
  <c r="AA709" i="3"/>
  <c r="AE709" i="3" s="1"/>
  <c r="O699" i="3"/>
  <c r="S699" i="3" s="1"/>
  <c r="I549" i="3"/>
  <c r="M549" i="3" s="1"/>
  <c r="I550" i="3" s="1"/>
  <c r="AX264" i="3"/>
  <c r="AZ264" i="3" s="1"/>
  <c r="C265" i="3"/>
  <c r="AS265" i="3" s="1"/>
  <c r="AM930" i="3" l="1"/>
  <c r="AQ930" i="3" s="1"/>
  <c r="AG905" i="3"/>
  <c r="AK905" i="3" s="1"/>
  <c r="U718" i="3"/>
  <c r="Y718" i="3" s="1"/>
  <c r="AA710" i="3"/>
  <c r="AE710" i="3" s="1"/>
  <c r="O700" i="3"/>
  <c r="S700" i="3" s="1"/>
  <c r="M550" i="3"/>
  <c r="I551" i="3" s="1"/>
  <c r="AX265" i="3"/>
  <c r="G265" i="3"/>
  <c r="AM931" i="3" l="1"/>
  <c r="AQ931" i="3" s="1"/>
  <c r="AG906" i="3"/>
  <c r="AK906" i="3" s="1"/>
  <c r="AG907" i="3" s="1"/>
  <c r="AK907" i="3" s="1"/>
  <c r="U719" i="3"/>
  <c r="Y719" i="3" s="1"/>
  <c r="AA711" i="3"/>
  <c r="AE711" i="3" s="1"/>
  <c r="AA712" i="3" s="1"/>
  <c r="AE712" i="3" s="1"/>
  <c r="O701" i="3"/>
  <c r="S701" i="3" s="1"/>
  <c r="M551" i="3"/>
  <c r="AZ265" i="3"/>
  <c r="C266" i="3"/>
  <c r="AS266" i="3" s="1"/>
  <c r="AM932" i="3" l="1"/>
  <c r="AQ932" i="3" s="1"/>
  <c r="AG908" i="3"/>
  <c r="AK908" i="3" s="1"/>
  <c r="U720" i="3"/>
  <c r="Y720" i="3" s="1"/>
  <c r="AA713" i="3"/>
  <c r="AE713" i="3" s="1"/>
  <c r="O702" i="3"/>
  <c r="S702" i="3" s="1"/>
  <c r="I552" i="3"/>
  <c r="M552" i="3" s="1"/>
  <c r="I553" i="3" s="1"/>
  <c r="G266" i="3"/>
  <c r="AX266" i="3" s="1"/>
  <c r="AM933" i="3" l="1"/>
  <c r="AQ933" i="3" s="1"/>
  <c r="AG909" i="3"/>
  <c r="AK909" i="3" s="1"/>
  <c r="U721" i="3"/>
  <c r="Y721" i="3" s="1"/>
  <c r="AA714" i="3"/>
  <c r="AE714" i="3" s="1"/>
  <c r="AA715" i="3" s="1"/>
  <c r="AE715" i="3" s="1"/>
  <c r="O703" i="3"/>
  <c r="S703" i="3" s="1"/>
  <c r="M553" i="3"/>
  <c r="I554" i="3" s="1"/>
  <c r="AZ266" i="3"/>
  <c r="C267" i="3"/>
  <c r="AS267" i="3" s="1"/>
  <c r="AM934" i="3" l="1"/>
  <c r="AQ934" i="3" s="1"/>
  <c r="AG910" i="3"/>
  <c r="AK910" i="3" s="1"/>
  <c r="U722" i="3"/>
  <c r="Y722" i="3" s="1"/>
  <c r="AA716" i="3"/>
  <c r="AE716" i="3" s="1"/>
  <c r="O704" i="3"/>
  <c r="S704" i="3" s="1"/>
  <c r="O705" i="3" s="1"/>
  <c r="S705" i="3" s="1"/>
  <c r="M554" i="3"/>
  <c r="G267" i="3"/>
  <c r="AM935" i="3" l="1"/>
  <c r="AQ935" i="3" s="1"/>
  <c r="AG911" i="3"/>
  <c r="AK911" i="3" s="1"/>
  <c r="U723" i="3"/>
  <c r="Y723" i="3" s="1"/>
  <c r="AA717" i="3"/>
  <c r="AE717" i="3" s="1"/>
  <c r="O706" i="3"/>
  <c r="S706" i="3" s="1"/>
  <c r="I555" i="3"/>
  <c r="M555" i="3" s="1"/>
  <c r="AX267" i="3"/>
  <c r="AZ267" i="3" s="1"/>
  <c r="C268" i="3"/>
  <c r="AS268" i="3" s="1"/>
  <c r="AM936" i="3" l="1"/>
  <c r="AQ936" i="3" s="1"/>
  <c r="AG912" i="3"/>
  <c r="AK912" i="3" s="1"/>
  <c r="U724" i="3"/>
  <c r="Y724" i="3" s="1"/>
  <c r="U725" i="3" s="1"/>
  <c r="Y725" i="3" s="1"/>
  <c r="AA718" i="3"/>
  <c r="AE718" i="3" s="1"/>
  <c r="AA719" i="3" s="1"/>
  <c r="AE719" i="3" s="1"/>
  <c r="O707" i="3"/>
  <c r="S707" i="3" s="1"/>
  <c r="O708" i="3" s="1"/>
  <c r="S708" i="3" s="1"/>
  <c r="I556" i="3"/>
  <c r="M556" i="3" s="1"/>
  <c r="G268" i="3"/>
  <c r="AX268" i="3" s="1"/>
  <c r="AM937" i="3" l="1"/>
  <c r="AQ937" i="3" s="1"/>
  <c r="AG913" i="3"/>
  <c r="AK913" i="3" s="1"/>
  <c r="U726" i="3"/>
  <c r="Y726" i="3" s="1"/>
  <c r="U727" i="3" s="1"/>
  <c r="Y727" i="3" s="1"/>
  <c r="AA720" i="3"/>
  <c r="AE720" i="3" s="1"/>
  <c r="AA721" i="3" s="1"/>
  <c r="AE721" i="3" s="1"/>
  <c r="O709" i="3"/>
  <c r="S709" i="3" s="1"/>
  <c r="I557" i="3"/>
  <c r="M557" i="3" s="1"/>
  <c r="AZ268" i="3"/>
  <c r="C269" i="3"/>
  <c r="AS269" i="3" s="1"/>
  <c r="AM938" i="3" l="1"/>
  <c r="AQ938" i="3" s="1"/>
  <c r="AG914" i="3"/>
  <c r="AK914" i="3" s="1"/>
  <c r="AG915" i="3" s="1"/>
  <c r="AK915" i="3" s="1"/>
  <c r="U728" i="3"/>
  <c r="Y728" i="3" s="1"/>
  <c r="AA722" i="3"/>
  <c r="AE722" i="3" s="1"/>
  <c r="O710" i="3"/>
  <c r="S710" i="3" s="1"/>
  <c r="I558" i="3"/>
  <c r="M558" i="3" s="1"/>
  <c r="I559" i="3" s="1"/>
  <c r="G269" i="3"/>
  <c r="AX269" i="3" s="1"/>
  <c r="AM939" i="3" l="1"/>
  <c r="AQ939" i="3" s="1"/>
  <c r="AG916" i="3"/>
  <c r="AK916" i="3" s="1"/>
  <c r="AG917" i="3" s="1"/>
  <c r="AK917" i="3" s="1"/>
  <c r="U729" i="3"/>
  <c r="Y729" i="3" s="1"/>
  <c r="AA723" i="3"/>
  <c r="AE723" i="3" s="1"/>
  <c r="O711" i="3"/>
  <c r="S711" i="3" s="1"/>
  <c r="O712" i="3" s="1"/>
  <c r="S712" i="3" s="1"/>
  <c r="M559" i="3"/>
  <c r="I560" i="3" s="1"/>
  <c r="AZ269" i="3"/>
  <c r="C270" i="3"/>
  <c r="AS270" i="3" s="1"/>
  <c r="AM940" i="3" l="1"/>
  <c r="AQ940" i="3" s="1"/>
  <c r="AG918" i="3"/>
  <c r="AK918" i="3" s="1"/>
  <c r="U730" i="3"/>
  <c r="Y730" i="3" s="1"/>
  <c r="AA724" i="3"/>
  <c r="AE724" i="3" s="1"/>
  <c r="AA725" i="3" s="1"/>
  <c r="AE725" i="3" s="1"/>
  <c r="O713" i="3"/>
  <c r="S713" i="3" s="1"/>
  <c r="M560" i="3"/>
  <c r="G270" i="3"/>
  <c r="AM941" i="3" l="1"/>
  <c r="AQ941" i="3" s="1"/>
  <c r="AG919" i="3"/>
  <c r="AK919" i="3" s="1"/>
  <c r="U731" i="3"/>
  <c r="Y731" i="3" s="1"/>
  <c r="U732" i="3" s="1"/>
  <c r="Y732" i="3" s="1"/>
  <c r="AA726" i="3"/>
  <c r="AE726" i="3" s="1"/>
  <c r="AA727" i="3" s="1"/>
  <c r="AE727" i="3" s="1"/>
  <c r="O714" i="3"/>
  <c r="S714" i="3" s="1"/>
  <c r="I561" i="3"/>
  <c r="M561" i="3" s="1"/>
  <c r="AX270" i="3"/>
  <c r="AZ270" i="3" s="1"/>
  <c r="C271" i="3"/>
  <c r="AS271" i="3" s="1"/>
  <c r="AM942" i="3" l="1"/>
  <c r="AQ942" i="3" s="1"/>
  <c r="AG920" i="3"/>
  <c r="AK920" i="3" s="1"/>
  <c r="U733" i="3"/>
  <c r="Y733" i="3" s="1"/>
  <c r="AA728" i="3"/>
  <c r="AE728" i="3" s="1"/>
  <c r="O715" i="3"/>
  <c r="S715" i="3" s="1"/>
  <c r="I562" i="3"/>
  <c r="M562" i="3" s="1"/>
  <c r="G271" i="3"/>
  <c r="AM943" i="3" l="1"/>
  <c r="AQ943" i="3" s="1"/>
  <c r="AG921" i="3"/>
  <c r="AK921" i="3" s="1"/>
  <c r="U734" i="3"/>
  <c r="Y734" i="3" s="1"/>
  <c r="U735" i="3" s="1"/>
  <c r="Y735" i="3" s="1"/>
  <c r="AA729" i="3"/>
  <c r="AE729" i="3" s="1"/>
  <c r="O716" i="3"/>
  <c r="S716" i="3" s="1"/>
  <c r="I563" i="3"/>
  <c r="M563" i="3" s="1"/>
  <c r="I564" i="3" s="1"/>
  <c r="AX271" i="3"/>
  <c r="AZ271" i="3" s="1"/>
  <c r="C272" i="3"/>
  <c r="AS272" i="3" s="1"/>
  <c r="AM944" i="3" l="1"/>
  <c r="AQ944" i="3" s="1"/>
  <c r="AG922" i="3"/>
  <c r="AK922" i="3" s="1"/>
  <c r="U736" i="3"/>
  <c r="Y736" i="3" s="1"/>
  <c r="AA730" i="3"/>
  <c r="AE730" i="3" s="1"/>
  <c r="O717" i="3"/>
  <c r="S717" i="3" s="1"/>
  <c r="M564" i="3"/>
  <c r="I565" i="3" s="1"/>
  <c r="G272" i="3"/>
  <c r="AM945" i="3" l="1"/>
  <c r="AQ945" i="3" s="1"/>
  <c r="AG923" i="3"/>
  <c r="AK923" i="3" s="1"/>
  <c r="U737" i="3"/>
  <c r="Y737" i="3" s="1"/>
  <c r="AA731" i="3"/>
  <c r="AE731" i="3" s="1"/>
  <c r="AA732" i="3" s="1"/>
  <c r="AE732" i="3" s="1"/>
  <c r="O718" i="3"/>
  <c r="S718" i="3" s="1"/>
  <c r="M565" i="3"/>
  <c r="AX272" i="3"/>
  <c r="AZ272" i="3" s="1"/>
  <c r="C273" i="3"/>
  <c r="AS273" i="3" s="1"/>
  <c r="AM946" i="3" l="1"/>
  <c r="AQ946" i="3" s="1"/>
  <c r="AG924" i="3"/>
  <c r="AK924" i="3" s="1"/>
  <c r="AG925" i="3" s="1"/>
  <c r="AK925" i="3" s="1"/>
  <c r="U738" i="3"/>
  <c r="Y738" i="3" s="1"/>
  <c r="AA733" i="3"/>
  <c r="AE733" i="3" s="1"/>
  <c r="O719" i="3"/>
  <c r="S719" i="3" s="1"/>
  <c r="I566" i="3"/>
  <c r="M566" i="3" s="1"/>
  <c r="G273" i="3"/>
  <c r="AM947" i="3" l="1"/>
  <c r="AQ947" i="3" s="1"/>
  <c r="AG926" i="3"/>
  <c r="AK926" i="3" s="1"/>
  <c r="U739" i="3"/>
  <c r="Y739" i="3" s="1"/>
  <c r="AA734" i="3"/>
  <c r="AE734" i="3" s="1"/>
  <c r="AA735" i="3" s="1"/>
  <c r="AE735" i="3" s="1"/>
  <c r="O720" i="3"/>
  <c r="S720" i="3" s="1"/>
  <c r="I567" i="3"/>
  <c r="M567" i="3" s="1"/>
  <c r="I568" i="3" s="1"/>
  <c r="AX273" i="3"/>
  <c r="AZ273" i="3" s="1"/>
  <c r="C274" i="3"/>
  <c r="AS274" i="3" s="1"/>
  <c r="AM948" i="3" l="1"/>
  <c r="AQ948" i="3" s="1"/>
  <c r="AG927" i="3"/>
  <c r="AK927" i="3" s="1"/>
  <c r="AG928" i="3" s="1"/>
  <c r="AK928" i="3" s="1"/>
  <c r="U740" i="3"/>
  <c r="Y740" i="3" s="1"/>
  <c r="AA736" i="3"/>
  <c r="AE736" i="3" s="1"/>
  <c r="O721" i="3"/>
  <c r="S721" i="3" s="1"/>
  <c r="M568" i="3"/>
  <c r="G274" i="3"/>
  <c r="AM949" i="3" l="1"/>
  <c r="AQ949" i="3" s="1"/>
  <c r="AG929" i="3"/>
  <c r="AK929" i="3" s="1"/>
  <c r="U741" i="3"/>
  <c r="Y741" i="3" s="1"/>
  <c r="AA737" i="3"/>
  <c r="AE737" i="3" s="1"/>
  <c r="O722" i="3"/>
  <c r="S722" i="3" s="1"/>
  <c r="I569" i="3"/>
  <c r="M569" i="3" s="1"/>
  <c r="AX274" i="3"/>
  <c r="AZ274" i="3" s="1"/>
  <c r="C275" i="3"/>
  <c r="AS275" i="3" s="1"/>
  <c r="AM950" i="3" l="1"/>
  <c r="AQ950" i="3" s="1"/>
  <c r="AG930" i="3"/>
  <c r="AK930" i="3" s="1"/>
  <c r="U742" i="3"/>
  <c r="Y742" i="3" s="1"/>
  <c r="AA738" i="3"/>
  <c r="AE738" i="3" s="1"/>
  <c r="AA739" i="3" s="1"/>
  <c r="AE739" i="3" s="1"/>
  <c r="O723" i="3"/>
  <c r="S723" i="3" s="1"/>
  <c r="I570" i="3"/>
  <c r="M570" i="3" s="1"/>
  <c r="G275" i="3"/>
  <c r="AM951" i="3" l="1"/>
  <c r="AQ951" i="3" s="1"/>
  <c r="AG931" i="3"/>
  <c r="AK931" i="3" s="1"/>
  <c r="U743" i="3"/>
  <c r="Y743" i="3" s="1"/>
  <c r="AA740" i="3"/>
  <c r="AE740" i="3" s="1"/>
  <c r="O724" i="3"/>
  <c r="S724" i="3" s="1"/>
  <c r="O725" i="3" s="1"/>
  <c r="S725" i="3" s="1"/>
  <c r="I571" i="3"/>
  <c r="M571" i="3" s="1"/>
  <c r="AX275" i="3"/>
  <c r="AZ275" i="3" s="1"/>
  <c r="C276" i="3"/>
  <c r="AS276" i="3" s="1"/>
  <c r="AM952" i="3" l="1"/>
  <c r="AQ952" i="3" s="1"/>
  <c r="AG932" i="3"/>
  <c r="AK932" i="3" s="1"/>
  <c r="U744" i="3"/>
  <c r="Y744" i="3" s="1"/>
  <c r="U745" i="3" s="1"/>
  <c r="Y745" i="3" s="1"/>
  <c r="AA741" i="3"/>
  <c r="AE741" i="3" s="1"/>
  <c r="AA742" i="3" s="1"/>
  <c r="AE742" i="3" s="1"/>
  <c r="O726" i="3"/>
  <c r="S726" i="3" s="1"/>
  <c r="O727" i="3" s="1"/>
  <c r="S727" i="3" s="1"/>
  <c r="I572" i="3"/>
  <c r="M572" i="3" s="1"/>
  <c r="G276" i="3"/>
  <c r="AX276" i="3" s="1"/>
  <c r="AM953" i="3" l="1"/>
  <c r="AQ953" i="3" s="1"/>
  <c r="AG933" i="3"/>
  <c r="AK933" i="3" s="1"/>
  <c r="U746" i="3"/>
  <c r="Y746" i="3" s="1"/>
  <c r="AA743" i="3"/>
  <c r="AE743" i="3" s="1"/>
  <c r="O728" i="3"/>
  <c r="S728" i="3" s="1"/>
  <c r="I573" i="3"/>
  <c r="M573" i="3" s="1"/>
  <c r="AZ276" i="3"/>
  <c r="C277" i="3"/>
  <c r="AS277" i="3" s="1"/>
  <c r="AM954" i="3" l="1"/>
  <c r="AQ954" i="3" s="1"/>
  <c r="AG934" i="3"/>
  <c r="AK934" i="3" s="1"/>
  <c r="U747" i="3"/>
  <c r="Y747" i="3" s="1"/>
  <c r="AA744" i="3"/>
  <c r="AE744" i="3" s="1"/>
  <c r="O729" i="3"/>
  <c r="S729" i="3" s="1"/>
  <c r="I574" i="3"/>
  <c r="M574" i="3" s="1"/>
  <c r="G277" i="3"/>
  <c r="AM955" i="3" l="1"/>
  <c r="AQ955" i="3" s="1"/>
  <c r="AG935" i="3"/>
  <c r="AK935" i="3" s="1"/>
  <c r="U748" i="3"/>
  <c r="Y748" i="3" s="1"/>
  <c r="AA745" i="3"/>
  <c r="AE745" i="3" s="1"/>
  <c r="O730" i="3"/>
  <c r="S730" i="3" s="1"/>
  <c r="I575" i="3"/>
  <c r="M575" i="3" s="1"/>
  <c r="AX277" i="3"/>
  <c r="AZ277" i="3" s="1"/>
  <c r="C278" i="3"/>
  <c r="AS278" i="3" s="1"/>
  <c r="AM956" i="3" l="1"/>
  <c r="AQ956" i="3" s="1"/>
  <c r="AG936" i="3"/>
  <c r="AK936" i="3" s="1"/>
  <c r="U749" i="3"/>
  <c r="Y749" i="3" s="1"/>
  <c r="U750" i="3" s="1"/>
  <c r="Y750" i="3" s="1"/>
  <c r="AA746" i="3"/>
  <c r="AE746" i="3" s="1"/>
  <c r="O731" i="3"/>
  <c r="S731" i="3" s="1"/>
  <c r="O732" i="3" s="1"/>
  <c r="S732" i="3" s="1"/>
  <c r="I576" i="3"/>
  <c r="M576" i="3" s="1"/>
  <c r="G278" i="3"/>
  <c r="AM957" i="3" l="1"/>
  <c r="AQ957" i="3" s="1"/>
  <c r="AG937" i="3"/>
  <c r="AK937" i="3" s="1"/>
  <c r="U751" i="3"/>
  <c r="Y751" i="3" s="1"/>
  <c r="U752" i="3" s="1"/>
  <c r="Y752" i="3" s="1"/>
  <c r="AA747" i="3"/>
  <c r="AE747" i="3" s="1"/>
  <c r="O733" i="3"/>
  <c r="S733" i="3" s="1"/>
  <c r="I577" i="3"/>
  <c r="M577" i="3" s="1"/>
  <c r="AX278" i="3"/>
  <c r="AZ278" i="3" s="1"/>
  <c r="C279" i="3"/>
  <c r="AS279" i="3" s="1"/>
  <c r="AM958" i="3" l="1"/>
  <c r="AQ958" i="3" s="1"/>
  <c r="AG938" i="3"/>
  <c r="AK938" i="3" s="1"/>
  <c r="U753" i="3"/>
  <c r="Y753" i="3" s="1"/>
  <c r="AA748" i="3"/>
  <c r="AE748" i="3" s="1"/>
  <c r="O734" i="3"/>
  <c r="S734" i="3" s="1"/>
  <c r="O735" i="3" s="1"/>
  <c r="S735" i="3" s="1"/>
  <c r="I578" i="3"/>
  <c r="M578" i="3"/>
  <c r="G279" i="3"/>
  <c r="AX279" i="3" s="1"/>
  <c r="AM959" i="3" l="1"/>
  <c r="AQ959" i="3" s="1"/>
  <c r="AG939" i="3"/>
  <c r="AK939" i="3" s="1"/>
  <c r="U754" i="3"/>
  <c r="Y754" i="3" s="1"/>
  <c r="AA749" i="3"/>
  <c r="AE749" i="3" s="1"/>
  <c r="AA750" i="3" s="1"/>
  <c r="AE750" i="3" s="1"/>
  <c r="O736" i="3"/>
  <c r="S736" i="3" s="1"/>
  <c r="I579" i="3"/>
  <c r="M579" i="3" s="1"/>
  <c r="I580" i="3" s="1"/>
  <c r="AZ279" i="3"/>
  <c r="C280" i="3"/>
  <c r="AS280" i="3" s="1"/>
  <c r="AM960" i="3" l="1"/>
  <c r="AQ960" i="3" s="1"/>
  <c r="AG940" i="3"/>
  <c r="AK940" i="3" s="1"/>
  <c r="U755" i="3"/>
  <c r="Y755" i="3" s="1"/>
  <c r="AA751" i="3"/>
  <c r="AE751" i="3" s="1"/>
  <c r="AA752" i="3" s="1"/>
  <c r="AE752" i="3" s="1"/>
  <c r="O737" i="3"/>
  <c r="S737" i="3" s="1"/>
  <c r="M580" i="3"/>
  <c r="G280" i="3"/>
  <c r="AM961" i="3" l="1"/>
  <c r="AQ961" i="3" s="1"/>
  <c r="AG941" i="3"/>
  <c r="AK941" i="3" s="1"/>
  <c r="U756" i="3"/>
  <c r="Y756" i="3" s="1"/>
  <c r="U757" i="3" s="1"/>
  <c r="Y757" i="3" s="1"/>
  <c r="AA753" i="3"/>
  <c r="AE753" i="3" s="1"/>
  <c r="O738" i="3"/>
  <c r="S738" i="3" s="1"/>
  <c r="I581" i="3"/>
  <c r="M581" i="3" s="1"/>
  <c r="AX280" i="3"/>
  <c r="AZ280" i="3" s="1"/>
  <c r="C281" i="3"/>
  <c r="AS281" i="3" s="1"/>
  <c r="AM962" i="3" l="1"/>
  <c r="AQ962" i="3" s="1"/>
  <c r="AG942" i="3"/>
  <c r="AK942" i="3" s="1"/>
  <c r="U758" i="3"/>
  <c r="Y758" i="3" s="1"/>
  <c r="AA754" i="3"/>
  <c r="AE754" i="3" s="1"/>
  <c r="O739" i="3"/>
  <c r="S739" i="3" s="1"/>
  <c r="I582" i="3"/>
  <c r="M582" i="3" s="1"/>
  <c r="I583" i="3" s="1"/>
  <c r="M583" i="3" s="1"/>
  <c r="I584" i="3" s="1"/>
  <c r="M584" i="3" s="1"/>
  <c r="I585" i="3" s="1"/>
  <c r="M585" i="3" s="1"/>
  <c r="I586" i="3" s="1"/>
  <c r="M586" i="3" s="1"/>
  <c r="I587" i="3" s="1"/>
  <c r="M587" i="3" s="1"/>
  <c r="G281" i="3"/>
  <c r="AX281" i="3" s="1"/>
  <c r="AM963" i="3" l="1"/>
  <c r="AQ963" i="3" s="1"/>
  <c r="AG943" i="3"/>
  <c r="AK943" i="3" s="1"/>
  <c r="U759" i="3"/>
  <c r="Y759" i="3" s="1"/>
  <c r="AA755" i="3"/>
  <c r="AE755" i="3" s="1"/>
  <c r="O740" i="3"/>
  <c r="S740" i="3" s="1"/>
  <c r="AZ281" i="3"/>
  <c r="C282" i="3"/>
  <c r="AS282" i="3" s="1"/>
  <c r="AM964" i="3" l="1"/>
  <c r="AQ964" i="3" s="1"/>
  <c r="AG944" i="3"/>
  <c r="AK944" i="3" s="1"/>
  <c r="U760" i="3"/>
  <c r="Y760" i="3" s="1"/>
  <c r="AA756" i="3"/>
  <c r="AE756" i="3" s="1"/>
  <c r="AA757" i="3" s="1"/>
  <c r="AE757" i="3" s="1"/>
  <c r="O741" i="3"/>
  <c r="S741" i="3" s="1"/>
  <c r="O742" i="3" s="1"/>
  <c r="S742" i="3" s="1"/>
  <c r="G282" i="3"/>
  <c r="AX282" i="3" s="1"/>
  <c r="AM965" i="3" l="1"/>
  <c r="AQ965" i="3" s="1"/>
  <c r="AG945" i="3"/>
  <c r="AK945" i="3" s="1"/>
  <c r="U761" i="3"/>
  <c r="Y761" i="3" s="1"/>
  <c r="AA758" i="3"/>
  <c r="AE758" i="3" s="1"/>
  <c r="O743" i="3"/>
  <c r="S743" i="3" s="1"/>
  <c r="AZ282" i="3"/>
  <c r="C283" i="3"/>
  <c r="AS283" i="3" s="1"/>
  <c r="AM966" i="3" l="1"/>
  <c r="AQ966" i="3" s="1"/>
  <c r="AG946" i="3"/>
  <c r="AK946" i="3" s="1"/>
  <c r="U762" i="3"/>
  <c r="Y762" i="3" s="1"/>
  <c r="AA759" i="3"/>
  <c r="AE759" i="3" s="1"/>
  <c r="O744" i="3"/>
  <c r="S744" i="3" s="1"/>
  <c r="O745" i="3" s="1"/>
  <c r="S745" i="3" s="1"/>
  <c r="G283" i="3"/>
  <c r="AX283" i="3" s="1"/>
  <c r="AM967" i="3" l="1"/>
  <c r="AQ967" i="3" s="1"/>
  <c r="AG947" i="3"/>
  <c r="AK947" i="3" s="1"/>
  <c r="U763" i="3"/>
  <c r="Y763" i="3" s="1"/>
  <c r="AA760" i="3"/>
  <c r="AE760" i="3" s="1"/>
  <c r="O746" i="3"/>
  <c r="S746" i="3" s="1"/>
  <c r="I588" i="3"/>
  <c r="AZ283" i="3"/>
  <c r="C284" i="3"/>
  <c r="AS284" i="3" s="1"/>
  <c r="AM968" i="3" l="1"/>
  <c r="AQ968" i="3" s="1"/>
  <c r="AG948" i="3"/>
  <c r="AK948" i="3" s="1"/>
  <c r="U764" i="3"/>
  <c r="Y764" i="3" s="1"/>
  <c r="AA761" i="3"/>
  <c r="AE761" i="3" s="1"/>
  <c r="O747" i="3"/>
  <c r="S747" i="3" s="1"/>
  <c r="M588" i="3"/>
  <c r="I589" i="3" s="1"/>
  <c r="G284" i="3"/>
  <c r="AM969" i="3" l="1"/>
  <c r="AQ969" i="3" s="1"/>
  <c r="AG949" i="3"/>
  <c r="AK949" i="3" s="1"/>
  <c r="U765" i="3"/>
  <c r="Y765" i="3" s="1"/>
  <c r="AA762" i="3"/>
  <c r="AE762" i="3" s="1"/>
  <c r="O748" i="3"/>
  <c r="S748" i="3" s="1"/>
  <c r="M589" i="3"/>
  <c r="AX284" i="3"/>
  <c r="AZ284" i="3" s="1"/>
  <c r="C285" i="3"/>
  <c r="AS285" i="3" s="1"/>
  <c r="AM970" i="3" l="1"/>
  <c r="AQ970" i="3" s="1"/>
  <c r="AG950" i="3"/>
  <c r="AK950" i="3" s="1"/>
  <c r="U766" i="3"/>
  <c r="Y766" i="3" s="1"/>
  <c r="AA763" i="3"/>
  <c r="AE763" i="3" s="1"/>
  <c r="O749" i="3"/>
  <c r="S749" i="3" s="1"/>
  <c r="O750" i="3" s="1"/>
  <c r="S750" i="3" s="1"/>
  <c r="I590" i="3"/>
  <c r="M590" i="3" s="1"/>
  <c r="G285" i="3"/>
  <c r="AM971" i="3" l="1"/>
  <c r="AQ971" i="3" s="1"/>
  <c r="AG951" i="3"/>
  <c r="AK951" i="3" s="1"/>
  <c r="U767" i="3"/>
  <c r="Y767" i="3" s="1"/>
  <c r="AA764" i="3"/>
  <c r="AE764" i="3" s="1"/>
  <c r="O751" i="3"/>
  <c r="S751" i="3" s="1"/>
  <c r="O752" i="3" s="1"/>
  <c r="S752" i="3" s="1"/>
  <c r="I591" i="3"/>
  <c r="M591" i="3" s="1"/>
  <c r="AX285" i="3"/>
  <c r="AZ285" i="3" s="1"/>
  <c r="C286" i="3"/>
  <c r="AS286" i="3" s="1"/>
  <c r="AM972" i="3" l="1"/>
  <c r="AQ972" i="3" s="1"/>
  <c r="AG952" i="3"/>
  <c r="AK952" i="3" s="1"/>
  <c r="U768" i="3"/>
  <c r="Y768" i="3" s="1"/>
  <c r="U769" i="3" s="1"/>
  <c r="Y769" i="3" s="1"/>
  <c r="AA765" i="3"/>
  <c r="AE765" i="3" s="1"/>
  <c r="O753" i="3"/>
  <c r="S753" i="3" s="1"/>
  <c r="I592" i="3"/>
  <c r="M592" i="3" s="1"/>
  <c r="G286" i="3"/>
  <c r="AX286" i="3" s="1"/>
  <c r="AM973" i="3" l="1"/>
  <c r="AQ973" i="3" s="1"/>
  <c r="AG953" i="3"/>
  <c r="AK953" i="3" s="1"/>
  <c r="AG954" i="3" s="1"/>
  <c r="AK954" i="3" s="1"/>
  <c r="U770" i="3"/>
  <c r="Y770" i="3" s="1"/>
  <c r="AA766" i="3"/>
  <c r="AE766" i="3" s="1"/>
  <c r="O754" i="3"/>
  <c r="S754" i="3" s="1"/>
  <c r="BA286" i="3"/>
  <c r="BB286" i="3" s="1"/>
  <c r="BC286" i="3"/>
  <c r="I593" i="3"/>
  <c r="M593" i="3" s="1"/>
  <c r="AZ286" i="3"/>
  <c r="C287" i="3"/>
  <c r="AS287" i="3" s="1"/>
  <c r="AM974" i="3" l="1"/>
  <c r="AQ974" i="3" s="1"/>
  <c r="AG955" i="3"/>
  <c r="AK955" i="3" s="1"/>
  <c r="U771" i="3"/>
  <c r="Y771" i="3" s="1"/>
  <c r="AA767" i="3"/>
  <c r="AE767" i="3" s="1"/>
  <c r="O755" i="3"/>
  <c r="S755" i="3" s="1"/>
  <c r="I594" i="3"/>
  <c r="M594" i="3" s="1"/>
  <c r="I595" i="3" s="1"/>
  <c r="G287" i="3"/>
  <c r="AM975" i="3" l="1"/>
  <c r="AQ975" i="3" s="1"/>
  <c r="AG956" i="3"/>
  <c r="AK956" i="3" s="1"/>
  <c r="U772" i="3"/>
  <c r="Y772" i="3" s="1"/>
  <c r="AA768" i="3"/>
  <c r="AE768" i="3" s="1"/>
  <c r="AA769" i="3" s="1"/>
  <c r="AE769" i="3" s="1"/>
  <c r="O756" i="3"/>
  <c r="S756" i="3" s="1"/>
  <c r="O757" i="3" s="1"/>
  <c r="S757" i="3" s="1"/>
  <c r="M595" i="3"/>
  <c r="AX287" i="3"/>
  <c r="C288" i="3"/>
  <c r="AS288" i="3" s="1"/>
  <c r="AM976" i="3" l="1"/>
  <c r="AQ976" i="3" s="1"/>
  <c r="AG957" i="3"/>
  <c r="AK957" i="3" s="1"/>
  <c r="U773" i="3"/>
  <c r="Y773" i="3" s="1"/>
  <c r="U774" i="3" s="1"/>
  <c r="Y774" i="3" s="1"/>
  <c r="U775" i="3" s="1"/>
  <c r="Y775" i="3" s="1"/>
  <c r="AA770" i="3"/>
  <c r="AE770" i="3" s="1"/>
  <c r="O758" i="3"/>
  <c r="S758" i="3" s="1"/>
  <c r="BC287" i="3"/>
  <c r="AZ287" i="3"/>
  <c r="BA287" i="3"/>
  <c r="BB287" i="3" s="1"/>
  <c r="I596" i="3"/>
  <c r="M596" i="3" s="1"/>
  <c r="G288" i="3"/>
  <c r="AM977" i="3" l="1"/>
  <c r="AQ977" i="3" s="1"/>
  <c r="AG958" i="3"/>
  <c r="AK958" i="3" s="1"/>
  <c r="U776" i="3"/>
  <c r="Y776" i="3" s="1"/>
  <c r="U777" i="3" s="1"/>
  <c r="Y777" i="3" s="1"/>
  <c r="AA771" i="3"/>
  <c r="AE771" i="3" s="1"/>
  <c r="O759" i="3"/>
  <c r="S759" i="3" s="1"/>
  <c r="I597" i="3"/>
  <c r="M597" i="3" s="1"/>
  <c r="AX288" i="3"/>
  <c r="C289" i="3"/>
  <c r="AS289" i="3" s="1"/>
  <c r="AM978" i="3" l="1"/>
  <c r="AQ978" i="3" s="1"/>
  <c r="AG959" i="3"/>
  <c r="AK959" i="3" s="1"/>
  <c r="U778" i="3"/>
  <c r="Y778" i="3" s="1"/>
  <c r="AA772" i="3"/>
  <c r="AE772" i="3" s="1"/>
  <c r="O760" i="3"/>
  <c r="S760" i="3" s="1"/>
  <c r="BC288" i="3"/>
  <c r="AZ288" i="3"/>
  <c r="BA288" i="3"/>
  <c r="BB288" i="3" s="1"/>
  <c r="I598" i="3"/>
  <c r="M598" i="3" s="1"/>
  <c r="G289" i="3"/>
  <c r="AX289" i="3" s="1"/>
  <c r="AM979" i="3" l="1"/>
  <c r="AQ979" i="3" s="1"/>
  <c r="AG960" i="3"/>
  <c r="AK960" i="3" s="1"/>
  <c r="U779" i="3"/>
  <c r="Y779" i="3" s="1"/>
  <c r="AA773" i="3"/>
  <c r="AE773" i="3" s="1"/>
  <c r="AA774" i="3" s="1"/>
  <c r="AE774" i="3" s="1"/>
  <c r="AA775" i="3" s="1"/>
  <c r="AE775" i="3" s="1"/>
  <c r="O761" i="3"/>
  <c r="S761" i="3" s="1"/>
  <c r="BA289" i="3"/>
  <c r="BB289" i="3" s="1"/>
  <c r="BC289" i="3"/>
  <c r="I599" i="3"/>
  <c r="M599" i="3" s="1"/>
  <c r="AZ289" i="3"/>
  <c r="C290" i="3"/>
  <c r="AS290" i="3" s="1"/>
  <c r="AM980" i="3" l="1"/>
  <c r="AQ980" i="3" s="1"/>
  <c r="AG961" i="3"/>
  <c r="AK961" i="3" s="1"/>
  <c r="U780" i="3"/>
  <c r="Y780" i="3" s="1"/>
  <c r="AA776" i="3"/>
  <c r="AE776" i="3" s="1"/>
  <c r="AA777" i="3" s="1"/>
  <c r="AE777" i="3" s="1"/>
  <c r="O762" i="3"/>
  <c r="S762" i="3" s="1"/>
  <c r="I600" i="3"/>
  <c r="M600" i="3" s="1"/>
  <c r="G290" i="3"/>
  <c r="AM981" i="3" l="1"/>
  <c r="AQ981" i="3" s="1"/>
  <c r="AG962" i="3"/>
  <c r="AK962" i="3" s="1"/>
  <c r="U781" i="3"/>
  <c r="Y781" i="3" s="1"/>
  <c r="AA778" i="3"/>
  <c r="AE778" i="3" s="1"/>
  <c r="O763" i="3"/>
  <c r="S763" i="3" s="1"/>
  <c r="I601" i="3"/>
  <c r="M601" i="3" s="1"/>
  <c r="AX290" i="3"/>
  <c r="C291" i="3"/>
  <c r="AS291" i="3" s="1"/>
  <c r="AM982" i="3" l="1"/>
  <c r="AQ982" i="3" s="1"/>
  <c r="AG963" i="3"/>
  <c r="AK963" i="3" s="1"/>
  <c r="U782" i="3"/>
  <c r="Y782" i="3" s="1"/>
  <c r="AA779" i="3"/>
  <c r="AE779" i="3" s="1"/>
  <c r="O764" i="3"/>
  <c r="S764" i="3" s="1"/>
  <c r="AZ290" i="3"/>
  <c r="BA290" i="3"/>
  <c r="BB290" i="3" s="1"/>
  <c r="I602" i="3"/>
  <c r="M602" i="3" s="1"/>
  <c r="G291" i="3"/>
  <c r="AM983" i="3" l="1"/>
  <c r="AQ983" i="3" s="1"/>
  <c r="AG964" i="3"/>
  <c r="AK964" i="3" s="1"/>
  <c r="U783" i="3"/>
  <c r="Y783" i="3" s="1"/>
  <c r="AA780" i="3"/>
  <c r="AE780" i="3" s="1"/>
  <c r="O765" i="3"/>
  <c r="S765" i="3" s="1"/>
  <c r="I603" i="3"/>
  <c r="M603" i="3" s="1"/>
  <c r="AX291" i="3"/>
  <c r="C292" i="3"/>
  <c r="AS292" i="3" s="1"/>
  <c r="AM984" i="3" l="1"/>
  <c r="AQ984" i="3" s="1"/>
  <c r="AG965" i="3"/>
  <c r="AK965" i="3" s="1"/>
  <c r="U784" i="3"/>
  <c r="Y784" i="3" s="1"/>
  <c r="AA781" i="3"/>
  <c r="AE781" i="3" s="1"/>
  <c r="AA782" i="3" s="1"/>
  <c r="AE782" i="3" s="1"/>
  <c r="O766" i="3"/>
  <c r="S766" i="3" s="1"/>
  <c r="AZ291" i="3"/>
  <c r="BA291" i="3"/>
  <c r="BB291" i="3" s="1"/>
  <c r="I604" i="3"/>
  <c r="M604" i="3" s="1"/>
  <c r="G292" i="3"/>
  <c r="AM985" i="3" l="1"/>
  <c r="AQ985" i="3" s="1"/>
  <c r="AG966" i="3"/>
  <c r="AK966" i="3" s="1"/>
  <c r="U785" i="3"/>
  <c r="Y785" i="3" s="1"/>
  <c r="AA783" i="3"/>
  <c r="AE783" i="3" s="1"/>
  <c r="O767" i="3"/>
  <c r="S767" i="3" s="1"/>
  <c r="I605" i="3"/>
  <c r="M605" i="3" s="1"/>
  <c r="AX292" i="3"/>
  <c r="C293" i="3"/>
  <c r="AS293" i="3" s="1"/>
  <c r="AM986" i="3" l="1"/>
  <c r="AQ986" i="3" s="1"/>
  <c r="AG967" i="3"/>
  <c r="AK967" i="3" s="1"/>
  <c r="U786" i="3"/>
  <c r="Y786" i="3" s="1"/>
  <c r="AA784" i="3"/>
  <c r="AE784" i="3" s="1"/>
  <c r="O768" i="3"/>
  <c r="S768" i="3" s="1"/>
  <c r="AZ292" i="3"/>
  <c r="BA292" i="3"/>
  <c r="BB292" i="3" s="1"/>
  <c r="I606" i="3"/>
  <c r="M606" i="3" s="1"/>
  <c r="G293" i="3"/>
  <c r="AM987" i="3" l="1"/>
  <c r="AQ987" i="3" s="1"/>
  <c r="AG968" i="3"/>
  <c r="AK968" i="3" s="1"/>
  <c r="U787" i="3"/>
  <c r="Y787" i="3" s="1"/>
  <c r="U788" i="3" s="1"/>
  <c r="Y788" i="3" s="1"/>
  <c r="AA785" i="3"/>
  <c r="AE785" i="3" s="1"/>
  <c r="O769" i="3"/>
  <c r="S769" i="3" s="1"/>
  <c r="I607" i="3"/>
  <c r="M607" i="3" s="1"/>
  <c r="AX293" i="3"/>
  <c r="C294" i="3"/>
  <c r="AS294" i="3" s="1"/>
  <c r="AM988" i="3" l="1"/>
  <c r="AQ988" i="3" s="1"/>
  <c r="AG969" i="3"/>
  <c r="AK969" i="3" s="1"/>
  <c r="U789" i="3"/>
  <c r="Y789" i="3" s="1"/>
  <c r="U790" i="3" s="1"/>
  <c r="Y790" i="3" s="1"/>
  <c r="AA786" i="3"/>
  <c r="AE786" i="3" s="1"/>
  <c r="O770" i="3"/>
  <c r="S770" i="3" s="1"/>
  <c r="AZ293" i="3"/>
  <c r="BA293" i="3"/>
  <c r="BB293" i="3" s="1"/>
  <c r="I608" i="3"/>
  <c r="M608" i="3" s="1"/>
  <c r="G294" i="3"/>
  <c r="AM989" i="3" l="1"/>
  <c r="AQ989" i="3" s="1"/>
  <c r="AG970" i="3"/>
  <c r="AK970" i="3" s="1"/>
  <c r="U791" i="3"/>
  <c r="Y791" i="3" s="1"/>
  <c r="U792" i="3" s="1"/>
  <c r="Y792" i="3" s="1"/>
  <c r="AA787" i="3"/>
  <c r="AE787" i="3" s="1"/>
  <c r="AA788" i="3" s="1"/>
  <c r="AE788" i="3" s="1"/>
  <c r="O771" i="3"/>
  <c r="S771" i="3" s="1"/>
  <c r="I609" i="3"/>
  <c r="M609" i="3" s="1"/>
  <c r="AX294" i="3"/>
  <c r="C295" i="3"/>
  <c r="AS295" i="3" s="1"/>
  <c r="AM990" i="3" l="1"/>
  <c r="AQ990" i="3" s="1"/>
  <c r="AG971" i="3"/>
  <c r="AK971" i="3" s="1"/>
  <c r="U793" i="3"/>
  <c r="Y793" i="3" s="1"/>
  <c r="AA789" i="3"/>
  <c r="AE789" i="3" s="1"/>
  <c r="AA790" i="3" s="1"/>
  <c r="AE790" i="3" s="1"/>
  <c r="O772" i="3"/>
  <c r="S772" i="3" s="1"/>
  <c r="AZ294" i="3"/>
  <c r="BA294" i="3"/>
  <c r="BB294" i="3" s="1"/>
  <c r="I610" i="3"/>
  <c r="M610" i="3" s="1"/>
  <c r="G295" i="3"/>
  <c r="AM991" i="3" l="1"/>
  <c r="AQ991" i="3" s="1"/>
  <c r="AG972" i="3"/>
  <c r="AK972" i="3" s="1"/>
  <c r="U794" i="3"/>
  <c r="Y794" i="3" s="1"/>
  <c r="AA791" i="3"/>
  <c r="AE791" i="3" s="1"/>
  <c r="AA792" i="3" s="1"/>
  <c r="AE792" i="3" s="1"/>
  <c r="O773" i="3"/>
  <c r="S773" i="3" s="1"/>
  <c r="O774" i="3" s="1"/>
  <c r="S774" i="3" s="1"/>
  <c r="O775" i="3" s="1"/>
  <c r="S775" i="3" s="1"/>
  <c r="I611" i="3"/>
  <c r="M611" i="3" s="1"/>
  <c r="AX295" i="3"/>
  <c r="C296" i="3"/>
  <c r="AM992" i="3" l="1"/>
  <c r="AQ992" i="3" s="1"/>
  <c r="AG973" i="3"/>
  <c r="AK973" i="3" s="1"/>
  <c r="U795" i="3"/>
  <c r="Y795" i="3" s="1"/>
  <c r="AA793" i="3"/>
  <c r="AE793" i="3" s="1"/>
  <c r="O776" i="3"/>
  <c r="S776" i="3" s="1"/>
  <c r="O777" i="3" s="1"/>
  <c r="S777" i="3" s="1"/>
  <c r="I612" i="3"/>
  <c r="M612" i="3" s="1"/>
  <c r="AZ295" i="3"/>
  <c r="BA295" i="3"/>
  <c r="BB295" i="3" s="1"/>
  <c r="AS296" i="3"/>
  <c r="G296" i="3"/>
  <c r="AX296" i="3" s="1"/>
  <c r="AM993" i="3" l="1"/>
  <c r="AQ993" i="3" s="1"/>
  <c r="AG974" i="3"/>
  <c r="AK974" i="3" s="1"/>
  <c r="U796" i="3"/>
  <c r="Y796" i="3" s="1"/>
  <c r="AA794" i="3"/>
  <c r="AE794" i="3" s="1"/>
  <c r="O778" i="3"/>
  <c r="S778" i="3" s="1"/>
  <c r="I613" i="3"/>
  <c r="M613" i="3" s="1"/>
  <c r="AZ296" i="3"/>
  <c r="BA296" i="3"/>
  <c r="BB296" i="3" s="1"/>
  <c r="C297" i="3"/>
  <c r="AS297" i="3" s="1"/>
  <c r="AM994" i="3" l="1"/>
  <c r="AQ994" i="3" s="1"/>
  <c r="AG975" i="3"/>
  <c r="AK975" i="3" s="1"/>
  <c r="U797" i="3"/>
  <c r="Y797" i="3" s="1"/>
  <c r="AA795" i="3"/>
  <c r="AE795" i="3" s="1"/>
  <c r="O779" i="3"/>
  <c r="S779" i="3" s="1"/>
  <c r="I614" i="3"/>
  <c r="M614" i="3" s="1"/>
  <c r="I615" i="3" s="1"/>
  <c r="G297" i="3"/>
  <c r="AX297" i="3" s="1"/>
  <c r="AM995" i="3" l="1"/>
  <c r="AQ995" i="3" s="1"/>
  <c r="AG976" i="3"/>
  <c r="AK976" i="3" s="1"/>
  <c r="U798" i="3"/>
  <c r="Y798" i="3" s="1"/>
  <c r="AA796" i="3"/>
  <c r="AE796" i="3" s="1"/>
  <c r="AA797" i="3" s="1"/>
  <c r="AE797" i="3" s="1"/>
  <c r="O780" i="3"/>
  <c r="S780" i="3" s="1"/>
  <c r="BA297" i="3"/>
  <c r="BB297" i="3" s="1"/>
  <c r="M615" i="3"/>
  <c r="I616" i="3" s="1"/>
  <c r="AZ297" i="3"/>
  <c r="C298" i="3"/>
  <c r="AS298" i="3" s="1"/>
  <c r="AM996" i="3" l="1"/>
  <c r="AQ996" i="3" s="1"/>
  <c r="AG977" i="3"/>
  <c r="AK977" i="3" s="1"/>
  <c r="AG978" i="3" s="1"/>
  <c r="AK978" i="3" s="1"/>
  <c r="U799" i="3"/>
  <c r="Y799" i="3" s="1"/>
  <c r="AA798" i="3"/>
  <c r="AE798" i="3" s="1"/>
  <c r="O781" i="3"/>
  <c r="S781" i="3" s="1"/>
  <c r="M616" i="3"/>
  <c r="G298" i="3"/>
  <c r="AM997" i="3" l="1"/>
  <c r="AQ997" i="3" s="1"/>
  <c r="AG979" i="3"/>
  <c r="AK979" i="3" s="1"/>
  <c r="U800" i="3"/>
  <c r="Y800" i="3" s="1"/>
  <c r="AA799" i="3"/>
  <c r="AE799" i="3" s="1"/>
  <c r="O782" i="3"/>
  <c r="S782" i="3" s="1"/>
  <c r="I617" i="3"/>
  <c r="M617" i="3" s="1"/>
  <c r="AX298" i="3"/>
  <c r="C299" i="3"/>
  <c r="AS299" i="3" s="1"/>
  <c r="AM998" i="3" l="1"/>
  <c r="AQ998" i="3" s="1"/>
  <c r="AG980" i="3"/>
  <c r="AK980" i="3" s="1"/>
  <c r="U801" i="3"/>
  <c r="Y801" i="3" s="1"/>
  <c r="U802" i="3" s="1"/>
  <c r="Y802" i="3" s="1"/>
  <c r="AA800" i="3"/>
  <c r="AE800" i="3" s="1"/>
  <c r="O783" i="3"/>
  <c r="S783" i="3" s="1"/>
  <c r="I618" i="3"/>
  <c r="M618" i="3" s="1"/>
  <c r="I619" i="3" s="1"/>
  <c r="AZ298" i="3"/>
  <c r="BA298" i="3"/>
  <c r="BB298" i="3" s="1"/>
  <c r="G299" i="3"/>
  <c r="AM999" i="3" l="1"/>
  <c r="AQ999" i="3" s="1"/>
  <c r="AG981" i="3"/>
  <c r="AK981" i="3" s="1"/>
  <c r="U803" i="3"/>
  <c r="Y803" i="3" s="1"/>
  <c r="AA801" i="3"/>
  <c r="AE801" i="3" s="1"/>
  <c r="AA802" i="3" s="1"/>
  <c r="AE802" i="3" s="1"/>
  <c r="AA803" i="3" s="1"/>
  <c r="AE803" i="3" s="1"/>
  <c r="O784" i="3"/>
  <c r="S784" i="3" s="1"/>
  <c r="M619" i="3"/>
  <c r="I620" i="3" s="1"/>
  <c r="AX299" i="3"/>
  <c r="C300" i="3"/>
  <c r="AS300" i="3" s="1"/>
  <c r="AM1000" i="3" l="1"/>
  <c r="AQ1000" i="3" s="1"/>
  <c r="AG982" i="3"/>
  <c r="AK982" i="3" s="1"/>
  <c r="AG983" i="3" s="1"/>
  <c r="AK983" i="3" s="1"/>
  <c r="AA804" i="3"/>
  <c r="AE804" i="3" s="1"/>
  <c r="U804" i="3"/>
  <c r="Y804" i="3" s="1"/>
  <c r="O785" i="3"/>
  <c r="S785" i="3" s="1"/>
  <c r="AZ299" i="3"/>
  <c r="BA299" i="3"/>
  <c r="BB299" i="3" s="1"/>
  <c r="M620" i="3"/>
  <c r="I621" i="3" s="1"/>
  <c r="G300" i="3"/>
  <c r="AX300" i="3" s="1"/>
  <c r="AM1001" i="3" l="1"/>
  <c r="AQ1001" i="3" s="1"/>
  <c r="AG984" i="3"/>
  <c r="AK984" i="3" s="1"/>
  <c r="U805" i="3"/>
  <c r="Y805" i="3" s="1"/>
  <c r="AA805" i="3"/>
  <c r="AE805" i="3" s="1"/>
  <c r="O786" i="3"/>
  <c r="S786" i="3" s="1"/>
  <c r="BA300" i="3"/>
  <c r="BB300" i="3" s="1"/>
  <c r="M621" i="3"/>
  <c r="AZ300" i="3"/>
  <c r="C301" i="3"/>
  <c r="AS301" i="3" s="1"/>
  <c r="AM1002" i="3" l="1"/>
  <c r="AQ1002" i="3" s="1"/>
  <c r="AG985" i="3"/>
  <c r="AK985" i="3" s="1"/>
  <c r="AA806" i="3"/>
  <c r="AE806" i="3" s="1"/>
  <c r="AA807" i="3" s="1"/>
  <c r="AE807" i="3" s="1"/>
  <c r="U806" i="3"/>
  <c r="Y806" i="3" s="1"/>
  <c r="U807" i="3" s="1"/>
  <c r="Y807" i="3" s="1"/>
  <c r="O787" i="3"/>
  <c r="S787" i="3" s="1"/>
  <c r="O788" i="3" s="1"/>
  <c r="S788" i="3" s="1"/>
  <c r="I622" i="3"/>
  <c r="M622" i="3" s="1"/>
  <c r="G301" i="3"/>
  <c r="AM1003" i="3" l="1"/>
  <c r="AQ1003" i="3" s="1"/>
  <c r="AG986" i="3"/>
  <c r="AK986" i="3" s="1"/>
  <c r="U808" i="3"/>
  <c r="Y808" i="3" s="1"/>
  <c r="U809" i="3" s="1"/>
  <c r="Y809" i="3" s="1"/>
  <c r="AA808" i="3"/>
  <c r="AE808" i="3" s="1"/>
  <c r="AA809" i="3" s="1"/>
  <c r="AE809" i="3" s="1"/>
  <c r="O789" i="3"/>
  <c r="S789" i="3" s="1"/>
  <c r="O790" i="3" s="1"/>
  <c r="S790" i="3" s="1"/>
  <c r="I623" i="3"/>
  <c r="M623" i="3" s="1"/>
  <c r="AX301" i="3"/>
  <c r="C302" i="3"/>
  <c r="AS302" i="3" s="1"/>
  <c r="AM1004" i="3" l="1"/>
  <c r="AQ1004" i="3" s="1"/>
  <c r="AG987" i="3"/>
  <c r="AK987" i="3" s="1"/>
  <c r="AA810" i="3"/>
  <c r="AE810" i="3" s="1"/>
  <c r="U810" i="3"/>
  <c r="Y810" i="3" s="1"/>
  <c r="O791" i="3"/>
  <c r="S791" i="3" s="1"/>
  <c r="O792" i="3" s="1"/>
  <c r="S792" i="3" s="1"/>
  <c r="I624" i="3"/>
  <c r="M624" i="3" s="1"/>
  <c r="I625" i="3" s="1"/>
  <c r="AZ301" i="3"/>
  <c r="BA301" i="3"/>
  <c r="BB301" i="3" s="1"/>
  <c r="G302" i="3"/>
  <c r="AM1005" i="3" l="1"/>
  <c r="AQ1005" i="3" s="1"/>
  <c r="AG988" i="3"/>
  <c r="AK988" i="3" s="1"/>
  <c r="U811" i="3"/>
  <c r="Y811" i="3" s="1"/>
  <c r="AA811" i="3"/>
  <c r="AE811" i="3" s="1"/>
  <c r="O793" i="3"/>
  <c r="S793" i="3" s="1"/>
  <c r="M625" i="3"/>
  <c r="AX302" i="3"/>
  <c r="C303" i="3"/>
  <c r="AS303" i="3" s="1"/>
  <c r="AM1006" i="3" l="1"/>
  <c r="AQ1006" i="3" s="1"/>
  <c r="AG989" i="3"/>
  <c r="AK989" i="3" s="1"/>
  <c r="AA812" i="3"/>
  <c r="AE812" i="3" s="1"/>
  <c r="AA813" i="3" s="1"/>
  <c r="AE813" i="3" s="1"/>
  <c r="U812" i="3"/>
  <c r="Y812" i="3" s="1"/>
  <c r="U813" i="3" s="1"/>
  <c r="Y813" i="3" s="1"/>
  <c r="O794" i="3"/>
  <c r="S794" i="3" s="1"/>
  <c r="I626" i="3"/>
  <c r="M626" i="3" s="1"/>
  <c r="I627" i="3" s="1"/>
  <c r="AZ302" i="3"/>
  <c r="BA302" i="3"/>
  <c r="BB302" i="3" s="1"/>
  <c r="G303" i="3"/>
  <c r="AX303" i="3" s="1"/>
  <c r="AM1007" i="3" l="1"/>
  <c r="AQ1007" i="3" s="1"/>
  <c r="AG990" i="3"/>
  <c r="AK990" i="3" s="1"/>
  <c r="U814" i="3"/>
  <c r="Y814" i="3" s="1"/>
  <c r="AA814" i="3"/>
  <c r="AE814" i="3" s="1"/>
  <c r="O795" i="3"/>
  <c r="S795" i="3" s="1"/>
  <c r="BA303" i="3"/>
  <c r="BB303" i="3" s="1"/>
  <c r="M627" i="3"/>
  <c r="AZ303" i="3"/>
  <c r="C304" i="3"/>
  <c r="AS304" i="3" s="1"/>
  <c r="AM1008" i="3" l="1"/>
  <c r="AQ1008" i="3" s="1"/>
  <c r="AG991" i="3"/>
  <c r="AK991" i="3" s="1"/>
  <c r="AA815" i="3"/>
  <c r="AE815" i="3" s="1"/>
  <c r="U815" i="3"/>
  <c r="Y815" i="3" s="1"/>
  <c r="O796" i="3"/>
  <c r="S796" i="3" s="1"/>
  <c r="I628" i="3"/>
  <c r="M628" i="3" s="1"/>
  <c r="G304" i="3"/>
  <c r="AM1009" i="3" l="1"/>
  <c r="AQ1009" i="3" s="1"/>
  <c r="AG992" i="3"/>
  <c r="AK992" i="3" s="1"/>
  <c r="U816" i="3"/>
  <c r="Y816" i="3" s="1"/>
  <c r="U817" i="3" s="1"/>
  <c r="Y817" i="3" s="1"/>
  <c r="AA816" i="3"/>
  <c r="AE816" i="3" s="1"/>
  <c r="AA817" i="3" s="1"/>
  <c r="AE817" i="3" s="1"/>
  <c r="O797" i="3"/>
  <c r="S797" i="3" s="1"/>
  <c r="I629" i="3"/>
  <c r="M629" i="3" s="1"/>
  <c r="AX304" i="3"/>
  <c r="C305" i="3"/>
  <c r="AS305" i="3" s="1"/>
  <c r="AM1010" i="3" l="1"/>
  <c r="AQ1010" i="3" s="1"/>
  <c r="AG993" i="3"/>
  <c r="AK993" i="3" s="1"/>
  <c r="AA818" i="3"/>
  <c r="AE818" i="3" s="1"/>
  <c r="AA819" i="3" s="1"/>
  <c r="AE819" i="3" s="1"/>
  <c r="U818" i="3"/>
  <c r="Y818" i="3" s="1"/>
  <c r="U819" i="3" s="1"/>
  <c r="Y819" i="3" s="1"/>
  <c r="O798" i="3"/>
  <c r="S798" i="3" s="1"/>
  <c r="I630" i="3"/>
  <c r="M630" i="3" s="1"/>
  <c r="AZ304" i="3"/>
  <c r="BA304" i="3"/>
  <c r="BB304" i="3" s="1"/>
  <c r="G305" i="3"/>
  <c r="AX305" i="3" s="1"/>
  <c r="AM1011" i="3" l="1"/>
  <c r="AQ1011" i="3" s="1"/>
  <c r="AG994" i="3"/>
  <c r="AK994" i="3" s="1"/>
  <c r="U820" i="3"/>
  <c r="Y820" i="3" s="1"/>
  <c r="AA820" i="3"/>
  <c r="AE820" i="3" s="1"/>
  <c r="O799" i="3"/>
  <c r="S799" i="3" s="1"/>
  <c r="BA305" i="3"/>
  <c r="BB305" i="3" s="1"/>
  <c r="I631" i="3"/>
  <c r="M631" i="3" s="1"/>
  <c r="AZ305" i="3"/>
  <c r="C306" i="3"/>
  <c r="AS306" i="3" s="1"/>
  <c r="AM1012" i="3" l="1"/>
  <c r="AQ1012" i="3" s="1"/>
  <c r="AG995" i="3"/>
  <c r="AK995" i="3" s="1"/>
  <c r="AA821" i="3"/>
  <c r="AE821" i="3" s="1"/>
  <c r="U821" i="3"/>
  <c r="Y821" i="3" s="1"/>
  <c r="O800" i="3"/>
  <c r="S800" i="3" s="1"/>
  <c r="I632" i="3"/>
  <c r="M632" i="3" s="1"/>
  <c r="G306" i="3"/>
  <c r="AM1013" i="3" l="1"/>
  <c r="AQ1013" i="3" s="1"/>
  <c r="AG996" i="3"/>
  <c r="AK996" i="3" s="1"/>
  <c r="U822" i="3"/>
  <c r="Y822" i="3" s="1"/>
  <c r="AA822" i="3"/>
  <c r="AE822" i="3" s="1"/>
  <c r="O801" i="3"/>
  <c r="S801" i="3" s="1"/>
  <c r="O802" i="3" s="1"/>
  <c r="S802" i="3" s="1"/>
  <c r="I633" i="3"/>
  <c r="M633" i="3" s="1"/>
  <c r="I634" i="3" s="1"/>
  <c r="AX306" i="3"/>
  <c r="C307" i="3"/>
  <c r="AS307" i="3" s="1"/>
  <c r="AM1014" i="3" l="1"/>
  <c r="AQ1014" i="3" s="1"/>
  <c r="AG997" i="3"/>
  <c r="AK997" i="3" s="1"/>
  <c r="AG998" i="3" s="1"/>
  <c r="AK998" i="3" s="1"/>
  <c r="AA823" i="3"/>
  <c r="AE823" i="3" s="1"/>
  <c r="U823" i="3"/>
  <c r="Y823" i="3" s="1"/>
  <c r="O803" i="3"/>
  <c r="S803" i="3" s="1"/>
  <c r="BC306" i="3"/>
  <c r="BD306" i="3"/>
  <c r="AZ306" i="3"/>
  <c r="BA306" i="3"/>
  <c r="BB306" i="3" s="1"/>
  <c r="BC567" i="3" s="1"/>
  <c r="M634" i="3"/>
  <c r="G307" i="3"/>
  <c r="AM1015" i="3" l="1"/>
  <c r="AQ1015" i="3" s="1"/>
  <c r="AG999" i="3"/>
  <c r="AK999" i="3" s="1"/>
  <c r="U824" i="3"/>
  <c r="Y824" i="3" s="1"/>
  <c r="AA824" i="3"/>
  <c r="AE824" i="3" s="1"/>
  <c r="O804" i="3"/>
  <c r="S804" i="3" s="1"/>
  <c r="I635" i="3"/>
  <c r="M635" i="3" s="1"/>
  <c r="AX307" i="3"/>
  <c r="C308" i="3"/>
  <c r="AS308" i="3" s="1"/>
  <c r="AM1016" i="3" l="1"/>
  <c r="AQ1016" i="3" s="1"/>
  <c r="AG1000" i="3"/>
  <c r="AK1000" i="3" s="1"/>
  <c r="AA825" i="3"/>
  <c r="AE825" i="3" s="1"/>
  <c r="U825" i="3"/>
  <c r="Y825" i="3" s="1"/>
  <c r="O805" i="3"/>
  <c r="S805" i="3" s="1"/>
  <c r="I636" i="3"/>
  <c r="M636" i="3" s="1"/>
  <c r="AZ307" i="3"/>
  <c r="BA307" i="3"/>
  <c r="BB307" i="3" s="1"/>
  <c r="G308" i="3"/>
  <c r="AM1017" i="3" l="1"/>
  <c r="AQ1017" i="3" s="1"/>
  <c r="AG1001" i="3"/>
  <c r="AK1001" i="3" s="1"/>
  <c r="U826" i="3"/>
  <c r="Y826" i="3" s="1"/>
  <c r="AA826" i="3"/>
  <c r="AE826" i="3" s="1"/>
  <c r="AA827" i="3" s="1"/>
  <c r="AE827" i="3" s="1"/>
  <c r="O806" i="3"/>
  <c r="S806" i="3" s="1"/>
  <c r="O807" i="3" s="1"/>
  <c r="S807" i="3" s="1"/>
  <c r="I637" i="3"/>
  <c r="M637" i="3" s="1"/>
  <c r="AX308" i="3"/>
  <c r="C309" i="3"/>
  <c r="AS309" i="3" s="1"/>
  <c r="AM1018" i="3" l="1"/>
  <c r="AQ1018" i="3" s="1"/>
  <c r="AG1002" i="3"/>
  <c r="AK1002" i="3" s="1"/>
  <c r="AA828" i="3"/>
  <c r="AE828" i="3" s="1"/>
  <c r="U827" i="3"/>
  <c r="Y827" i="3" s="1"/>
  <c r="O808" i="3"/>
  <c r="S808" i="3" s="1"/>
  <c r="O809" i="3" s="1"/>
  <c r="S809" i="3" s="1"/>
  <c r="I638" i="3"/>
  <c r="M638" i="3" s="1"/>
  <c r="AZ308" i="3"/>
  <c r="BA308" i="3"/>
  <c r="BB308" i="3" s="1"/>
  <c r="G309" i="3"/>
  <c r="AX309" i="3" s="1"/>
  <c r="BA309" i="3" s="1"/>
  <c r="AM1019" i="3" l="1"/>
  <c r="AQ1019" i="3" s="1"/>
  <c r="BB309" i="3"/>
  <c r="AG1003" i="3"/>
  <c r="AK1003" i="3" s="1"/>
  <c r="AA829" i="3"/>
  <c r="AE829" i="3" s="1"/>
  <c r="AA830" i="3" s="1"/>
  <c r="AE830" i="3" s="1"/>
  <c r="U828" i="3"/>
  <c r="Y828" i="3" s="1"/>
  <c r="O810" i="3"/>
  <c r="S810" i="3" s="1"/>
  <c r="I639" i="3"/>
  <c r="M639" i="3" s="1"/>
  <c r="AZ309" i="3"/>
  <c r="C310" i="3"/>
  <c r="AS310" i="3" s="1"/>
  <c r="AM1020" i="3" l="1"/>
  <c r="AQ1020" i="3" s="1"/>
  <c r="AG1004" i="3"/>
  <c r="AK1004" i="3" s="1"/>
  <c r="AG1005" i="3" s="1"/>
  <c r="AK1005" i="3" s="1"/>
  <c r="AA831" i="3"/>
  <c r="AE831" i="3" s="1"/>
  <c r="U829" i="3"/>
  <c r="Y829" i="3" s="1"/>
  <c r="U830" i="3" s="1"/>
  <c r="Y830" i="3" s="1"/>
  <c r="O811" i="3"/>
  <c r="S811" i="3" s="1"/>
  <c r="I640" i="3"/>
  <c r="M640" i="3" s="1"/>
  <c r="G310" i="3"/>
  <c r="AM1021" i="3" l="1"/>
  <c r="AQ1021" i="3" s="1"/>
  <c r="AG1006" i="3"/>
  <c r="AK1006" i="3" s="1"/>
  <c r="AA832" i="3"/>
  <c r="AE832" i="3" s="1"/>
  <c r="AA833" i="3" s="1"/>
  <c r="AE833" i="3" s="1"/>
  <c r="U831" i="3"/>
  <c r="Y831" i="3" s="1"/>
  <c r="O812" i="3"/>
  <c r="S812" i="3" s="1"/>
  <c r="O813" i="3" s="1"/>
  <c r="S813" i="3" s="1"/>
  <c r="I641" i="3"/>
  <c r="M641" i="3" s="1"/>
  <c r="I642" i="3" s="1"/>
  <c r="AX310" i="3"/>
  <c r="C311" i="3"/>
  <c r="AS311" i="3" s="1"/>
  <c r="AM1022" i="3" l="1"/>
  <c r="AQ1022" i="3" s="1"/>
  <c r="AG1007" i="3"/>
  <c r="AK1007" i="3" s="1"/>
  <c r="AA834" i="3"/>
  <c r="AE834" i="3" s="1"/>
  <c r="U832" i="3"/>
  <c r="Y832" i="3" s="1"/>
  <c r="O814" i="3"/>
  <c r="S814" i="3" s="1"/>
  <c r="AZ310" i="3"/>
  <c r="BA310" i="3"/>
  <c r="BB310" i="3" s="1"/>
  <c r="M642" i="3"/>
  <c r="G311" i="3"/>
  <c r="AM1023" i="3" l="1"/>
  <c r="AQ1023" i="3" s="1"/>
  <c r="AG1008" i="3"/>
  <c r="AK1008" i="3" s="1"/>
  <c r="AA835" i="3"/>
  <c r="AE835" i="3" s="1"/>
  <c r="U833" i="3"/>
  <c r="Y833" i="3" s="1"/>
  <c r="O815" i="3"/>
  <c r="S815" i="3" s="1"/>
  <c r="I643" i="3"/>
  <c r="M643" i="3" s="1"/>
  <c r="AX311" i="3"/>
  <c r="C312" i="3"/>
  <c r="AS312" i="3" s="1"/>
  <c r="AM1024" i="3" l="1"/>
  <c r="AQ1024" i="3" s="1"/>
  <c r="AG1009" i="3"/>
  <c r="AK1009" i="3" s="1"/>
  <c r="AA836" i="3"/>
  <c r="AE836" i="3" s="1"/>
  <c r="AA837" i="3" s="1"/>
  <c r="AE837" i="3" s="1"/>
  <c r="AA838" i="3" s="1"/>
  <c r="AE838" i="3" s="1"/>
  <c r="AA839" i="3" s="1"/>
  <c r="AE839" i="3" s="1"/>
  <c r="U834" i="3"/>
  <c r="Y834" i="3" s="1"/>
  <c r="O816" i="3"/>
  <c r="S816" i="3" s="1"/>
  <c r="O817" i="3" s="1"/>
  <c r="S817" i="3" s="1"/>
  <c r="I644" i="3"/>
  <c r="M644" i="3" s="1"/>
  <c r="AZ311" i="3"/>
  <c r="BA311" i="3"/>
  <c r="BB311" i="3" s="1"/>
  <c r="G312" i="3"/>
  <c r="AM1025" i="3" l="1"/>
  <c r="AQ1025" i="3" s="1"/>
  <c r="AG1010" i="3"/>
  <c r="AK1010" i="3" s="1"/>
  <c r="AA840" i="3"/>
  <c r="AE840" i="3" s="1"/>
  <c r="U835" i="3"/>
  <c r="Y835" i="3" s="1"/>
  <c r="O818" i="3"/>
  <c r="S818" i="3" s="1"/>
  <c r="I645" i="3"/>
  <c r="M645" i="3" s="1"/>
  <c r="AX312" i="3"/>
  <c r="C313" i="3"/>
  <c r="AS313" i="3" s="1"/>
  <c r="AM1026" i="3" l="1"/>
  <c r="AQ1026" i="3" s="1"/>
  <c r="AG1011" i="3"/>
  <c r="AK1011" i="3" s="1"/>
  <c r="AA841" i="3"/>
  <c r="AE841" i="3" s="1"/>
  <c r="U836" i="3"/>
  <c r="Y836" i="3" s="1"/>
  <c r="U837" i="3" s="1"/>
  <c r="Y837" i="3" s="1"/>
  <c r="U838" i="3" s="1"/>
  <c r="Y838" i="3" s="1"/>
  <c r="U839" i="3" s="1"/>
  <c r="Y839" i="3" s="1"/>
  <c r="O819" i="3"/>
  <c r="S819" i="3" s="1"/>
  <c r="I646" i="3"/>
  <c r="M646" i="3" s="1"/>
  <c r="AZ312" i="3"/>
  <c r="BA312" i="3"/>
  <c r="BB312" i="3" s="1"/>
  <c r="G313" i="3"/>
  <c r="AM1027" i="3" l="1"/>
  <c r="AQ1027" i="3" s="1"/>
  <c r="AG1012" i="3"/>
  <c r="AK1012" i="3" s="1"/>
  <c r="AA842" i="3"/>
  <c r="AE842" i="3" s="1"/>
  <c r="U840" i="3"/>
  <c r="Y840" i="3" s="1"/>
  <c r="O820" i="3"/>
  <c r="S820" i="3" s="1"/>
  <c r="I647" i="3"/>
  <c r="M647" i="3" s="1"/>
  <c r="AX313" i="3"/>
  <c r="C314" i="3"/>
  <c r="AS314" i="3" s="1"/>
  <c r="AM1028" i="3" l="1"/>
  <c r="AQ1028" i="3" s="1"/>
  <c r="AG1013" i="3"/>
  <c r="AK1013" i="3" s="1"/>
  <c r="AA843" i="3"/>
  <c r="AE843" i="3" s="1"/>
  <c r="U841" i="3"/>
  <c r="Y841" i="3" s="1"/>
  <c r="O821" i="3"/>
  <c r="S821" i="3" s="1"/>
  <c r="I648" i="3"/>
  <c r="M648" i="3" s="1"/>
  <c r="AZ313" i="3"/>
  <c r="BA313" i="3"/>
  <c r="BB313" i="3" s="1"/>
  <c r="G314" i="3"/>
  <c r="AM1029" i="3" l="1"/>
  <c r="AQ1029" i="3" s="1"/>
  <c r="AG1014" i="3"/>
  <c r="AK1014" i="3" s="1"/>
  <c r="AG1015" i="3" s="1"/>
  <c r="AK1015" i="3" s="1"/>
  <c r="AA844" i="3"/>
  <c r="AE844" i="3" s="1"/>
  <c r="U842" i="3"/>
  <c r="Y842" i="3" s="1"/>
  <c r="O822" i="3"/>
  <c r="S822" i="3" s="1"/>
  <c r="I649" i="3"/>
  <c r="M649" i="3" s="1"/>
  <c r="AX314" i="3"/>
  <c r="C315" i="3"/>
  <c r="AS315" i="3" s="1"/>
  <c r="AM1030" i="3" l="1"/>
  <c r="AQ1030" i="3" s="1"/>
  <c r="AG1016" i="3"/>
  <c r="AK1016" i="3" s="1"/>
  <c r="AA845" i="3"/>
  <c r="AE845" i="3" s="1"/>
  <c r="U843" i="3"/>
  <c r="Y843" i="3" s="1"/>
  <c r="O823" i="3"/>
  <c r="S823" i="3" s="1"/>
  <c r="I650" i="3"/>
  <c r="M650" i="3" s="1"/>
  <c r="AZ314" i="3"/>
  <c r="BA314" i="3"/>
  <c r="BB314" i="3" s="1"/>
  <c r="G315" i="3"/>
  <c r="AM1031" i="3" l="1"/>
  <c r="AQ1031" i="3" s="1"/>
  <c r="AG1017" i="3"/>
  <c r="AK1017" i="3" s="1"/>
  <c r="AA846" i="3"/>
  <c r="AE846" i="3" s="1"/>
  <c r="U844" i="3"/>
  <c r="Y844" i="3" s="1"/>
  <c r="O824" i="3"/>
  <c r="S824" i="3" s="1"/>
  <c r="I651" i="3"/>
  <c r="M651" i="3" s="1"/>
  <c r="AX315" i="3"/>
  <c r="C316" i="3"/>
  <c r="AS316" i="3" s="1"/>
  <c r="AM1032" i="3" l="1"/>
  <c r="AQ1032" i="3" s="1"/>
  <c r="AG1018" i="3"/>
  <c r="AK1018" i="3" s="1"/>
  <c r="AA847" i="3"/>
  <c r="AE847" i="3" s="1"/>
  <c r="U845" i="3"/>
  <c r="Y845" i="3" s="1"/>
  <c r="O825" i="3"/>
  <c r="S825" i="3" s="1"/>
  <c r="I652" i="3"/>
  <c r="M652" i="3" s="1"/>
  <c r="AZ315" i="3"/>
  <c r="BA315" i="3"/>
  <c r="BB315" i="3" s="1"/>
  <c r="G316" i="3"/>
  <c r="AM1033" i="3" l="1"/>
  <c r="AQ1033" i="3" s="1"/>
  <c r="AG1019" i="3"/>
  <c r="AK1019" i="3" s="1"/>
  <c r="AA848" i="3"/>
  <c r="AE848" i="3" s="1"/>
  <c r="U846" i="3"/>
  <c r="Y846" i="3" s="1"/>
  <c r="O826" i="3"/>
  <c r="S826" i="3" s="1"/>
  <c r="I653" i="3"/>
  <c r="M653" i="3" s="1"/>
  <c r="AX316" i="3"/>
  <c r="C317" i="3"/>
  <c r="AS317" i="3" s="1"/>
  <c r="AM1034" i="3" l="1"/>
  <c r="AQ1034" i="3" s="1"/>
  <c r="AG1020" i="3"/>
  <c r="AK1020" i="3" s="1"/>
  <c r="AA849" i="3"/>
  <c r="AE849" i="3" s="1"/>
  <c r="U847" i="3"/>
  <c r="Y847" i="3" s="1"/>
  <c r="O827" i="3"/>
  <c r="S827" i="3" s="1"/>
  <c r="I654" i="3"/>
  <c r="M654" i="3" s="1"/>
  <c r="AZ316" i="3"/>
  <c r="BA316" i="3"/>
  <c r="BB316" i="3" s="1"/>
  <c r="G317" i="3"/>
  <c r="AX317" i="3" s="1"/>
  <c r="BA317" i="3" s="1"/>
  <c r="BB317" i="3" l="1"/>
  <c r="AM1035" i="3"/>
  <c r="AQ1035" i="3" s="1"/>
  <c r="AG1021" i="3"/>
  <c r="AK1021" i="3" s="1"/>
  <c r="AA850" i="3"/>
  <c r="AE850" i="3" s="1"/>
  <c r="U848" i="3"/>
  <c r="Y848" i="3" s="1"/>
  <c r="O828" i="3"/>
  <c r="S828" i="3" s="1"/>
  <c r="I655" i="3"/>
  <c r="M655" i="3" s="1"/>
  <c r="AZ317" i="3"/>
  <c r="C318" i="3"/>
  <c r="AS318" i="3" s="1"/>
  <c r="AM1036" i="3" l="1"/>
  <c r="AQ1036" i="3" s="1"/>
  <c r="AG1022" i="3"/>
  <c r="AK1022" i="3" s="1"/>
  <c r="AA851" i="3"/>
  <c r="AE851" i="3" s="1"/>
  <c r="U849" i="3"/>
  <c r="Y849" i="3" s="1"/>
  <c r="O829" i="3"/>
  <c r="S829" i="3" s="1"/>
  <c r="O830" i="3" s="1"/>
  <c r="S830" i="3" s="1"/>
  <c r="I656" i="3"/>
  <c r="M656" i="3" s="1"/>
  <c r="G318" i="3"/>
  <c r="AM1037" i="3" l="1"/>
  <c r="AQ1037" i="3" s="1"/>
  <c r="AG1023" i="3"/>
  <c r="AK1023" i="3" s="1"/>
  <c r="AA852" i="3"/>
  <c r="AE852" i="3" s="1"/>
  <c r="AA853" i="3" s="1"/>
  <c r="AE853" i="3" s="1"/>
  <c r="U850" i="3"/>
  <c r="Y850" i="3" s="1"/>
  <c r="O831" i="3"/>
  <c r="S831" i="3" s="1"/>
  <c r="I657" i="3"/>
  <c r="M657" i="3"/>
  <c r="AX318" i="3"/>
  <c r="C319" i="3"/>
  <c r="AS319" i="3" s="1"/>
  <c r="AM1038" i="3" l="1"/>
  <c r="AQ1038" i="3" s="1"/>
  <c r="AG1024" i="3"/>
  <c r="AK1024" i="3" s="1"/>
  <c r="AG1025" i="3" s="1"/>
  <c r="AK1025" i="3" s="1"/>
  <c r="AA854" i="3"/>
  <c r="AE854" i="3" s="1"/>
  <c r="U851" i="3"/>
  <c r="Y851" i="3" s="1"/>
  <c r="O832" i="3"/>
  <c r="S832" i="3" s="1"/>
  <c r="I658" i="3"/>
  <c r="M658" i="3" s="1"/>
  <c r="AZ318" i="3"/>
  <c r="BA318" i="3"/>
  <c r="BB318" i="3" s="1"/>
  <c r="G319" i="3"/>
  <c r="AM1039" i="3" l="1"/>
  <c r="AQ1039" i="3" s="1"/>
  <c r="AG1026" i="3"/>
  <c r="AK1026" i="3" s="1"/>
  <c r="AA855" i="3"/>
  <c r="AE855" i="3" s="1"/>
  <c r="U852" i="3"/>
  <c r="Y852" i="3" s="1"/>
  <c r="O833" i="3"/>
  <c r="S833" i="3" s="1"/>
  <c r="I659" i="3"/>
  <c r="M659" i="3" s="1"/>
  <c r="I660" i="3" s="1"/>
  <c r="AX319" i="3"/>
  <c r="C320" i="3"/>
  <c r="AS320" i="3" s="1"/>
  <c r="AM1040" i="3" l="1"/>
  <c r="AQ1040" i="3" s="1"/>
  <c r="AG1027" i="3"/>
  <c r="AK1027" i="3" s="1"/>
  <c r="AA856" i="3"/>
  <c r="AE856" i="3" s="1"/>
  <c r="U853" i="3"/>
  <c r="Y853" i="3" s="1"/>
  <c r="O834" i="3"/>
  <c r="S834" i="3" s="1"/>
  <c r="AZ319" i="3"/>
  <c r="BA319" i="3"/>
  <c r="BB319" i="3" s="1"/>
  <c r="M660" i="3"/>
  <c r="G320" i="3"/>
  <c r="AM1041" i="3" l="1"/>
  <c r="AQ1041" i="3" s="1"/>
  <c r="AG1028" i="3"/>
  <c r="AK1028" i="3" s="1"/>
  <c r="AA857" i="3"/>
  <c r="AE857" i="3" s="1"/>
  <c r="U854" i="3"/>
  <c r="Y854" i="3" s="1"/>
  <c r="O835" i="3"/>
  <c r="S835" i="3" s="1"/>
  <c r="I661" i="3"/>
  <c r="M661" i="3" s="1"/>
  <c r="AX320" i="3"/>
  <c r="C321" i="3"/>
  <c r="AS321" i="3" s="1"/>
  <c r="AM1042" i="3" l="1"/>
  <c r="AQ1042" i="3" s="1"/>
  <c r="AG1029" i="3"/>
  <c r="AK1029" i="3" s="1"/>
  <c r="AA858" i="3"/>
  <c r="AE858" i="3" s="1"/>
  <c r="U855" i="3"/>
  <c r="Y855" i="3" s="1"/>
  <c r="O836" i="3"/>
  <c r="S836" i="3" s="1"/>
  <c r="O837" i="3" s="1"/>
  <c r="S837" i="3" s="1"/>
  <c r="O838" i="3" s="1"/>
  <c r="S838" i="3" s="1"/>
  <c r="O839" i="3" s="1"/>
  <c r="S839" i="3" s="1"/>
  <c r="I662" i="3"/>
  <c r="M662" i="3" s="1"/>
  <c r="AZ320" i="3"/>
  <c r="BA320" i="3"/>
  <c r="BB320" i="3" s="1"/>
  <c r="G321" i="3"/>
  <c r="AM1043" i="3" l="1"/>
  <c r="AQ1043" i="3" s="1"/>
  <c r="AG1030" i="3"/>
  <c r="AK1030" i="3" s="1"/>
  <c r="AA859" i="3"/>
  <c r="AE859" i="3" s="1"/>
  <c r="U856" i="3"/>
  <c r="Y856" i="3" s="1"/>
  <c r="O840" i="3"/>
  <c r="S840" i="3" s="1"/>
  <c r="I663" i="3"/>
  <c r="M663" i="3" s="1"/>
  <c r="AX321" i="3"/>
  <c r="C322" i="3"/>
  <c r="AS322" i="3" s="1"/>
  <c r="AM1044" i="3" l="1"/>
  <c r="AQ1044" i="3" s="1"/>
  <c r="AG1031" i="3"/>
  <c r="AK1031" i="3" s="1"/>
  <c r="AA860" i="3"/>
  <c r="AE860" i="3" s="1"/>
  <c r="U857" i="3"/>
  <c r="Y857" i="3" s="1"/>
  <c r="O841" i="3"/>
  <c r="S841" i="3" s="1"/>
  <c r="I664" i="3"/>
  <c r="M664" i="3" s="1"/>
  <c r="I665" i="3" s="1"/>
  <c r="AZ321" i="3"/>
  <c r="BA321" i="3"/>
  <c r="BB321" i="3" s="1"/>
  <c r="G322" i="3"/>
  <c r="AM1045" i="3" l="1"/>
  <c r="AQ1045" i="3" s="1"/>
  <c r="AG1032" i="3"/>
  <c r="AK1032" i="3" s="1"/>
  <c r="AA861" i="3"/>
  <c r="AE861" i="3" s="1"/>
  <c r="U858" i="3"/>
  <c r="Y858" i="3" s="1"/>
  <c r="O842" i="3"/>
  <c r="S842" i="3" s="1"/>
  <c r="M665" i="3"/>
  <c r="AX322" i="3"/>
  <c r="C323" i="3"/>
  <c r="AS323" i="3" s="1"/>
  <c r="AM1046" i="3" l="1"/>
  <c r="AQ1046" i="3" s="1"/>
  <c r="AG1033" i="3"/>
  <c r="AK1033" i="3" s="1"/>
  <c r="AA862" i="3"/>
  <c r="AE862" i="3" s="1"/>
  <c r="U859" i="3"/>
  <c r="Y859" i="3" s="1"/>
  <c r="O843" i="3"/>
  <c r="S843" i="3" s="1"/>
  <c r="I666" i="3"/>
  <c r="M666" i="3" s="1"/>
  <c r="AZ322" i="3"/>
  <c r="BA322" i="3"/>
  <c r="BB322" i="3" s="1"/>
  <c r="G323" i="3"/>
  <c r="AM1047" i="3" l="1"/>
  <c r="AQ1047" i="3" s="1"/>
  <c r="AG1034" i="3"/>
  <c r="AK1034" i="3" s="1"/>
  <c r="AA863" i="3"/>
  <c r="AE863" i="3" s="1"/>
  <c r="U860" i="3"/>
  <c r="Y860" i="3" s="1"/>
  <c r="O844" i="3"/>
  <c r="S844" i="3" s="1"/>
  <c r="I667" i="3"/>
  <c r="M667" i="3" s="1"/>
  <c r="I668" i="3" s="1"/>
  <c r="AX323" i="3"/>
  <c r="C324" i="3"/>
  <c r="AS324" i="3" s="1"/>
  <c r="AM1048" i="3" l="1"/>
  <c r="AQ1048" i="3" s="1"/>
  <c r="AG1035" i="3"/>
  <c r="AK1035" i="3" s="1"/>
  <c r="AA864" i="3"/>
  <c r="AE864" i="3" s="1"/>
  <c r="U861" i="3"/>
  <c r="Y861" i="3" s="1"/>
  <c r="O845" i="3"/>
  <c r="S845" i="3" s="1"/>
  <c r="AZ323" i="3"/>
  <c r="BA323" i="3"/>
  <c r="BB323" i="3" s="1"/>
  <c r="M668" i="3"/>
  <c r="I669" i="3" s="1"/>
  <c r="G324" i="3"/>
  <c r="AM1049" i="3" l="1"/>
  <c r="AQ1049" i="3" s="1"/>
  <c r="AG1036" i="3"/>
  <c r="AK1036" i="3" s="1"/>
  <c r="AG1037" i="3" s="1"/>
  <c r="AK1037" i="3" s="1"/>
  <c r="AG1038" i="3" s="1"/>
  <c r="AK1038" i="3" s="1"/>
  <c r="AG1039" i="3" s="1"/>
  <c r="AK1039" i="3" s="1"/>
  <c r="AA865" i="3"/>
  <c r="AE865" i="3" s="1"/>
  <c r="U862" i="3"/>
  <c r="Y862" i="3" s="1"/>
  <c r="O846" i="3"/>
  <c r="S846" i="3" s="1"/>
  <c r="M669" i="3"/>
  <c r="AX324" i="3"/>
  <c r="C325" i="3"/>
  <c r="AM1050" i="3" l="1"/>
  <c r="AQ1050" i="3" s="1"/>
  <c r="AG1040" i="3"/>
  <c r="AK1040" i="3" s="1"/>
  <c r="AA866" i="3"/>
  <c r="AE866" i="3" s="1"/>
  <c r="U863" i="3"/>
  <c r="Y863" i="3" s="1"/>
  <c r="O847" i="3"/>
  <c r="S847" i="3" s="1"/>
  <c r="I670" i="3"/>
  <c r="M670" i="3" s="1"/>
  <c r="I671" i="3" s="1"/>
  <c r="AZ324" i="3"/>
  <c r="BA324" i="3"/>
  <c r="BB324" i="3" s="1"/>
  <c r="AS325" i="3"/>
  <c r="G325" i="3"/>
  <c r="AM1051" i="3" l="1"/>
  <c r="AQ1051" i="3" s="1"/>
  <c r="AG1041" i="3"/>
  <c r="AK1041" i="3" s="1"/>
  <c r="AA867" i="3"/>
  <c r="AE867" i="3" s="1"/>
  <c r="U864" i="3"/>
  <c r="Y864" i="3" s="1"/>
  <c r="O848" i="3"/>
  <c r="S848" i="3" s="1"/>
  <c r="M671" i="3"/>
  <c r="I672" i="3" s="1"/>
  <c r="AX325" i="3"/>
  <c r="C326" i="3"/>
  <c r="AS326" i="3" s="1"/>
  <c r="AM1052" i="3" l="1"/>
  <c r="AQ1052" i="3" s="1"/>
  <c r="AG1042" i="3"/>
  <c r="AK1042" i="3" s="1"/>
  <c r="AA868" i="3"/>
  <c r="AE868" i="3" s="1"/>
  <c r="U865" i="3"/>
  <c r="Y865" i="3" s="1"/>
  <c r="O849" i="3"/>
  <c r="S849" i="3" s="1"/>
  <c r="AZ325" i="3"/>
  <c r="BA325" i="3"/>
  <c r="BB325" i="3" s="1"/>
  <c r="M672" i="3"/>
  <c r="I673" i="3" s="1"/>
  <c r="G326" i="3"/>
  <c r="AM1053" i="3" l="1"/>
  <c r="AQ1053" i="3" s="1"/>
  <c r="AG1043" i="3"/>
  <c r="AK1043" i="3" s="1"/>
  <c r="AA869" i="3"/>
  <c r="AE869" i="3" s="1"/>
  <c r="U866" i="3"/>
  <c r="Y866" i="3" s="1"/>
  <c r="O850" i="3"/>
  <c r="S850" i="3" s="1"/>
  <c r="M673" i="3"/>
  <c r="AX326" i="3"/>
  <c r="C327" i="3"/>
  <c r="AS327" i="3" s="1"/>
  <c r="AM1054" i="3" l="1"/>
  <c r="AQ1054" i="3" s="1"/>
  <c r="AG1044" i="3"/>
  <c r="AK1044" i="3" s="1"/>
  <c r="AA870" i="3"/>
  <c r="AE870" i="3" s="1"/>
  <c r="U867" i="3"/>
  <c r="Y867" i="3" s="1"/>
  <c r="O851" i="3"/>
  <c r="S851" i="3" s="1"/>
  <c r="I674" i="3"/>
  <c r="M674" i="3" s="1"/>
  <c r="I675" i="3" s="1"/>
  <c r="AZ326" i="3"/>
  <c r="BA326" i="3"/>
  <c r="BB326" i="3" s="1"/>
  <c r="G327" i="3"/>
  <c r="AM1055" i="3" l="1"/>
  <c r="AQ1055" i="3" s="1"/>
  <c r="AG1045" i="3"/>
  <c r="AK1045" i="3" s="1"/>
  <c r="AA871" i="3"/>
  <c r="AE871" i="3" s="1"/>
  <c r="U868" i="3"/>
  <c r="Y868" i="3" s="1"/>
  <c r="O852" i="3"/>
  <c r="S852" i="3" s="1"/>
  <c r="M675" i="3"/>
  <c r="AX327" i="3"/>
  <c r="C328" i="3"/>
  <c r="AS328" i="3" s="1"/>
  <c r="AM1056" i="3" l="1"/>
  <c r="AQ1056" i="3" s="1"/>
  <c r="AG1046" i="3"/>
  <c r="AK1046" i="3" s="1"/>
  <c r="AA872" i="3"/>
  <c r="AE872" i="3" s="1"/>
  <c r="AA873" i="3" s="1"/>
  <c r="AE873" i="3" s="1"/>
  <c r="U869" i="3"/>
  <c r="Y869" i="3" s="1"/>
  <c r="O853" i="3"/>
  <c r="S853" i="3" s="1"/>
  <c r="I676" i="3"/>
  <c r="M676" i="3" s="1"/>
  <c r="I677" i="3" s="1"/>
  <c r="AZ327" i="3"/>
  <c r="BA327" i="3"/>
  <c r="BB327" i="3" s="1"/>
  <c r="G328" i="3"/>
  <c r="AM1057" i="3" l="1"/>
  <c r="AQ1057" i="3" s="1"/>
  <c r="AG1047" i="3"/>
  <c r="AK1047" i="3" s="1"/>
  <c r="AA874" i="3"/>
  <c r="AE874" i="3" s="1"/>
  <c r="U870" i="3"/>
  <c r="Y870" i="3" s="1"/>
  <c r="O854" i="3"/>
  <c r="S854" i="3" s="1"/>
  <c r="M677" i="3"/>
  <c r="AX328" i="3"/>
  <c r="C329" i="3"/>
  <c r="AS329" i="3" s="1"/>
  <c r="AM1058" i="3" l="1"/>
  <c r="AQ1058" i="3" s="1"/>
  <c r="AG1048" i="3"/>
  <c r="AK1048" i="3" s="1"/>
  <c r="AA875" i="3"/>
  <c r="AE875" i="3" s="1"/>
  <c r="U871" i="3"/>
  <c r="Y871" i="3" s="1"/>
  <c r="O855" i="3"/>
  <c r="S855" i="3" s="1"/>
  <c r="I678" i="3"/>
  <c r="M678" i="3" s="1"/>
  <c r="AZ328" i="3"/>
  <c r="BA328" i="3"/>
  <c r="BB328" i="3" s="1"/>
  <c r="G329" i="3"/>
  <c r="AM1059" i="3" l="1"/>
  <c r="AQ1059" i="3" s="1"/>
  <c r="AG1049" i="3"/>
  <c r="AK1049" i="3" s="1"/>
  <c r="AG1050" i="3" s="1"/>
  <c r="AK1050" i="3" s="1"/>
  <c r="AA876" i="3"/>
  <c r="AE876" i="3" s="1"/>
  <c r="AA877" i="3" s="1"/>
  <c r="AE877" i="3" s="1"/>
  <c r="U872" i="3"/>
  <c r="Y872" i="3" s="1"/>
  <c r="O856" i="3"/>
  <c r="S856" i="3" s="1"/>
  <c r="I679" i="3"/>
  <c r="M679" i="3" s="1"/>
  <c r="I680" i="3" s="1"/>
  <c r="AX329" i="3"/>
  <c r="C330" i="3"/>
  <c r="AS330" i="3" s="1"/>
  <c r="AM1060" i="3" l="1"/>
  <c r="AQ1060" i="3" s="1"/>
  <c r="AG1051" i="3"/>
  <c r="AK1051" i="3" s="1"/>
  <c r="AA878" i="3"/>
  <c r="AE878" i="3" s="1"/>
  <c r="U873" i="3"/>
  <c r="Y873" i="3" s="1"/>
  <c r="O857" i="3"/>
  <c r="S857" i="3" s="1"/>
  <c r="AZ329" i="3"/>
  <c r="BA329" i="3"/>
  <c r="BB329" i="3" s="1"/>
  <c r="M680" i="3"/>
  <c r="G330" i="3"/>
  <c r="AM1061" i="3" l="1"/>
  <c r="AQ1061" i="3" s="1"/>
  <c r="AG1052" i="3"/>
  <c r="AK1052" i="3" s="1"/>
  <c r="AA879" i="3"/>
  <c r="AE879" i="3" s="1"/>
  <c r="U874" i="3"/>
  <c r="Y874" i="3" s="1"/>
  <c r="O858" i="3"/>
  <c r="S858" i="3" s="1"/>
  <c r="I681" i="3"/>
  <c r="M681" i="3"/>
  <c r="AX330" i="3"/>
  <c r="BA330" i="3" s="1"/>
  <c r="BB330" i="3" s="1"/>
  <c r="C331" i="3"/>
  <c r="AM1062" i="3" l="1"/>
  <c r="AQ1062" i="3" s="1"/>
  <c r="AG1053" i="3"/>
  <c r="AK1053" i="3" s="1"/>
  <c r="AA880" i="3"/>
  <c r="AE880" i="3" s="1"/>
  <c r="U875" i="3"/>
  <c r="Y875" i="3" s="1"/>
  <c r="O859" i="3"/>
  <c r="S859" i="3" s="1"/>
  <c r="I682" i="3"/>
  <c r="M682" i="3" s="1"/>
  <c r="AZ330" i="3"/>
  <c r="G331" i="3"/>
  <c r="AX331" i="3" s="1"/>
  <c r="BA331" i="3" s="1"/>
  <c r="BB331" i="3" s="1"/>
  <c r="AS331" i="3"/>
  <c r="AM1063" i="3" l="1"/>
  <c r="AQ1063" i="3" s="1"/>
  <c r="AG1054" i="3"/>
  <c r="AK1054" i="3" s="1"/>
  <c r="AA881" i="3"/>
  <c r="AE881" i="3" s="1"/>
  <c r="U876" i="3"/>
  <c r="Y876" i="3" s="1"/>
  <c r="U877" i="3" s="1"/>
  <c r="Y877" i="3" s="1"/>
  <c r="O860" i="3"/>
  <c r="S860" i="3" s="1"/>
  <c r="I683" i="3"/>
  <c r="M683" i="3" s="1"/>
  <c r="I684" i="3" s="1"/>
  <c r="AZ331" i="3"/>
  <c r="C332" i="3"/>
  <c r="AS332" i="3" s="1"/>
  <c r="AM1064" i="3" l="1"/>
  <c r="AQ1064" i="3" s="1"/>
  <c r="AG1055" i="3"/>
  <c r="AK1055" i="3" s="1"/>
  <c r="AA882" i="3"/>
  <c r="AE882" i="3" s="1"/>
  <c r="U878" i="3"/>
  <c r="Y878" i="3" s="1"/>
  <c r="O861" i="3"/>
  <c r="S861" i="3" s="1"/>
  <c r="M684" i="3"/>
  <c r="G332" i="3"/>
  <c r="AM1065" i="3" l="1"/>
  <c r="AQ1065" i="3" s="1"/>
  <c r="AG1056" i="3"/>
  <c r="AK1056" i="3" s="1"/>
  <c r="AA883" i="3"/>
  <c r="AE883" i="3" s="1"/>
  <c r="U879" i="3"/>
  <c r="Y879" i="3" s="1"/>
  <c r="O862" i="3"/>
  <c r="S862" i="3" s="1"/>
  <c r="I685" i="3"/>
  <c r="M685" i="3"/>
  <c r="AX332" i="3"/>
  <c r="C333" i="3"/>
  <c r="AS333" i="3" s="1"/>
  <c r="AM1066" i="3" l="1"/>
  <c r="AQ1066" i="3" s="1"/>
  <c r="AG1057" i="3"/>
  <c r="AK1057" i="3" s="1"/>
  <c r="AA884" i="3"/>
  <c r="AE884" i="3" s="1"/>
  <c r="U880" i="3"/>
  <c r="Y880" i="3" s="1"/>
  <c r="O863" i="3"/>
  <c r="S863" i="3" s="1"/>
  <c r="I686" i="3"/>
  <c r="M686" i="3" s="1"/>
  <c r="AZ332" i="3"/>
  <c r="BA332" i="3"/>
  <c r="BB332" i="3" s="1"/>
  <c r="G333" i="3"/>
  <c r="AX333" i="3" s="1"/>
  <c r="BA333" i="3" s="1"/>
  <c r="AM1067" i="3" l="1"/>
  <c r="AQ1067" i="3" s="1"/>
  <c r="BB333" i="3"/>
  <c r="AG1058" i="3"/>
  <c r="AK1058" i="3" s="1"/>
  <c r="AA885" i="3"/>
  <c r="AE885" i="3" s="1"/>
  <c r="U881" i="3"/>
  <c r="Y881" i="3" s="1"/>
  <c r="O864" i="3"/>
  <c r="S864" i="3" s="1"/>
  <c r="I687" i="3"/>
  <c r="M687" i="3" s="1"/>
  <c r="AZ333" i="3"/>
  <c r="C334" i="3"/>
  <c r="AS334" i="3" s="1"/>
  <c r="AM1068" i="3" l="1"/>
  <c r="AQ1068" i="3" s="1"/>
  <c r="AG1059" i="3"/>
  <c r="AK1059" i="3" s="1"/>
  <c r="AA886" i="3"/>
  <c r="AE886" i="3" s="1"/>
  <c r="AA887" i="3" s="1"/>
  <c r="AE887" i="3" s="1"/>
  <c r="U882" i="3"/>
  <c r="Y882" i="3" s="1"/>
  <c r="O865" i="3"/>
  <c r="S865" i="3" s="1"/>
  <c r="I688" i="3"/>
  <c r="M688" i="3" s="1"/>
  <c r="G334" i="3"/>
  <c r="AM1069" i="3" l="1"/>
  <c r="AQ1069" i="3" s="1"/>
  <c r="AG1060" i="3"/>
  <c r="AK1060" i="3" s="1"/>
  <c r="AA888" i="3"/>
  <c r="AE888" i="3" s="1"/>
  <c r="U883" i="3"/>
  <c r="Y883" i="3" s="1"/>
  <c r="O866" i="3"/>
  <c r="S866" i="3" s="1"/>
  <c r="I689" i="3"/>
  <c r="M689" i="3" s="1"/>
  <c r="AX334" i="3"/>
  <c r="C335" i="3"/>
  <c r="AS335" i="3" s="1"/>
  <c r="AM1070" i="3" l="1"/>
  <c r="AQ1070" i="3" s="1"/>
  <c r="AG1061" i="3"/>
  <c r="AK1061" i="3" s="1"/>
  <c r="AA889" i="3"/>
  <c r="AE889" i="3" s="1"/>
  <c r="U884" i="3"/>
  <c r="Y884" i="3" s="1"/>
  <c r="O867" i="3"/>
  <c r="S867" i="3" s="1"/>
  <c r="I690" i="3"/>
  <c r="M690" i="3" s="1"/>
  <c r="AZ334" i="3"/>
  <c r="BA334" i="3"/>
  <c r="BB334" i="3" s="1"/>
  <c r="G335" i="3"/>
  <c r="AM1071" i="3" l="1"/>
  <c r="AQ1071" i="3" s="1"/>
  <c r="AG1062" i="3"/>
  <c r="AK1062" i="3" s="1"/>
  <c r="AA890" i="3"/>
  <c r="AE890" i="3" s="1"/>
  <c r="U885" i="3"/>
  <c r="Y885" i="3" s="1"/>
  <c r="O868" i="3"/>
  <c r="S868" i="3" s="1"/>
  <c r="I691" i="3"/>
  <c r="M691" i="3" s="1"/>
  <c r="I692" i="3" s="1"/>
  <c r="AX335" i="3"/>
  <c r="C336" i="3"/>
  <c r="AS336" i="3" s="1"/>
  <c r="AM1072" i="3" l="1"/>
  <c r="AQ1072" i="3" s="1"/>
  <c r="AG1063" i="3"/>
  <c r="AK1063" i="3" s="1"/>
  <c r="AA891" i="3"/>
  <c r="AE891" i="3" s="1"/>
  <c r="U886" i="3"/>
  <c r="Y886" i="3" s="1"/>
  <c r="U887" i="3" s="1"/>
  <c r="Y887" i="3" s="1"/>
  <c r="O869" i="3"/>
  <c r="S869" i="3" s="1"/>
  <c r="AZ335" i="3"/>
  <c r="BA335" i="3"/>
  <c r="BB335" i="3" s="1"/>
  <c r="M692" i="3"/>
  <c r="G336" i="3"/>
  <c r="AX336" i="3" s="1"/>
  <c r="BA336" i="3" s="1"/>
  <c r="BB336" i="3" l="1"/>
  <c r="AM1073" i="3"/>
  <c r="AQ1073" i="3" s="1"/>
  <c r="AG1064" i="3"/>
  <c r="AK1064" i="3" s="1"/>
  <c r="AG1065" i="3" s="1"/>
  <c r="AK1065" i="3" s="1"/>
  <c r="AA892" i="3"/>
  <c r="AE892" i="3" s="1"/>
  <c r="U888" i="3"/>
  <c r="Y888" i="3" s="1"/>
  <c r="O870" i="3"/>
  <c r="S870" i="3" s="1"/>
  <c r="I693" i="3"/>
  <c r="M693" i="3"/>
  <c r="AZ336" i="3"/>
  <c r="C337" i="3"/>
  <c r="AS337" i="3" s="1"/>
  <c r="AM1074" i="3" l="1"/>
  <c r="AQ1074" i="3" s="1"/>
  <c r="AG1066" i="3"/>
  <c r="AK1066" i="3" s="1"/>
  <c r="AA893" i="3"/>
  <c r="AE893" i="3" s="1"/>
  <c r="AA894" i="3" s="1"/>
  <c r="AE894" i="3" s="1"/>
  <c r="U889" i="3"/>
  <c r="Y889" i="3" s="1"/>
  <c r="O871" i="3"/>
  <c r="S871" i="3" s="1"/>
  <c r="I694" i="3"/>
  <c r="M694" i="3" s="1"/>
  <c r="G337" i="3"/>
  <c r="AM1075" i="3" l="1"/>
  <c r="AQ1075" i="3" s="1"/>
  <c r="AG1067" i="3"/>
  <c r="AK1067" i="3" s="1"/>
  <c r="AA895" i="3"/>
  <c r="AE895" i="3" s="1"/>
  <c r="U890" i="3"/>
  <c r="Y890" i="3" s="1"/>
  <c r="O872" i="3"/>
  <c r="S872" i="3" s="1"/>
  <c r="I695" i="3"/>
  <c r="M695" i="3" s="1"/>
  <c r="AX337" i="3"/>
  <c r="C338" i="3"/>
  <c r="AS338" i="3" s="1"/>
  <c r="AM1076" i="3" l="1"/>
  <c r="AQ1076" i="3" s="1"/>
  <c r="AG1068" i="3"/>
  <c r="AK1068" i="3" s="1"/>
  <c r="AA896" i="3"/>
  <c r="AE896" i="3" s="1"/>
  <c r="U891" i="3"/>
  <c r="Y891" i="3" s="1"/>
  <c r="O873" i="3"/>
  <c r="S873" i="3" s="1"/>
  <c r="I696" i="3"/>
  <c r="M696" i="3" s="1"/>
  <c r="AZ337" i="3"/>
  <c r="BA337" i="3"/>
  <c r="BB337" i="3" s="1"/>
  <c r="G338" i="3"/>
  <c r="AM1077" i="3" l="1"/>
  <c r="AQ1077" i="3" s="1"/>
  <c r="AG1069" i="3"/>
  <c r="AK1069" i="3" s="1"/>
  <c r="AG1070" i="3" s="1"/>
  <c r="AK1070" i="3" s="1"/>
  <c r="AA897" i="3"/>
  <c r="AE897" i="3" s="1"/>
  <c r="U892" i="3"/>
  <c r="Y892" i="3" s="1"/>
  <c r="O874" i="3"/>
  <c r="S874" i="3" s="1"/>
  <c r="I697" i="3"/>
  <c r="M697" i="3" s="1"/>
  <c r="AX338" i="3"/>
  <c r="C339" i="3"/>
  <c r="AS339" i="3" s="1"/>
  <c r="AM1078" i="3" l="1"/>
  <c r="AQ1078" i="3" s="1"/>
  <c r="AG1071" i="3"/>
  <c r="AK1071" i="3" s="1"/>
  <c r="AA898" i="3"/>
  <c r="AE898" i="3" s="1"/>
  <c r="AA899" i="3" s="1"/>
  <c r="AE899" i="3" s="1"/>
  <c r="U893" i="3"/>
  <c r="Y893" i="3" s="1"/>
  <c r="U894" i="3" s="1"/>
  <c r="Y894" i="3" s="1"/>
  <c r="O875" i="3"/>
  <c r="S875" i="3" s="1"/>
  <c r="I698" i="3"/>
  <c r="M698" i="3" s="1"/>
  <c r="AZ338" i="3"/>
  <c r="BA338" i="3"/>
  <c r="BB338" i="3" s="1"/>
  <c r="G339" i="3"/>
  <c r="AM1079" i="3" l="1"/>
  <c r="AQ1079" i="3" s="1"/>
  <c r="AG1072" i="3"/>
  <c r="AK1072" i="3" s="1"/>
  <c r="AA900" i="3"/>
  <c r="AE900" i="3" s="1"/>
  <c r="U895" i="3"/>
  <c r="Y895" i="3" s="1"/>
  <c r="O876" i="3"/>
  <c r="S876" i="3" s="1"/>
  <c r="I699" i="3"/>
  <c r="M699" i="3" s="1"/>
  <c r="AX339" i="3"/>
  <c r="C340" i="3"/>
  <c r="AS340" i="3" s="1"/>
  <c r="AM1080" i="3" l="1"/>
  <c r="AQ1080" i="3" s="1"/>
  <c r="AG1073" i="3"/>
  <c r="AK1073" i="3" s="1"/>
  <c r="AG1074" i="3" s="1"/>
  <c r="AK1074" i="3" s="1"/>
  <c r="AA901" i="3"/>
  <c r="AE901" i="3" s="1"/>
  <c r="U896" i="3"/>
  <c r="Y896" i="3" s="1"/>
  <c r="O877" i="3"/>
  <c r="S877" i="3" s="1"/>
  <c r="I700" i="3"/>
  <c r="M700" i="3" s="1"/>
  <c r="AZ339" i="3"/>
  <c r="BA339" i="3"/>
  <c r="BB339" i="3" s="1"/>
  <c r="G340" i="3"/>
  <c r="AM1081" i="3" l="1"/>
  <c r="AQ1081" i="3" s="1"/>
  <c r="AG1075" i="3"/>
  <c r="AK1075" i="3" s="1"/>
  <c r="AA902" i="3"/>
  <c r="AE902" i="3" s="1"/>
  <c r="U897" i="3"/>
  <c r="Y897" i="3" s="1"/>
  <c r="O878" i="3"/>
  <c r="S878" i="3" s="1"/>
  <c r="I701" i="3"/>
  <c r="M701" i="3" s="1"/>
  <c r="AX340" i="3"/>
  <c r="C341" i="3"/>
  <c r="AS341" i="3" s="1"/>
  <c r="AM1082" i="3" l="1"/>
  <c r="AQ1082" i="3" s="1"/>
  <c r="AG1076" i="3"/>
  <c r="AK1076" i="3" s="1"/>
  <c r="AA903" i="3"/>
  <c r="AE903" i="3" s="1"/>
  <c r="U898" i="3"/>
  <c r="Y898" i="3" s="1"/>
  <c r="U899" i="3" s="1"/>
  <c r="Y899" i="3" s="1"/>
  <c r="O879" i="3"/>
  <c r="S879" i="3" s="1"/>
  <c r="I702" i="3"/>
  <c r="M702" i="3" s="1"/>
  <c r="AZ340" i="3"/>
  <c r="BA340" i="3"/>
  <c r="BB340" i="3" s="1"/>
  <c r="G341" i="3"/>
  <c r="AM1083" i="3" l="1"/>
  <c r="AQ1083" i="3" s="1"/>
  <c r="AG1077" i="3"/>
  <c r="AK1077" i="3" s="1"/>
  <c r="AA904" i="3"/>
  <c r="AE904" i="3" s="1"/>
  <c r="U900" i="3"/>
  <c r="Y900" i="3" s="1"/>
  <c r="O880" i="3"/>
  <c r="S880" i="3" s="1"/>
  <c r="I703" i="3"/>
  <c r="M703" i="3" s="1"/>
  <c r="AX341" i="3"/>
  <c r="C342" i="3"/>
  <c r="AS342" i="3" s="1"/>
  <c r="AM1084" i="3" l="1"/>
  <c r="AQ1084" i="3" s="1"/>
  <c r="AG1078" i="3"/>
  <c r="AK1078" i="3" s="1"/>
  <c r="AA905" i="3"/>
  <c r="AE905" i="3" s="1"/>
  <c r="U901" i="3"/>
  <c r="Y901" i="3" s="1"/>
  <c r="O881" i="3"/>
  <c r="S881" i="3" s="1"/>
  <c r="I704" i="3"/>
  <c r="M704" i="3" s="1"/>
  <c r="I705" i="3" s="1"/>
  <c r="AZ341" i="3"/>
  <c r="BA341" i="3"/>
  <c r="BB341" i="3" s="1"/>
  <c r="G342" i="3"/>
  <c r="AX342" i="3" s="1"/>
  <c r="BA342" i="3" s="1"/>
  <c r="BB342" i="3" l="1"/>
  <c r="AM1085" i="3"/>
  <c r="AQ1085" i="3" s="1"/>
  <c r="AG1079" i="3"/>
  <c r="AK1079" i="3" s="1"/>
  <c r="AG1080" i="3" s="1"/>
  <c r="AK1080" i="3" s="1"/>
  <c r="AA906" i="3"/>
  <c r="AE906" i="3" s="1"/>
  <c r="U902" i="3"/>
  <c r="Y902" i="3" s="1"/>
  <c r="O882" i="3"/>
  <c r="S882" i="3" s="1"/>
  <c r="M705" i="3"/>
  <c r="AZ342" i="3"/>
  <c r="C343" i="3"/>
  <c r="AS343" i="3" s="1"/>
  <c r="AM1086" i="3" l="1"/>
  <c r="AQ1086" i="3" s="1"/>
  <c r="AG1081" i="3"/>
  <c r="AK1081" i="3" s="1"/>
  <c r="AA907" i="3"/>
  <c r="AE907" i="3" s="1"/>
  <c r="U903" i="3"/>
  <c r="Y903" i="3" s="1"/>
  <c r="O883" i="3"/>
  <c r="S883" i="3" s="1"/>
  <c r="I706" i="3"/>
  <c r="M706" i="3" s="1"/>
  <c r="G343" i="3"/>
  <c r="AX343" i="3" s="1"/>
  <c r="BA343" i="3" s="1"/>
  <c r="BB343" i="3" s="1"/>
  <c r="AM1087" i="3" l="1"/>
  <c r="AQ1087" i="3" s="1"/>
  <c r="AG1082" i="3"/>
  <c r="AK1082" i="3" s="1"/>
  <c r="AA908" i="3"/>
  <c r="AE908" i="3" s="1"/>
  <c r="U904" i="3"/>
  <c r="Y904" i="3" s="1"/>
  <c r="O884" i="3"/>
  <c r="S884" i="3" s="1"/>
  <c r="I707" i="3"/>
  <c r="M707" i="3" s="1"/>
  <c r="AZ343" i="3"/>
  <c r="C344" i="3"/>
  <c r="AS344" i="3" s="1"/>
  <c r="AM1088" i="3" l="1"/>
  <c r="AQ1088" i="3" s="1"/>
  <c r="AG1083" i="3"/>
  <c r="AK1083" i="3" s="1"/>
  <c r="AA909" i="3"/>
  <c r="AE909" i="3" s="1"/>
  <c r="U905" i="3"/>
  <c r="Y905" i="3" s="1"/>
  <c r="O885" i="3"/>
  <c r="S885" i="3" s="1"/>
  <c r="I708" i="3"/>
  <c r="M708" i="3" s="1"/>
  <c r="G344" i="3"/>
  <c r="AM1089" i="3" l="1"/>
  <c r="AQ1089" i="3" s="1"/>
  <c r="AG1084" i="3"/>
  <c r="AK1084" i="3" s="1"/>
  <c r="AA910" i="3"/>
  <c r="AE910" i="3" s="1"/>
  <c r="U906" i="3"/>
  <c r="Y906" i="3" s="1"/>
  <c r="U907" i="3" s="1"/>
  <c r="Y907" i="3" s="1"/>
  <c r="O886" i="3"/>
  <c r="S886" i="3" s="1"/>
  <c r="O887" i="3" s="1"/>
  <c r="S887" i="3" s="1"/>
  <c r="I709" i="3"/>
  <c r="M709" i="3" s="1"/>
  <c r="AX344" i="3"/>
  <c r="C345" i="3"/>
  <c r="AS345" i="3" s="1"/>
  <c r="AM1090" i="3" l="1"/>
  <c r="AQ1090" i="3" s="1"/>
  <c r="AG1085" i="3"/>
  <c r="AK1085" i="3" s="1"/>
  <c r="AA911" i="3"/>
  <c r="AE911" i="3" s="1"/>
  <c r="U908" i="3"/>
  <c r="Y908" i="3" s="1"/>
  <c r="O888" i="3"/>
  <c r="S888" i="3" s="1"/>
  <c r="I710" i="3"/>
  <c r="M710" i="3" s="1"/>
  <c r="AZ344" i="3"/>
  <c r="BA344" i="3"/>
  <c r="BB344" i="3" s="1"/>
  <c r="G345" i="3"/>
  <c r="AM1091" i="3" l="1"/>
  <c r="AQ1091" i="3" s="1"/>
  <c r="AG1086" i="3"/>
  <c r="AK1086" i="3" s="1"/>
  <c r="AA912" i="3"/>
  <c r="AE912" i="3" s="1"/>
  <c r="U909" i="3"/>
  <c r="Y909" i="3" s="1"/>
  <c r="O889" i="3"/>
  <c r="S889" i="3" s="1"/>
  <c r="I711" i="3"/>
  <c r="M711" i="3" s="1"/>
  <c r="I712" i="3" s="1"/>
  <c r="M712" i="3" s="1"/>
  <c r="AX345" i="3"/>
  <c r="C346" i="3"/>
  <c r="AS346" i="3" s="1"/>
  <c r="AM1092" i="3" l="1"/>
  <c r="AQ1092" i="3" s="1"/>
  <c r="AG1087" i="3"/>
  <c r="AK1087" i="3" s="1"/>
  <c r="AA913" i="3"/>
  <c r="AE913" i="3" s="1"/>
  <c r="AA914" i="3" s="1"/>
  <c r="AE914" i="3" s="1"/>
  <c r="AA915" i="3" s="1"/>
  <c r="AE915" i="3" s="1"/>
  <c r="U910" i="3"/>
  <c r="Y910" i="3" s="1"/>
  <c r="O890" i="3"/>
  <c r="S890" i="3" s="1"/>
  <c r="AZ345" i="3"/>
  <c r="BA345" i="3"/>
  <c r="BB345" i="3" s="1"/>
  <c r="I713" i="3"/>
  <c r="M713" i="3" s="1"/>
  <c r="G346" i="3"/>
  <c r="AM1093" i="3" l="1"/>
  <c r="AQ1093" i="3" s="1"/>
  <c r="AG1088" i="3"/>
  <c r="AK1088" i="3" s="1"/>
  <c r="AA916" i="3"/>
  <c r="AE916" i="3" s="1"/>
  <c r="AA917" i="3" s="1"/>
  <c r="AE917" i="3" s="1"/>
  <c r="U911" i="3"/>
  <c r="Y911" i="3" s="1"/>
  <c r="O891" i="3"/>
  <c r="S891" i="3" s="1"/>
  <c r="AX346" i="3"/>
  <c r="I714" i="3"/>
  <c r="M714" i="3" s="1"/>
  <c r="C347" i="3"/>
  <c r="AS347" i="3" s="1"/>
  <c r="AM1094" i="3" l="1"/>
  <c r="AQ1094" i="3" s="1"/>
  <c r="AG1089" i="3"/>
  <c r="AK1089" i="3" s="1"/>
  <c r="AA918" i="3"/>
  <c r="AE918" i="3" s="1"/>
  <c r="U912" i="3"/>
  <c r="Y912" i="3" s="1"/>
  <c r="O892" i="3"/>
  <c r="S892" i="3" s="1"/>
  <c r="AZ346" i="3"/>
  <c r="BA346" i="3"/>
  <c r="BB346" i="3" s="1"/>
  <c r="I715" i="3"/>
  <c r="M715" i="3" s="1"/>
  <c r="G347" i="3"/>
  <c r="AM1095" i="3" l="1"/>
  <c r="AQ1095" i="3" s="1"/>
  <c r="AG1090" i="3"/>
  <c r="AK1090" i="3" s="1"/>
  <c r="AA919" i="3"/>
  <c r="AE919" i="3" s="1"/>
  <c r="U913" i="3"/>
  <c r="Y913" i="3" s="1"/>
  <c r="U914" i="3" s="1"/>
  <c r="Y914" i="3" s="1"/>
  <c r="U915" i="3" s="1"/>
  <c r="Y915" i="3" s="1"/>
  <c r="O893" i="3"/>
  <c r="S893" i="3" s="1"/>
  <c r="O894" i="3" s="1"/>
  <c r="S894" i="3" s="1"/>
  <c r="AX347" i="3"/>
  <c r="I716" i="3"/>
  <c r="M716" i="3" s="1"/>
  <c r="C348" i="3"/>
  <c r="AS348" i="3" s="1"/>
  <c r="AM1096" i="3" l="1"/>
  <c r="AQ1096" i="3" s="1"/>
  <c r="AG1091" i="3"/>
  <c r="AK1091" i="3" s="1"/>
  <c r="AA920" i="3"/>
  <c r="AE920" i="3" s="1"/>
  <c r="U916" i="3"/>
  <c r="Y916" i="3" s="1"/>
  <c r="O895" i="3"/>
  <c r="S895" i="3" s="1"/>
  <c r="AZ347" i="3"/>
  <c r="BA347" i="3"/>
  <c r="BB347" i="3" s="1"/>
  <c r="I717" i="3"/>
  <c r="M717" i="3" s="1"/>
  <c r="G348" i="3"/>
  <c r="AM1097" i="3" l="1"/>
  <c r="AQ1097" i="3" s="1"/>
  <c r="AG1092" i="3"/>
  <c r="AK1092" i="3" s="1"/>
  <c r="AA921" i="3"/>
  <c r="AE921" i="3" s="1"/>
  <c r="U917" i="3"/>
  <c r="Y917" i="3" s="1"/>
  <c r="O896" i="3"/>
  <c r="S896" i="3" s="1"/>
  <c r="AX348" i="3"/>
  <c r="I718" i="3"/>
  <c r="M718" i="3" s="1"/>
  <c r="C349" i="3"/>
  <c r="AS349" i="3" s="1"/>
  <c r="AM1098" i="3" l="1"/>
  <c r="AQ1098" i="3" s="1"/>
  <c r="AG1093" i="3"/>
  <c r="AK1093" i="3" s="1"/>
  <c r="AA922" i="3"/>
  <c r="AE922" i="3" s="1"/>
  <c r="U918" i="3"/>
  <c r="Y918" i="3" s="1"/>
  <c r="O897" i="3"/>
  <c r="S897" i="3" s="1"/>
  <c r="AZ348" i="3"/>
  <c r="BA348" i="3"/>
  <c r="BB348" i="3" s="1"/>
  <c r="I719" i="3"/>
  <c r="M719" i="3" s="1"/>
  <c r="G349" i="3"/>
  <c r="AM1099" i="3" l="1"/>
  <c r="AQ1099" i="3" s="1"/>
  <c r="AG1094" i="3"/>
  <c r="AK1094" i="3" s="1"/>
  <c r="AA923" i="3"/>
  <c r="AE923" i="3" s="1"/>
  <c r="U919" i="3"/>
  <c r="Y919" i="3" s="1"/>
  <c r="O898" i="3"/>
  <c r="S898" i="3" s="1"/>
  <c r="AX349" i="3"/>
  <c r="I720" i="3"/>
  <c r="M720" i="3" s="1"/>
  <c r="C350" i="3"/>
  <c r="AS350" i="3" s="1"/>
  <c r="AM1100" i="3" l="1"/>
  <c r="AQ1100" i="3" s="1"/>
  <c r="AG1095" i="3"/>
  <c r="AK1095" i="3" s="1"/>
  <c r="AA924" i="3"/>
  <c r="AE924" i="3" s="1"/>
  <c r="AA925" i="3" s="1"/>
  <c r="AE925" i="3" s="1"/>
  <c r="U920" i="3"/>
  <c r="Y920" i="3" s="1"/>
  <c r="O899" i="3"/>
  <c r="S899" i="3" s="1"/>
  <c r="AZ349" i="3"/>
  <c r="BA349" i="3"/>
  <c r="BB349" i="3" s="1"/>
  <c r="I721" i="3"/>
  <c r="M721" i="3" s="1"/>
  <c r="G350" i="3"/>
  <c r="AM1101" i="3" l="1"/>
  <c r="AQ1101" i="3" s="1"/>
  <c r="AG1096" i="3"/>
  <c r="AK1096" i="3" s="1"/>
  <c r="AA926" i="3"/>
  <c r="AE926" i="3" s="1"/>
  <c r="U921" i="3"/>
  <c r="Y921" i="3" s="1"/>
  <c r="O900" i="3"/>
  <c r="S900" i="3" s="1"/>
  <c r="AX350" i="3"/>
  <c r="I722" i="3"/>
  <c r="M722" i="3" s="1"/>
  <c r="C351" i="3"/>
  <c r="AS351" i="3" s="1"/>
  <c r="AM1102" i="3" l="1"/>
  <c r="AQ1102" i="3" s="1"/>
  <c r="AG1097" i="3"/>
  <c r="AK1097" i="3" s="1"/>
  <c r="AA927" i="3"/>
  <c r="AE927" i="3" s="1"/>
  <c r="AA928" i="3" s="1"/>
  <c r="AE928" i="3" s="1"/>
  <c r="U922" i="3"/>
  <c r="Y922" i="3" s="1"/>
  <c r="O901" i="3"/>
  <c r="S901" i="3" s="1"/>
  <c r="AZ350" i="3"/>
  <c r="BA350" i="3"/>
  <c r="BB350" i="3" s="1"/>
  <c r="I723" i="3"/>
  <c r="M723" i="3" s="1"/>
  <c r="G351" i="3"/>
  <c r="AX351" i="3" s="1"/>
  <c r="BA351" i="3" s="1"/>
  <c r="BB351" i="3" l="1"/>
  <c r="AM1103" i="3"/>
  <c r="AQ1103" i="3" s="1"/>
  <c r="AG1098" i="3"/>
  <c r="AK1098" i="3" s="1"/>
  <c r="AA929" i="3"/>
  <c r="AE929" i="3" s="1"/>
  <c r="U923" i="3"/>
  <c r="Y923" i="3" s="1"/>
  <c r="O902" i="3"/>
  <c r="S902" i="3" s="1"/>
  <c r="I724" i="3"/>
  <c r="M724" i="3" s="1"/>
  <c r="AZ351" i="3"/>
  <c r="C352" i="3"/>
  <c r="AS352" i="3" s="1"/>
  <c r="AM1104" i="3" l="1"/>
  <c r="AQ1104" i="3" s="1"/>
  <c r="AG1099" i="3"/>
  <c r="AK1099" i="3" s="1"/>
  <c r="AA930" i="3"/>
  <c r="AE930" i="3" s="1"/>
  <c r="U924" i="3"/>
  <c r="Y924" i="3" s="1"/>
  <c r="O903" i="3"/>
  <c r="S903" i="3" s="1"/>
  <c r="I725" i="3"/>
  <c r="M725" i="3" s="1"/>
  <c r="G352" i="3"/>
  <c r="AM1105" i="3" l="1"/>
  <c r="AQ1105" i="3" s="1"/>
  <c r="AG1100" i="3"/>
  <c r="AK1100" i="3" s="1"/>
  <c r="AA931" i="3"/>
  <c r="AE931" i="3" s="1"/>
  <c r="U925" i="3"/>
  <c r="Y925" i="3" s="1"/>
  <c r="O904" i="3"/>
  <c r="S904" i="3" s="1"/>
  <c r="AX352" i="3"/>
  <c r="I726" i="3"/>
  <c r="M726" i="3" s="1"/>
  <c r="C353" i="3"/>
  <c r="AS353" i="3" s="1"/>
  <c r="AM1106" i="3" l="1"/>
  <c r="AQ1106" i="3" s="1"/>
  <c r="AG1101" i="3"/>
  <c r="AK1101" i="3" s="1"/>
  <c r="AA932" i="3"/>
  <c r="AE932" i="3" s="1"/>
  <c r="U926" i="3"/>
  <c r="Y926" i="3" s="1"/>
  <c r="O905" i="3"/>
  <c r="S905" i="3" s="1"/>
  <c r="AZ352" i="3"/>
  <c r="BA352" i="3"/>
  <c r="BB352" i="3" s="1"/>
  <c r="I727" i="3"/>
  <c r="M727" i="3" s="1"/>
  <c r="G353" i="3"/>
  <c r="AM1107" i="3" l="1"/>
  <c r="AQ1107" i="3" s="1"/>
  <c r="AG1102" i="3"/>
  <c r="AK1102" i="3" s="1"/>
  <c r="AA933" i="3"/>
  <c r="AE933" i="3" s="1"/>
  <c r="U927" i="3"/>
  <c r="Y927" i="3" s="1"/>
  <c r="U928" i="3" s="1"/>
  <c r="Y928" i="3" s="1"/>
  <c r="O906" i="3"/>
  <c r="S906" i="3" s="1"/>
  <c r="AX353" i="3"/>
  <c r="I728" i="3"/>
  <c r="M728" i="3" s="1"/>
  <c r="C354" i="3"/>
  <c r="AS354" i="3" s="1"/>
  <c r="AM1108" i="3" l="1"/>
  <c r="AQ1108" i="3" s="1"/>
  <c r="AG1103" i="3"/>
  <c r="AK1103" i="3" s="1"/>
  <c r="AA934" i="3"/>
  <c r="AE934" i="3" s="1"/>
  <c r="U929" i="3"/>
  <c r="Y929" i="3" s="1"/>
  <c r="O907" i="3"/>
  <c r="S907" i="3" s="1"/>
  <c r="AZ353" i="3"/>
  <c r="BA353" i="3"/>
  <c r="BB353" i="3" s="1"/>
  <c r="I729" i="3"/>
  <c r="M729" i="3" s="1"/>
  <c r="G354" i="3"/>
  <c r="AM1109" i="3" l="1"/>
  <c r="AQ1109" i="3" s="1"/>
  <c r="AG1104" i="3"/>
  <c r="AK1104" i="3" s="1"/>
  <c r="AA935" i="3"/>
  <c r="AE935" i="3" s="1"/>
  <c r="U930" i="3"/>
  <c r="Y930" i="3" s="1"/>
  <c r="O908" i="3"/>
  <c r="S908" i="3" s="1"/>
  <c r="AX354" i="3"/>
  <c r="I730" i="3"/>
  <c r="M730" i="3" s="1"/>
  <c r="C355" i="3"/>
  <c r="AS355" i="3" s="1"/>
  <c r="AM1110" i="3" l="1"/>
  <c r="AQ1110" i="3" s="1"/>
  <c r="AG1105" i="3"/>
  <c r="AK1105" i="3" s="1"/>
  <c r="AA936" i="3"/>
  <c r="AE936" i="3" s="1"/>
  <c r="AA937" i="3" s="1"/>
  <c r="AE937" i="3" s="1"/>
  <c r="U931" i="3"/>
  <c r="Y931" i="3" s="1"/>
  <c r="O909" i="3"/>
  <c r="S909" i="3" s="1"/>
  <c r="AZ354" i="3"/>
  <c r="BA354" i="3"/>
  <c r="BB354" i="3" s="1"/>
  <c r="I731" i="3"/>
  <c r="M731" i="3" s="1"/>
  <c r="G355" i="3"/>
  <c r="AM1111" i="3" l="1"/>
  <c r="AQ1111" i="3" s="1"/>
  <c r="AG1106" i="3"/>
  <c r="AK1106" i="3" s="1"/>
  <c r="AA938" i="3"/>
  <c r="AE938" i="3" s="1"/>
  <c r="U932" i="3"/>
  <c r="Y932" i="3" s="1"/>
  <c r="O910" i="3"/>
  <c r="S910" i="3" s="1"/>
  <c r="AX355" i="3"/>
  <c r="I732" i="3"/>
  <c r="M732" i="3" s="1"/>
  <c r="C356" i="3"/>
  <c r="AS356" i="3" s="1"/>
  <c r="AM1112" i="3" l="1"/>
  <c r="AQ1112" i="3" s="1"/>
  <c r="AG1107" i="3"/>
  <c r="AK1107" i="3" s="1"/>
  <c r="AA939" i="3"/>
  <c r="AE939" i="3" s="1"/>
  <c r="U933" i="3"/>
  <c r="Y933" i="3" s="1"/>
  <c r="O911" i="3"/>
  <c r="S911" i="3" s="1"/>
  <c r="AZ355" i="3"/>
  <c r="BA355" i="3"/>
  <c r="BB355" i="3" s="1"/>
  <c r="I733" i="3"/>
  <c r="M733" i="3" s="1"/>
  <c r="G356" i="3"/>
  <c r="AM1113" i="3" l="1"/>
  <c r="AQ1113" i="3" s="1"/>
  <c r="AG1108" i="3"/>
  <c r="AK1108" i="3" s="1"/>
  <c r="AA940" i="3"/>
  <c r="AE940" i="3" s="1"/>
  <c r="U934" i="3"/>
  <c r="Y934" i="3" s="1"/>
  <c r="O912" i="3"/>
  <c r="S912" i="3" s="1"/>
  <c r="AX356" i="3"/>
  <c r="I734" i="3"/>
  <c r="M734" i="3" s="1"/>
  <c r="C357" i="3"/>
  <c r="AS357" i="3" s="1"/>
  <c r="AM1114" i="3" l="1"/>
  <c r="AQ1114" i="3" s="1"/>
  <c r="AG1109" i="3"/>
  <c r="AK1109" i="3" s="1"/>
  <c r="AA941" i="3"/>
  <c r="AE941" i="3" s="1"/>
  <c r="U935" i="3"/>
  <c r="Y935" i="3" s="1"/>
  <c r="O913" i="3"/>
  <c r="S913" i="3" s="1"/>
  <c r="AZ356" i="3"/>
  <c r="BA356" i="3"/>
  <c r="BB356" i="3" s="1"/>
  <c r="I735" i="3"/>
  <c r="M735" i="3" s="1"/>
  <c r="G357" i="3"/>
  <c r="AX357" i="3" s="1"/>
  <c r="BA357" i="3" s="1"/>
  <c r="BB357" i="3" l="1"/>
  <c r="AM1115" i="3"/>
  <c r="AQ1115" i="3" s="1"/>
  <c r="AG1110" i="3"/>
  <c r="AK1110" i="3" s="1"/>
  <c r="AG1111" i="3" s="1"/>
  <c r="AK1111" i="3" s="1"/>
  <c r="AG1112" i="3" s="1"/>
  <c r="AK1112" i="3" s="1"/>
  <c r="AA942" i="3"/>
  <c r="AE942" i="3" s="1"/>
  <c r="U936" i="3"/>
  <c r="Y936" i="3" s="1"/>
  <c r="O914" i="3"/>
  <c r="S914" i="3" s="1"/>
  <c r="O915" i="3" s="1"/>
  <c r="S915" i="3" s="1"/>
  <c r="I736" i="3"/>
  <c r="M736" i="3" s="1"/>
  <c r="AZ357" i="3"/>
  <c r="C358" i="3"/>
  <c r="AS358" i="3" s="1"/>
  <c r="AM1116" i="3" l="1"/>
  <c r="AQ1116" i="3" s="1"/>
  <c r="AG1113" i="3"/>
  <c r="AK1113" i="3" s="1"/>
  <c r="AA943" i="3"/>
  <c r="AE943" i="3" s="1"/>
  <c r="U937" i="3"/>
  <c r="Y937" i="3" s="1"/>
  <c r="O916" i="3"/>
  <c r="S916" i="3" s="1"/>
  <c r="I737" i="3"/>
  <c r="M737" i="3" s="1"/>
  <c r="G358" i="3"/>
  <c r="AX358" i="3" s="1"/>
  <c r="BA358" i="3" s="1"/>
  <c r="BB358" i="3" s="1"/>
  <c r="AM1117" i="3" l="1"/>
  <c r="AQ1117" i="3" s="1"/>
  <c r="AG1114" i="3"/>
  <c r="AK1114" i="3" s="1"/>
  <c r="AA944" i="3"/>
  <c r="AE944" i="3" s="1"/>
  <c r="U938" i="3"/>
  <c r="Y938" i="3" s="1"/>
  <c r="O917" i="3"/>
  <c r="S917" i="3" s="1"/>
  <c r="I738" i="3"/>
  <c r="M738" i="3" s="1"/>
  <c r="AZ358" i="3"/>
  <c r="C359" i="3"/>
  <c r="AS359" i="3" s="1"/>
  <c r="AM1118" i="3" l="1"/>
  <c r="AQ1118" i="3" s="1"/>
  <c r="AG1115" i="3"/>
  <c r="AK1115" i="3" s="1"/>
  <c r="AA945" i="3"/>
  <c r="AE945" i="3" s="1"/>
  <c r="U939" i="3"/>
  <c r="Y939" i="3" s="1"/>
  <c r="O918" i="3"/>
  <c r="S918" i="3" s="1"/>
  <c r="I739" i="3"/>
  <c r="M739" i="3" s="1"/>
  <c r="G359" i="3"/>
  <c r="AM1119" i="3" l="1"/>
  <c r="AQ1119" i="3" s="1"/>
  <c r="AG1116" i="3"/>
  <c r="AK1116" i="3" s="1"/>
  <c r="AA946" i="3"/>
  <c r="AE946" i="3" s="1"/>
  <c r="U940" i="3"/>
  <c r="Y940" i="3" s="1"/>
  <c r="O919" i="3"/>
  <c r="S919" i="3" s="1"/>
  <c r="AX359" i="3"/>
  <c r="I740" i="3"/>
  <c r="M740" i="3" s="1"/>
  <c r="C360" i="3"/>
  <c r="AS360" i="3" s="1"/>
  <c r="AM1120" i="3" l="1"/>
  <c r="AQ1120" i="3" s="1"/>
  <c r="AG1117" i="3"/>
  <c r="AK1117" i="3" s="1"/>
  <c r="AA947" i="3"/>
  <c r="AE947" i="3" s="1"/>
  <c r="U941" i="3"/>
  <c r="Y941" i="3" s="1"/>
  <c r="O920" i="3"/>
  <c r="S920" i="3" s="1"/>
  <c r="AZ359" i="3"/>
  <c r="BA359" i="3"/>
  <c r="BB359" i="3" s="1"/>
  <c r="I741" i="3"/>
  <c r="M741" i="3" s="1"/>
  <c r="G360" i="3"/>
  <c r="AX360" i="3" s="1"/>
  <c r="BA360" i="3" s="1"/>
  <c r="BB360" i="3" l="1"/>
  <c r="AM1121" i="3"/>
  <c r="AQ1121" i="3" s="1"/>
  <c r="AG1118" i="3"/>
  <c r="AK1118" i="3" s="1"/>
  <c r="AA948" i="3"/>
  <c r="AE948" i="3" s="1"/>
  <c r="U942" i="3"/>
  <c r="Y942" i="3" s="1"/>
  <c r="O921" i="3"/>
  <c r="S921" i="3" s="1"/>
  <c r="I742" i="3"/>
  <c r="M742" i="3" s="1"/>
  <c r="AZ360" i="3"/>
  <c r="C361" i="3"/>
  <c r="AS361" i="3" s="1"/>
  <c r="AM1122" i="3" l="1"/>
  <c r="AQ1122" i="3" s="1"/>
  <c r="AG1119" i="3"/>
  <c r="AK1119" i="3" s="1"/>
  <c r="AG1120" i="3" s="1"/>
  <c r="AK1120" i="3" s="1"/>
  <c r="AA949" i="3"/>
  <c r="AE949" i="3" s="1"/>
  <c r="U943" i="3"/>
  <c r="Y943" i="3" s="1"/>
  <c r="O922" i="3"/>
  <c r="S922" i="3" s="1"/>
  <c r="I743" i="3"/>
  <c r="M743" i="3" s="1"/>
  <c r="G361" i="3"/>
  <c r="AX361" i="3" s="1"/>
  <c r="BA361" i="3" s="1"/>
  <c r="BB361" i="3" s="1"/>
  <c r="AM1123" i="3" l="1"/>
  <c r="AQ1123" i="3" s="1"/>
  <c r="AG1121" i="3"/>
  <c r="AK1121" i="3" s="1"/>
  <c r="AA950" i="3"/>
  <c r="AE950" i="3" s="1"/>
  <c r="U944" i="3"/>
  <c r="Y944" i="3" s="1"/>
  <c r="O923" i="3"/>
  <c r="S923" i="3" s="1"/>
  <c r="I744" i="3"/>
  <c r="M744" i="3" s="1"/>
  <c r="AZ361" i="3"/>
  <c r="C362" i="3"/>
  <c r="AS362" i="3" s="1"/>
  <c r="AM1124" i="3" l="1"/>
  <c r="AQ1124" i="3" s="1"/>
  <c r="AG1122" i="3"/>
  <c r="AK1122" i="3" s="1"/>
  <c r="AA951" i="3"/>
  <c r="AE951" i="3" s="1"/>
  <c r="U945" i="3"/>
  <c r="Y945" i="3" s="1"/>
  <c r="O924" i="3"/>
  <c r="S924" i="3" s="1"/>
  <c r="I745" i="3"/>
  <c r="M745" i="3" s="1"/>
  <c r="G362" i="3"/>
  <c r="AX362" i="3" s="1"/>
  <c r="BA362" i="3" s="1"/>
  <c r="BB362" i="3" s="1"/>
  <c r="AM1125" i="3" l="1"/>
  <c r="AQ1125" i="3" s="1"/>
  <c r="AG1123" i="3"/>
  <c r="AK1123" i="3" s="1"/>
  <c r="AA952" i="3"/>
  <c r="AE952" i="3" s="1"/>
  <c r="U946" i="3"/>
  <c r="Y946" i="3" s="1"/>
  <c r="O925" i="3"/>
  <c r="S925" i="3" s="1"/>
  <c r="I746" i="3"/>
  <c r="M746" i="3" s="1"/>
  <c r="AZ362" i="3"/>
  <c r="C363" i="3"/>
  <c r="AS363" i="3" s="1"/>
  <c r="AM1126" i="3" l="1"/>
  <c r="AQ1126" i="3" s="1"/>
  <c r="AG1124" i="3"/>
  <c r="AK1124" i="3" s="1"/>
  <c r="AA953" i="3"/>
  <c r="AE953" i="3" s="1"/>
  <c r="AA954" i="3" s="1"/>
  <c r="AE954" i="3" s="1"/>
  <c r="U947" i="3"/>
  <c r="Y947" i="3" s="1"/>
  <c r="O926" i="3"/>
  <c r="S926" i="3" s="1"/>
  <c r="I747" i="3"/>
  <c r="M747" i="3" s="1"/>
  <c r="G363" i="3"/>
  <c r="AM1127" i="3" l="1"/>
  <c r="AQ1127" i="3" s="1"/>
  <c r="AG1125" i="3"/>
  <c r="AK1125" i="3" s="1"/>
  <c r="AA955" i="3"/>
  <c r="AE955" i="3" s="1"/>
  <c r="U948" i="3"/>
  <c r="Y948" i="3" s="1"/>
  <c r="O927" i="3"/>
  <c r="S927" i="3" s="1"/>
  <c r="AX363" i="3"/>
  <c r="I748" i="3"/>
  <c r="M748" i="3" s="1"/>
  <c r="C364" i="3"/>
  <c r="AS364" i="3" s="1"/>
  <c r="AM1128" i="3" l="1"/>
  <c r="AQ1128" i="3" s="1"/>
  <c r="AG1126" i="3"/>
  <c r="AK1126" i="3" s="1"/>
  <c r="AA956" i="3"/>
  <c r="AE956" i="3" s="1"/>
  <c r="U949" i="3"/>
  <c r="Y949" i="3" s="1"/>
  <c r="O928" i="3"/>
  <c r="S928" i="3" s="1"/>
  <c r="AZ363" i="3"/>
  <c r="BA363" i="3"/>
  <c r="BB363" i="3" s="1"/>
  <c r="I749" i="3"/>
  <c r="M749" i="3" s="1"/>
  <c r="G364" i="3"/>
  <c r="AM1129" i="3" l="1"/>
  <c r="AQ1129" i="3" s="1"/>
  <c r="AG1127" i="3"/>
  <c r="AK1127" i="3" s="1"/>
  <c r="AA957" i="3"/>
  <c r="AE957" i="3" s="1"/>
  <c r="U950" i="3"/>
  <c r="Y950" i="3" s="1"/>
  <c r="O929" i="3"/>
  <c r="S929" i="3" s="1"/>
  <c r="AX364" i="3"/>
  <c r="I750" i="3"/>
  <c r="M750" i="3" s="1"/>
  <c r="C365" i="3"/>
  <c r="AS365" i="3" s="1"/>
  <c r="AM1130" i="3" l="1"/>
  <c r="AQ1130" i="3" s="1"/>
  <c r="AG1128" i="3"/>
  <c r="AK1128" i="3" s="1"/>
  <c r="AA958" i="3"/>
  <c r="AE958" i="3" s="1"/>
  <c r="U951" i="3"/>
  <c r="Y951" i="3" s="1"/>
  <c r="O930" i="3"/>
  <c r="S930" i="3" s="1"/>
  <c r="AZ364" i="3"/>
  <c r="BA364" i="3"/>
  <c r="BB364" i="3" s="1"/>
  <c r="I751" i="3"/>
  <c r="M751" i="3" s="1"/>
  <c r="G365" i="3"/>
  <c r="AX365" i="3" s="1"/>
  <c r="BA365" i="3" s="1"/>
  <c r="BB365" i="3" l="1"/>
  <c r="AM1131" i="3"/>
  <c r="AQ1131" i="3" s="1"/>
  <c r="AG1129" i="3"/>
  <c r="AK1129" i="3" s="1"/>
  <c r="AA959" i="3"/>
  <c r="AE959" i="3" s="1"/>
  <c r="AA960" i="3" s="1"/>
  <c r="AE960" i="3" s="1"/>
  <c r="U952" i="3"/>
  <c r="Y952" i="3" s="1"/>
  <c r="O931" i="3"/>
  <c r="S931" i="3" s="1"/>
  <c r="I752" i="3"/>
  <c r="M752" i="3" s="1"/>
  <c r="AZ365" i="3"/>
  <c r="C366" i="3"/>
  <c r="AS366" i="3" s="1"/>
  <c r="AM1132" i="3" l="1"/>
  <c r="AQ1132" i="3" s="1"/>
  <c r="AG1130" i="3"/>
  <c r="AK1130" i="3" s="1"/>
  <c r="AA961" i="3"/>
  <c r="AE961" i="3" s="1"/>
  <c r="U953" i="3"/>
  <c r="Y953" i="3" s="1"/>
  <c r="O932" i="3"/>
  <c r="S932" i="3" s="1"/>
  <c r="I753" i="3"/>
  <c r="M753" i="3" s="1"/>
  <c r="G366" i="3"/>
  <c r="AM1133" i="3" l="1"/>
  <c r="AQ1133" i="3" s="1"/>
  <c r="AG1131" i="3"/>
  <c r="AK1131" i="3" s="1"/>
  <c r="AG1132" i="3" s="1"/>
  <c r="AK1132" i="3" s="1"/>
  <c r="AA962" i="3"/>
  <c r="AE962" i="3" s="1"/>
  <c r="U954" i="3"/>
  <c r="Y954" i="3" s="1"/>
  <c r="O933" i="3"/>
  <c r="S933" i="3" s="1"/>
  <c r="AX366" i="3"/>
  <c r="I754" i="3"/>
  <c r="M754" i="3" s="1"/>
  <c r="C367" i="3"/>
  <c r="AS367" i="3" s="1"/>
  <c r="AM1134" i="3" l="1"/>
  <c r="AQ1134" i="3" s="1"/>
  <c r="AG1133" i="3"/>
  <c r="AK1133" i="3" s="1"/>
  <c r="AA963" i="3"/>
  <c r="AE963" i="3" s="1"/>
  <c r="U955" i="3"/>
  <c r="Y955" i="3" s="1"/>
  <c r="O934" i="3"/>
  <c r="S934" i="3" s="1"/>
  <c r="AZ366" i="3"/>
  <c r="BA366" i="3"/>
  <c r="BB366" i="3" s="1"/>
  <c r="I755" i="3"/>
  <c r="M755" i="3" s="1"/>
  <c r="G367" i="3"/>
  <c r="C368" i="3" s="1"/>
  <c r="AM1135" i="3" l="1"/>
  <c r="AQ1135" i="3" s="1"/>
  <c r="AG1134" i="3"/>
  <c r="AK1134" i="3" s="1"/>
  <c r="AA964" i="3"/>
  <c r="AE964" i="3" s="1"/>
  <c r="U956" i="3"/>
  <c r="Y956" i="3" s="1"/>
  <c r="O935" i="3"/>
  <c r="S935" i="3" s="1"/>
  <c r="AX367" i="3"/>
  <c r="I756" i="3"/>
  <c r="M756" i="3" s="1"/>
  <c r="AS368" i="3"/>
  <c r="AM1136" i="3" l="1"/>
  <c r="AQ1136" i="3" s="1"/>
  <c r="AG1135" i="3"/>
  <c r="AK1135" i="3" s="1"/>
  <c r="AA965" i="3"/>
  <c r="AE965" i="3" s="1"/>
  <c r="U957" i="3"/>
  <c r="Y957" i="3" s="1"/>
  <c r="O936" i="3"/>
  <c r="S936" i="3" s="1"/>
  <c r="AZ367" i="3"/>
  <c r="BA367" i="3"/>
  <c r="BB367" i="3" s="1"/>
  <c r="I757" i="3"/>
  <c r="M757" i="3" s="1"/>
  <c r="G368" i="3"/>
  <c r="AM1137" i="3" l="1"/>
  <c r="AQ1137" i="3" s="1"/>
  <c r="AG1136" i="3"/>
  <c r="AK1136" i="3" s="1"/>
  <c r="AA966" i="3"/>
  <c r="AE966" i="3" s="1"/>
  <c r="U958" i="3"/>
  <c r="Y958" i="3" s="1"/>
  <c r="O937" i="3"/>
  <c r="S937" i="3" s="1"/>
  <c r="AX368" i="3"/>
  <c r="I758" i="3"/>
  <c r="M758" i="3" s="1"/>
  <c r="C369" i="3"/>
  <c r="AS369" i="3" s="1"/>
  <c r="AM1138" i="3" l="1"/>
  <c r="AQ1138" i="3" s="1"/>
  <c r="AG1137" i="3"/>
  <c r="AK1137" i="3" s="1"/>
  <c r="AA967" i="3"/>
  <c r="AE967" i="3" s="1"/>
  <c r="U959" i="3"/>
  <c r="Y959" i="3" s="1"/>
  <c r="U960" i="3" s="1"/>
  <c r="Y960" i="3" s="1"/>
  <c r="O938" i="3"/>
  <c r="S938" i="3" s="1"/>
  <c r="AZ368" i="3"/>
  <c r="BA368" i="3"/>
  <c r="BB368" i="3" s="1"/>
  <c r="I759" i="3"/>
  <c r="M759" i="3" s="1"/>
  <c r="G369" i="3"/>
  <c r="AX369" i="3" s="1"/>
  <c r="BA369" i="3" s="1"/>
  <c r="BB369" i="3" l="1"/>
  <c r="AM1139" i="3"/>
  <c r="AQ1139" i="3" s="1"/>
  <c r="AG1138" i="3"/>
  <c r="AK1138" i="3" s="1"/>
  <c r="AG1139" i="3" s="1"/>
  <c r="AK1139" i="3" s="1"/>
  <c r="AA968" i="3"/>
  <c r="AE968" i="3" s="1"/>
  <c r="U961" i="3"/>
  <c r="Y961" i="3" s="1"/>
  <c r="O939" i="3"/>
  <c r="S939" i="3" s="1"/>
  <c r="I760" i="3"/>
  <c r="M760" i="3" s="1"/>
  <c r="AZ369" i="3"/>
  <c r="C370" i="3"/>
  <c r="AS370" i="3" s="1"/>
  <c r="AM1140" i="3" l="1"/>
  <c r="AQ1140" i="3" s="1"/>
  <c r="AG1140" i="3"/>
  <c r="AK1140" i="3" s="1"/>
  <c r="AA969" i="3"/>
  <c r="AE969" i="3" s="1"/>
  <c r="U962" i="3"/>
  <c r="Y962" i="3" s="1"/>
  <c r="O940" i="3"/>
  <c r="S940" i="3" s="1"/>
  <c r="I761" i="3"/>
  <c r="M761" i="3" s="1"/>
  <c r="G370" i="3"/>
  <c r="AM1141" i="3" l="1"/>
  <c r="AQ1141" i="3" s="1"/>
  <c r="AG1141" i="3"/>
  <c r="AK1141" i="3" s="1"/>
  <c r="AA970" i="3"/>
  <c r="AE970" i="3" s="1"/>
  <c r="U963" i="3"/>
  <c r="Y963" i="3" s="1"/>
  <c r="O941" i="3"/>
  <c r="S941" i="3" s="1"/>
  <c r="AX370" i="3"/>
  <c r="I762" i="3"/>
  <c r="M762" i="3" s="1"/>
  <c r="C371" i="3"/>
  <c r="AS371" i="3" s="1"/>
  <c r="AM1142" i="3" l="1"/>
  <c r="AQ1142" i="3" s="1"/>
  <c r="AG1142" i="3"/>
  <c r="AK1142" i="3" s="1"/>
  <c r="AA971" i="3"/>
  <c r="AE971" i="3" s="1"/>
  <c r="U964" i="3"/>
  <c r="Y964" i="3" s="1"/>
  <c r="O942" i="3"/>
  <c r="S942" i="3" s="1"/>
  <c r="AZ370" i="3"/>
  <c r="BA370" i="3"/>
  <c r="BB370" i="3" s="1"/>
  <c r="I763" i="3"/>
  <c r="M763" i="3" s="1"/>
  <c r="G371" i="3"/>
  <c r="AM1143" i="3" l="1"/>
  <c r="AQ1143" i="3" s="1"/>
  <c r="AG1143" i="3"/>
  <c r="AK1143" i="3" s="1"/>
  <c r="AG1144" i="3" s="1"/>
  <c r="AK1144" i="3" s="1"/>
  <c r="AA972" i="3"/>
  <c r="AE972" i="3" s="1"/>
  <c r="U965" i="3"/>
  <c r="Y965" i="3" s="1"/>
  <c r="O943" i="3"/>
  <c r="S943" i="3" s="1"/>
  <c r="AX371" i="3"/>
  <c r="I764" i="3"/>
  <c r="M764" i="3" s="1"/>
  <c r="C372" i="3"/>
  <c r="AS372" i="3" s="1"/>
  <c r="AM1144" i="3" l="1"/>
  <c r="AQ1144" i="3" s="1"/>
  <c r="AG1145" i="3"/>
  <c r="AK1145" i="3" s="1"/>
  <c r="AG1146" i="3" s="1"/>
  <c r="AK1146" i="3" s="1"/>
  <c r="AG1147" i="3" s="1"/>
  <c r="AK1147" i="3" s="1"/>
  <c r="AA973" i="3"/>
  <c r="AE973" i="3" s="1"/>
  <c r="U966" i="3"/>
  <c r="Y966" i="3" s="1"/>
  <c r="O944" i="3"/>
  <c r="S944" i="3" s="1"/>
  <c r="AZ371" i="3"/>
  <c r="BA371" i="3"/>
  <c r="BB371" i="3" s="1"/>
  <c r="I765" i="3"/>
  <c r="M765" i="3" s="1"/>
  <c r="G372" i="3"/>
  <c r="AX372" i="3" s="1"/>
  <c r="BA372" i="3" s="1"/>
  <c r="BB372" i="3" l="1"/>
  <c r="AM1145" i="3"/>
  <c r="AQ1145" i="3" s="1"/>
  <c r="AG1148" i="3"/>
  <c r="AK1148" i="3" s="1"/>
  <c r="AA974" i="3"/>
  <c r="AE974" i="3" s="1"/>
  <c r="U967" i="3"/>
  <c r="Y967" i="3" s="1"/>
  <c r="O945" i="3"/>
  <c r="S945" i="3" s="1"/>
  <c r="I766" i="3"/>
  <c r="M766" i="3" s="1"/>
  <c r="AZ372" i="3"/>
  <c r="C373" i="3"/>
  <c r="AS373" i="3" s="1"/>
  <c r="AM1146" i="3" l="1"/>
  <c r="AQ1146" i="3" s="1"/>
  <c r="AG1149" i="3"/>
  <c r="AK1149" i="3" s="1"/>
  <c r="AA975" i="3"/>
  <c r="AE975" i="3" s="1"/>
  <c r="U968" i="3"/>
  <c r="Y968" i="3" s="1"/>
  <c r="O946" i="3"/>
  <c r="S946" i="3" s="1"/>
  <c r="I767" i="3"/>
  <c r="M767" i="3" s="1"/>
  <c r="G373" i="3"/>
  <c r="AM1147" i="3" l="1"/>
  <c r="AQ1147" i="3" s="1"/>
  <c r="AG1150" i="3"/>
  <c r="AK1150" i="3" s="1"/>
  <c r="AA976" i="3"/>
  <c r="AE976" i="3" s="1"/>
  <c r="U969" i="3"/>
  <c r="Y969" i="3" s="1"/>
  <c r="O947" i="3"/>
  <c r="S947" i="3" s="1"/>
  <c r="AX373" i="3"/>
  <c r="I768" i="3"/>
  <c r="M768" i="3" s="1"/>
  <c r="C374" i="3"/>
  <c r="AS374" i="3" s="1"/>
  <c r="AM1148" i="3" l="1"/>
  <c r="AQ1148" i="3" s="1"/>
  <c r="AG1151" i="3"/>
  <c r="AK1151" i="3" s="1"/>
  <c r="AA977" i="3"/>
  <c r="AE977" i="3" s="1"/>
  <c r="AA978" i="3" s="1"/>
  <c r="AE978" i="3" s="1"/>
  <c r="U970" i="3"/>
  <c r="Y970" i="3" s="1"/>
  <c r="O948" i="3"/>
  <c r="S948" i="3" s="1"/>
  <c r="AZ373" i="3"/>
  <c r="BA373" i="3"/>
  <c r="BB373" i="3" s="1"/>
  <c r="I769" i="3"/>
  <c r="M769" i="3" s="1"/>
  <c r="G374" i="3"/>
  <c r="AM1149" i="3" l="1"/>
  <c r="AQ1149" i="3" s="1"/>
  <c r="AG1152" i="3"/>
  <c r="AK1152" i="3" s="1"/>
  <c r="AA979" i="3"/>
  <c r="AE979" i="3" s="1"/>
  <c r="U971" i="3"/>
  <c r="Y971" i="3" s="1"/>
  <c r="O949" i="3"/>
  <c r="S949" i="3" s="1"/>
  <c r="AX374" i="3"/>
  <c r="I770" i="3"/>
  <c r="M770" i="3" s="1"/>
  <c r="C375" i="3"/>
  <c r="AS375" i="3" s="1"/>
  <c r="AM1150" i="3" l="1"/>
  <c r="AQ1150" i="3" s="1"/>
  <c r="AG1153" i="3"/>
  <c r="AK1153" i="3" s="1"/>
  <c r="AG1154" i="3" s="1"/>
  <c r="AK1154" i="3" s="1"/>
  <c r="AA980" i="3"/>
  <c r="AE980" i="3" s="1"/>
  <c r="U972" i="3"/>
  <c r="Y972" i="3" s="1"/>
  <c r="O950" i="3"/>
  <c r="S950" i="3" s="1"/>
  <c r="AZ374" i="3"/>
  <c r="BA374" i="3"/>
  <c r="BB374" i="3" s="1"/>
  <c r="I771" i="3"/>
  <c r="M771" i="3" s="1"/>
  <c r="G375" i="3"/>
  <c r="AM1151" i="3" l="1"/>
  <c r="AQ1151" i="3" s="1"/>
  <c r="AG1155" i="3"/>
  <c r="AK1155" i="3" s="1"/>
  <c r="AA981" i="3"/>
  <c r="AE981" i="3" s="1"/>
  <c r="U973" i="3"/>
  <c r="Y973" i="3" s="1"/>
  <c r="O951" i="3"/>
  <c r="S951" i="3" s="1"/>
  <c r="AX375" i="3"/>
  <c r="I772" i="3"/>
  <c r="M772" i="3" s="1"/>
  <c r="C376" i="3"/>
  <c r="AS376" i="3" s="1"/>
  <c r="AM1152" i="3" l="1"/>
  <c r="AQ1152" i="3" s="1"/>
  <c r="AG1156" i="3"/>
  <c r="AK1156" i="3" s="1"/>
  <c r="AA982" i="3"/>
  <c r="AE982" i="3" s="1"/>
  <c r="AA983" i="3" s="1"/>
  <c r="AE983" i="3" s="1"/>
  <c r="U974" i="3"/>
  <c r="Y974" i="3" s="1"/>
  <c r="O952" i="3"/>
  <c r="S952" i="3" s="1"/>
  <c r="AZ375" i="3"/>
  <c r="BA375" i="3"/>
  <c r="BB375" i="3" s="1"/>
  <c r="I773" i="3"/>
  <c r="M773" i="3" s="1"/>
  <c r="G376" i="3"/>
  <c r="AM1153" i="3" l="1"/>
  <c r="AQ1153" i="3" s="1"/>
  <c r="AG1157" i="3"/>
  <c r="AK1157" i="3" s="1"/>
  <c r="AA984" i="3"/>
  <c r="AE984" i="3" s="1"/>
  <c r="U975" i="3"/>
  <c r="Y975" i="3" s="1"/>
  <c r="O953" i="3"/>
  <c r="S953" i="3" s="1"/>
  <c r="AX376" i="3"/>
  <c r="I774" i="3"/>
  <c r="M774" i="3" s="1"/>
  <c r="C377" i="3"/>
  <c r="AS377" i="3" s="1"/>
  <c r="AM1154" i="3" l="1"/>
  <c r="AQ1154" i="3" s="1"/>
  <c r="AG1158" i="3"/>
  <c r="AK1158" i="3" s="1"/>
  <c r="AA985" i="3"/>
  <c r="AE985" i="3" s="1"/>
  <c r="U976" i="3"/>
  <c r="Y976" i="3" s="1"/>
  <c r="O954" i="3"/>
  <c r="S954" i="3" s="1"/>
  <c r="AZ376" i="3"/>
  <c r="BA376" i="3"/>
  <c r="BB376" i="3" s="1"/>
  <c r="I775" i="3"/>
  <c r="M775" i="3" s="1"/>
  <c r="G377" i="3"/>
  <c r="AM1155" i="3" l="1"/>
  <c r="AQ1155" i="3" s="1"/>
  <c r="AG1159" i="3"/>
  <c r="AK1159" i="3" s="1"/>
  <c r="AA986" i="3"/>
  <c r="AE986" i="3" s="1"/>
  <c r="U977" i="3"/>
  <c r="Y977" i="3" s="1"/>
  <c r="O955" i="3"/>
  <c r="S955" i="3" s="1"/>
  <c r="AX377" i="3"/>
  <c r="I776" i="3"/>
  <c r="M776" i="3" s="1"/>
  <c r="C378" i="3"/>
  <c r="AS378" i="3" s="1"/>
  <c r="AM1156" i="3" l="1"/>
  <c r="AQ1156" i="3" s="1"/>
  <c r="AG1160" i="3"/>
  <c r="AK1160" i="3" s="1"/>
  <c r="AA987" i="3"/>
  <c r="AE987" i="3" s="1"/>
  <c r="U978" i="3"/>
  <c r="Y978" i="3" s="1"/>
  <c r="O956" i="3"/>
  <c r="S956" i="3" s="1"/>
  <c r="AZ377" i="3"/>
  <c r="BA377" i="3"/>
  <c r="BB377" i="3" s="1"/>
  <c r="I777" i="3"/>
  <c r="M777" i="3" s="1"/>
  <c r="G378" i="3"/>
  <c r="AX378" i="3" s="1"/>
  <c r="BA378" i="3" s="1"/>
  <c r="BB378" i="3" l="1"/>
  <c r="AM1157" i="3"/>
  <c r="AQ1157" i="3" s="1"/>
  <c r="AG1161" i="3"/>
  <c r="AK1161" i="3" s="1"/>
  <c r="AA988" i="3"/>
  <c r="AE988" i="3" s="1"/>
  <c r="U979" i="3"/>
  <c r="Y979" i="3" s="1"/>
  <c r="O957" i="3"/>
  <c r="S957" i="3" s="1"/>
  <c r="I778" i="3"/>
  <c r="M778" i="3" s="1"/>
  <c r="AZ378" i="3"/>
  <c r="C379" i="3"/>
  <c r="AM1158" i="3" l="1"/>
  <c r="AQ1158" i="3" s="1"/>
  <c r="AG1162" i="3"/>
  <c r="AK1162" i="3" s="1"/>
  <c r="AG1163" i="3" s="1"/>
  <c r="AK1163" i="3" s="1"/>
  <c r="AA989" i="3"/>
  <c r="AE989" i="3" s="1"/>
  <c r="U980" i="3"/>
  <c r="Y980" i="3" s="1"/>
  <c r="O958" i="3"/>
  <c r="S958" i="3" s="1"/>
  <c r="AS379" i="3"/>
  <c r="G379" i="3"/>
  <c r="I779" i="3"/>
  <c r="M779" i="3" s="1"/>
  <c r="AM1159" i="3" l="1"/>
  <c r="AQ1159" i="3" s="1"/>
  <c r="AG1164" i="3"/>
  <c r="AK1164" i="3" s="1"/>
  <c r="AG1165" i="3" s="1"/>
  <c r="AK1165" i="3" s="1"/>
  <c r="AA990" i="3"/>
  <c r="AE990" i="3" s="1"/>
  <c r="U981" i="3"/>
  <c r="Y981" i="3" s="1"/>
  <c r="O959" i="3"/>
  <c r="S959" i="3" s="1"/>
  <c r="AX379" i="3"/>
  <c r="I780" i="3"/>
  <c r="M780" i="3" s="1"/>
  <c r="C380" i="3"/>
  <c r="AS380" i="3" s="1"/>
  <c r="AM1160" i="3" l="1"/>
  <c r="AQ1160" i="3" s="1"/>
  <c r="AG1166" i="3"/>
  <c r="AK1166" i="3" s="1"/>
  <c r="AA991" i="3"/>
  <c r="AE991" i="3" s="1"/>
  <c r="U982" i="3"/>
  <c r="Y982" i="3" s="1"/>
  <c r="O960" i="3"/>
  <c r="S960" i="3" s="1"/>
  <c r="AZ379" i="3"/>
  <c r="BA379" i="3"/>
  <c r="BB379" i="3" s="1"/>
  <c r="I781" i="3"/>
  <c r="M781" i="3" s="1"/>
  <c r="G380" i="3"/>
  <c r="AM1161" i="3" l="1"/>
  <c r="AQ1161" i="3" s="1"/>
  <c r="AG1167" i="3"/>
  <c r="AK1167" i="3" s="1"/>
  <c r="AA992" i="3"/>
  <c r="AE992" i="3" s="1"/>
  <c r="U983" i="3"/>
  <c r="Y983" i="3" s="1"/>
  <c r="O961" i="3"/>
  <c r="S961" i="3" s="1"/>
  <c r="AX380" i="3"/>
  <c r="I782" i="3"/>
  <c r="M782" i="3" s="1"/>
  <c r="C381" i="3"/>
  <c r="AS381" i="3" s="1"/>
  <c r="AM1162" i="3" l="1"/>
  <c r="AQ1162" i="3" s="1"/>
  <c r="AG1168" i="3"/>
  <c r="AK1168" i="3" s="1"/>
  <c r="AA993" i="3"/>
  <c r="AE993" i="3" s="1"/>
  <c r="U984" i="3"/>
  <c r="Y984" i="3" s="1"/>
  <c r="O962" i="3"/>
  <c r="S962" i="3" s="1"/>
  <c r="AZ380" i="3"/>
  <c r="BA380" i="3"/>
  <c r="BB380" i="3" s="1"/>
  <c r="I783" i="3"/>
  <c r="M783" i="3" s="1"/>
  <c r="G381" i="3"/>
  <c r="AX381" i="3" s="1"/>
  <c r="BA381" i="3" s="1"/>
  <c r="BB381" i="3" l="1"/>
  <c r="AM1163" i="3"/>
  <c r="AQ1163" i="3" s="1"/>
  <c r="AG1169" i="3"/>
  <c r="AK1169" i="3" s="1"/>
  <c r="AA994" i="3"/>
  <c r="AE994" i="3" s="1"/>
  <c r="U985" i="3"/>
  <c r="Y985" i="3" s="1"/>
  <c r="O963" i="3"/>
  <c r="S963" i="3" s="1"/>
  <c r="I784" i="3"/>
  <c r="M784" i="3" s="1"/>
  <c r="AZ381" i="3"/>
  <c r="C382" i="3"/>
  <c r="AS382" i="3" s="1"/>
  <c r="AM1164" i="3" l="1"/>
  <c r="AQ1164" i="3" s="1"/>
  <c r="AG1170" i="3"/>
  <c r="AK1170" i="3" s="1"/>
  <c r="AA995" i="3"/>
  <c r="AE995" i="3" s="1"/>
  <c r="U986" i="3"/>
  <c r="Y986" i="3" s="1"/>
  <c r="O964" i="3"/>
  <c r="S964" i="3" s="1"/>
  <c r="I785" i="3"/>
  <c r="M785" i="3" s="1"/>
  <c r="G382" i="3"/>
  <c r="AM1165" i="3" l="1"/>
  <c r="AQ1165" i="3" s="1"/>
  <c r="AG1171" i="3"/>
  <c r="AK1171" i="3" s="1"/>
  <c r="AA996" i="3"/>
  <c r="AE996" i="3" s="1"/>
  <c r="U987" i="3"/>
  <c r="Y987" i="3" s="1"/>
  <c r="O965" i="3"/>
  <c r="S965" i="3" s="1"/>
  <c r="AX382" i="3"/>
  <c r="I786" i="3"/>
  <c r="M786" i="3" s="1"/>
  <c r="C383" i="3"/>
  <c r="AS383" i="3" s="1"/>
  <c r="AM1166" i="3" l="1"/>
  <c r="AQ1166" i="3" s="1"/>
  <c r="AG1172" i="3"/>
  <c r="AK1172" i="3" s="1"/>
  <c r="AA997" i="3"/>
  <c r="AE997" i="3" s="1"/>
  <c r="AA998" i="3" s="1"/>
  <c r="AE998" i="3" s="1"/>
  <c r="U988" i="3"/>
  <c r="Y988" i="3" s="1"/>
  <c r="O966" i="3"/>
  <c r="S966" i="3" s="1"/>
  <c r="AZ382" i="3"/>
  <c r="BA382" i="3"/>
  <c r="BB382" i="3" s="1"/>
  <c r="I787" i="3"/>
  <c r="M787" i="3" s="1"/>
  <c r="G383" i="3"/>
  <c r="AM1167" i="3" l="1"/>
  <c r="AQ1167" i="3" s="1"/>
  <c r="AG1173" i="3"/>
  <c r="AK1173" i="3" s="1"/>
  <c r="AA999" i="3"/>
  <c r="AE999" i="3" s="1"/>
  <c r="U989" i="3"/>
  <c r="Y989" i="3" s="1"/>
  <c r="O967" i="3"/>
  <c r="S967" i="3" s="1"/>
  <c r="AX383" i="3"/>
  <c r="I788" i="3"/>
  <c r="M788" i="3" s="1"/>
  <c r="C384" i="3"/>
  <c r="AS384" i="3" s="1"/>
  <c r="AM1168" i="3" l="1"/>
  <c r="AQ1168" i="3" s="1"/>
  <c r="AG1174" i="3"/>
  <c r="AK1174" i="3" s="1"/>
  <c r="AA1000" i="3"/>
  <c r="AE1000" i="3" s="1"/>
  <c r="U990" i="3"/>
  <c r="Y990" i="3" s="1"/>
  <c r="O968" i="3"/>
  <c r="S968" i="3" s="1"/>
  <c r="AZ383" i="3"/>
  <c r="BA383" i="3"/>
  <c r="BB383" i="3" s="1"/>
  <c r="I789" i="3"/>
  <c r="M789" i="3" s="1"/>
  <c r="G384" i="3"/>
  <c r="AM1169" i="3" l="1"/>
  <c r="AQ1169" i="3" s="1"/>
  <c r="AG1175" i="3"/>
  <c r="AK1175" i="3" s="1"/>
  <c r="AA1001" i="3"/>
  <c r="AE1001" i="3" s="1"/>
  <c r="U991" i="3"/>
  <c r="Y991" i="3" s="1"/>
  <c r="O969" i="3"/>
  <c r="S969" i="3" s="1"/>
  <c r="AX384" i="3"/>
  <c r="I790" i="3"/>
  <c r="M790" i="3" s="1"/>
  <c r="C385" i="3"/>
  <c r="AS385" i="3" s="1"/>
  <c r="AM1170" i="3" l="1"/>
  <c r="AQ1170" i="3" s="1"/>
  <c r="AG1176" i="3"/>
  <c r="AK1176" i="3" s="1"/>
  <c r="AA1002" i="3"/>
  <c r="AE1002" i="3" s="1"/>
  <c r="U992" i="3"/>
  <c r="Y992" i="3" s="1"/>
  <c r="O970" i="3"/>
  <c r="S970" i="3" s="1"/>
  <c r="AZ384" i="3"/>
  <c r="BA384" i="3"/>
  <c r="BB384" i="3" s="1"/>
  <c r="I791" i="3"/>
  <c r="M791" i="3" s="1"/>
  <c r="G385" i="3"/>
  <c r="AM1171" i="3" l="1"/>
  <c r="AQ1171" i="3" s="1"/>
  <c r="AG1177" i="3"/>
  <c r="AK1177" i="3" s="1"/>
  <c r="AA1003" i="3"/>
  <c r="AE1003" i="3" s="1"/>
  <c r="U993" i="3"/>
  <c r="Y993" i="3" s="1"/>
  <c r="O971" i="3"/>
  <c r="S971" i="3" s="1"/>
  <c r="AX385" i="3"/>
  <c r="I792" i="3"/>
  <c r="M792" i="3" s="1"/>
  <c r="C386" i="3"/>
  <c r="AS386" i="3" s="1"/>
  <c r="AM1172" i="3" l="1"/>
  <c r="AQ1172" i="3" s="1"/>
  <c r="AG1178" i="3"/>
  <c r="AK1178" i="3" s="1"/>
  <c r="AA1004" i="3"/>
  <c r="AE1004" i="3" s="1"/>
  <c r="AA1005" i="3" s="1"/>
  <c r="AE1005" i="3" s="1"/>
  <c r="U994" i="3"/>
  <c r="Y994" i="3" s="1"/>
  <c r="O972" i="3"/>
  <c r="S972" i="3" s="1"/>
  <c r="AZ385" i="3"/>
  <c r="BA385" i="3"/>
  <c r="BB385" i="3" s="1"/>
  <c r="I793" i="3"/>
  <c r="M793" i="3" s="1"/>
  <c r="G386" i="3"/>
  <c r="AM1173" i="3" l="1"/>
  <c r="AQ1173" i="3" s="1"/>
  <c r="AG1179" i="3"/>
  <c r="AK1179" i="3" s="1"/>
  <c r="AA1006" i="3"/>
  <c r="AE1006" i="3" s="1"/>
  <c r="U995" i="3"/>
  <c r="Y995" i="3" s="1"/>
  <c r="O973" i="3"/>
  <c r="S973" i="3" s="1"/>
  <c r="AX386" i="3"/>
  <c r="I794" i="3"/>
  <c r="M794" i="3" s="1"/>
  <c r="C387" i="3"/>
  <c r="AS387" i="3" s="1"/>
  <c r="AM1174" i="3" l="1"/>
  <c r="AQ1174" i="3" s="1"/>
  <c r="AG1180" i="3"/>
  <c r="AK1180" i="3" s="1"/>
  <c r="AA1007" i="3"/>
  <c r="AE1007" i="3" s="1"/>
  <c r="U996" i="3"/>
  <c r="Y996" i="3" s="1"/>
  <c r="O974" i="3"/>
  <c r="S974" i="3" s="1"/>
  <c r="AZ386" i="3"/>
  <c r="BA386" i="3"/>
  <c r="BB386" i="3" s="1"/>
  <c r="I795" i="3"/>
  <c r="M795" i="3" s="1"/>
  <c r="G387" i="3"/>
  <c r="AM1175" i="3" l="1"/>
  <c r="AQ1175" i="3" s="1"/>
  <c r="AG1181" i="3"/>
  <c r="AK1181" i="3" s="1"/>
  <c r="AA1008" i="3"/>
  <c r="AE1008" i="3" s="1"/>
  <c r="U997" i="3"/>
  <c r="Y997" i="3" s="1"/>
  <c r="U998" i="3" s="1"/>
  <c r="Y998" i="3" s="1"/>
  <c r="O975" i="3"/>
  <c r="S975" i="3" s="1"/>
  <c r="AX387" i="3"/>
  <c r="I796" i="3"/>
  <c r="M796" i="3" s="1"/>
  <c r="C388" i="3"/>
  <c r="AS388" i="3" s="1"/>
  <c r="AM1176" i="3" l="1"/>
  <c r="AQ1176" i="3" s="1"/>
  <c r="AG1182" i="3"/>
  <c r="AK1182" i="3" s="1"/>
  <c r="AG1183" i="3" s="1"/>
  <c r="AK1183" i="3" s="1"/>
  <c r="AA1009" i="3"/>
  <c r="AE1009" i="3" s="1"/>
  <c r="U999" i="3"/>
  <c r="Y999" i="3" s="1"/>
  <c r="O976" i="3"/>
  <c r="S976" i="3" s="1"/>
  <c r="AZ387" i="3"/>
  <c r="BA387" i="3"/>
  <c r="BB387" i="3" s="1"/>
  <c r="I797" i="3"/>
  <c r="M797" i="3" s="1"/>
  <c r="G388" i="3"/>
  <c r="AM1177" i="3" l="1"/>
  <c r="AQ1177" i="3" s="1"/>
  <c r="AG1184" i="3"/>
  <c r="AK1184" i="3" s="1"/>
  <c r="AA1010" i="3"/>
  <c r="AE1010" i="3" s="1"/>
  <c r="U1000" i="3"/>
  <c r="Y1000" i="3" s="1"/>
  <c r="O977" i="3"/>
  <c r="S977" i="3" s="1"/>
  <c r="AX388" i="3"/>
  <c r="I798" i="3"/>
  <c r="M798" i="3" s="1"/>
  <c r="C389" i="3"/>
  <c r="AS389" i="3" s="1"/>
  <c r="AM1178" i="3" l="1"/>
  <c r="AQ1178" i="3" s="1"/>
  <c r="AG1185" i="3"/>
  <c r="AK1185" i="3" s="1"/>
  <c r="AA1011" i="3"/>
  <c r="AE1011" i="3" s="1"/>
  <c r="U1001" i="3"/>
  <c r="Y1001" i="3" s="1"/>
  <c r="O978" i="3"/>
  <c r="S978" i="3" s="1"/>
  <c r="AZ388" i="3"/>
  <c r="BA388" i="3"/>
  <c r="BB388" i="3" s="1"/>
  <c r="I799" i="3"/>
  <c r="M799" i="3" s="1"/>
  <c r="G389" i="3"/>
  <c r="AM1179" i="3" l="1"/>
  <c r="AQ1179" i="3" s="1"/>
  <c r="AG1186" i="3"/>
  <c r="AK1186" i="3" s="1"/>
  <c r="AA1012" i="3"/>
  <c r="AE1012" i="3" s="1"/>
  <c r="U1002" i="3"/>
  <c r="Y1002" i="3" s="1"/>
  <c r="O979" i="3"/>
  <c r="S979" i="3" s="1"/>
  <c r="AX389" i="3"/>
  <c r="I800" i="3"/>
  <c r="M800" i="3" s="1"/>
  <c r="C390" i="3"/>
  <c r="AS390" i="3" s="1"/>
  <c r="AM1180" i="3" l="1"/>
  <c r="AQ1180" i="3" s="1"/>
  <c r="AG1187" i="3"/>
  <c r="AK1187" i="3" s="1"/>
  <c r="AG1188" i="3" s="1"/>
  <c r="AK1188" i="3" s="1"/>
  <c r="AA1013" i="3"/>
  <c r="AE1013" i="3" s="1"/>
  <c r="U1003" i="3"/>
  <c r="Y1003" i="3" s="1"/>
  <c r="O980" i="3"/>
  <c r="S980" i="3" s="1"/>
  <c r="AZ389" i="3"/>
  <c r="BA389" i="3"/>
  <c r="BB389" i="3" s="1"/>
  <c r="I801" i="3"/>
  <c r="M801" i="3" s="1"/>
  <c r="G390" i="3"/>
  <c r="AM1181" i="3" l="1"/>
  <c r="AQ1181" i="3" s="1"/>
  <c r="AG1189" i="3"/>
  <c r="AK1189" i="3" s="1"/>
  <c r="AG1190" i="3" s="1"/>
  <c r="AK1190" i="3" s="1"/>
  <c r="AA1014" i="3"/>
  <c r="AE1014" i="3" s="1"/>
  <c r="AA1015" i="3" s="1"/>
  <c r="AE1015" i="3" s="1"/>
  <c r="U1004" i="3"/>
  <c r="Y1004" i="3" s="1"/>
  <c r="U1005" i="3" s="1"/>
  <c r="Y1005" i="3" s="1"/>
  <c r="O981" i="3"/>
  <c r="S981" i="3" s="1"/>
  <c r="AX390" i="3"/>
  <c r="I802" i="3"/>
  <c r="M802" i="3" s="1"/>
  <c r="C391" i="3"/>
  <c r="AS391" i="3" s="1"/>
  <c r="AM1182" i="3" l="1"/>
  <c r="AQ1182" i="3" s="1"/>
  <c r="AG1191" i="3"/>
  <c r="AK1191" i="3" s="1"/>
  <c r="AA1016" i="3"/>
  <c r="AE1016" i="3" s="1"/>
  <c r="U1006" i="3"/>
  <c r="Y1006" i="3" s="1"/>
  <c r="O982" i="3"/>
  <c r="S982" i="3" s="1"/>
  <c r="AZ390" i="3"/>
  <c r="BA390" i="3"/>
  <c r="BB390" i="3" s="1"/>
  <c r="I803" i="3"/>
  <c r="M803" i="3" s="1"/>
  <c r="G391" i="3"/>
  <c r="AM1183" i="3" l="1"/>
  <c r="AQ1183" i="3" s="1"/>
  <c r="AG1192" i="3"/>
  <c r="AK1192" i="3" s="1"/>
  <c r="AA1017" i="3"/>
  <c r="AE1017" i="3" s="1"/>
  <c r="U1007" i="3"/>
  <c r="Y1007" i="3" s="1"/>
  <c r="O983" i="3"/>
  <c r="S983" i="3" s="1"/>
  <c r="AX391" i="3"/>
  <c r="I804" i="3"/>
  <c r="M804" i="3" s="1"/>
  <c r="C392" i="3"/>
  <c r="AS392" i="3" s="1"/>
  <c r="AM1184" i="3" l="1"/>
  <c r="AQ1184" i="3" s="1"/>
  <c r="AG1193" i="3"/>
  <c r="AK1193" i="3" s="1"/>
  <c r="AA1018" i="3"/>
  <c r="AE1018" i="3" s="1"/>
  <c r="U1008" i="3"/>
  <c r="Y1008" i="3" s="1"/>
  <c r="O984" i="3"/>
  <c r="S984" i="3" s="1"/>
  <c r="AZ391" i="3"/>
  <c r="BA391" i="3"/>
  <c r="BB391" i="3" s="1"/>
  <c r="I805" i="3"/>
  <c r="M805" i="3" s="1"/>
  <c r="G392" i="3"/>
  <c r="AX392" i="3" s="1"/>
  <c r="BA392" i="3" s="1"/>
  <c r="BB392" i="3" l="1"/>
  <c r="AM1185" i="3"/>
  <c r="AQ1185" i="3" s="1"/>
  <c r="AG1194" i="3"/>
  <c r="AK1194" i="3" s="1"/>
  <c r="AA1019" i="3"/>
  <c r="AE1019" i="3" s="1"/>
  <c r="U1009" i="3"/>
  <c r="Y1009" i="3" s="1"/>
  <c r="O985" i="3"/>
  <c r="S985" i="3" s="1"/>
  <c r="I806" i="3"/>
  <c r="M806" i="3" s="1"/>
  <c r="AZ392" i="3"/>
  <c r="C393" i="3"/>
  <c r="AS393" i="3" s="1"/>
  <c r="AM1186" i="3" l="1"/>
  <c r="AQ1186" i="3" s="1"/>
  <c r="AG1195" i="3"/>
  <c r="AK1195" i="3" s="1"/>
  <c r="AA1020" i="3"/>
  <c r="AE1020" i="3" s="1"/>
  <c r="U1010" i="3"/>
  <c r="Y1010" i="3" s="1"/>
  <c r="O986" i="3"/>
  <c r="S986" i="3" s="1"/>
  <c r="I807" i="3"/>
  <c r="M807" i="3" s="1"/>
  <c r="G393" i="3"/>
  <c r="AM1187" i="3" l="1"/>
  <c r="AQ1187" i="3" s="1"/>
  <c r="AG1196" i="3"/>
  <c r="AK1196" i="3" s="1"/>
  <c r="AA1021" i="3"/>
  <c r="AE1021" i="3" s="1"/>
  <c r="U1011" i="3"/>
  <c r="Y1011" i="3" s="1"/>
  <c r="O987" i="3"/>
  <c r="S987" i="3" s="1"/>
  <c r="AX393" i="3"/>
  <c r="I808" i="3"/>
  <c r="M808" i="3" s="1"/>
  <c r="C394" i="3"/>
  <c r="AS394" i="3" s="1"/>
  <c r="AM1188" i="3" l="1"/>
  <c r="AQ1188" i="3" s="1"/>
  <c r="AG1197" i="3"/>
  <c r="AK1197" i="3" s="1"/>
  <c r="AG1198" i="3" s="1"/>
  <c r="AK1198" i="3" s="1"/>
  <c r="AA1022" i="3"/>
  <c r="AE1022" i="3" s="1"/>
  <c r="U1012" i="3"/>
  <c r="Y1012" i="3" s="1"/>
  <c r="O988" i="3"/>
  <c r="S988" i="3" s="1"/>
  <c r="AZ393" i="3"/>
  <c r="BA393" i="3"/>
  <c r="BB393" i="3" s="1"/>
  <c r="I809" i="3"/>
  <c r="M809" i="3" s="1"/>
  <c r="G394" i="3"/>
  <c r="AM1189" i="3" l="1"/>
  <c r="AQ1189" i="3" s="1"/>
  <c r="AG1199" i="3"/>
  <c r="AK1199" i="3" s="1"/>
  <c r="AA1023" i="3"/>
  <c r="AE1023" i="3" s="1"/>
  <c r="U1013" i="3"/>
  <c r="Y1013" i="3" s="1"/>
  <c r="O989" i="3"/>
  <c r="S989" i="3" s="1"/>
  <c r="AX394" i="3"/>
  <c r="I810" i="3"/>
  <c r="M810" i="3" s="1"/>
  <c r="C395" i="3"/>
  <c r="AS395" i="3" s="1"/>
  <c r="AM1190" i="3" l="1"/>
  <c r="AQ1190" i="3" s="1"/>
  <c r="AG1200" i="3"/>
  <c r="AK1200" i="3" s="1"/>
  <c r="AA1024" i="3"/>
  <c r="AE1024" i="3" s="1"/>
  <c r="AA1025" i="3" s="1"/>
  <c r="AE1025" i="3" s="1"/>
  <c r="U1014" i="3"/>
  <c r="Y1014" i="3" s="1"/>
  <c r="U1015" i="3" s="1"/>
  <c r="Y1015" i="3" s="1"/>
  <c r="O990" i="3"/>
  <c r="S990" i="3" s="1"/>
  <c r="AZ394" i="3"/>
  <c r="BA394" i="3"/>
  <c r="BB394" i="3" s="1"/>
  <c r="I811" i="3"/>
  <c r="M811" i="3" s="1"/>
  <c r="G395" i="3"/>
  <c r="AM1191" i="3" l="1"/>
  <c r="AQ1191" i="3" s="1"/>
  <c r="AG1201" i="3"/>
  <c r="AK1201" i="3" s="1"/>
  <c r="AA1026" i="3"/>
  <c r="AE1026" i="3" s="1"/>
  <c r="U1016" i="3"/>
  <c r="Y1016" i="3" s="1"/>
  <c r="O991" i="3"/>
  <c r="S991" i="3" s="1"/>
  <c r="AX395" i="3"/>
  <c r="I812" i="3"/>
  <c r="M812" i="3" s="1"/>
  <c r="C396" i="3"/>
  <c r="AS396" i="3" s="1"/>
  <c r="AM1192" i="3" l="1"/>
  <c r="AQ1192" i="3" s="1"/>
  <c r="AG1202" i="3"/>
  <c r="AK1202" i="3" s="1"/>
  <c r="AG1203" i="3" s="1"/>
  <c r="AK1203" i="3" s="1"/>
  <c r="AA1027" i="3"/>
  <c r="AE1027" i="3" s="1"/>
  <c r="U1017" i="3"/>
  <c r="Y1017" i="3" s="1"/>
  <c r="O992" i="3"/>
  <c r="S992" i="3" s="1"/>
  <c r="AZ395" i="3"/>
  <c r="BA395" i="3"/>
  <c r="BB395" i="3" s="1"/>
  <c r="I813" i="3"/>
  <c r="M813" i="3" s="1"/>
  <c r="G396" i="3"/>
  <c r="AM1193" i="3" l="1"/>
  <c r="AQ1193" i="3" s="1"/>
  <c r="AG1204" i="3"/>
  <c r="AK1204" i="3" s="1"/>
  <c r="AA1028" i="3"/>
  <c r="AE1028" i="3" s="1"/>
  <c r="U1018" i="3"/>
  <c r="Y1018" i="3" s="1"/>
  <c r="O993" i="3"/>
  <c r="S993" i="3" s="1"/>
  <c r="AX396" i="3"/>
  <c r="I814" i="3"/>
  <c r="M814" i="3" s="1"/>
  <c r="C397" i="3"/>
  <c r="AS397" i="3" s="1"/>
  <c r="AM1194" i="3" l="1"/>
  <c r="AQ1194" i="3" s="1"/>
  <c r="AG1205" i="3"/>
  <c r="AK1205" i="3" s="1"/>
  <c r="AA1029" i="3"/>
  <c r="AE1029" i="3" s="1"/>
  <c r="U1019" i="3"/>
  <c r="Y1019" i="3" s="1"/>
  <c r="O994" i="3"/>
  <c r="S994" i="3" s="1"/>
  <c r="AZ396" i="3"/>
  <c r="BA396" i="3"/>
  <c r="BB396" i="3" s="1"/>
  <c r="I815" i="3"/>
  <c r="M815" i="3" s="1"/>
  <c r="G397" i="3"/>
  <c r="AM1195" i="3" l="1"/>
  <c r="AQ1195" i="3" s="1"/>
  <c r="AG1206" i="3"/>
  <c r="AK1206" i="3" s="1"/>
  <c r="AA1030" i="3"/>
  <c r="AE1030" i="3" s="1"/>
  <c r="U1020" i="3"/>
  <c r="Y1020" i="3" s="1"/>
  <c r="O995" i="3"/>
  <c r="S995" i="3" s="1"/>
  <c r="AX397" i="3"/>
  <c r="I816" i="3"/>
  <c r="M816" i="3" s="1"/>
  <c r="C398" i="3"/>
  <c r="AS398" i="3" s="1"/>
  <c r="AM1196" i="3" l="1"/>
  <c r="AQ1196" i="3" s="1"/>
  <c r="AG1207" i="3"/>
  <c r="AK1207" i="3" s="1"/>
  <c r="AA1031" i="3"/>
  <c r="AE1031" i="3" s="1"/>
  <c r="U1021" i="3"/>
  <c r="Y1021" i="3" s="1"/>
  <c r="O996" i="3"/>
  <c r="S996" i="3" s="1"/>
  <c r="AZ397" i="3"/>
  <c r="BA397" i="3"/>
  <c r="BB397" i="3" s="1"/>
  <c r="I817" i="3"/>
  <c r="M817" i="3" s="1"/>
  <c r="G398" i="3"/>
  <c r="AM1197" i="3" l="1"/>
  <c r="AQ1197" i="3" s="1"/>
  <c r="AG1208" i="3"/>
  <c r="AK1208" i="3" s="1"/>
  <c r="AA1032" i="3"/>
  <c r="AE1032" i="3" s="1"/>
  <c r="U1022" i="3"/>
  <c r="Y1022" i="3" s="1"/>
  <c r="O997" i="3"/>
  <c r="S997" i="3" s="1"/>
  <c r="O998" i="3" s="1"/>
  <c r="S998" i="3" s="1"/>
  <c r="AX398" i="3"/>
  <c r="I818" i="3"/>
  <c r="M818" i="3" s="1"/>
  <c r="C399" i="3"/>
  <c r="AS399" i="3" s="1"/>
  <c r="AM1198" i="3" l="1"/>
  <c r="AQ1198" i="3" s="1"/>
  <c r="AG1209" i="3"/>
  <c r="AK1209" i="3" s="1"/>
  <c r="AA1033" i="3"/>
  <c r="AE1033" i="3" s="1"/>
  <c r="U1023" i="3"/>
  <c r="Y1023" i="3" s="1"/>
  <c r="O999" i="3"/>
  <c r="S999" i="3" s="1"/>
  <c r="AZ398" i="3"/>
  <c r="BA398" i="3"/>
  <c r="BB398" i="3" s="1"/>
  <c r="I819" i="3"/>
  <c r="M819" i="3" s="1"/>
  <c r="G399" i="3"/>
  <c r="AX399" i="3" s="1"/>
  <c r="BA399" i="3" s="1"/>
  <c r="BB399" i="3" l="1"/>
  <c r="AM1199" i="3"/>
  <c r="AQ1199" i="3" s="1"/>
  <c r="AG1210" i="3"/>
  <c r="AK1210" i="3" s="1"/>
  <c r="AA1034" i="3"/>
  <c r="AE1034" i="3" s="1"/>
  <c r="U1024" i="3"/>
  <c r="Y1024" i="3" s="1"/>
  <c r="U1025" i="3" s="1"/>
  <c r="Y1025" i="3" s="1"/>
  <c r="O1000" i="3"/>
  <c r="S1000" i="3" s="1"/>
  <c r="I820" i="3"/>
  <c r="M820" i="3" s="1"/>
  <c r="AZ399" i="3"/>
  <c r="C400" i="3"/>
  <c r="AS400" i="3" s="1"/>
  <c r="AM1200" i="3" l="1"/>
  <c r="AQ1200" i="3" s="1"/>
  <c r="AG1211" i="3"/>
  <c r="AK1211" i="3" s="1"/>
  <c r="AA1035" i="3"/>
  <c r="AE1035" i="3" s="1"/>
  <c r="U1026" i="3"/>
  <c r="Y1026" i="3" s="1"/>
  <c r="O1001" i="3"/>
  <c r="S1001" i="3" s="1"/>
  <c r="I821" i="3"/>
  <c r="M821" i="3" s="1"/>
  <c r="G400" i="3"/>
  <c r="AM1201" i="3" l="1"/>
  <c r="AQ1201" i="3" s="1"/>
  <c r="AG1212" i="3"/>
  <c r="AK1212" i="3" s="1"/>
  <c r="AA1036" i="3"/>
  <c r="AE1036" i="3" s="1"/>
  <c r="AA1037" i="3" s="1"/>
  <c r="AE1037" i="3" s="1"/>
  <c r="AA1038" i="3" s="1"/>
  <c r="AE1038" i="3" s="1"/>
  <c r="AA1039" i="3" s="1"/>
  <c r="AE1039" i="3" s="1"/>
  <c r="U1027" i="3"/>
  <c r="Y1027" i="3" s="1"/>
  <c r="O1002" i="3"/>
  <c r="S1002" i="3" s="1"/>
  <c r="AX400" i="3"/>
  <c r="I822" i="3"/>
  <c r="M822" i="3" s="1"/>
  <c r="C401" i="3"/>
  <c r="AS401" i="3" s="1"/>
  <c r="AM1202" i="3" l="1"/>
  <c r="AQ1202" i="3" s="1"/>
  <c r="AG1213" i="3"/>
  <c r="AK1213" i="3" s="1"/>
  <c r="AA1040" i="3"/>
  <c r="AE1040" i="3" s="1"/>
  <c r="U1028" i="3"/>
  <c r="Y1028" i="3" s="1"/>
  <c r="O1003" i="3"/>
  <c r="S1003" i="3" s="1"/>
  <c r="AZ400" i="3"/>
  <c r="BA400" i="3"/>
  <c r="BB400" i="3" s="1"/>
  <c r="I823" i="3"/>
  <c r="M823" i="3" s="1"/>
  <c r="G401" i="3"/>
  <c r="AM1203" i="3" l="1"/>
  <c r="AQ1203" i="3" s="1"/>
  <c r="AG1214" i="3"/>
  <c r="AK1214" i="3" s="1"/>
  <c r="AA1041" i="3"/>
  <c r="AE1041" i="3" s="1"/>
  <c r="U1029" i="3"/>
  <c r="Y1029" i="3" s="1"/>
  <c r="O1004" i="3"/>
  <c r="S1004" i="3" s="1"/>
  <c r="O1005" i="3" s="1"/>
  <c r="S1005" i="3" s="1"/>
  <c r="AX401" i="3"/>
  <c r="I824" i="3"/>
  <c r="M824" i="3" s="1"/>
  <c r="C402" i="3"/>
  <c r="AS402" i="3" s="1"/>
  <c r="AM1204" i="3" l="1"/>
  <c r="AQ1204" i="3" s="1"/>
  <c r="AG1215" i="3"/>
  <c r="AK1215" i="3" s="1"/>
  <c r="AA1042" i="3"/>
  <c r="AE1042" i="3" s="1"/>
  <c r="U1030" i="3"/>
  <c r="Y1030" i="3" s="1"/>
  <c r="O1006" i="3"/>
  <c r="S1006" i="3" s="1"/>
  <c r="AZ401" i="3"/>
  <c r="BA401" i="3"/>
  <c r="BB401" i="3" s="1"/>
  <c r="I825" i="3"/>
  <c r="M825" i="3" s="1"/>
  <c r="G402" i="3"/>
  <c r="AM1205" i="3" l="1"/>
  <c r="AQ1205" i="3" s="1"/>
  <c r="AG1216" i="3"/>
  <c r="AK1216" i="3" s="1"/>
  <c r="AA1043" i="3"/>
  <c r="AE1043" i="3" s="1"/>
  <c r="U1031" i="3"/>
  <c r="Y1031" i="3" s="1"/>
  <c r="O1007" i="3"/>
  <c r="S1007" i="3" s="1"/>
  <c r="AX402" i="3"/>
  <c r="I826" i="3"/>
  <c r="M826" i="3" s="1"/>
  <c r="C403" i="3"/>
  <c r="AS403" i="3" s="1"/>
  <c r="AM1206" i="3" l="1"/>
  <c r="AQ1206" i="3" s="1"/>
  <c r="AG1217" i="3"/>
  <c r="AK1217" i="3" s="1"/>
  <c r="AA1044" i="3"/>
  <c r="AE1044" i="3" s="1"/>
  <c r="AA1045" i="3" s="1"/>
  <c r="AE1045" i="3" s="1"/>
  <c r="U1032" i="3"/>
  <c r="Y1032" i="3" s="1"/>
  <c r="O1008" i="3"/>
  <c r="S1008" i="3" s="1"/>
  <c r="AZ402" i="3"/>
  <c r="BA402" i="3"/>
  <c r="BB402" i="3" s="1"/>
  <c r="I827" i="3"/>
  <c r="M827" i="3" s="1"/>
  <c r="G403" i="3"/>
  <c r="AM1207" i="3" l="1"/>
  <c r="AQ1207" i="3" s="1"/>
  <c r="AG1218" i="3"/>
  <c r="AK1218" i="3" s="1"/>
  <c r="AA1046" i="3"/>
  <c r="AE1046" i="3" s="1"/>
  <c r="U1033" i="3"/>
  <c r="Y1033" i="3" s="1"/>
  <c r="O1009" i="3"/>
  <c r="S1009" i="3" s="1"/>
  <c r="AX403" i="3"/>
  <c r="I828" i="3"/>
  <c r="M828" i="3" s="1"/>
  <c r="C404" i="3"/>
  <c r="AS404" i="3" s="1"/>
  <c r="AM1208" i="3" l="1"/>
  <c r="AQ1208" i="3" s="1"/>
  <c r="AG1219" i="3"/>
  <c r="AK1219" i="3" s="1"/>
  <c r="AA1047" i="3"/>
  <c r="AE1047" i="3" s="1"/>
  <c r="U1034" i="3"/>
  <c r="Y1034" i="3" s="1"/>
  <c r="O1010" i="3"/>
  <c r="S1010" i="3" s="1"/>
  <c r="AZ403" i="3"/>
  <c r="BA403" i="3"/>
  <c r="BB403" i="3" s="1"/>
  <c r="I829" i="3"/>
  <c r="M829" i="3" s="1"/>
  <c r="G404" i="3"/>
  <c r="AX404" i="3" s="1"/>
  <c r="BA404" i="3" s="1"/>
  <c r="BB404" i="3" l="1"/>
  <c r="AM1209" i="3"/>
  <c r="AQ1209" i="3" s="1"/>
  <c r="AG1220" i="3"/>
  <c r="AK1220" i="3" s="1"/>
  <c r="AA1048" i="3"/>
  <c r="AE1048" i="3" s="1"/>
  <c r="U1035" i="3"/>
  <c r="Y1035" i="3" s="1"/>
  <c r="O1011" i="3"/>
  <c r="S1011" i="3" s="1"/>
  <c r="I830" i="3"/>
  <c r="M830" i="3" s="1"/>
  <c r="AZ404" i="3"/>
  <c r="C405" i="3"/>
  <c r="AS405" i="3" s="1"/>
  <c r="AM1210" i="3" l="1"/>
  <c r="AQ1210" i="3" s="1"/>
  <c r="AG1221" i="3"/>
  <c r="AK1221" i="3" s="1"/>
  <c r="AA1049" i="3"/>
  <c r="AE1049" i="3" s="1"/>
  <c r="AA1050" i="3" s="1"/>
  <c r="AE1050" i="3" s="1"/>
  <c r="U1036" i="3"/>
  <c r="Y1036" i="3" s="1"/>
  <c r="U1037" i="3" s="1"/>
  <c r="Y1037" i="3" s="1"/>
  <c r="U1038" i="3" s="1"/>
  <c r="Y1038" i="3" s="1"/>
  <c r="U1039" i="3" s="1"/>
  <c r="Y1039" i="3" s="1"/>
  <c r="O1012" i="3"/>
  <c r="S1012" i="3" s="1"/>
  <c r="I831" i="3"/>
  <c r="M831" i="3" s="1"/>
  <c r="G405" i="3"/>
  <c r="AM1211" i="3" l="1"/>
  <c r="AQ1211" i="3" s="1"/>
  <c r="AG1222" i="3"/>
  <c r="AK1222" i="3" s="1"/>
  <c r="AA1051" i="3"/>
  <c r="AE1051" i="3" s="1"/>
  <c r="U1040" i="3"/>
  <c r="Y1040" i="3" s="1"/>
  <c r="O1013" i="3"/>
  <c r="S1013" i="3" s="1"/>
  <c r="AX405" i="3"/>
  <c r="I832" i="3"/>
  <c r="M832" i="3" s="1"/>
  <c r="C406" i="3"/>
  <c r="AS406" i="3" s="1"/>
  <c r="AM1212" i="3" l="1"/>
  <c r="AQ1212" i="3" s="1"/>
  <c r="AG1223" i="3"/>
  <c r="AK1223" i="3" s="1"/>
  <c r="AA1052" i="3"/>
  <c r="AE1052" i="3" s="1"/>
  <c r="U1041" i="3"/>
  <c r="Y1041" i="3" s="1"/>
  <c r="O1014" i="3"/>
  <c r="S1014" i="3" s="1"/>
  <c r="AZ405" i="3"/>
  <c r="BA405" i="3"/>
  <c r="BB405" i="3" s="1"/>
  <c r="I833" i="3"/>
  <c r="M833" i="3" s="1"/>
  <c r="G406" i="3"/>
  <c r="AX406" i="3" s="1"/>
  <c r="BA406" i="3" s="1"/>
  <c r="BB406" i="3" l="1"/>
  <c r="AM1213" i="3"/>
  <c r="AQ1213" i="3" s="1"/>
  <c r="AG1224" i="3"/>
  <c r="AK1224" i="3" s="1"/>
  <c r="AA1053" i="3"/>
  <c r="AE1053" i="3" s="1"/>
  <c r="U1042" i="3"/>
  <c r="Y1042" i="3" s="1"/>
  <c r="O1015" i="3"/>
  <c r="S1015" i="3" s="1"/>
  <c r="I834" i="3"/>
  <c r="M834" i="3" s="1"/>
  <c r="AZ406" i="3"/>
  <c r="C407" i="3"/>
  <c r="AS407" i="3" s="1"/>
  <c r="AM1214" i="3" l="1"/>
  <c r="AQ1214" i="3" s="1"/>
  <c r="AG1225" i="3"/>
  <c r="AK1225" i="3" s="1"/>
  <c r="AA1054" i="3"/>
  <c r="AE1054" i="3" s="1"/>
  <c r="U1043" i="3"/>
  <c r="Y1043" i="3" s="1"/>
  <c r="O1016" i="3"/>
  <c r="S1016" i="3" s="1"/>
  <c r="I835" i="3"/>
  <c r="M835" i="3" s="1"/>
  <c r="G407" i="3"/>
  <c r="C408" i="3" s="1"/>
  <c r="AM1215" i="3" l="1"/>
  <c r="AQ1215" i="3" s="1"/>
  <c r="AG1226" i="3"/>
  <c r="AK1226" i="3" s="1"/>
  <c r="AA1055" i="3"/>
  <c r="AE1055" i="3" s="1"/>
  <c r="U1044" i="3"/>
  <c r="Y1044" i="3" s="1"/>
  <c r="U1045" i="3" s="1"/>
  <c r="Y1045" i="3" s="1"/>
  <c r="O1017" i="3"/>
  <c r="S1017" i="3" s="1"/>
  <c r="AX407" i="3"/>
  <c r="I836" i="3"/>
  <c r="M836" i="3" s="1"/>
  <c r="AS408" i="3"/>
  <c r="AM1216" i="3" l="1"/>
  <c r="AQ1216" i="3" s="1"/>
  <c r="AG1227" i="3"/>
  <c r="AK1227" i="3" s="1"/>
  <c r="AA1056" i="3"/>
  <c r="AE1056" i="3" s="1"/>
  <c r="U1046" i="3"/>
  <c r="Y1046" i="3" s="1"/>
  <c r="O1018" i="3"/>
  <c r="S1018" i="3" s="1"/>
  <c r="AZ407" i="3"/>
  <c r="BA407" i="3"/>
  <c r="BB407" i="3" s="1"/>
  <c r="I837" i="3"/>
  <c r="M837" i="3" s="1"/>
  <c r="G408" i="3"/>
  <c r="AX408" i="3" s="1"/>
  <c r="BA408" i="3" s="1"/>
  <c r="BB408" i="3" l="1"/>
  <c r="AM1217" i="3"/>
  <c r="AQ1217" i="3" s="1"/>
  <c r="AG1228" i="3"/>
  <c r="AK1228" i="3" s="1"/>
  <c r="AA1057" i="3"/>
  <c r="AE1057" i="3" s="1"/>
  <c r="U1047" i="3"/>
  <c r="Y1047" i="3" s="1"/>
  <c r="O1019" i="3"/>
  <c r="S1019" i="3" s="1"/>
  <c r="I838" i="3"/>
  <c r="M838" i="3" s="1"/>
  <c r="AZ408" i="3"/>
  <c r="C409" i="3"/>
  <c r="AS409" i="3" s="1"/>
  <c r="AM1218" i="3" l="1"/>
  <c r="AQ1218" i="3" s="1"/>
  <c r="AG1229" i="3"/>
  <c r="AK1229" i="3" s="1"/>
  <c r="AA1058" i="3"/>
  <c r="AE1058" i="3" s="1"/>
  <c r="U1048" i="3"/>
  <c r="Y1048" i="3" s="1"/>
  <c r="O1020" i="3"/>
  <c r="S1020" i="3" s="1"/>
  <c r="I839" i="3"/>
  <c r="M839" i="3" s="1"/>
  <c r="G409" i="3"/>
  <c r="AX409" i="3" s="1"/>
  <c r="BA409" i="3" s="1"/>
  <c r="BB409" i="3" s="1"/>
  <c r="AM1219" i="3" l="1"/>
  <c r="AQ1219" i="3" s="1"/>
  <c r="AG1230" i="3"/>
  <c r="AK1230" i="3" s="1"/>
  <c r="AA1059" i="3"/>
  <c r="AE1059" i="3" s="1"/>
  <c r="U1049" i="3"/>
  <c r="Y1049" i="3" s="1"/>
  <c r="U1050" i="3" s="1"/>
  <c r="Y1050" i="3" s="1"/>
  <c r="O1021" i="3"/>
  <c r="S1021" i="3" s="1"/>
  <c r="I840" i="3"/>
  <c r="M840" i="3" s="1"/>
  <c r="AZ409" i="3"/>
  <c r="C410" i="3"/>
  <c r="AS410" i="3" s="1"/>
  <c r="AM1220" i="3" l="1"/>
  <c r="AQ1220" i="3" s="1"/>
  <c r="AG1231" i="3"/>
  <c r="AK1231" i="3" s="1"/>
  <c r="AA1060" i="3"/>
  <c r="AE1060" i="3" s="1"/>
  <c r="U1051" i="3"/>
  <c r="Y1051" i="3" s="1"/>
  <c r="O1022" i="3"/>
  <c r="S1022" i="3" s="1"/>
  <c r="I841" i="3"/>
  <c r="M841" i="3" s="1"/>
  <c r="G410" i="3"/>
  <c r="AX410" i="3" s="1"/>
  <c r="BA410" i="3" s="1"/>
  <c r="BB410" i="3" s="1"/>
  <c r="AM1221" i="3" l="1"/>
  <c r="AQ1221" i="3" s="1"/>
  <c r="AG1232" i="3"/>
  <c r="AK1232" i="3" s="1"/>
  <c r="AA1061" i="3"/>
  <c r="AE1061" i="3" s="1"/>
  <c r="U1052" i="3"/>
  <c r="Y1052" i="3" s="1"/>
  <c r="O1023" i="3"/>
  <c r="S1023" i="3" s="1"/>
  <c r="I842" i="3"/>
  <c r="M842" i="3" s="1"/>
  <c r="AZ410" i="3"/>
  <c r="C411" i="3"/>
  <c r="AS411" i="3" s="1"/>
  <c r="AM1222" i="3" l="1"/>
  <c r="AQ1222" i="3" s="1"/>
  <c r="AG1233" i="3"/>
  <c r="AK1233" i="3" s="1"/>
  <c r="AA1062" i="3"/>
  <c r="AE1062" i="3" s="1"/>
  <c r="U1053" i="3"/>
  <c r="Y1053" i="3" s="1"/>
  <c r="O1024" i="3"/>
  <c r="S1024" i="3" s="1"/>
  <c r="O1025" i="3" s="1"/>
  <c r="S1025" i="3" s="1"/>
  <c r="I843" i="3"/>
  <c r="M843" i="3" s="1"/>
  <c r="G411" i="3"/>
  <c r="AX411" i="3" s="1"/>
  <c r="BA411" i="3" s="1"/>
  <c r="BB411" i="3" s="1"/>
  <c r="AM1223" i="3" l="1"/>
  <c r="AQ1223" i="3" s="1"/>
  <c r="AG1234" i="3"/>
  <c r="AK1234" i="3" s="1"/>
  <c r="AA1063" i="3"/>
  <c r="AE1063" i="3" s="1"/>
  <c r="U1054" i="3"/>
  <c r="Y1054" i="3" s="1"/>
  <c r="O1026" i="3"/>
  <c r="S1026" i="3" s="1"/>
  <c r="I844" i="3"/>
  <c r="M844" i="3" s="1"/>
  <c r="AZ411" i="3"/>
  <c r="C412" i="3"/>
  <c r="AS412" i="3" s="1"/>
  <c r="AM1224" i="3" l="1"/>
  <c r="AQ1224" i="3" s="1"/>
  <c r="AG1235" i="3"/>
  <c r="AK1235" i="3" s="1"/>
  <c r="AA1064" i="3"/>
  <c r="AE1064" i="3" s="1"/>
  <c r="AA1065" i="3" s="1"/>
  <c r="AE1065" i="3" s="1"/>
  <c r="U1055" i="3"/>
  <c r="Y1055" i="3" s="1"/>
  <c r="O1027" i="3"/>
  <c r="S1027" i="3" s="1"/>
  <c r="I845" i="3"/>
  <c r="M845" i="3" s="1"/>
  <c r="G412" i="3"/>
  <c r="AM1225" i="3" l="1"/>
  <c r="AQ1225" i="3" s="1"/>
  <c r="AG1236" i="3"/>
  <c r="AK1236" i="3" s="1"/>
  <c r="AA1066" i="3"/>
  <c r="AE1066" i="3" s="1"/>
  <c r="U1056" i="3"/>
  <c r="Y1056" i="3" s="1"/>
  <c r="O1028" i="3"/>
  <c r="S1028" i="3" s="1"/>
  <c r="AX412" i="3"/>
  <c r="I846" i="3"/>
  <c r="M846" i="3" s="1"/>
  <c r="C413" i="3"/>
  <c r="AS413" i="3" s="1"/>
  <c r="AM1226" i="3" l="1"/>
  <c r="AQ1226" i="3" s="1"/>
  <c r="AG1237" i="3"/>
  <c r="AK1237" i="3" s="1"/>
  <c r="AA1067" i="3"/>
  <c r="AE1067" i="3" s="1"/>
  <c r="U1057" i="3"/>
  <c r="Y1057" i="3" s="1"/>
  <c r="O1029" i="3"/>
  <c r="S1029" i="3" s="1"/>
  <c r="AZ412" i="3"/>
  <c r="BA412" i="3"/>
  <c r="BB412" i="3" s="1"/>
  <c r="I847" i="3"/>
  <c r="M847" i="3" s="1"/>
  <c r="G413" i="3"/>
  <c r="AM1227" i="3" l="1"/>
  <c r="AQ1227" i="3" s="1"/>
  <c r="AG1238" i="3"/>
  <c r="AK1238" i="3" s="1"/>
  <c r="AA1068" i="3"/>
  <c r="AE1068" i="3" s="1"/>
  <c r="U1058" i="3"/>
  <c r="Y1058" i="3" s="1"/>
  <c r="O1030" i="3"/>
  <c r="S1030" i="3" s="1"/>
  <c r="AX413" i="3"/>
  <c r="I848" i="3"/>
  <c r="M848" i="3" s="1"/>
  <c r="C414" i="3"/>
  <c r="AS414" i="3" s="1"/>
  <c r="AM1228" i="3" l="1"/>
  <c r="AQ1228" i="3" s="1"/>
  <c r="AG1239" i="3"/>
  <c r="AK1239" i="3" s="1"/>
  <c r="AA1069" i="3"/>
  <c r="AE1069" i="3" s="1"/>
  <c r="AA1070" i="3" s="1"/>
  <c r="AE1070" i="3" s="1"/>
  <c r="U1059" i="3"/>
  <c r="Y1059" i="3" s="1"/>
  <c r="O1031" i="3"/>
  <c r="S1031" i="3" s="1"/>
  <c r="AZ413" i="3"/>
  <c r="BA413" i="3"/>
  <c r="BB413" i="3" s="1"/>
  <c r="I849" i="3"/>
  <c r="M849" i="3" s="1"/>
  <c r="G414" i="3"/>
  <c r="AM1229" i="3" l="1"/>
  <c r="AQ1229" i="3" s="1"/>
  <c r="AG1240" i="3"/>
  <c r="AK1240" i="3" s="1"/>
  <c r="AA1071" i="3"/>
  <c r="AE1071" i="3" s="1"/>
  <c r="U1060" i="3"/>
  <c r="Y1060" i="3" s="1"/>
  <c r="O1032" i="3"/>
  <c r="S1032" i="3" s="1"/>
  <c r="AX414" i="3"/>
  <c r="I850" i="3"/>
  <c r="M850" i="3" s="1"/>
  <c r="C415" i="3"/>
  <c r="AS415" i="3" s="1"/>
  <c r="AM1230" i="3" l="1"/>
  <c r="AQ1230" i="3" s="1"/>
  <c r="AG1241" i="3"/>
  <c r="AK1241" i="3" s="1"/>
  <c r="AA1072" i="3"/>
  <c r="AE1072" i="3" s="1"/>
  <c r="U1061" i="3"/>
  <c r="Y1061" i="3" s="1"/>
  <c r="O1033" i="3"/>
  <c r="S1033" i="3" s="1"/>
  <c r="AZ414" i="3"/>
  <c r="BA414" i="3"/>
  <c r="BB414" i="3" s="1"/>
  <c r="I851" i="3"/>
  <c r="M851" i="3" s="1"/>
  <c r="G415" i="3"/>
  <c r="AM1231" i="3" l="1"/>
  <c r="AQ1231" i="3" s="1"/>
  <c r="AG1242" i="3"/>
  <c r="AK1242" i="3" s="1"/>
  <c r="AA1073" i="3"/>
  <c r="AE1073" i="3" s="1"/>
  <c r="AA1074" i="3" s="1"/>
  <c r="AE1074" i="3" s="1"/>
  <c r="U1062" i="3"/>
  <c r="Y1062" i="3" s="1"/>
  <c r="O1034" i="3"/>
  <c r="S1034" i="3" s="1"/>
  <c r="AX415" i="3"/>
  <c r="I852" i="3"/>
  <c r="M852" i="3" s="1"/>
  <c r="C416" i="3"/>
  <c r="AS416" i="3" s="1"/>
  <c r="AM1232" i="3" l="1"/>
  <c r="AQ1232" i="3" s="1"/>
  <c r="AG1243" i="3"/>
  <c r="AK1243" i="3" s="1"/>
  <c r="AG1244" i="3" s="1"/>
  <c r="AK1244" i="3" s="1"/>
  <c r="AA1075" i="3"/>
  <c r="AE1075" i="3" s="1"/>
  <c r="U1063" i="3"/>
  <c r="Y1063" i="3" s="1"/>
  <c r="O1035" i="3"/>
  <c r="S1035" i="3" s="1"/>
  <c r="AZ415" i="3"/>
  <c r="BA415" i="3"/>
  <c r="BB415" i="3" s="1"/>
  <c r="I853" i="3"/>
  <c r="M853" i="3" s="1"/>
  <c r="G416" i="3"/>
  <c r="AM1233" i="3" l="1"/>
  <c r="AQ1233" i="3" s="1"/>
  <c r="AG1245" i="3"/>
  <c r="AK1245" i="3" s="1"/>
  <c r="AA1076" i="3"/>
  <c r="AE1076" i="3" s="1"/>
  <c r="U1064" i="3"/>
  <c r="Y1064" i="3" s="1"/>
  <c r="U1065" i="3" s="1"/>
  <c r="Y1065" i="3" s="1"/>
  <c r="O1036" i="3"/>
  <c r="S1036" i="3" s="1"/>
  <c r="O1037" i="3" s="1"/>
  <c r="S1037" i="3" s="1"/>
  <c r="AX416" i="3"/>
  <c r="I854" i="3"/>
  <c r="M854" i="3" s="1"/>
  <c r="C417" i="3"/>
  <c r="AS417" i="3" s="1"/>
  <c r="AM1234" i="3" l="1"/>
  <c r="AQ1234" i="3" s="1"/>
  <c r="AG1246" i="3"/>
  <c r="AK1246" i="3" s="1"/>
  <c r="AA1077" i="3"/>
  <c r="AE1077" i="3" s="1"/>
  <c r="U1066" i="3"/>
  <c r="Y1066" i="3" s="1"/>
  <c r="O1038" i="3"/>
  <c r="S1038" i="3" s="1"/>
  <c r="O1039" i="3" s="1"/>
  <c r="S1039" i="3" s="1"/>
  <c r="AZ416" i="3"/>
  <c r="BA416" i="3"/>
  <c r="BB416" i="3" s="1"/>
  <c r="I855" i="3"/>
  <c r="M855" i="3" s="1"/>
  <c r="G417" i="3"/>
  <c r="AM1235" i="3" l="1"/>
  <c r="AQ1235" i="3" s="1"/>
  <c r="AG1247" i="3"/>
  <c r="AK1247" i="3" s="1"/>
  <c r="AA1078" i="3"/>
  <c r="AE1078" i="3" s="1"/>
  <c r="U1067" i="3"/>
  <c r="Y1067" i="3" s="1"/>
  <c r="O1040" i="3"/>
  <c r="S1040" i="3" s="1"/>
  <c r="AX417" i="3"/>
  <c r="I856" i="3"/>
  <c r="M856" i="3" s="1"/>
  <c r="C418" i="3"/>
  <c r="AS418" i="3" s="1"/>
  <c r="AM1236" i="3" l="1"/>
  <c r="AQ1236" i="3" s="1"/>
  <c r="AG1248" i="3"/>
  <c r="AK1248" i="3" s="1"/>
  <c r="AA1079" i="3"/>
  <c r="AE1079" i="3" s="1"/>
  <c r="AA1080" i="3" s="1"/>
  <c r="AE1080" i="3" s="1"/>
  <c r="U1068" i="3"/>
  <c r="Y1068" i="3" s="1"/>
  <c r="O1041" i="3"/>
  <c r="S1041" i="3" s="1"/>
  <c r="I857" i="3"/>
  <c r="M857" i="3" s="1"/>
  <c r="AZ417" i="3"/>
  <c r="BA417" i="3"/>
  <c r="BB417" i="3" s="1"/>
  <c r="G418" i="3"/>
  <c r="AX418" i="3" s="1"/>
  <c r="BA418" i="3" s="1"/>
  <c r="BB418" i="3" l="1"/>
  <c r="AM1237" i="3"/>
  <c r="AQ1237" i="3" s="1"/>
  <c r="AG1249" i="3"/>
  <c r="AK1249" i="3" s="1"/>
  <c r="AA1081" i="3"/>
  <c r="AE1081" i="3" s="1"/>
  <c r="U1069" i="3"/>
  <c r="Y1069" i="3" s="1"/>
  <c r="U1070" i="3" s="1"/>
  <c r="Y1070" i="3" s="1"/>
  <c r="O1042" i="3"/>
  <c r="S1042" i="3" s="1"/>
  <c r="I858" i="3"/>
  <c r="M858" i="3" s="1"/>
  <c r="AZ418" i="3"/>
  <c r="C419" i="3"/>
  <c r="AS419" i="3" s="1"/>
  <c r="AM1238" i="3" l="1"/>
  <c r="AQ1238" i="3" s="1"/>
  <c r="AG1250" i="3"/>
  <c r="AK1250" i="3" s="1"/>
  <c r="AA1082" i="3"/>
  <c r="AE1082" i="3" s="1"/>
  <c r="U1071" i="3"/>
  <c r="Y1071" i="3" s="1"/>
  <c r="O1043" i="3"/>
  <c r="S1043" i="3" s="1"/>
  <c r="I859" i="3"/>
  <c r="M859" i="3" s="1"/>
  <c r="G419" i="3"/>
  <c r="AM1239" i="3" l="1"/>
  <c r="AQ1239" i="3" s="1"/>
  <c r="AG1251" i="3"/>
  <c r="AK1251" i="3" s="1"/>
  <c r="AA1083" i="3"/>
  <c r="AE1083" i="3" s="1"/>
  <c r="U1072" i="3"/>
  <c r="Y1072" i="3" s="1"/>
  <c r="O1044" i="3"/>
  <c r="S1044" i="3" s="1"/>
  <c r="I860" i="3"/>
  <c r="M860" i="3" s="1"/>
  <c r="AX419" i="3"/>
  <c r="C420" i="3"/>
  <c r="AS420" i="3" s="1"/>
  <c r="AM1240" i="3" l="1"/>
  <c r="AQ1240" i="3" s="1"/>
  <c r="AG1252" i="3"/>
  <c r="AK1252" i="3" s="1"/>
  <c r="AA1084" i="3"/>
  <c r="AE1084" i="3" s="1"/>
  <c r="U1073" i="3"/>
  <c r="Y1073" i="3" s="1"/>
  <c r="U1074" i="3" s="1"/>
  <c r="Y1074" i="3" s="1"/>
  <c r="O1045" i="3"/>
  <c r="S1045" i="3" s="1"/>
  <c r="I861" i="3"/>
  <c r="M861" i="3" s="1"/>
  <c r="AZ419" i="3"/>
  <c r="BA419" i="3"/>
  <c r="BB419" i="3" s="1"/>
  <c r="G420" i="3"/>
  <c r="AX420" i="3" s="1"/>
  <c r="BA420" i="3" s="1"/>
  <c r="BB420" i="3" l="1"/>
  <c r="AM1241" i="3"/>
  <c r="AQ1241" i="3" s="1"/>
  <c r="AG1253" i="3"/>
  <c r="AK1253" i="3" s="1"/>
  <c r="AA1085" i="3"/>
  <c r="AE1085" i="3" s="1"/>
  <c r="U1075" i="3"/>
  <c r="Y1075" i="3" s="1"/>
  <c r="O1046" i="3"/>
  <c r="S1046" i="3" s="1"/>
  <c r="I862" i="3"/>
  <c r="M862" i="3" s="1"/>
  <c r="AZ420" i="3"/>
  <c r="C421" i="3"/>
  <c r="AS421" i="3" s="1"/>
  <c r="AM1242" i="3" l="1"/>
  <c r="AQ1242" i="3" s="1"/>
  <c r="AG1254" i="3"/>
  <c r="AK1254" i="3" s="1"/>
  <c r="AA1086" i="3"/>
  <c r="AE1086" i="3" s="1"/>
  <c r="U1076" i="3"/>
  <c r="Y1076" i="3" s="1"/>
  <c r="O1047" i="3"/>
  <c r="S1047" i="3" s="1"/>
  <c r="I863" i="3"/>
  <c r="M863" i="3" s="1"/>
  <c r="G421" i="3"/>
  <c r="AX421" i="3" s="1"/>
  <c r="BA421" i="3" s="1"/>
  <c r="BB421" i="3" s="1"/>
  <c r="AM1243" i="3" l="1"/>
  <c r="AQ1243" i="3" s="1"/>
  <c r="AG1255" i="3"/>
  <c r="AK1255" i="3" s="1"/>
  <c r="AA1087" i="3"/>
  <c r="AE1087" i="3" s="1"/>
  <c r="U1077" i="3"/>
  <c r="Y1077" i="3" s="1"/>
  <c r="O1048" i="3"/>
  <c r="S1048" i="3" s="1"/>
  <c r="I864" i="3"/>
  <c r="M864" i="3" s="1"/>
  <c r="AZ421" i="3"/>
  <c r="C422" i="3"/>
  <c r="AS422" i="3" s="1"/>
  <c r="AM1244" i="3" l="1"/>
  <c r="AQ1244" i="3" s="1"/>
  <c r="AG1256" i="3"/>
  <c r="AK1256" i="3" s="1"/>
  <c r="AA1088" i="3"/>
  <c r="AE1088" i="3" s="1"/>
  <c r="U1078" i="3"/>
  <c r="Y1078" i="3" s="1"/>
  <c r="O1049" i="3"/>
  <c r="S1049" i="3" s="1"/>
  <c r="O1050" i="3" s="1"/>
  <c r="S1050" i="3" s="1"/>
  <c r="I865" i="3"/>
  <c r="M865" i="3" s="1"/>
  <c r="G422" i="3"/>
  <c r="AX422" i="3" s="1"/>
  <c r="BA422" i="3" s="1"/>
  <c r="BB422" i="3" s="1"/>
  <c r="AM1245" i="3" l="1"/>
  <c r="AQ1245" i="3" s="1"/>
  <c r="AG1257" i="3"/>
  <c r="AK1257" i="3" s="1"/>
  <c r="AA1089" i="3"/>
  <c r="AE1089" i="3" s="1"/>
  <c r="U1079" i="3"/>
  <c r="Y1079" i="3" s="1"/>
  <c r="U1080" i="3" s="1"/>
  <c r="Y1080" i="3" s="1"/>
  <c r="O1051" i="3"/>
  <c r="S1051" i="3" s="1"/>
  <c r="I866" i="3"/>
  <c r="M866" i="3" s="1"/>
  <c r="AZ422" i="3"/>
  <c r="C423" i="3"/>
  <c r="AS423" i="3" s="1"/>
  <c r="AM1246" i="3" l="1"/>
  <c r="AQ1246" i="3" s="1"/>
  <c r="AG1258" i="3"/>
  <c r="AK1258" i="3" s="1"/>
  <c r="AG1259" i="3" s="1"/>
  <c r="AK1259" i="3" s="1"/>
  <c r="AA1090" i="3"/>
  <c r="AE1090" i="3" s="1"/>
  <c r="U1081" i="3"/>
  <c r="Y1081" i="3" s="1"/>
  <c r="O1052" i="3"/>
  <c r="S1052" i="3" s="1"/>
  <c r="I867" i="3"/>
  <c r="M867" i="3" s="1"/>
  <c r="G423" i="3"/>
  <c r="AX423" i="3" s="1"/>
  <c r="BA423" i="3" s="1"/>
  <c r="BB423" i="3" s="1"/>
  <c r="AM1247" i="3" l="1"/>
  <c r="AQ1247" i="3" s="1"/>
  <c r="AG1260" i="3"/>
  <c r="AK1260" i="3" s="1"/>
  <c r="AA1091" i="3"/>
  <c r="AE1091" i="3" s="1"/>
  <c r="U1082" i="3"/>
  <c r="Y1082" i="3" s="1"/>
  <c r="O1053" i="3"/>
  <c r="S1053" i="3" s="1"/>
  <c r="I868" i="3"/>
  <c r="M868" i="3" s="1"/>
  <c r="AZ423" i="3"/>
  <c r="C424" i="3"/>
  <c r="AS424" i="3" s="1"/>
  <c r="AM1248" i="3" l="1"/>
  <c r="AQ1248" i="3" s="1"/>
  <c r="AG1261" i="3"/>
  <c r="AK1261" i="3" s="1"/>
  <c r="AA1092" i="3"/>
  <c r="AE1092" i="3" s="1"/>
  <c r="U1083" i="3"/>
  <c r="Y1083" i="3" s="1"/>
  <c r="O1054" i="3"/>
  <c r="S1054" i="3" s="1"/>
  <c r="I869" i="3"/>
  <c r="M869" i="3" s="1"/>
  <c r="G424" i="3"/>
  <c r="AX424" i="3" s="1"/>
  <c r="BA424" i="3" s="1"/>
  <c r="BB424" i="3" s="1"/>
  <c r="AM1249" i="3" l="1"/>
  <c r="AQ1249" i="3" s="1"/>
  <c r="AG1262" i="3"/>
  <c r="AK1262" i="3" s="1"/>
  <c r="AA1093" i="3"/>
  <c r="AE1093" i="3" s="1"/>
  <c r="U1084" i="3"/>
  <c r="Y1084" i="3" s="1"/>
  <c r="O1055" i="3"/>
  <c r="S1055" i="3" s="1"/>
  <c r="I870" i="3"/>
  <c r="M870" i="3" s="1"/>
  <c r="AZ424" i="3"/>
  <c r="C425" i="3"/>
  <c r="AS425" i="3" s="1"/>
  <c r="AM1250" i="3" l="1"/>
  <c r="AQ1250" i="3" s="1"/>
  <c r="AG1263" i="3"/>
  <c r="AK1263" i="3" s="1"/>
  <c r="AA1094" i="3"/>
  <c r="AE1094" i="3" s="1"/>
  <c r="U1085" i="3"/>
  <c r="Y1085" i="3" s="1"/>
  <c r="O1056" i="3"/>
  <c r="S1056" i="3" s="1"/>
  <c r="I871" i="3"/>
  <c r="M871" i="3" s="1"/>
  <c r="G425" i="3"/>
  <c r="AX425" i="3" s="1"/>
  <c r="BA425" i="3" s="1"/>
  <c r="BB425" i="3" s="1"/>
  <c r="AM1251" i="3" l="1"/>
  <c r="AQ1251" i="3" s="1"/>
  <c r="AG1264" i="3"/>
  <c r="AK1264" i="3" s="1"/>
  <c r="AA1095" i="3"/>
  <c r="AE1095" i="3" s="1"/>
  <c r="U1086" i="3"/>
  <c r="Y1086" i="3" s="1"/>
  <c r="O1057" i="3"/>
  <c r="S1057" i="3" s="1"/>
  <c r="I872" i="3"/>
  <c r="M872" i="3" s="1"/>
  <c r="AZ425" i="3"/>
  <c r="C426" i="3"/>
  <c r="AS426" i="3" s="1"/>
  <c r="AM1252" i="3" l="1"/>
  <c r="AQ1252" i="3" s="1"/>
  <c r="AG1265" i="3"/>
  <c r="AK1265" i="3" s="1"/>
  <c r="AA1096" i="3"/>
  <c r="AE1096" i="3" s="1"/>
  <c r="U1087" i="3"/>
  <c r="Y1087" i="3" s="1"/>
  <c r="O1058" i="3"/>
  <c r="S1058" i="3" s="1"/>
  <c r="I873" i="3"/>
  <c r="M873" i="3" s="1"/>
  <c r="G426" i="3"/>
  <c r="AX426" i="3" s="1"/>
  <c r="BA426" i="3" s="1"/>
  <c r="BB426" i="3" s="1"/>
  <c r="AM1253" i="3" l="1"/>
  <c r="AQ1253" i="3" s="1"/>
  <c r="AG1266" i="3"/>
  <c r="AK1266" i="3" s="1"/>
  <c r="AA1097" i="3"/>
  <c r="AE1097" i="3" s="1"/>
  <c r="U1088" i="3"/>
  <c r="Y1088" i="3" s="1"/>
  <c r="O1059" i="3"/>
  <c r="S1059" i="3" s="1"/>
  <c r="I874" i="3"/>
  <c r="M874" i="3" s="1"/>
  <c r="AZ426" i="3"/>
  <c r="C427" i="3"/>
  <c r="AS427" i="3" s="1"/>
  <c r="AM1254" i="3" l="1"/>
  <c r="AQ1254" i="3" s="1"/>
  <c r="AG1267" i="3"/>
  <c r="AK1267" i="3" s="1"/>
  <c r="AA1098" i="3"/>
  <c r="AE1098" i="3" s="1"/>
  <c r="U1089" i="3"/>
  <c r="Y1089" i="3" s="1"/>
  <c r="O1060" i="3"/>
  <c r="S1060" i="3" s="1"/>
  <c r="I875" i="3"/>
  <c r="M875" i="3" s="1"/>
  <c r="G427" i="3"/>
  <c r="AM1255" i="3" l="1"/>
  <c r="AQ1255" i="3" s="1"/>
  <c r="AG1268" i="3"/>
  <c r="AK1268" i="3" s="1"/>
  <c r="AA1099" i="3"/>
  <c r="AE1099" i="3" s="1"/>
  <c r="U1090" i="3"/>
  <c r="Y1090" i="3" s="1"/>
  <c r="O1061" i="3"/>
  <c r="S1061" i="3" s="1"/>
  <c r="I876" i="3"/>
  <c r="M876" i="3" s="1"/>
  <c r="AX427" i="3"/>
  <c r="C428" i="3"/>
  <c r="AS428" i="3" s="1"/>
  <c r="AM1256" i="3" l="1"/>
  <c r="AQ1256" i="3" s="1"/>
  <c r="AM1257" i="3" s="1"/>
  <c r="AG1269" i="3"/>
  <c r="AK1269" i="3" s="1"/>
  <c r="AA1100" i="3"/>
  <c r="AE1100" i="3" s="1"/>
  <c r="U1091" i="3"/>
  <c r="Y1091" i="3" s="1"/>
  <c r="O1062" i="3"/>
  <c r="S1062" i="3" s="1"/>
  <c r="I877" i="3"/>
  <c r="M877" i="3" s="1"/>
  <c r="AZ427" i="3"/>
  <c r="BA427" i="3"/>
  <c r="BB427" i="3" s="1"/>
  <c r="G428" i="3"/>
  <c r="AG1270" i="3" l="1"/>
  <c r="AK1270" i="3" s="1"/>
  <c r="AA1101" i="3"/>
  <c r="AE1101" i="3" s="1"/>
  <c r="U1092" i="3"/>
  <c r="Y1092" i="3" s="1"/>
  <c r="O1063" i="3"/>
  <c r="S1063" i="3" s="1"/>
  <c r="I878" i="3"/>
  <c r="M878" i="3" s="1"/>
  <c r="AX428" i="3"/>
  <c r="C429" i="3"/>
  <c r="AS429" i="3" s="1"/>
  <c r="AG1271" i="3" l="1"/>
  <c r="AK1271" i="3" s="1"/>
  <c r="AA1102" i="3"/>
  <c r="AE1102" i="3" s="1"/>
  <c r="U1093" i="3"/>
  <c r="Y1093" i="3" s="1"/>
  <c r="O1064" i="3"/>
  <c r="S1064" i="3" s="1"/>
  <c r="O1065" i="3" s="1"/>
  <c r="S1065" i="3" s="1"/>
  <c r="I879" i="3"/>
  <c r="M879" i="3" s="1"/>
  <c r="AZ428" i="3"/>
  <c r="BA428" i="3"/>
  <c r="BB428" i="3" s="1"/>
  <c r="G429" i="3"/>
  <c r="AG1272" i="3" l="1"/>
  <c r="AK1272" i="3" s="1"/>
  <c r="AG1273" i="3" s="1"/>
  <c r="AK1273" i="3" s="1"/>
  <c r="AA1103" i="3"/>
  <c r="AE1103" i="3" s="1"/>
  <c r="U1094" i="3"/>
  <c r="Y1094" i="3" s="1"/>
  <c r="O1066" i="3"/>
  <c r="S1066" i="3" s="1"/>
  <c r="I880" i="3"/>
  <c r="M880" i="3" s="1"/>
  <c r="AX429" i="3"/>
  <c r="C430" i="3"/>
  <c r="AS430" i="3" s="1"/>
  <c r="AG1274" i="3" l="1"/>
  <c r="AK1274" i="3" s="1"/>
  <c r="AA1104" i="3"/>
  <c r="AE1104" i="3" s="1"/>
  <c r="U1095" i="3"/>
  <c r="Y1095" i="3" s="1"/>
  <c r="O1067" i="3"/>
  <c r="S1067" i="3" s="1"/>
  <c r="I881" i="3"/>
  <c r="M881" i="3" s="1"/>
  <c r="AZ429" i="3"/>
  <c r="BA429" i="3"/>
  <c r="BB429" i="3" s="1"/>
  <c r="G430" i="3"/>
  <c r="AX430" i="3" s="1"/>
  <c r="BA430" i="3" s="1"/>
  <c r="BB430" i="3" s="1"/>
  <c r="AG1275" i="3" l="1"/>
  <c r="AK1275" i="3" s="1"/>
  <c r="AA1105" i="3"/>
  <c r="AE1105" i="3" s="1"/>
  <c r="U1096" i="3"/>
  <c r="Y1096" i="3" s="1"/>
  <c r="O1068" i="3"/>
  <c r="S1068" i="3" s="1"/>
  <c r="I882" i="3"/>
  <c r="M882" i="3" s="1"/>
  <c r="AZ430" i="3"/>
  <c r="C431" i="3"/>
  <c r="AS431" i="3" s="1"/>
  <c r="AG1276" i="3" l="1"/>
  <c r="AK1276" i="3" s="1"/>
  <c r="AA1106" i="3"/>
  <c r="AE1106" i="3" s="1"/>
  <c r="U1097" i="3"/>
  <c r="Y1097" i="3" s="1"/>
  <c r="O1069" i="3"/>
  <c r="S1069" i="3" s="1"/>
  <c r="O1070" i="3" s="1"/>
  <c r="S1070" i="3" s="1"/>
  <c r="I883" i="3"/>
  <c r="M883" i="3" s="1"/>
  <c r="G431" i="3"/>
  <c r="AX431" i="3" s="1"/>
  <c r="BA431" i="3" s="1"/>
  <c r="BB431" i="3" s="1"/>
  <c r="AG1277" i="3" l="1"/>
  <c r="AK1277" i="3" s="1"/>
  <c r="AA1107" i="3"/>
  <c r="AE1107" i="3" s="1"/>
  <c r="U1098" i="3"/>
  <c r="Y1098" i="3" s="1"/>
  <c r="O1071" i="3"/>
  <c r="S1071" i="3" s="1"/>
  <c r="I884" i="3"/>
  <c r="M884" i="3" s="1"/>
  <c r="AZ431" i="3"/>
  <c r="C432" i="3"/>
  <c r="AS432" i="3" s="1"/>
  <c r="AG1278" i="3" l="1"/>
  <c r="AK1278" i="3" s="1"/>
  <c r="AA1108" i="3"/>
  <c r="AE1108" i="3" s="1"/>
  <c r="U1099" i="3"/>
  <c r="Y1099" i="3" s="1"/>
  <c r="O1072" i="3"/>
  <c r="S1072" i="3" s="1"/>
  <c r="I885" i="3"/>
  <c r="M885" i="3" s="1"/>
  <c r="G432" i="3"/>
  <c r="AG1279" i="3" l="1"/>
  <c r="AK1279" i="3" s="1"/>
  <c r="AA1109" i="3"/>
  <c r="AE1109" i="3" s="1"/>
  <c r="U1100" i="3"/>
  <c r="Y1100" i="3" s="1"/>
  <c r="O1073" i="3"/>
  <c r="S1073" i="3" s="1"/>
  <c r="O1074" i="3" s="1"/>
  <c r="S1074" i="3" s="1"/>
  <c r="I886" i="3"/>
  <c r="M886" i="3" s="1"/>
  <c r="AX432" i="3"/>
  <c r="C433" i="3"/>
  <c r="AS433" i="3" s="1"/>
  <c r="AG1280" i="3" l="1"/>
  <c r="AK1280" i="3" s="1"/>
  <c r="AA1110" i="3"/>
  <c r="AE1110" i="3" s="1"/>
  <c r="AA1111" i="3" s="1"/>
  <c r="AE1111" i="3" s="1"/>
  <c r="AA1112" i="3" s="1"/>
  <c r="AE1112" i="3" s="1"/>
  <c r="U1101" i="3"/>
  <c r="Y1101" i="3" s="1"/>
  <c r="O1075" i="3"/>
  <c r="S1075" i="3" s="1"/>
  <c r="I887" i="3"/>
  <c r="M887" i="3" s="1"/>
  <c r="AZ432" i="3"/>
  <c r="BA432" i="3"/>
  <c r="BB432" i="3" s="1"/>
  <c r="G433" i="3"/>
  <c r="AG1281" i="3" l="1"/>
  <c r="AK1281" i="3" s="1"/>
  <c r="AA1113" i="3"/>
  <c r="AE1113" i="3" s="1"/>
  <c r="AA1114" i="3" s="1"/>
  <c r="AE1114" i="3" s="1"/>
  <c r="U1102" i="3"/>
  <c r="Y1102" i="3" s="1"/>
  <c r="O1076" i="3"/>
  <c r="S1076" i="3" s="1"/>
  <c r="I888" i="3"/>
  <c r="M888" i="3" s="1"/>
  <c r="AX433" i="3"/>
  <c r="C434" i="3"/>
  <c r="AS434" i="3" s="1"/>
  <c r="AG1282" i="3" l="1"/>
  <c r="AK1282" i="3" s="1"/>
  <c r="AA1115" i="3"/>
  <c r="AE1115" i="3" s="1"/>
  <c r="U1103" i="3"/>
  <c r="Y1103" i="3" s="1"/>
  <c r="O1077" i="3"/>
  <c r="S1077" i="3" s="1"/>
  <c r="I889" i="3"/>
  <c r="M889" i="3" s="1"/>
  <c r="AZ433" i="3"/>
  <c r="BA433" i="3"/>
  <c r="BB433" i="3" s="1"/>
  <c r="G434" i="3"/>
  <c r="AG1283" i="3" l="1"/>
  <c r="AK1283" i="3" s="1"/>
  <c r="AA1116" i="3"/>
  <c r="AE1116" i="3" s="1"/>
  <c r="U1104" i="3"/>
  <c r="Y1104" i="3" s="1"/>
  <c r="O1078" i="3"/>
  <c r="S1078" i="3" s="1"/>
  <c r="I890" i="3"/>
  <c r="M890" i="3" s="1"/>
  <c r="AX434" i="3"/>
  <c r="C435" i="3"/>
  <c r="AS435" i="3" s="1"/>
  <c r="AG1284" i="3" l="1"/>
  <c r="AK1284" i="3" s="1"/>
  <c r="AA1117" i="3"/>
  <c r="AE1117" i="3" s="1"/>
  <c r="U1105" i="3"/>
  <c r="Y1105" i="3" s="1"/>
  <c r="O1079" i="3"/>
  <c r="S1079" i="3" s="1"/>
  <c r="O1080" i="3" s="1"/>
  <c r="S1080" i="3" s="1"/>
  <c r="I891" i="3"/>
  <c r="M891" i="3" s="1"/>
  <c r="AZ434" i="3"/>
  <c r="BA434" i="3"/>
  <c r="BB434" i="3" s="1"/>
  <c r="G435" i="3"/>
  <c r="AG1285" i="3" l="1"/>
  <c r="AK1285" i="3" s="1"/>
  <c r="AA1118" i="3"/>
  <c r="AE1118" i="3" s="1"/>
  <c r="U1106" i="3"/>
  <c r="Y1106" i="3" s="1"/>
  <c r="O1081" i="3"/>
  <c r="S1081" i="3" s="1"/>
  <c r="I892" i="3"/>
  <c r="M892" i="3" s="1"/>
  <c r="AX435" i="3"/>
  <c r="C436" i="3"/>
  <c r="AS436" i="3" s="1"/>
  <c r="AG1286" i="3" l="1"/>
  <c r="AK1286" i="3" s="1"/>
  <c r="AA1119" i="3"/>
  <c r="AE1119" i="3" s="1"/>
  <c r="AA1120" i="3" s="1"/>
  <c r="AE1120" i="3" s="1"/>
  <c r="U1107" i="3"/>
  <c r="Y1107" i="3" s="1"/>
  <c r="O1082" i="3"/>
  <c r="S1082" i="3" s="1"/>
  <c r="I893" i="3"/>
  <c r="M893" i="3" s="1"/>
  <c r="I894" i="3" s="1"/>
  <c r="M894" i="3" s="1"/>
  <c r="AZ435" i="3"/>
  <c r="BA435" i="3"/>
  <c r="BB435" i="3" s="1"/>
  <c r="G436" i="3"/>
  <c r="AX436" i="3" s="1"/>
  <c r="BA436" i="3" s="1"/>
  <c r="BB436" i="3" s="1"/>
  <c r="AG1287" i="3" l="1"/>
  <c r="AK1287" i="3" s="1"/>
  <c r="AA1121" i="3"/>
  <c r="AE1121" i="3" s="1"/>
  <c r="U1108" i="3"/>
  <c r="Y1108" i="3" s="1"/>
  <c r="O1083" i="3"/>
  <c r="S1083" i="3" s="1"/>
  <c r="I895" i="3"/>
  <c r="M895" i="3" s="1"/>
  <c r="AZ436" i="3"/>
  <c r="C437" i="3"/>
  <c r="AS437" i="3" s="1"/>
  <c r="AG1288" i="3" l="1"/>
  <c r="AK1288" i="3" s="1"/>
  <c r="AA1122" i="3"/>
  <c r="AE1122" i="3" s="1"/>
  <c r="U1109" i="3"/>
  <c r="Y1109" i="3" s="1"/>
  <c r="O1084" i="3"/>
  <c r="S1084" i="3" s="1"/>
  <c r="I896" i="3"/>
  <c r="M896" i="3" s="1"/>
  <c r="G437" i="3"/>
  <c r="AG1289" i="3" l="1"/>
  <c r="AK1289" i="3" s="1"/>
  <c r="AA1123" i="3"/>
  <c r="AE1123" i="3" s="1"/>
  <c r="U1110" i="3"/>
  <c r="Y1110" i="3" s="1"/>
  <c r="U1111" i="3" s="1"/>
  <c r="Y1111" i="3" s="1"/>
  <c r="U1112" i="3" s="1"/>
  <c r="Y1112" i="3" s="1"/>
  <c r="O1085" i="3"/>
  <c r="S1085" i="3" s="1"/>
  <c r="I897" i="3"/>
  <c r="M897" i="3" s="1"/>
  <c r="AX437" i="3"/>
  <c r="C438" i="3"/>
  <c r="AS438" i="3" s="1"/>
  <c r="AG1290" i="3" l="1"/>
  <c r="AK1290" i="3" s="1"/>
  <c r="AA1124" i="3"/>
  <c r="AE1124" i="3" s="1"/>
  <c r="U1113" i="3"/>
  <c r="Y1113" i="3" s="1"/>
  <c r="O1086" i="3"/>
  <c r="S1086" i="3" s="1"/>
  <c r="I898" i="3"/>
  <c r="M898" i="3" s="1"/>
  <c r="AZ437" i="3"/>
  <c r="BA437" i="3"/>
  <c r="BB437" i="3" s="1"/>
  <c r="G438" i="3"/>
  <c r="AX438" i="3" s="1"/>
  <c r="BA438" i="3" s="1"/>
  <c r="BB438" i="3" s="1"/>
  <c r="AG1291" i="3" l="1"/>
  <c r="AK1291" i="3" s="1"/>
  <c r="AA1125" i="3"/>
  <c r="AE1125" i="3" s="1"/>
  <c r="U1114" i="3"/>
  <c r="Y1114" i="3" s="1"/>
  <c r="O1087" i="3"/>
  <c r="S1087" i="3" s="1"/>
  <c r="I899" i="3"/>
  <c r="M899" i="3" s="1"/>
  <c r="AZ438" i="3"/>
  <c r="C439" i="3"/>
  <c r="AS439" i="3" s="1"/>
  <c r="AG1292" i="3" l="1"/>
  <c r="AK1292" i="3" s="1"/>
  <c r="AA1126" i="3"/>
  <c r="AE1126" i="3" s="1"/>
  <c r="U1115" i="3"/>
  <c r="Y1115" i="3" s="1"/>
  <c r="O1088" i="3"/>
  <c r="S1088" i="3" s="1"/>
  <c r="I900" i="3"/>
  <c r="M900" i="3" s="1"/>
  <c r="G439" i="3"/>
  <c r="AX439" i="3" s="1"/>
  <c r="BA439" i="3" s="1"/>
  <c r="BB439" i="3" s="1"/>
  <c r="AG1293" i="3" l="1"/>
  <c r="AK1293" i="3" s="1"/>
  <c r="AA1127" i="3"/>
  <c r="AE1127" i="3" s="1"/>
  <c r="U1116" i="3"/>
  <c r="Y1116" i="3" s="1"/>
  <c r="O1089" i="3"/>
  <c r="S1089" i="3" s="1"/>
  <c r="I901" i="3"/>
  <c r="M901" i="3" s="1"/>
  <c r="AZ439" i="3"/>
  <c r="C440" i="3"/>
  <c r="AS440" i="3" s="1"/>
  <c r="AG1294" i="3" l="1"/>
  <c r="AK1294" i="3" s="1"/>
  <c r="AA1128" i="3"/>
  <c r="AE1128" i="3" s="1"/>
  <c r="U1117" i="3"/>
  <c r="Y1117" i="3" s="1"/>
  <c r="O1090" i="3"/>
  <c r="S1090" i="3" s="1"/>
  <c r="I902" i="3"/>
  <c r="M902" i="3" s="1"/>
  <c r="G440" i="3"/>
  <c r="AG1295" i="3" l="1"/>
  <c r="AK1295" i="3" s="1"/>
  <c r="AG1296" i="3" s="1"/>
  <c r="AK1296" i="3" s="1"/>
  <c r="AA1129" i="3"/>
  <c r="AE1129" i="3" s="1"/>
  <c r="U1118" i="3"/>
  <c r="Y1118" i="3" s="1"/>
  <c r="O1091" i="3"/>
  <c r="S1091" i="3" s="1"/>
  <c r="I903" i="3"/>
  <c r="M903" i="3" s="1"/>
  <c r="AX440" i="3"/>
  <c r="C441" i="3"/>
  <c r="AS441" i="3" s="1"/>
  <c r="AG1297" i="3" l="1"/>
  <c r="AK1297" i="3" s="1"/>
  <c r="AA1130" i="3"/>
  <c r="AE1130" i="3" s="1"/>
  <c r="U1119" i="3"/>
  <c r="Y1119" i="3" s="1"/>
  <c r="U1120" i="3" s="1"/>
  <c r="Y1120" i="3" s="1"/>
  <c r="O1092" i="3"/>
  <c r="S1092" i="3" s="1"/>
  <c r="I904" i="3"/>
  <c r="M904" i="3" s="1"/>
  <c r="AZ440" i="3"/>
  <c r="BA440" i="3"/>
  <c r="BB440" i="3" s="1"/>
  <c r="G441" i="3"/>
  <c r="AG1298" i="3" l="1"/>
  <c r="AK1298" i="3" s="1"/>
  <c r="AG1299" i="3" s="1"/>
  <c r="AK1299" i="3" s="1"/>
  <c r="AA1131" i="3"/>
  <c r="AE1131" i="3" s="1"/>
  <c r="U1121" i="3"/>
  <c r="Y1121" i="3" s="1"/>
  <c r="O1093" i="3"/>
  <c r="S1093" i="3" s="1"/>
  <c r="I905" i="3"/>
  <c r="M905" i="3" s="1"/>
  <c r="AX441" i="3"/>
  <c r="C442" i="3"/>
  <c r="AS442" i="3" s="1"/>
  <c r="AG1300" i="3" l="1"/>
  <c r="AK1300" i="3" s="1"/>
  <c r="AA1132" i="3"/>
  <c r="AE1132" i="3" s="1"/>
  <c r="U1122" i="3"/>
  <c r="Y1122" i="3" s="1"/>
  <c r="O1094" i="3"/>
  <c r="S1094" i="3" s="1"/>
  <c r="I906" i="3"/>
  <c r="M906" i="3" s="1"/>
  <c r="AZ441" i="3"/>
  <c r="BA441" i="3"/>
  <c r="BB441" i="3" s="1"/>
  <c r="G442" i="3"/>
  <c r="AX442" i="3" s="1"/>
  <c r="BA442" i="3" s="1"/>
  <c r="BB442" i="3" s="1"/>
  <c r="AG1301" i="3" l="1"/>
  <c r="AK1301" i="3" s="1"/>
  <c r="AA1133" i="3"/>
  <c r="AE1133" i="3" s="1"/>
  <c r="U1123" i="3"/>
  <c r="Y1123" i="3" s="1"/>
  <c r="O1095" i="3"/>
  <c r="S1095" i="3" s="1"/>
  <c r="I907" i="3"/>
  <c r="M907" i="3" s="1"/>
  <c r="AZ442" i="3"/>
  <c r="C443" i="3"/>
  <c r="AS443" i="3" s="1"/>
  <c r="AG1302" i="3" l="1"/>
  <c r="AK1302" i="3" s="1"/>
  <c r="AA1134" i="3"/>
  <c r="AE1134" i="3" s="1"/>
  <c r="U1124" i="3"/>
  <c r="Y1124" i="3" s="1"/>
  <c r="O1096" i="3"/>
  <c r="S1096" i="3" s="1"/>
  <c r="I908" i="3"/>
  <c r="M908" i="3" s="1"/>
  <c r="G443" i="3"/>
  <c r="AG1303" i="3" l="1"/>
  <c r="AK1303" i="3" s="1"/>
  <c r="AG1304" i="3" s="1"/>
  <c r="AK1304" i="3" s="1"/>
  <c r="AA1135" i="3"/>
  <c r="AE1135" i="3" s="1"/>
  <c r="U1125" i="3"/>
  <c r="Y1125" i="3" s="1"/>
  <c r="O1097" i="3"/>
  <c r="S1097" i="3" s="1"/>
  <c r="I909" i="3"/>
  <c r="M909" i="3" s="1"/>
  <c r="AX443" i="3"/>
  <c r="C444" i="3"/>
  <c r="AS444" i="3" s="1"/>
  <c r="AG1305" i="3" l="1"/>
  <c r="AK1305" i="3" s="1"/>
  <c r="AA1136" i="3"/>
  <c r="AE1136" i="3" s="1"/>
  <c r="U1126" i="3"/>
  <c r="Y1126" i="3" s="1"/>
  <c r="O1098" i="3"/>
  <c r="S1098" i="3" s="1"/>
  <c r="I910" i="3"/>
  <c r="M910" i="3" s="1"/>
  <c r="AZ443" i="3"/>
  <c r="BA443" i="3"/>
  <c r="BB443" i="3" s="1"/>
  <c r="G444" i="3"/>
  <c r="AG1306" i="3" l="1"/>
  <c r="AK1306" i="3" s="1"/>
  <c r="AA1137" i="3"/>
  <c r="AE1137" i="3" s="1"/>
  <c r="U1127" i="3"/>
  <c r="Y1127" i="3" s="1"/>
  <c r="O1099" i="3"/>
  <c r="S1099" i="3" s="1"/>
  <c r="I911" i="3"/>
  <c r="M911" i="3" s="1"/>
  <c r="AX444" i="3"/>
  <c r="C445" i="3"/>
  <c r="AS445" i="3" s="1"/>
  <c r="AG1307" i="3" l="1"/>
  <c r="AK1307" i="3" s="1"/>
  <c r="AA1138" i="3"/>
  <c r="AE1138" i="3" s="1"/>
  <c r="U1128" i="3"/>
  <c r="Y1128" i="3" s="1"/>
  <c r="O1100" i="3"/>
  <c r="S1100" i="3" s="1"/>
  <c r="I912" i="3"/>
  <c r="M912" i="3" s="1"/>
  <c r="AZ444" i="3"/>
  <c r="BA444" i="3"/>
  <c r="BB444" i="3" s="1"/>
  <c r="G445" i="3"/>
  <c r="AG1308" i="3" l="1"/>
  <c r="AK1308" i="3" s="1"/>
  <c r="AA1139" i="3"/>
  <c r="AE1139" i="3" s="1"/>
  <c r="U1129" i="3"/>
  <c r="Y1129" i="3" s="1"/>
  <c r="O1101" i="3"/>
  <c r="S1101" i="3" s="1"/>
  <c r="I913" i="3"/>
  <c r="M913" i="3" s="1"/>
  <c r="I914" i="3" s="1"/>
  <c r="M914" i="3" s="1"/>
  <c r="I915" i="3" s="1"/>
  <c r="M915" i="3" s="1"/>
  <c r="AX445" i="3"/>
  <c r="C446" i="3"/>
  <c r="AS446" i="3" s="1"/>
  <c r="AG1309" i="3" l="1"/>
  <c r="AK1309" i="3" s="1"/>
  <c r="AA1140" i="3"/>
  <c r="AE1140" i="3" s="1"/>
  <c r="U1130" i="3"/>
  <c r="Y1130" i="3" s="1"/>
  <c r="O1102" i="3"/>
  <c r="S1102" i="3" s="1"/>
  <c r="I916" i="3"/>
  <c r="M916" i="3" s="1"/>
  <c r="AZ445" i="3"/>
  <c r="BA445" i="3"/>
  <c r="BB445" i="3" s="1"/>
  <c r="G446" i="3"/>
  <c r="AG1310" i="3" l="1"/>
  <c r="AK1310" i="3" s="1"/>
  <c r="AA1141" i="3"/>
  <c r="AE1141" i="3" s="1"/>
  <c r="U1131" i="3"/>
  <c r="Y1131" i="3" s="1"/>
  <c r="O1103" i="3"/>
  <c r="S1103" i="3" s="1"/>
  <c r="I917" i="3"/>
  <c r="M917" i="3" s="1"/>
  <c r="AX446" i="3"/>
  <c r="C447" i="3"/>
  <c r="AS447" i="3" s="1"/>
  <c r="AG1311" i="3" l="1"/>
  <c r="AK1311" i="3" s="1"/>
  <c r="AG1312" i="3" s="1"/>
  <c r="AK1312" i="3" s="1"/>
  <c r="AA1142" i="3"/>
  <c r="AE1142" i="3" s="1"/>
  <c r="U1132" i="3"/>
  <c r="Y1132" i="3" s="1"/>
  <c r="O1104" i="3"/>
  <c r="S1104" i="3" s="1"/>
  <c r="I918" i="3"/>
  <c r="M918" i="3" s="1"/>
  <c r="AZ446" i="3"/>
  <c r="BA446" i="3"/>
  <c r="BB446" i="3" s="1"/>
  <c r="G447" i="3"/>
  <c r="AX447" i="3" s="1"/>
  <c r="BA447" i="3" s="1"/>
  <c r="BB447" i="3" s="1"/>
  <c r="AG1313" i="3" l="1"/>
  <c r="AK1313" i="3" s="1"/>
  <c r="AA1143" i="3"/>
  <c r="AE1143" i="3" s="1"/>
  <c r="AA1144" i="3" s="1"/>
  <c r="AE1144" i="3" s="1"/>
  <c r="U1133" i="3"/>
  <c r="Y1133" i="3" s="1"/>
  <c r="O1105" i="3"/>
  <c r="S1105" i="3" s="1"/>
  <c r="I919" i="3"/>
  <c r="M919" i="3" s="1"/>
  <c r="AZ447" i="3"/>
  <c r="C448" i="3"/>
  <c r="AS448" i="3" s="1"/>
  <c r="AG1314" i="3" l="1"/>
  <c r="AK1314" i="3" s="1"/>
  <c r="AA1145" i="3"/>
  <c r="AE1145" i="3" s="1"/>
  <c r="AA1146" i="3" s="1"/>
  <c r="AE1146" i="3" s="1"/>
  <c r="AA1147" i="3" s="1"/>
  <c r="AE1147" i="3" s="1"/>
  <c r="U1134" i="3"/>
  <c r="Y1134" i="3" s="1"/>
  <c r="O1106" i="3"/>
  <c r="S1106" i="3" s="1"/>
  <c r="I920" i="3"/>
  <c r="M920" i="3" s="1"/>
  <c r="G448" i="3"/>
  <c r="AG1315" i="3" l="1"/>
  <c r="AK1315" i="3" s="1"/>
  <c r="AA1148" i="3"/>
  <c r="AE1148" i="3" s="1"/>
  <c r="U1135" i="3"/>
  <c r="Y1135" i="3" s="1"/>
  <c r="O1107" i="3"/>
  <c r="S1107" i="3" s="1"/>
  <c r="I921" i="3"/>
  <c r="M921" i="3" s="1"/>
  <c r="AX448" i="3"/>
  <c r="C449" i="3"/>
  <c r="AS449" i="3" s="1"/>
  <c r="AG1316" i="3" l="1"/>
  <c r="AK1316" i="3" s="1"/>
  <c r="AA1149" i="3"/>
  <c r="AE1149" i="3" s="1"/>
  <c r="U1136" i="3"/>
  <c r="Y1136" i="3" s="1"/>
  <c r="O1108" i="3"/>
  <c r="S1108" i="3" s="1"/>
  <c r="I922" i="3"/>
  <c r="M922" i="3" s="1"/>
  <c r="AZ448" i="3"/>
  <c r="BA448" i="3"/>
  <c r="BB448" i="3" s="1"/>
  <c r="G449" i="3"/>
  <c r="AG1317" i="3" l="1"/>
  <c r="AK1317" i="3" s="1"/>
  <c r="AA1150" i="3"/>
  <c r="AE1150" i="3" s="1"/>
  <c r="U1137" i="3"/>
  <c r="Y1137" i="3" s="1"/>
  <c r="O1109" i="3"/>
  <c r="S1109" i="3" s="1"/>
  <c r="I923" i="3"/>
  <c r="M923" i="3" s="1"/>
  <c r="AX449" i="3"/>
  <c r="C450" i="3"/>
  <c r="AS450" i="3" s="1"/>
  <c r="AG1318" i="3" l="1"/>
  <c r="AK1318" i="3" s="1"/>
  <c r="AA1151" i="3"/>
  <c r="AE1151" i="3" s="1"/>
  <c r="AA1152" i="3" s="1"/>
  <c r="AE1152" i="3" s="1"/>
  <c r="U1138" i="3"/>
  <c r="Y1138" i="3" s="1"/>
  <c r="U1139" i="3" s="1"/>
  <c r="Y1139" i="3" s="1"/>
  <c r="O1110" i="3"/>
  <c r="S1110" i="3" s="1"/>
  <c r="O1111" i="3" s="1"/>
  <c r="S1111" i="3" s="1"/>
  <c r="O1112" i="3" s="1"/>
  <c r="S1112" i="3" s="1"/>
  <c r="I924" i="3"/>
  <c r="M924" i="3" s="1"/>
  <c r="AZ449" i="3"/>
  <c r="BA449" i="3"/>
  <c r="BB449" i="3" s="1"/>
  <c r="G450" i="3"/>
  <c r="C451" i="3" s="1"/>
  <c r="AG1319" i="3" l="1"/>
  <c r="AK1319" i="3" s="1"/>
  <c r="AA1153" i="3"/>
  <c r="AE1153" i="3" s="1"/>
  <c r="AA1154" i="3" s="1"/>
  <c r="AE1154" i="3" s="1"/>
  <c r="U1140" i="3"/>
  <c r="Y1140" i="3" s="1"/>
  <c r="O1113" i="3"/>
  <c r="S1113" i="3" s="1"/>
  <c r="I925" i="3"/>
  <c r="M925" i="3" s="1"/>
  <c r="AX450" i="3"/>
  <c r="AS451" i="3"/>
  <c r="AG1320" i="3" l="1"/>
  <c r="AK1320" i="3" s="1"/>
  <c r="AA1155" i="3"/>
  <c r="AE1155" i="3" s="1"/>
  <c r="U1141" i="3"/>
  <c r="Y1141" i="3" s="1"/>
  <c r="O1114" i="3"/>
  <c r="S1114" i="3" s="1"/>
  <c r="I926" i="3"/>
  <c r="M926" i="3" s="1"/>
  <c r="AZ450" i="3"/>
  <c r="BA450" i="3"/>
  <c r="BB450" i="3" s="1"/>
  <c r="G451" i="3"/>
  <c r="AG1321" i="3" l="1"/>
  <c r="AK1321" i="3" s="1"/>
  <c r="AA1156" i="3"/>
  <c r="AE1156" i="3" s="1"/>
  <c r="U1142" i="3"/>
  <c r="Y1142" i="3" s="1"/>
  <c r="O1115" i="3"/>
  <c r="S1115" i="3" s="1"/>
  <c r="I927" i="3"/>
  <c r="M927" i="3" s="1"/>
  <c r="AX451" i="3"/>
  <c r="C452" i="3"/>
  <c r="AS452" i="3" s="1"/>
  <c r="AG1322" i="3" l="1"/>
  <c r="AK1322" i="3" s="1"/>
  <c r="AG1323" i="3" s="1"/>
  <c r="AK1323" i="3" s="1"/>
  <c r="AA1157" i="3"/>
  <c r="AE1157" i="3" s="1"/>
  <c r="U1143" i="3"/>
  <c r="Y1143" i="3" s="1"/>
  <c r="U1144" i="3" s="1"/>
  <c r="Y1144" i="3" s="1"/>
  <c r="O1116" i="3"/>
  <c r="S1116" i="3" s="1"/>
  <c r="I928" i="3"/>
  <c r="M928" i="3" s="1"/>
  <c r="AZ451" i="3"/>
  <c r="BA451" i="3"/>
  <c r="BB451" i="3" s="1"/>
  <c r="G452" i="3"/>
  <c r="AG1324" i="3" l="1"/>
  <c r="AK1324" i="3" s="1"/>
  <c r="AG1325" i="3" s="1"/>
  <c r="AK1325" i="3" s="1"/>
  <c r="AA1158" i="3"/>
  <c r="AE1158" i="3" s="1"/>
  <c r="U1145" i="3"/>
  <c r="Y1145" i="3" s="1"/>
  <c r="U1146" i="3" s="1"/>
  <c r="Y1146" i="3" s="1"/>
  <c r="U1147" i="3" s="1"/>
  <c r="Y1147" i="3" s="1"/>
  <c r="O1117" i="3"/>
  <c r="S1117" i="3" s="1"/>
  <c r="I929" i="3"/>
  <c r="M929" i="3" s="1"/>
  <c r="AX452" i="3"/>
  <c r="C453" i="3"/>
  <c r="AS453" i="3" s="1"/>
  <c r="AG1326" i="3" l="1"/>
  <c r="AK1326" i="3" s="1"/>
  <c r="AA1159" i="3"/>
  <c r="AE1159" i="3" s="1"/>
  <c r="U1148" i="3"/>
  <c r="Y1148" i="3" s="1"/>
  <c r="O1118" i="3"/>
  <c r="S1118" i="3" s="1"/>
  <c r="I930" i="3"/>
  <c r="M930" i="3" s="1"/>
  <c r="AZ452" i="3"/>
  <c r="BA452" i="3"/>
  <c r="BB452" i="3" s="1"/>
  <c r="G453" i="3"/>
  <c r="AG1327" i="3" l="1"/>
  <c r="AK1327" i="3" s="1"/>
  <c r="AA1160" i="3"/>
  <c r="AE1160" i="3" s="1"/>
  <c r="U1149" i="3"/>
  <c r="Y1149" i="3" s="1"/>
  <c r="O1119" i="3"/>
  <c r="S1119" i="3" s="1"/>
  <c r="O1120" i="3" s="1"/>
  <c r="S1120" i="3" s="1"/>
  <c r="I931" i="3"/>
  <c r="M931" i="3" s="1"/>
  <c r="AX453" i="3"/>
  <c r="C454" i="3"/>
  <c r="AS454" i="3" s="1"/>
  <c r="AG1328" i="3" l="1"/>
  <c r="AK1328" i="3" s="1"/>
  <c r="AG1329" i="3" s="1"/>
  <c r="AK1329" i="3" s="1"/>
  <c r="AG1330" i="3" s="1"/>
  <c r="AK1330" i="3" s="1"/>
  <c r="AA1161" i="3"/>
  <c r="AE1161" i="3" s="1"/>
  <c r="U1150" i="3"/>
  <c r="Y1150" i="3" s="1"/>
  <c r="O1121" i="3"/>
  <c r="S1121" i="3" s="1"/>
  <c r="I932" i="3"/>
  <c r="M932" i="3" s="1"/>
  <c r="AZ453" i="3"/>
  <c r="BA453" i="3"/>
  <c r="BB453" i="3" s="1"/>
  <c r="G454" i="3"/>
  <c r="AG1331" i="3" l="1"/>
  <c r="AK1331" i="3" s="1"/>
  <c r="AA1162" i="3"/>
  <c r="AE1162" i="3" s="1"/>
  <c r="AA1163" i="3" s="1"/>
  <c r="AE1163" i="3" s="1"/>
  <c r="U1151" i="3"/>
  <c r="Y1151" i="3" s="1"/>
  <c r="U1152" i="3" s="1"/>
  <c r="Y1152" i="3" s="1"/>
  <c r="O1122" i="3"/>
  <c r="S1122" i="3" s="1"/>
  <c r="I933" i="3"/>
  <c r="M933" i="3" s="1"/>
  <c r="AX454" i="3"/>
  <c r="C455" i="3"/>
  <c r="AS455" i="3" s="1"/>
  <c r="AG1332" i="3" l="1"/>
  <c r="AK1332" i="3" s="1"/>
  <c r="AG1333" i="3" s="1"/>
  <c r="AK1333" i="3" s="1"/>
  <c r="AA1164" i="3"/>
  <c r="AE1164" i="3" s="1"/>
  <c r="AA1165" i="3" s="1"/>
  <c r="AE1165" i="3" s="1"/>
  <c r="U1153" i="3"/>
  <c r="Y1153" i="3" s="1"/>
  <c r="U1154" i="3" s="1"/>
  <c r="Y1154" i="3" s="1"/>
  <c r="O1123" i="3"/>
  <c r="S1123" i="3" s="1"/>
  <c r="I934" i="3"/>
  <c r="M934" i="3" s="1"/>
  <c r="AZ454" i="3"/>
  <c r="BA454" i="3"/>
  <c r="BB454" i="3" s="1"/>
  <c r="G455" i="3"/>
  <c r="AG1334" i="3" l="1"/>
  <c r="AK1334" i="3" s="1"/>
  <c r="AA1166" i="3"/>
  <c r="AE1166" i="3" s="1"/>
  <c r="U1155" i="3"/>
  <c r="Y1155" i="3" s="1"/>
  <c r="O1124" i="3"/>
  <c r="S1124" i="3" s="1"/>
  <c r="I935" i="3"/>
  <c r="M935" i="3" s="1"/>
  <c r="AX455" i="3"/>
  <c r="C456" i="3"/>
  <c r="AS456" i="3" s="1"/>
  <c r="AG1335" i="3" l="1"/>
  <c r="AK1335" i="3" s="1"/>
  <c r="AA1167" i="3"/>
  <c r="AE1167" i="3" s="1"/>
  <c r="U1156" i="3"/>
  <c r="Y1156" i="3" s="1"/>
  <c r="O1125" i="3"/>
  <c r="S1125" i="3" s="1"/>
  <c r="I936" i="3"/>
  <c r="M936" i="3" s="1"/>
  <c r="AZ455" i="3"/>
  <c r="BA455" i="3"/>
  <c r="BB455" i="3" s="1"/>
  <c r="G456" i="3"/>
  <c r="AG1336" i="3" l="1"/>
  <c r="AK1336" i="3" s="1"/>
  <c r="AA1168" i="3"/>
  <c r="AE1168" i="3" s="1"/>
  <c r="U1157" i="3"/>
  <c r="Y1157" i="3" s="1"/>
  <c r="O1126" i="3"/>
  <c r="S1126" i="3" s="1"/>
  <c r="I937" i="3"/>
  <c r="M937" i="3" s="1"/>
  <c r="AX456" i="3"/>
  <c r="C457" i="3"/>
  <c r="AS457" i="3" s="1"/>
  <c r="AG1337" i="3" l="1"/>
  <c r="AK1337" i="3" s="1"/>
  <c r="AA1169" i="3"/>
  <c r="AE1169" i="3" s="1"/>
  <c r="U1158" i="3"/>
  <c r="Y1158" i="3" s="1"/>
  <c r="O1127" i="3"/>
  <c r="S1127" i="3" s="1"/>
  <c r="I938" i="3"/>
  <c r="M938" i="3" s="1"/>
  <c r="AZ456" i="3"/>
  <c r="BA456" i="3"/>
  <c r="BB456" i="3" s="1"/>
  <c r="G457" i="3"/>
  <c r="AG1338" i="3" l="1"/>
  <c r="AK1338" i="3" s="1"/>
  <c r="AA1170" i="3"/>
  <c r="AE1170" i="3" s="1"/>
  <c r="U1159" i="3"/>
  <c r="Y1159" i="3" s="1"/>
  <c r="O1128" i="3"/>
  <c r="S1128" i="3" s="1"/>
  <c r="I939" i="3"/>
  <c r="M939" i="3" s="1"/>
  <c r="AX457" i="3"/>
  <c r="C458" i="3"/>
  <c r="AS458" i="3" s="1"/>
  <c r="AG1339" i="3" l="1"/>
  <c r="AK1339" i="3" s="1"/>
  <c r="AA1171" i="3"/>
  <c r="AE1171" i="3" s="1"/>
  <c r="U1160" i="3"/>
  <c r="Y1160" i="3" s="1"/>
  <c r="O1129" i="3"/>
  <c r="S1129" i="3" s="1"/>
  <c r="I940" i="3"/>
  <c r="M940" i="3" s="1"/>
  <c r="AZ457" i="3"/>
  <c r="BA457" i="3"/>
  <c r="BB457" i="3" s="1"/>
  <c r="G458" i="3"/>
  <c r="AG1340" i="3" l="1"/>
  <c r="AK1340" i="3" s="1"/>
  <c r="AA1172" i="3"/>
  <c r="AE1172" i="3" s="1"/>
  <c r="U1161" i="3"/>
  <c r="Y1161" i="3" s="1"/>
  <c r="O1130" i="3"/>
  <c r="S1130" i="3" s="1"/>
  <c r="I941" i="3"/>
  <c r="M941" i="3" s="1"/>
  <c r="AX458" i="3"/>
  <c r="C459" i="3"/>
  <c r="AS459" i="3" s="1"/>
  <c r="AG1341" i="3" l="1"/>
  <c r="AK1341" i="3" s="1"/>
  <c r="AA1173" i="3"/>
  <c r="AE1173" i="3" s="1"/>
  <c r="U1162" i="3"/>
  <c r="Y1162" i="3" s="1"/>
  <c r="U1163" i="3" s="1"/>
  <c r="Y1163" i="3" s="1"/>
  <c r="O1131" i="3"/>
  <c r="S1131" i="3" s="1"/>
  <c r="I942" i="3"/>
  <c r="M942" i="3" s="1"/>
  <c r="AZ458" i="3"/>
  <c r="BA458" i="3"/>
  <c r="BB458" i="3" s="1"/>
  <c r="G459" i="3"/>
  <c r="AG1342" i="3" l="1"/>
  <c r="AK1342" i="3" s="1"/>
  <c r="AA1174" i="3"/>
  <c r="AE1174" i="3" s="1"/>
  <c r="U1164" i="3"/>
  <c r="Y1164" i="3" s="1"/>
  <c r="U1165" i="3" s="1"/>
  <c r="Y1165" i="3" s="1"/>
  <c r="O1132" i="3"/>
  <c r="S1132" i="3" s="1"/>
  <c r="I943" i="3"/>
  <c r="M943" i="3" s="1"/>
  <c r="AX459" i="3"/>
  <c r="C460" i="3"/>
  <c r="AS460" i="3" s="1"/>
  <c r="AG1343" i="3" l="1"/>
  <c r="AK1343" i="3" s="1"/>
  <c r="AA1175" i="3"/>
  <c r="AE1175" i="3" s="1"/>
  <c r="U1166" i="3"/>
  <c r="Y1166" i="3" s="1"/>
  <c r="O1133" i="3"/>
  <c r="S1133" i="3" s="1"/>
  <c r="I944" i="3"/>
  <c r="M944" i="3" s="1"/>
  <c r="AZ459" i="3"/>
  <c r="BA459" i="3"/>
  <c r="BB459" i="3" s="1"/>
  <c r="G460" i="3"/>
  <c r="AG1344" i="3" l="1"/>
  <c r="AK1344" i="3" s="1"/>
  <c r="AA1176" i="3"/>
  <c r="AE1176" i="3" s="1"/>
  <c r="AA1177" i="3" s="1"/>
  <c r="AE1177" i="3" s="1"/>
  <c r="U1167" i="3"/>
  <c r="Y1167" i="3" s="1"/>
  <c r="O1134" i="3"/>
  <c r="S1134" i="3" s="1"/>
  <c r="I945" i="3"/>
  <c r="M945" i="3" s="1"/>
  <c r="AX460" i="3"/>
  <c r="C461" i="3"/>
  <c r="AS461" i="3" s="1"/>
  <c r="AG1345" i="3" l="1"/>
  <c r="AK1345" i="3" s="1"/>
  <c r="AA1178" i="3"/>
  <c r="AE1178" i="3" s="1"/>
  <c r="U1168" i="3"/>
  <c r="Y1168" i="3" s="1"/>
  <c r="O1135" i="3"/>
  <c r="S1135" i="3" s="1"/>
  <c r="I946" i="3"/>
  <c r="M946" i="3" s="1"/>
  <c r="AZ460" i="3"/>
  <c r="BA460" i="3"/>
  <c r="BB460" i="3" s="1"/>
  <c r="G461" i="3"/>
  <c r="AX461" i="3" s="1"/>
  <c r="BA461" i="3" s="1"/>
  <c r="BB461" i="3" s="1"/>
  <c r="AG1346" i="3" l="1"/>
  <c r="AK1346" i="3" s="1"/>
  <c r="AA1179" i="3"/>
  <c r="AE1179" i="3" s="1"/>
  <c r="U1169" i="3"/>
  <c r="Y1169" i="3" s="1"/>
  <c r="O1136" i="3"/>
  <c r="S1136" i="3" s="1"/>
  <c r="I947" i="3"/>
  <c r="M947" i="3" s="1"/>
  <c r="AZ461" i="3"/>
  <c r="C462" i="3"/>
  <c r="AS462" i="3" s="1"/>
  <c r="AG1347" i="3" l="1"/>
  <c r="AK1347" i="3" s="1"/>
  <c r="AA1180" i="3"/>
  <c r="AE1180" i="3" s="1"/>
  <c r="U1170" i="3"/>
  <c r="Y1170" i="3" s="1"/>
  <c r="O1137" i="3"/>
  <c r="S1137" i="3" s="1"/>
  <c r="I948" i="3"/>
  <c r="M948" i="3" s="1"/>
  <c r="G462" i="3"/>
  <c r="AG1348" i="3" l="1"/>
  <c r="AK1348" i="3" s="1"/>
  <c r="AA1181" i="3"/>
  <c r="AE1181" i="3" s="1"/>
  <c r="U1171" i="3"/>
  <c r="Y1171" i="3" s="1"/>
  <c r="O1138" i="3"/>
  <c r="S1138" i="3" s="1"/>
  <c r="I949" i="3"/>
  <c r="M949" i="3" s="1"/>
  <c r="AX462" i="3"/>
  <c r="C463" i="3"/>
  <c r="AS463" i="3" s="1"/>
  <c r="AG1349" i="3" l="1"/>
  <c r="AK1349" i="3" s="1"/>
  <c r="AA1182" i="3"/>
  <c r="AE1182" i="3" s="1"/>
  <c r="AA1183" i="3" s="1"/>
  <c r="AE1183" i="3" s="1"/>
  <c r="U1172" i="3"/>
  <c r="Y1172" i="3" s="1"/>
  <c r="O1139" i="3"/>
  <c r="S1139" i="3" s="1"/>
  <c r="I950" i="3"/>
  <c r="M950" i="3" s="1"/>
  <c r="AZ462" i="3"/>
  <c r="BA462" i="3"/>
  <c r="BB462" i="3" s="1"/>
  <c r="G463" i="3"/>
  <c r="AX463" i="3" s="1"/>
  <c r="BA463" i="3" s="1"/>
  <c r="BB463" i="3" s="1"/>
  <c r="AG1350" i="3" l="1"/>
  <c r="AK1350" i="3" s="1"/>
  <c r="AG1351" i="3" s="1"/>
  <c r="AK1351" i="3" s="1"/>
  <c r="AA1184" i="3"/>
  <c r="AE1184" i="3" s="1"/>
  <c r="U1173" i="3"/>
  <c r="Y1173" i="3" s="1"/>
  <c r="O1140" i="3"/>
  <c r="S1140" i="3" s="1"/>
  <c r="I951" i="3"/>
  <c r="M951" i="3" s="1"/>
  <c r="AZ463" i="3"/>
  <c r="C464" i="3"/>
  <c r="AS464" i="3" s="1"/>
  <c r="AG1352" i="3" l="1"/>
  <c r="AK1352" i="3" s="1"/>
  <c r="AA1185" i="3"/>
  <c r="AE1185" i="3" s="1"/>
  <c r="U1174" i="3"/>
  <c r="Y1174" i="3" s="1"/>
  <c r="O1141" i="3"/>
  <c r="S1141" i="3" s="1"/>
  <c r="I952" i="3"/>
  <c r="M952" i="3" s="1"/>
  <c r="G464" i="3"/>
  <c r="AG1353" i="3" l="1"/>
  <c r="AK1353" i="3" s="1"/>
  <c r="AA1186" i="3"/>
  <c r="AE1186" i="3" s="1"/>
  <c r="U1175" i="3"/>
  <c r="Y1175" i="3" s="1"/>
  <c r="O1142" i="3"/>
  <c r="S1142" i="3" s="1"/>
  <c r="I953" i="3"/>
  <c r="M953" i="3" s="1"/>
  <c r="AX464" i="3"/>
  <c r="C465" i="3"/>
  <c r="AG1354" i="3" l="1"/>
  <c r="AK1354" i="3" s="1"/>
  <c r="AG1355" i="3" s="1"/>
  <c r="AK1355" i="3" s="1"/>
  <c r="AA1187" i="3"/>
  <c r="AE1187" i="3" s="1"/>
  <c r="AA1188" i="3" s="1"/>
  <c r="AE1188" i="3" s="1"/>
  <c r="U1176" i="3"/>
  <c r="Y1176" i="3" s="1"/>
  <c r="O1143" i="3"/>
  <c r="S1143" i="3" s="1"/>
  <c r="I954" i="3"/>
  <c r="M954" i="3" s="1"/>
  <c r="AZ464" i="3"/>
  <c r="BA464" i="3"/>
  <c r="BB464" i="3" s="1"/>
  <c r="G465" i="3"/>
  <c r="AX465" i="3" s="1"/>
  <c r="AS465" i="3"/>
  <c r="AG1356" i="3" l="1"/>
  <c r="AK1356" i="3" s="1"/>
  <c r="AG1357" i="3" s="1"/>
  <c r="AK1357" i="3" s="1"/>
  <c r="AA1189" i="3"/>
  <c r="AE1189" i="3" s="1"/>
  <c r="AA1190" i="3" s="1"/>
  <c r="AE1190" i="3" s="1"/>
  <c r="U1177" i="3"/>
  <c r="Y1177" i="3" s="1"/>
  <c r="O1144" i="3"/>
  <c r="S1144" i="3" s="1"/>
  <c r="I955" i="3"/>
  <c r="M955" i="3" s="1"/>
  <c r="AZ465" i="3"/>
  <c r="BA465" i="3"/>
  <c r="BB465" i="3" s="1"/>
  <c r="C466" i="3"/>
  <c r="AS466" i="3" s="1"/>
  <c r="AG1358" i="3" l="1"/>
  <c r="AK1358" i="3" s="1"/>
  <c r="AA1191" i="3"/>
  <c r="AE1191" i="3" s="1"/>
  <c r="U1178" i="3"/>
  <c r="Y1178" i="3" s="1"/>
  <c r="O1145" i="3"/>
  <c r="S1145" i="3" s="1"/>
  <c r="O1146" i="3" s="1"/>
  <c r="S1146" i="3" s="1"/>
  <c r="I956" i="3"/>
  <c r="M956" i="3" s="1"/>
  <c r="G466" i="3"/>
  <c r="C467" i="3" s="1"/>
  <c r="AS467" i="3" s="1"/>
  <c r="AG1359" i="3" l="1"/>
  <c r="AK1359" i="3" s="1"/>
  <c r="AA1192" i="3"/>
  <c r="AE1192" i="3" s="1"/>
  <c r="U1179" i="3"/>
  <c r="Y1179" i="3" s="1"/>
  <c r="O1147" i="3"/>
  <c r="S1147" i="3" s="1"/>
  <c r="I957" i="3"/>
  <c r="M957" i="3" s="1"/>
  <c r="AX466" i="3"/>
  <c r="G467" i="3"/>
  <c r="AG1360" i="3" l="1"/>
  <c r="AK1360" i="3" s="1"/>
  <c r="AA1193" i="3"/>
  <c r="AE1193" i="3" s="1"/>
  <c r="U1180" i="3"/>
  <c r="Y1180" i="3" s="1"/>
  <c r="O1148" i="3"/>
  <c r="S1148" i="3" s="1"/>
  <c r="I958" i="3"/>
  <c r="M958" i="3" s="1"/>
  <c r="AZ466" i="3"/>
  <c r="BA466" i="3"/>
  <c r="BB466" i="3" s="1"/>
  <c r="AX467" i="3"/>
  <c r="C468" i="3"/>
  <c r="AS468" i="3" s="1"/>
  <c r="AG1361" i="3" l="1"/>
  <c r="AK1361" i="3" s="1"/>
  <c r="AG1362" i="3" s="1"/>
  <c r="AK1362" i="3" s="1"/>
  <c r="AG1363" i="3" s="1"/>
  <c r="AK1363" i="3" s="1"/>
  <c r="AA1194" i="3"/>
  <c r="AE1194" i="3" s="1"/>
  <c r="U1181" i="3"/>
  <c r="Y1181" i="3" s="1"/>
  <c r="O1149" i="3"/>
  <c r="S1149" i="3" s="1"/>
  <c r="I959" i="3"/>
  <c r="M959" i="3" s="1"/>
  <c r="AZ467" i="3"/>
  <c r="BA467" i="3"/>
  <c r="BB467" i="3" s="1"/>
  <c r="G468" i="3"/>
  <c r="AG1364" i="3" l="1"/>
  <c r="AK1364" i="3" s="1"/>
  <c r="AA1195" i="3"/>
  <c r="AE1195" i="3" s="1"/>
  <c r="U1182" i="3"/>
  <c r="Y1182" i="3" s="1"/>
  <c r="U1183" i="3" s="1"/>
  <c r="Y1183" i="3" s="1"/>
  <c r="O1150" i="3"/>
  <c r="S1150" i="3" s="1"/>
  <c r="I960" i="3"/>
  <c r="M960" i="3" s="1"/>
  <c r="AX468" i="3"/>
  <c r="C469" i="3"/>
  <c r="AS469" i="3" s="1"/>
  <c r="AG1365" i="3" l="1"/>
  <c r="AK1365" i="3" s="1"/>
  <c r="AA1196" i="3"/>
  <c r="AE1196" i="3" s="1"/>
  <c r="U1184" i="3"/>
  <c r="Y1184" i="3" s="1"/>
  <c r="O1151" i="3"/>
  <c r="S1151" i="3" s="1"/>
  <c r="I961" i="3"/>
  <c r="M961" i="3" s="1"/>
  <c r="AZ468" i="3"/>
  <c r="BA468" i="3"/>
  <c r="BB468" i="3" s="1"/>
  <c r="G469" i="3"/>
  <c r="AG1366" i="3" l="1"/>
  <c r="AK1366" i="3" s="1"/>
  <c r="AA1197" i="3"/>
  <c r="AE1197" i="3" s="1"/>
  <c r="AA1198" i="3" s="1"/>
  <c r="AE1198" i="3" s="1"/>
  <c r="U1185" i="3"/>
  <c r="Y1185" i="3" s="1"/>
  <c r="O1152" i="3"/>
  <c r="S1152" i="3" s="1"/>
  <c r="I962" i="3"/>
  <c r="M962" i="3" s="1"/>
  <c r="AX469" i="3"/>
  <c r="C470" i="3"/>
  <c r="AS470" i="3" s="1"/>
  <c r="AG1367" i="3" l="1"/>
  <c r="AK1367" i="3" s="1"/>
  <c r="AA1199" i="3"/>
  <c r="AE1199" i="3" s="1"/>
  <c r="AA1200" i="3" s="1"/>
  <c r="AE1200" i="3" s="1"/>
  <c r="U1186" i="3"/>
  <c r="Y1186" i="3" s="1"/>
  <c r="O1153" i="3"/>
  <c r="S1153" i="3" s="1"/>
  <c r="O1154" i="3" s="1"/>
  <c r="S1154" i="3" s="1"/>
  <c r="I963" i="3"/>
  <c r="M963" i="3" s="1"/>
  <c r="AZ469" i="3"/>
  <c r="BA469" i="3"/>
  <c r="BB469" i="3" s="1"/>
  <c r="G470" i="3"/>
  <c r="AG1368" i="3" l="1"/>
  <c r="AK1368" i="3" s="1"/>
  <c r="AA1201" i="3"/>
  <c r="AE1201" i="3" s="1"/>
  <c r="U1187" i="3"/>
  <c r="Y1187" i="3" s="1"/>
  <c r="U1188" i="3" s="1"/>
  <c r="Y1188" i="3" s="1"/>
  <c r="O1155" i="3"/>
  <c r="S1155" i="3" s="1"/>
  <c r="I964" i="3"/>
  <c r="M964" i="3" s="1"/>
  <c r="AX470" i="3"/>
  <c r="C471" i="3"/>
  <c r="AS471" i="3" s="1"/>
  <c r="AG1369" i="3" l="1"/>
  <c r="AK1369" i="3" s="1"/>
  <c r="AA1202" i="3"/>
  <c r="AE1202" i="3" s="1"/>
  <c r="AA1203" i="3" s="1"/>
  <c r="AE1203" i="3" s="1"/>
  <c r="U1189" i="3"/>
  <c r="Y1189" i="3" s="1"/>
  <c r="U1190" i="3" s="1"/>
  <c r="Y1190" i="3" s="1"/>
  <c r="O1156" i="3"/>
  <c r="S1156" i="3" s="1"/>
  <c r="I965" i="3"/>
  <c r="M965" i="3" s="1"/>
  <c r="AZ470" i="3"/>
  <c r="BA470" i="3"/>
  <c r="BB470" i="3" s="1"/>
  <c r="G471" i="3"/>
  <c r="AG1370" i="3" l="1"/>
  <c r="AK1370" i="3" s="1"/>
  <c r="AA1204" i="3"/>
  <c r="AE1204" i="3" s="1"/>
  <c r="U1191" i="3"/>
  <c r="Y1191" i="3" s="1"/>
  <c r="O1157" i="3"/>
  <c r="S1157" i="3" s="1"/>
  <c r="I966" i="3"/>
  <c r="M966" i="3" s="1"/>
  <c r="AX471" i="3"/>
  <c r="C472" i="3"/>
  <c r="AS472" i="3" s="1"/>
  <c r="AG1371" i="3" l="1"/>
  <c r="AK1371" i="3" s="1"/>
  <c r="AA1205" i="3"/>
  <c r="AE1205" i="3" s="1"/>
  <c r="U1192" i="3"/>
  <c r="Y1192" i="3" s="1"/>
  <c r="O1158" i="3"/>
  <c r="S1158" i="3" s="1"/>
  <c r="I967" i="3"/>
  <c r="M967" i="3" s="1"/>
  <c r="AZ471" i="3"/>
  <c r="BA471" i="3"/>
  <c r="BB471" i="3" s="1"/>
  <c r="G472" i="3"/>
  <c r="AG1372" i="3" l="1"/>
  <c r="AK1372" i="3" s="1"/>
  <c r="AA1206" i="3"/>
  <c r="AE1206" i="3" s="1"/>
  <c r="U1193" i="3"/>
  <c r="Y1193" i="3" s="1"/>
  <c r="O1159" i="3"/>
  <c r="S1159" i="3" s="1"/>
  <c r="I968" i="3"/>
  <c r="M968" i="3" s="1"/>
  <c r="AX472" i="3"/>
  <c r="C473" i="3"/>
  <c r="AS473" i="3" s="1"/>
  <c r="AG1373" i="3" l="1"/>
  <c r="AK1373" i="3" s="1"/>
  <c r="AA1207" i="3"/>
  <c r="AE1207" i="3" s="1"/>
  <c r="U1194" i="3"/>
  <c r="Y1194" i="3" s="1"/>
  <c r="O1160" i="3"/>
  <c r="S1160" i="3" s="1"/>
  <c r="I969" i="3"/>
  <c r="M969" i="3" s="1"/>
  <c r="AZ472" i="3"/>
  <c r="BA472" i="3"/>
  <c r="BB472" i="3" s="1"/>
  <c r="G473" i="3"/>
  <c r="AG1374" i="3" l="1"/>
  <c r="AK1374" i="3" s="1"/>
  <c r="AA1208" i="3"/>
  <c r="AE1208" i="3" s="1"/>
  <c r="U1195" i="3"/>
  <c r="Y1195" i="3" s="1"/>
  <c r="O1161" i="3"/>
  <c r="S1161" i="3" s="1"/>
  <c r="I970" i="3"/>
  <c r="M970" i="3" s="1"/>
  <c r="AX473" i="3"/>
  <c r="C474" i="3"/>
  <c r="AS474" i="3" s="1"/>
  <c r="AG1375" i="3" l="1"/>
  <c r="AK1375" i="3" s="1"/>
  <c r="AA1209" i="3"/>
  <c r="AE1209" i="3" s="1"/>
  <c r="U1196" i="3"/>
  <c r="Y1196" i="3" s="1"/>
  <c r="O1162" i="3"/>
  <c r="S1162" i="3" s="1"/>
  <c r="I971" i="3"/>
  <c r="M971" i="3" s="1"/>
  <c r="AZ473" i="3"/>
  <c r="BA473" i="3"/>
  <c r="BB473" i="3" s="1"/>
  <c r="G474" i="3"/>
  <c r="AG1376" i="3" l="1"/>
  <c r="AK1376" i="3" s="1"/>
  <c r="AA1210" i="3"/>
  <c r="AE1210" i="3" s="1"/>
  <c r="U1197" i="3"/>
  <c r="Y1197" i="3" s="1"/>
  <c r="U1198" i="3" s="1"/>
  <c r="Y1198" i="3" s="1"/>
  <c r="O1163" i="3"/>
  <c r="S1163" i="3" s="1"/>
  <c r="I972" i="3"/>
  <c r="M972" i="3" s="1"/>
  <c r="AX474" i="3"/>
  <c r="C475" i="3"/>
  <c r="AS475" i="3" s="1"/>
  <c r="AG1377" i="3" l="1"/>
  <c r="AK1377" i="3" s="1"/>
  <c r="AA1211" i="3"/>
  <c r="AE1211" i="3" s="1"/>
  <c r="U1199" i="3"/>
  <c r="Y1199" i="3" s="1"/>
  <c r="U1200" i="3" s="1"/>
  <c r="Y1200" i="3" s="1"/>
  <c r="O1164" i="3"/>
  <c r="S1164" i="3" s="1"/>
  <c r="I973" i="3"/>
  <c r="M973" i="3" s="1"/>
  <c r="AZ474" i="3"/>
  <c r="BA474" i="3"/>
  <c r="BB474" i="3" s="1"/>
  <c r="G475" i="3"/>
  <c r="AG1378" i="3" l="1"/>
  <c r="AK1378" i="3" s="1"/>
  <c r="AA1212" i="3"/>
  <c r="AE1212" i="3" s="1"/>
  <c r="U1201" i="3"/>
  <c r="Y1201" i="3" s="1"/>
  <c r="O1165" i="3"/>
  <c r="S1165" i="3" s="1"/>
  <c r="I974" i="3"/>
  <c r="M974" i="3" s="1"/>
  <c r="AX475" i="3"/>
  <c r="C476" i="3"/>
  <c r="AS476" i="3" s="1"/>
  <c r="AG1379" i="3" l="1"/>
  <c r="AK1379" i="3" s="1"/>
  <c r="AA1213" i="3"/>
  <c r="AE1213" i="3" s="1"/>
  <c r="U1202" i="3"/>
  <c r="Y1202" i="3" s="1"/>
  <c r="U1203" i="3" s="1"/>
  <c r="Y1203" i="3" s="1"/>
  <c r="O1166" i="3"/>
  <c r="S1166" i="3" s="1"/>
  <c r="I975" i="3"/>
  <c r="M975" i="3" s="1"/>
  <c r="AZ475" i="3"/>
  <c r="BA475" i="3"/>
  <c r="BB475" i="3" s="1"/>
  <c r="G476" i="3"/>
  <c r="AG1380" i="3" l="1"/>
  <c r="AK1380" i="3" s="1"/>
  <c r="AA1214" i="3"/>
  <c r="AE1214" i="3" s="1"/>
  <c r="U1204" i="3"/>
  <c r="Y1204" i="3" s="1"/>
  <c r="O1167" i="3"/>
  <c r="S1167" i="3" s="1"/>
  <c r="I976" i="3"/>
  <c r="M976" i="3" s="1"/>
  <c r="AX476" i="3"/>
  <c r="C477" i="3"/>
  <c r="AS477" i="3" s="1"/>
  <c r="AG1381" i="3" l="1"/>
  <c r="AK1381" i="3" s="1"/>
  <c r="AA1215" i="3"/>
  <c r="AE1215" i="3" s="1"/>
  <c r="U1205" i="3"/>
  <c r="Y1205" i="3" s="1"/>
  <c r="O1168" i="3"/>
  <c r="S1168" i="3" s="1"/>
  <c r="I977" i="3"/>
  <c r="M977" i="3" s="1"/>
  <c r="AZ476" i="3"/>
  <c r="BA476" i="3"/>
  <c r="BB476" i="3" s="1"/>
  <c r="G477" i="3"/>
  <c r="AG1382" i="3" l="1"/>
  <c r="AK1382" i="3" s="1"/>
  <c r="AA1216" i="3"/>
  <c r="AE1216" i="3" s="1"/>
  <c r="U1206" i="3"/>
  <c r="Y1206" i="3" s="1"/>
  <c r="O1169" i="3"/>
  <c r="S1169" i="3" s="1"/>
  <c r="I978" i="3"/>
  <c r="M978" i="3" s="1"/>
  <c r="AX477" i="3"/>
  <c r="C478" i="3"/>
  <c r="AS478" i="3" s="1"/>
  <c r="AG1383" i="3" l="1"/>
  <c r="AK1383" i="3" s="1"/>
  <c r="AA1217" i="3"/>
  <c r="AE1217" i="3" s="1"/>
  <c r="U1207" i="3"/>
  <c r="Y1207" i="3" s="1"/>
  <c r="O1170" i="3"/>
  <c r="S1170" i="3" s="1"/>
  <c r="I979" i="3"/>
  <c r="M979" i="3" s="1"/>
  <c r="AZ477" i="3"/>
  <c r="BA477" i="3"/>
  <c r="BB477" i="3" s="1"/>
  <c r="G478" i="3"/>
  <c r="AG1384" i="3" l="1"/>
  <c r="AK1384" i="3" s="1"/>
  <c r="AA1218" i="3"/>
  <c r="AE1218" i="3" s="1"/>
  <c r="U1208" i="3"/>
  <c r="Y1208" i="3" s="1"/>
  <c r="O1171" i="3"/>
  <c r="S1171" i="3" s="1"/>
  <c r="I980" i="3"/>
  <c r="M980" i="3" s="1"/>
  <c r="AX478" i="3"/>
  <c r="C479" i="3"/>
  <c r="AS479" i="3" s="1"/>
  <c r="AG1385" i="3" l="1"/>
  <c r="AK1385" i="3" s="1"/>
  <c r="AA1219" i="3"/>
  <c r="AE1219" i="3" s="1"/>
  <c r="U1209" i="3"/>
  <c r="Y1209" i="3" s="1"/>
  <c r="O1172" i="3"/>
  <c r="S1172" i="3" s="1"/>
  <c r="I981" i="3"/>
  <c r="M981" i="3" s="1"/>
  <c r="AZ478" i="3"/>
  <c r="BA478" i="3"/>
  <c r="BB478" i="3" s="1"/>
  <c r="G479" i="3"/>
  <c r="AX479" i="3" s="1"/>
  <c r="BA479" i="3" s="1"/>
  <c r="BB479" i="3" s="1"/>
  <c r="AG1386" i="3" l="1"/>
  <c r="AK1386" i="3" s="1"/>
  <c r="AA1220" i="3"/>
  <c r="AE1220" i="3" s="1"/>
  <c r="U1210" i="3"/>
  <c r="Y1210" i="3" s="1"/>
  <c r="O1173" i="3"/>
  <c r="S1173" i="3" s="1"/>
  <c r="I982" i="3"/>
  <c r="M982" i="3" s="1"/>
  <c r="AZ479" i="3"/>
  <c r="C480" i="3"/>
  <c r="AS480" i="3" s="1"/>
  <c r="AG1387" i="3" l="1"/>
  <c r="AK1387" i="3" s="1"/>
  <c r="AA1221" i="3"/>
  <c r="AE1221" i="3" s="1"/>
  <c r="U1211" i="3"/>
  <c r="Y1211" i="3" s="1"/>
  <c r="O1174" i="3"/>
  <c r="S1174" i="3" s="1"/>
  <c r="I983" i="3"/>
  <c r="M983" i="3" s="1"/>
  <c r="G480" i="3"/>
  <c r="AG1388" i="3" l="1"/>
  <c r="AK1388" i="3" s="1"/>
  <c r="AA1222" i="3"/>
  <c r="AE1222" i="3" s="1"/>
  <c r="U1212" i="3"/>
  <c r="Y1212" i="3" s="1"/>
  <c r="O1175" i="3"/>
  <c r="S1175" i="3" s="1"/>
  <c r="I984" i="3"/>
  <c r="M984" i="3" s="1"/>
  <c r="AX480" i="3"/>
  <c r="C481" i="3"/>
  <c r="AS481" i="3" s="1"/>
  <c r="AG1389" i="3" l="1"/>
  <c r="AK1389" i="3" s="1"/>
  <c r="AA1223" i="3"/>
  <c r="AE1223" i="3" s="1"/>
  <c r="U1213" i="3"/>
  <c r="Y1213" i="3" s="1"/>
  <c r="O1176" i="3"/>
  <c r="S1176" i="3" s="1"/>
  <c r="O1177" i="3" s="1"/>
  <c r="S1177" i="3" s="1"/>
  <c r="I985" i="3"/>
  <c r="M985" i="3" s="1"/>
  <c r="AZ480" i="3"/>
  <c r="BA480" i="3"/>
  <c r="BB480" i="3" s="1"/>
  <c r="G481" i="3"/>
  <c r="AG1390" i="3" l="1"/>
  <c r="AK1390" i="3" s="1"/>
  <c r="AA1224" i="3"/>
  <c r="AE1224" i="3" s="1"/>
  <c r="U1214" i="3"/>
  <c r="Y1214" i="3" s="1"/>
  <c r="O1178" i="3"/>
  <c r="S1178" i="3" s="1"/>
  <c r="I986" i="3"/>
  <c r="M986" i="3" s="1"/>
  <c r="AX481" i="3"/>
  <c r="C482" i="3"/>
  <c r="AS482" i="3" s="1"/>
  <c r="AG1391" i="3" l="1"/>
  <c r="AK1391" i="3" s="1"/>
  <c r="AG1392" i="3" s="1"/>
  <c r="AK1392" i="3" s="1"/>
  <c r="AA1225" i="3"/>
  <c r="AE1225" i="3" s="1"/>
  <c r="U1215" i="3"/>
  <c r="Y1215" i="3" s="1"/>
  <c r="O1179" i="3"/>
  <c r="S1179" i="3" s="1"/>
  <c r="I987" i="3"/>
  <c r="M987" i="3" s="1"/>
  <c r="AZ481" i="3"/>
  <c r="BA481" i="3"/>
  <c r="BB481" i="3" s="1"/>
  <c r="G482" i="3"/>
  <c r="AG1393" i="3" l="1"/>
  <c r="AK1393" i="3" s="1"/>
  <c r="AA1226" i="3"/>
  <c r="AE1226" i="3" s="1"/>
  <c r="U1216" i="3"/>
  <c r="Y1216" i="3" s="1"/>
  <c r="O1180" i="3"/>
  <c r="S1180" i="3" s="1"/>
  <c r="I988" i="3"/>
  <c r="M988" i="3" s="1"/>
  <c r="AX482" i="3"/>
  <c r="C483" i="3"/>
  <c r="AS483" i="3" s="1"/>
  <c r="AG1394" i="3" l="1"/>
  <c r="AK1394" i="3" s="1"/>
  <c r="AA1227" i="3"/>
  <c r="AE1227" i="3" s="1"/>
  <c r="AA1228" i="3" s="1"/>
  <c r="AE1228" i="3" s="1"/>
  <c r="U1217" i="3"/>
  <c r="Y1217" i="3" s="1"/>
  <c r="O1181" i="3"/>
  <c r="S1181" i="3" s="1"/>
  <c r="I989" i="3"/>
  <c r="M989" i="3" s="1"/>
  <c r="AZ482" i="3"/>
  <c r="BA482" i="3"/>
  <c r="BB482" i="3" s="1"/>
  <c r="G483" i="3"/>
  <c r="AX483" i="3" s="1"/>
  <c r="BA483" i="3" s="1"/>
  <c r="BB483" i="3" s="1"/>
  <c r="AG1395" i="3" l="1"/>
  <c r="AK1395" i="3" s="1"/>
  <c r="AA1229" i="3"/>
  <c r="AE1229" i="3" s="1"/>
  <c r="U1218" i="3"/>
  <c r="Y1218" i="3" s="1"/>
  <c r="O1182" i="3"/>
  <c r="S1182" i="3" s="1"/>
  <c r="O1183" i="3" s="1"/>
  <c r="S1183" i="3" s="1"/>
  <c r="I990" i="3"/>
  <c r="M990" i="3" s="1"/>
  <c r="AZ483" i="3"/>
  <c r="C484" i="3"/>
  <c r="AS484" i="3" s="1"/>
  <c r="AG1396" i="3" l="1"/>
  <c r="AK1396" i="3" s="1"/>
  <c r="AA1230" i="3"/>
  <c r="AE1230" i="3" s="1"/>
  <c r="U1219" i="3"/>
  <c r="Y1219" i="3" s="1"/>
  <c r="O1184" i="3"/>
  <c r="S1184" i="3" s="1"/>
  <c r="I991" i="3"/>
  <c r="M991" i="3" s="1"/>
  <c r="G484" i="3"/>
  <c r="AX484" i="3" s="1"/>
  <c r="BA484" i="3" s="1"/>
  <c r="BB484" i="3" s="1"/>
  <c r="AG1397" i="3" l="1"/>
  <c r="AK1397" i="3" s="1"/>
  <c r="AA1231" i="3"/>
  <c r="AE1231" i="3" s="1"/>
  <c r="U1220" i="3"/>
  <c r="Y1220" i="3" s="1"/>
  <c r="O1185" i="3"/>
  <c r="S1185" i="3" s="1"/>
  <c r="I992" i="3"/>
  <c r="M992" i="3" s="1"/>
  <c r="AZ484" i="3"/>
  <c r="C485" i="3"/>
  <c r="AS485" i="3" s="1"/>
  <c r="AG1398" i="3" l="1"/>
  <c r="AK1398" i="3" s="1"/>
  <c r="AA1232" i="3"/>
  <c r="AE1232" i="3" s="1"/>
  <c r="U1221" i="3"/>
  <c r="Y1221" i="3" s="1"/>
  <c r="O1186" i="3"/>
  <c r="S1186" i="3" s="1"/>
  <c r="I993" i="3"/>
  <c r="M993" i="3" s="1"/>
  <c r="G485" i="3"/>
  <c r="AX485" i="3" s="1"/>
  <c r="BA485" i="3" s="1"/>
  <c r="BB485" i="3" s="1"/>
  <c r="AG1399" i="3" l="1"/>
  <c r="AK1399" i="3" s="1"/>
  <c r="AA1233" i="3"/>
  <c r="AE1233" i="3" s="1"/>
  <c r="U1222" i="3"/>
  <c r="Y1222" i="3" s="1"/>
  <c r="O1187" i="3"/>
  <c r="S1187" i="3" s="1"/>
  <c r="O1188" i="3" s="1"/>
  <c r="S1188" i="3" s="1"/>
  <c r="I994" i="3"/>
  <c r="M994" i="3" s="1"/>
  <c r="AZ485" i="3"/>
  <c r="C486" i="3"/>
  <c r="AS486" i="3" s="1"/>
  <c r="AG1400" i="3" l="1"/>
  <c r="AK1400" i="3" s="1"/>
  <c r="AA1234" i="3"/>
  <c r="AE1234" i="3" s="1"/>
  <c r="U1223" i="3"/>
  <c r="Y1223" i="3" s="1"/>
  <c r="O1189" i="3"/>
  <c r="S1189" i="3" s="1"/>
  <c r="I995" i="3"/>
  <c r="M995" i="3" s="1"/>
  <c r="G486" i="3"/>
  <c r="AG1401" i="3" l="1"/>
  <c r="AK1401" i="3" s="1"/>
  <c r="AA1235" i="3"/>
  <c r="AE1235" i="3" s="1"/>
  <c r="U1224" i="3"/>
  <c r="Y1224" i="3" s="1"/>
  <c r="O1190" i="3"/>
  <c r="S1190" i="3" s="1"/>
  <c r="I996" i="3"/>
  <c r="M996" i="3" s="1"/>
  <c r="AX486" i="3"/>
  <c r="C487" i="3"/>
  <c r="AS487" i="3" s="1"/>
  <c r="AG1402" i="3" l="1"/>
  <c r="AK1402" i="3" s="1"/>
  <c r="AA1236" i="3"/>
  <c r="AE1236" i="3" s="1"/>
  <c r="U1225" i="3"/>
  <c r="Y1225" i="3" s="1"/>
  <c r="O1191" i="3"/>
  <c r="S1191" i="3" s="1"/>
  <c r="I997" i="3"/>
  <c r="M997" i="3" s="1"/>
  <c r="I998" i="3" s="1"/>
  <c r="M998" i="3" s="1"/>
  <c r="AZ486" i="3"/>
  <c r="BA486" i="3"/>
  <c r="BB486" i="3" s="1"/>
  <c r="G487" i="3"/>
  <c r="AX487" i="3" s="1"/>
  <c r="BA487" i="3" s="1"/>
  <c r="BB487" i="3" s="1"/>
  <c r="AG1403" i="3" l="1"/>
  <c r="AK1403" i="3" s="1"/>
  <c r="AA1237" i="3"/>
  <c r="AE1237" i="3" s="1"/>
  <c r="U1226" i="3"/>
  <c r="Y1226" i="3" s="1"/>
  <c r="O1192" i="3"/>
  <c r="S1192" i="3" s="1"/>
  <c r="I999" i="3"/>
  <c r="M999" i="3" s="1"/>
  <c r="AZ487" i="3"/>
  <c r="C488" i="3"/>
  <c r="AS488" i="3" s="1"/>
  <c r="AG1404" i="3" l="1"/>
  <c r="AK1404" i="3" s="1"/>
  <c r="AA1238" i="3"/>
  <c r="AE1238" i="3" s="1"/>
  <c r="U1227" i="3"/>
  <c r="Y1227" i="3" s="1"/>
  <c r="U1228" i="3" s="1"/>
  <c r="Y1228" i="3" s="1"/>
  <c r="O1193" i="3"/>
  <c r="S1193" i="3" s="1"/>
  <c r="I1000" i="3"/>
  <c r="M1000" i="3" s="1"/>
  <c r="G488" i="3"/>
  <c r="AG1405" i="3" l="1"/>
  <c r="AK1405" i="3" s="1"/>
  <c r="AA1239" i="3"/>
  <c r="AE1239" i="3" s="1"/>
  <c r="U1229" i="3"/>
  <c r="Y1229" i="3" s="1"/>
  <c r="O1194" i="3"/>
  <c r="S1194" i="3" s="1"/>
  <c r="I1001" i="3"/>
  <c r="M1001" i="3" s="1"/>
  <c r="AX488" i="3"/>
  <c r="C489" i="3"/>
  <c r="AG1406" i="3" l="1"/>
  <c r="AK1406" i="3" s="1"/>
  <c r="AA1240" i="3"/>
  <c r="AE1240" i="3" s="1"/>
  <c r="U1230" i="3"/>
  <c r="Y1230" i="3" s="1"/>
  <c r="O1195" i="3"/>
  <c r="S1195" i="3" s="1"/>
  <c r="I1002" i="3"/>
  <c r="M1002" i="3" s="1"/>
  <c r="AZ488" i="3"/>
  <c r="BA488" i="3"/>
  <c r="BB488" i="3" s="1"/>
  <c r="AS489" i="3"/>
  <c r="G489" i="3"/>
  <c r="AX489" i="3" s="1"/>
  <c r="BA489" i="3" s="1"/>
  <c r="BB489" i="3" s="1"/>
  <c r="AG1407" i="3" l="1"/>
  <c r="AK1407" i="3" s="1"/>
  <c r="AG1408" i="3" s="1"/>
  <c r="AK1408" i="3" s="1"/>
  <c r="AA1241" i="3"/>
  <c r="AE1241" i="3" s="1"/>
  <c r="U1231" i="3"/>
  <c r="Y1231" i="3" s="1"/>
  <c r="O1196" i="3"/>
  <c r="S1196" i="3" s="1"/>
  <c r="I1003" i="3"/>
  <c r="M1003" i="3" s="1"/>
  <c r="AZ489" i="3"/>
  <c r="C490" i="3"/>
  <c r="AS490" i="3" s="1"/>
  <c r="AG1409" i="3" l="1"/>
  <c r="AK1409" i="3" s="1"/>
  <c r="AA1242" i="3"/>
  <c r="AE1242" i="3" s="1"/>
  <c r="U1232" i="3"/>
  <c r="Y1232" i="3" s="1"/>
  <c r="O1197" i="3"/>
  <c r="S1197" i="3" s="1"/>
  <c r="O1198" i="3" s="1"/>
  <c r="S1198" i="3" s="1"/>
  <c r="I1004" i="3"/>
  <c r="M1004" i="3" s="1"/>
  <c r="I1005" i="3" s="1"/>
  <c r="M1005" i="3" s="1"/>
  <c r="G490" i="3"/>
  <c r="AX490" i="3" s="1"/>
  <c r="BA490" i="3" s="1"/>
  <c r="BB490" i="3" s="1"/>
  <c r="AG1410" i="3" l="1"/>
  <c r="AK1410" i="3" s="1"/>
  <c r="AA1243" i="3"/>
  <c r="AE1243" i="3" s="1"/>
  <c r="AA1244" i="3" s="1"/>
  <c r="AE1244" i="3" s="1"/>
  <c r="U1233" i="3"/>
  <c r="Y1233" i="3" s="1"/>
  <c r="O1199" i="3"/>
  <c r="S1199" i="3" s="1"/>
  <c r="I1006" i="3"/>
  <c r="M1006" i="3" s="1"/>
  <c r="AZ490" i="3"/>
  <c r="C491" i="3"/>
  <c r="AS491" i="3" s="1"/>
  <c r="AG1411" i="3" l="1"/>
  <c r="AK1411" i="3" s="1"/>
  <c r="AA1245" i="3"/>
  <c r="AE1245" i="3" s="1"/>
  <c r="U1234" i="3"/>
  <c r="Y1234" i="3" s="1"/>
  <c r="O1200" i="3"/>
  <c r="S1200" i="3" s="1"/>
  <c r="I1007" i="3"/>
  <c r="M1007" i="3" s="1"/>
  <c r="G491" i="3"/>
  <c r="AX491" i="3" s="1"/>
  <c r="BA491" i="3" s="1"/>
  <c r="BB491" i="3" s="1"/>
  <c r="AG1412" i="3" l="1"/>
  <c r="AK1412" i="3" s="1"/>
  <c r="AG1413" i="3" s="1"/>
  <c r="AK1413" i="3" s="1"/>
  <c r="AA1246" i="3"/>
  <c r="AE1246" i="3" s="1"/>
  <c r="U1235" i="3"/>
  <c r="Y1235" i="3" s="1"/>
  <c r="O1201" i="3"/>
  <c r="S1201" i="3" s="1"/>
  <c r="I1008" i="3"/>
  <c r="M1008" i="3" s="1"/>
  <c r="AZ491" i="3"/>
  <c r="C492" i="3"/>
  <c r="AS492" i="3" s="1"/>
  <c r="AG1414" i="3" l="1"/>
  <c r="AK1414" i="3" s="1"/>
  <c r="AA1247" i="3"/>
  <c r="AE1247" i="3" s="1"/>
  <c r="U1236" i="3"/>
  <c r="Y1236" i="3" s="1"/>
  <c r="O1202" i="3"/>
  <c r="S1202" i="3" s="1"/>
  <c r="O1203" i="3" s="1"/>
  <c r="S1203" i="3" s="1"/>
  <c r="I1009" i="3"/>
  <c r="M1009" i="3" s="1"/>
  <c r="G492" i="3"/>
  <c r="AG1415" i="3" l="1"/>
  <c r="AK1415" i="3" s="1"/>
  <c r="AA1248" i="3"/>
  <c r="AE1248" i="3" s="1"/>
  <c r="U1237" i="3"/>
  <c r="Y1237" i="3" s="1"/>
  <c r="O1204" i="3"/>
  <c r="S1204" i="3" s="1"/>
  <c r="I1010" i="3"/>
  <c r="M1010" i="3" s="1"/>
  <c r="AX492" i="3"/>
  <c r="C493" i="3"/>
  <c r="AS493" i="3" s="1"/>
  <c r="AG1416" i="3" l="1"/>
  <c r="AK1416" i="3" s="1"/>
  <c r="AA1249" i="3"/>
  <c r="AE1249" i="3" s="1"/>
  <c r="U1238" i="3"/>
  <c r="Y1238" i="3" s="1"/>
  <c r="O1205" i="3"/>
  <c r="S1205" i="3" s="1"/>
  <c r="I1011" i="3"/>
  <c r="M1011" i="3" s="1"/>
  <c r="AZ492" i="3"/>
  <c r="BA492" i="3"/>
  <c r="BB492" i="3" s="1"/>
  <c r="G493" i="3"/>
  <c r="AX493" i="3" s="1"/>
  <c r="BA493" i="3" s="1"/>
  <c r="BB493" i="3" s="1"/>
  <c r="AG1417" i="3" l="1"/>
  <c r="AK1417" i="3" s="1"/>
  <c r="AA1250" i="3"/>
  <c r="AE1250" i="3" s="1"/>
  <c r="U1239" i="3"/>
  <c r="Y1239" i="3" s="1"/>
  <c r="O1206" i="3"/>
  <c r="S1206" i="3" s="1"/>
  <c r="I1012" i="3"/>
  <c r="M1012" i="3" s="1"/>
  <c r="AZ493" i="3"/>
  <c r="C494" i="3"/>
  <c r="AS494" i="3" s="1"/>
  <c r="AG1418" i="3" l="1"/>
  <c r="AK1418" i="3" s="1"/>
  <c r="AA1251" i="3"/>
  <c r="AE1251" i="3" s="1"/>
  <c r="U1240" i="3"/>
  <c r="Y1240" i="3" s="1"/>
  <c r="O1207" i="3"/>
  <c r="S1207" i="3" s="1"/>
  <c r="I1013" i="3"/>
  <c r="M1013" i="3" s="1"/>
  <c r="G494" i="3"/>
  <c r="AG1419" i="3" l="1"/>
  <c r="AK1419" i="3" s="1"/>
  <c r="AA1252" i="3"/>
  <c r="AE1252" i="3" s="1"/>
  <c r="U1241" i="3"/>
  <c r="Y1241" i="3" s="1"/>
  <c r="O1208" i="3"/>
  <c r="S1208" i="3" s="1"/>
  <c r="I1014" i="3"/>
  <c r="M1014" i="3" s="1"/>
  <c r="AX494" i="3"/>
  <c r="C495" i="3"/>
  <c r="AS495" i="3" s="1"/>
  <c r="AG1420" i="3" l="1"/>
  <c r="AK1420" i="3" s="1"/>
  <c r="AA1253" i="3"/>
  <c r="AE1253" i="3" s="1"/>
  <c r="U1242" i="3"/>
  <c r="Y1242" i="3" s="1"/>
  <c r="O1209" i="3"/>
  <c r="S1209" i="3" s="1"/>
  <c r="I1015" i="3"/>
  <c r="M1015" i="3" s="1"/>
  <c r="AZ494" i="3"/>
  <c r="BA494" i="3"/>
  <c r="BB494" i="3" s="1"/>
  <c r="G495" i="3"/>
  <c r="AG1421" i="3" l="1"/>
  <c r="AK1421" i="3" s="1"/>
  <c r="AA1254" i="3"/>
  <c r="AE1254" i="3" s="1"/>
  <c r="U1243" i="3"/>
  <c r="Y1243" i="3" s="1"/>
  <c r="U1244" i="3" s="1"/>
  <c r="Y1244" i="3" s="1"/>
  <c r="O1210" i="3"/>
  <c r="S1210" i="3" s="1"/>
  <c r="I1016" i="3"/>
  <c r="M1016" i="3" s="1"/>
  <c r="AX495" i="3"/>
  <c r="C496" i="3"/>
  <c r="AS496" i="3" s="1"/>
  <c r="AG1422" i="3" l="1"/>
  <c r="AK1422" i="3" s="1"/>
  <c r="AA1255" i="3"/>
  <c r="AE1255" i="3" s="1"/>
  <c r="U1245" i="3"/>
  <c r="Y1245" i="3" s="1"/>
  <c r="O1211" i="3"/>
  <c r="S1211" i="3" s="1"/>
  <c r="I1017" i="3"/>
  <c r="M1017" i="3" s="1"/>
  <c r="AZ495" i="3"/>
  <c r="BA495" i="3"/>
  <c r="BB495" i="3" s="1"/>
  <c r="G496" i="3"/>
  <c r="AG1423" i="3" l="1"/>
  <c r="AK1423" i="3" s="1"/>
  <c r="AA1256" i="3"/>
  <c r="AE1256" i="3" s="1"/>
  <c r="U1246" i="3"/>
  <c r="Y1246" i="3" s="1"/>
  <c r="O1212" i="3"/>
  <c r="S1212" i="3" s="1"/>
  <c r="I1018" i="3"/>
  <c r="M1018" i="3" s="1"/>
  <c r="AX496" i="3"/>
  <c r="C497" i="3"/>
  <c r="AS497" i="3" s="1"/>
  <c r="AG1424" i="3" l="1"/>
  <c r="AK1424" i="3" s="1"/>
  <c r="AA1257" i="3"/>
  <c r="AE1257" i="3" s="1"/>
  <c r="U1247" i="3"/>
  <c r="Y1247" i="3" s="1"/>
  <c r="O1213" i="3"/>
  <c r="S1213" i="3" s="1"/>
  <c r="I1019" i="3"/>
  <c r="M1019" i="3" s="1"/>
  <c r="AZ496" i="3"/>
  <c r="BA496" i="3"/>
  <c r="BB496" i="3" s="1"/>
  <c r="G497" i="3"/>
  <c r="AG1425" i="3" l="1"/>
  <c r="AK1425" i="3" s="1"/>
  <c r="AA1258" i="3"/>
  <c r="AE1258" i="3" s="1"/>
  <c r="AA1259" i="3" s="1"/>
  <c r="AE1259" i="3" s="1"/>
  <c r="U1248" i="3"/>
  <c r="Y1248" i="3" s="1"/>
  <c r="O1214" i="3"/>
  <c r="S1214" i="3" s="1"/>
  <c r="I1020" i="3"/>
  <c r="M1020" i="3" s="1"/>
  <c r="AX497" i="3"/>
  <c r="C498" i="3"/>
  <c r="AS498" i="3" s="1"/>
  <c r="AG1426" i="3" l="1"/>
  <c r="AK1426" i="3" s="1"/>
  <c r="AA1260" i="3"/>
  <c r="AE1260" i="3" s="1"/>
  <c r="U1249" i="3"/>
  <c r="Y1249" i="3" s="1"/>
  <c r="O1215" i="3"/>
  <c r="S1215" i="3" s="1"/>
  <c r="I1021" i="3"/>
  <c r="M1021" i="3" s="1"/>
  <c r="AZ497" i="3"/>
  <c r="BA497" i="3"/>
  <c r="BB497" i="3" s="1"/>
  <c r="G498" i="3"/>
  <c r="AG1427" i="3" l="1"/>
  <c r="AK1427" i="3" s="1"/>
  <c r="AA1261" i="3"/>
  <c r="AE1261" i="3" s="1"/>
  <c r="U1250" i="3"/>
  <c r="Y1250" i="3" s="1"/>
  <c r="O1216" i="3"/>
  <c r="S1216" i="3" s="1"/>
  <c r="I1022" i="3"/>
  <c r="M1022" i="3" s="1"/>
  <c r="AX498" i="3"/>
  <c r="C499" i="3"/>
  <c r="AS499" i="3" s="1"/>
  <c r="AG1428" i="3" l="1"/>
  <c r="AK1428" i="3" s="1"/>
  <c r="AA1262" i="3"/>
  <c r="AE1262" i="3" s="1"/>
  <c r="U1251" i="3"/>
  <c r="Y1251" i="3" s="1"/>
  <c r="O1217" i="3"/>
  <c r="S1217" i="3" s="1"/>
  <c r="I1023" i="3"/>
  <c r="M1023" i="3" s="1"/>
  <c r="AZ498" i="3"/>
  <c r="BA498" i="3"/>
  <c r="BB498" i="3" s="1"/>
  <c r="G499" i="3"/>
  <c r="AX499" i="3" s="1"/>
  <c r="BA499" i="3" s="1"/>
  <c r="BB499" i="3" s="1"/>
  <c r="AG1429" i="3" l="1"/>
  <c r="AK1429" i="3" s="1"/>
  <c r="AA1263" i="3"/>
  <c r="AE1263" i="3" s="1"/>
  <c r="U1252" i="3"/>
  <c r="Y1252" i="3" s="1"/>
  <c r="O1218" i="3"/>
  <c r="S1218" i="3" s="1"/>
  <c r="I1024" i="3"/>
  <c r="M1024" i="3" s="1"/>
  <c r="I1025" i="3" s="1"/>
  <c r="M1025" i="3" s="1"/>
  <c r="AZ499" i="3"/>
  <c r="C500" i="3"/>
  <c r="AS500" i="3" s="1"/>
  <c r="AG1430" i="3" l="1"/>
  <c r="AK1430" i="3" s="1"/>
  <c r="AA1264" i="3"/>
  <c r="AE1264" i="3" s="1"/>
  <c r="U1253" i="3"/>
  <c r="Y1253" i="3" s="1"/>
  <c r="O1219" i="3"/>
  <c r="S1219" i="3" s="1"/>
  <c r="I1026" i="3"/>
  <c r="M1026" i="3" s="1"/>
  <c r="G500" i="3"/>
  <c r="AG1431" i="3" l="1"/>
  <c r="AK1431" i="3" s="1"/>
  <c r="AA1265" i="3"/>
  <c r="AE1265" i="3" s="1"/>
  <c r="U1254" i="3"/>
  <c r="Y1254" i="3" s="1"/>
  <c r="O1220" i="3"/>
  <c r="S1220" i="3" s="1"/>
  <c r="I1027" i="3"/>
  <c r="M1027" i="3" s="1"/>
  <c r="AX500" i="3"/>
  <c r="C501" i="3"/>
  <c r="AS501" i="3" s="1"/>
  <c r="AG1432" i="3" l="1"/>
  <c r="AK1432" i="3" s="1"/>
  <c r="AA1266" i="3"/>
  <c r="AE1266" i="3" s="1"/>
  <c r="U1255" i="3"/>
  <c r="Y1255" i="3" s="1"/>
  <c r="O1221" i="3"/>
  <c r="S1221" i="3" s="1"/>
  <c r="I1028" i="3"/>
  <c r="M1028" i="3" s="1"/>
  <c r="AZ500" i="3"/>
  <c r="BA500" i="3"/>
  <c r="BB500" i="3" s="1"/>
  <c r="G501" i="3"/>
  <c r="AG1433" i="3" l="1"/>
  <c r="AK1433" i="3" s="1"/>
  <c r="AG1434" i="3" s="1"/>
  <c r="AK1434" i="3" s="1"/>
  <c r="AG1435" i="3" s="1"/>
  <c r="AK1435" i="3" s="1"/>
  <c r="AG1436" i="3" s="1"/>
  <c r="AK1436" i="3" s="1"/>
  <c r="AG1437" i="3" s="1"/>
  <c r="AK1437" i="3" s="1"/>
  <c r="AA1267" i="3"/>
  <c r="AE1267" i="3" s="1"/>
  <c r="U1256" i="3"/>
  <c r="Y1256" i="3" s="1"/>
  <c r="O1222" i="3"/>
  <c r="S1222" i="3" s="1"/>
  <c r="I1029" i="3"/>
  <c r="M1029" i="3" s="1"/>
  <c r="AX501" i="3"/>
  <c r="C502" i="3"/>
  <c r="AS502" i="3" s="1"/>
  <c r="AG1438" i="3" l="1"/>
  <c r="AK1438" i="3" s="1"/>
  <c r="AA1268" i="3"/>
  <c r="AE1268" i="3" s="1"/>
  <c r="U1257" i="3"/>
  <c r="Y1257" i="3" s="1"/>
  <c r="O1223" i="3"/>
  <c r="S1223" i="3" s="1"/>
  <c r="I1030" i="3"/>
  <c r="M1030" i="3" s="1"/>
  <c r="AZ501" i="3"/>
  <c r="BA501" i="3"/>
  <c r="BB501" i="3" s="1"/>
  <c r="G502" i="3"/>
  <c r="AG1439" i="3" l="1"/>
  <c r="AK1439" i="3" s="1"/>
  <c r="AA1269" i="3"/>
  <c r="AE1269" i="3" s="1"/>
  <c r="U1258" i="3"/>
  <c r="Y1258" i="3" s="1"/>
  <c r="U1259" i="3" s="1"/>
  <c r="Y1259" i="3" s="1"/>
  <c r="O1224" i="3"/>
  <c r="S1224" i="3" s="1"/>
  <c r="I1031" i="3"/>
  <c r="M1031" i="3" s="1"/>
  <c r="AX502" i="3"/>
  <c r="C503" i="3"/>
  <c r="AS503" i="3" s="1"/>
  <c r="AG1440" i="3" l="1"/>
  <c r="AK1440" i="3" s="1"/>
  <c r="AA1270" i="3"/>
  <c r="AE1270" i="3" s="1"/>
  <c r="U1260" i="3"/>
  <c r="Y1260" i="3" s="1"/>
  <c r="O1225" i="3"/>
  <c r="S1225" i="3" s="1"/>
  <c r="I1032" i="3"/>
  <c r="M1032" i="3" s="1"/>
  <c r="AZ502" i="3"/>
  <c r="BA502" i="3"/>
  <c r="BB502" i="3" s="1"/>
  <c r="G503" i="3"/>
  <c r="AG1441" i="3" l="1"/>
  <c r="AK1441" i="3" s="1"/>
  <c r="AG1442" i="3" s="1"/>
  <c r="AK1442" i="3" s="1"/>
  <c r="AG1443" i="3" s="1"/>
  <c r="AK1443" i="3" s="1"/>
  <c r="AG1444" i="3" s="1"/>
  <c r="AK1444" i="3" s="1"/>
  <c r="AG1445" i="3" s="1"/>
  <c r="AK1445" i="3" s="1"/>
  <c r="AG1446" i="3" s="1"/>
  <c r="AK1446" i="3" s="1"/>
  <c r="AG1447" i="3" s="1"/>
  <c r="AK1447" i="3" s="1"/>
  <c r="AG1448" i="3" s="1"/>
  <c r="AK1448" i="3" s="1"/>
  <c r="AG1449" i="3" s="1"/>
  <c r="AK1449" i="3" s="1"/>
  <c r="AG1450" i="3" s="1"/>
  <c r="AK1450" i="3" s="1"/>
  <c r="AG1451" i="3" s="1"/>
  <c r="AK1451" i="3" s="1"/>
  <c r="AG1452" i="3" s="1"/>
  <c r="AK1452" i="3" s="1"/>
  <c r="AG1453" i="3" s="1"/>
  <c r="AK1453" i="3" s="1"/>
  <c r="AG1454" i="3" s="1"/>
  <c r="AK1454" i="3" s="1"/>
  <c r="AG1455" i="3" s="1"/>
  <c r="AK1455" i="3" s="1"/>
  <c r="AG1456" i="3" s="1"/>
  <c r="AK1456" i="3" s="1"/>
  <c r="AG1457" i="3" s="1"/>
  <c r="AK1457" i="3" s="1"/>
  <c r="AA1271" i="3"/>
  <c r="AE1271" i="3" s="1"/>
  <c r="U1261" i="3"/>
  <c r="Y1261" i="3" s="1"/>
  <c r="O1226" i="3"/>
  <c r="S1226" i="3" s="1"/>
  <c r="I1033" i="3"/>
  <c r="M1033" i="3" s="1"/>
  <c r="AX503" i="3"/>
  <c r="C504" i="3"/>
  <c r="AS504" i="3" s="1"/>
  <c r="AG1468" i="3" l="1"/>
  <c r="AK1468" i="3" s="1"/>
  <c r="AG1469" i="3" s="1"/>
  <c r="AK1469" i="3" s="1"/>
  <c r="AG1470" i="3" s="1"/>
  <c r="AK1470" i="3" s="1"/>
  <c r="AG1471" i="3" s="1"/>
  <c r="AK1471" i="3" s="1"/>
  <c r="AG1472" i="3" s="1"/>
  <c r="AK1472" i="3" s="1"/>
  <c r="AG1473" i="3" s="1"/>
  <c r="AK1473" i="3" s="1"/>
  <c r="AG1474" i="3" s="1"/>
  <c r="AK1474" i="3" s="1"/>
  <c r="AG1475" i="3" s="1"/>
  <c r="AK1475" i="3" s="1"/>
  <c r="AG1476" i="3" s="1"/>
  <c r="AK1476" i="3" s="1"/>
  <c r="AG1477" i="3" s="1"/>
  <c r="AK1477" i="3" s="1"/>
  <c r="AG1478" i="3" s="1"/>
  <c r="AK1478" i="3" s="1"/>
  <c r="AG1479" i="3" s="1"/>
  <c r="AK1479" i="3" s="1"/>
  <c r="AG1480" i="3" s="1"/>
  <c r="AK1480" i="3" s="1"/>
  <c r="AG1481" i="3" s="1"/>
  <c r="AK1481" i="3" s="1"/>
  <c r="AG1482" i="3" s="1"/>
  <c r="AK1482" i="3" s="1"/>
  <c r="AG1483" i="3" s="1"/>
  <c r="AK1483" i="3" s="1"/>
  <c r="AG1484" i="3" s="1"/>
  <c r="AK1484" i="3" s="1"/>
  <c r="AG1485" i="3" s="1"/>
  <c r="AK1485" i="3" s="1"/>
  <c r="AG1486" i="3" s="1"/>
  <c r="AK1486" i="3" s="1"/>
  <c r="AG1487" i="3" s="1"/>
  <c r="AK1487" i="3" s="1"/>
  <c r="AG1488" i="3" s="1"/>
  <c r="AK1488" i="3" s="1"/>
  <c r="AG1489" i="3" s="1"/>
  <c r="AK1489" i="3" s="1"/>
  <c r="AG1490" i="3" s="1"/>
  <c r="AK1490" i="3" s="1"/>
  <c r="AG1491" i="3" s="1"/>
  <c r="AK1491" i="3" s="1"/>
  <c r="AG1492" i="3" s="1"/>
  <c r="AK1492" i="3" s="1"/>
  <c r="AG1493" i="3" s="1"/>
  <c r="AK1493" i="3" s="1"/>
  <c r="AG1494" i="3" s="1"/>
  <c r="AK1494" i="3" s="1"/>
  <c r="AG1495" i="3" s="1"/>
  <c r="AK1495" i="3" s="1"/>
  <c r="AG1496" i="3" s="1"/>
  <c r="AK1496" i="3" s="1"/>
  <c r="AG1497" i="3" s="1"/>
  <c r="AK1497" i="3" s="1"/>
  <c r="AG1498" i="3" s="1"/>
  <c r="AK1498" i="3" s="1"/>
  <c r="AG1499" i="3" s="1"/>
  <c r="AK1499" i="3" s="1"/>
  <c r="AG1500" i="3" s="1"/>
  <c r="AK1500" i="3" s="1"/>
  <c r="AG1501" i="3" s="1"/>
  <c r="AK1501" i="3" s="1"/>
  <c r="AG1502" i="3" s="1"/>
  <c r="AK1502" i="3" s="1"/>
  <c r="AG1503" i="3" s="1"/>
  <c r="AK1503" i="3" s="1"/>
  <c r="AG1504" i="3" s="1"/>
  <c r="AK1504" i="3" s="1"/>
  <c r="AG1505" i="3" s="1"/>
  <c r="AK1505" i="3" s="1"/>
  <c r="AG1506" i="3" s="1"/>
  <c r="AK1506" i="3" s="1"/>
  <c r="AG1507" i="3" s="1"/>
  <c r="AK1507" i="3" s="1"/>
  <c r="AG1508" i="3" s="1"/>
  <c r="AK1508" i="3" s="1"/>
  <c r="AG1509" i="3" s="1"/>
  <c r="AK1509" i="3" s="1"/>
  <c r="AG1510" i="3" s="1"/>
  <c r="AK1510" i="3" s="1"/>
  <c r="AG1511" i="3" s="1"/>
  <c r="AK1511" i="3" s="1"/>
  <c r="AG1512" i="3" s="1"/>
  <c r="AK1512" i="3" s="1"/>
  <c r="AG1513" i="3" s="1"/>
  <c r="AK1513" i="3" s="1"/>
  <c r="AG1514" i="3" s="1"/>
  <c r="AK1514" i="3" s="1"/>
  <c r="AG1515" i="3" s="1"/>
  <c r="AK1515" i="3" s="1"/>
  <c r="AG1516" i="3" s="1"/>
  <c r="AK1516" i="3" s="1"/>
  <c r="AG1517" i="3" s="1"/>
  <c r="AK1517" i="3" s="1"/>
  <c r="AG1518" i="3" s="1"/>
  <c r="AK1518" i="3" s="1"/>
  <c r="AG1519" i="3" s="1"/>
  <c r="AK1519" i="3" s="1"/>
  <c r="AG1520" i="3" s="1"/>
  <c r="AK1520" i="3" s="1"/>
  <c r="AG1521" i="3" s="1"/>
  <c r="AK1521" i="3" s="1"/>
  <c r="AG1522" i="3" s="1"/>
  <c r="AK1522" i="3" s="1"/>
  <c r="AG1523" i="3" s="1"/>
  <c r="AK1523" i="3" s="1"/>
  <c r="AG1524" i="3" s="1"/>
  <c r="AK1524" i="3" s="1"/>
  <c r="AG1525" i="3" s="1"/>
  <c r="AK1525" i="3" s="1"/>
  <c r="AG1526" i="3" s="1"/>
  <c r="AK1526" i="3" s="1"/>
  <c r="AG1527" i="3" s="1"/>
  <c r="AK1527" i="3" s="1"/>
  <c r="AG1528" i="3" s="1"/>
  <c r="AK1528" i="3" s="1"/>
  <c r="AG1529" i="3" s="1"/>
  <c r="AK1529" i="3" s="1"/>
  <c r="AG1530" i="3" s="1"/>
  <c r="AK1530" i="3" s="1"/>
  <c r="AG1531" i="3" s="1"/>
  <c r="AK1531" i="3" s="1"/>
  <c r="AG1532" i="3" s="1"/>
  <c r="AK1532" i="3" s="1"/>
  <c r="AG1533" i="3" s="1"/>
  <c r="AK1533" i="3" s="1"/>
  <c r="AG1534" i="3" s="1"/>
  <c r="AK1534" i="3" s="1"/>
  <c r="AG1535" i="3" s="1"/>
  <c r="AK1535" i="3" s="1"/>
  <c r="AG1536" i="3" s="1"/>
  <c r="AK1536" i="3" s="1"/>
  <c r="AG1537" i="3" s="1"/>
  <c r="AK1537" i="3" s="1"/>
  <c r="AG1538" i="3" s="1"/>
  <c r="AK1538" i="3" s="1"/>
  <c r="AG1539" i="3" s="1"/>
  <c r="AK1539" i="3" s="1"/>
  <c r="AG1540" i="3" s="1"/>
  <c r="AK1540" i="3" s="1"/>
  <c r="AG1541" i="3" s="1"/>
  <c r="AK1541" i="3" s="1"/>
  <c r="AG1542" i="3" s="1"/>
  <c r="AK1542" i="3" s="1"/>
  <c r="AG1543" i="3" s="1"/>
  <c r="AK1543" i="3" s="1"/>
  <c r="AG1544" i="3" s="1"/>
  <c r="AK1544" i="3" s="1"/>
  <c r="AG1545" i="3" s="1"/>
  <c r="AK1545" i="3" s="1"/>
  <c r="AG1546" i="3" s="1"/>
  <c r="AK1546" i="3" s="1"/>
  <c r="AG1547" i="3" s="1"/>
  <c r="AK1547" i="3" s="1"/>
  <c r="AG1548" i="3" s="1"/>
  <c r="AK1548" i="3" s="1"/>
  <c r="AG1549" i="3" s="1"/>
  <c r="AK1549" i="3" s="1"/>
  <c r="AG1550" i="3" s="1"/>
  <c r="AK1550" i="3" s="1"/>
  <c r="AG1551" i="3" s="1"/>
  <c r="AK1551" i="3" s="1"/>
  <c r="AG1552" i="3" s="1"/>
  <c r="AK1552" i="3" s="1"/>
  <c r="AG1553" i="3" s="1"/>
  <c r="AK1553" i="3" s="1"/>
  <c r="AG1554" i="3" s="1"/>
  <c r="AK1554" i="3" s="1"/>
  <c r="AG1555" i="3" s="1"/>
  <c r="AK1555" i="3" s="1"/>
  <c r="AG1556" i="3" s="1"/>
  <c r="AK1556" i="3" s="1"/>
  <c r="AG1557" i="3" s="1"/>
  <c r="AK1557" i="3" s="1"/>
  <c r="AG1558" i="3" s="1"/>
  <c r="AK1558" i="3" s="1"/>
  <c r="AG1559" i="3" s="1"/>
  <c r="AK1559" i="3" s="1"/>
  <c r="AG1560" i="3" s="1"/>
  <c r="AK1560" i="3" s="1"/>
  <c r="AG1561" i="3" s="1"/>
  <c r="AK1561" i="3" s="1"/>
  <c r="AG1562" i="3" s="1"/>
  <c r="AK1562" i="3" s="1"/>
  <c r="AG1563" i="3" s="1"/>
  <c r="AK1563" i="3" s="1"/>
  <c r="AG1564" i="3" s="1"/>
  <c r="AK1564" i="3" s="1"/>
  <c r="AG1565" i="3" s="1"/>
  <c r="AK1565" i="3" s="1"/>
  <c r="AG1566" i="3" s="1"/>
  <c r="AK1566" i="3" s="1"/>
  <c r="AG1567" i="3" s="1"/>
  <c r="AK1567" i="3" s="1"/>
  <c r="AG1568" i="3" s="1"/>
  <c r="AK1568" i="3" s="1"/>
  <c r="AG1569" i="3" s="1"/>
  <c r="AK1569" i="3" s="1"/>
  <c r="AG1570" i="3" s="1"/>
  <c r="AK1570" i="3" s="1"/>
  <c r="AG1571" i="3" s="1"/>
  <c r="AK1571" i="3" s="1"/>
  <c r="AG1572" i="3" s="1"/>
  <c r="AK1572" i="3" s="1"/>
  <c r="AG1573" i="3" s="1"/>
  <c r="AK1573" i="3" s="1"/>
  <c r="AG1574" i="3" s="1"/>
  <c r="AK1574" i="3" s="1"/>
  <c r="AG1575" i="3" s="1"/>
  <c r="AK1575" i="3" s="1"/>
  <c r="AG1576" i="3" s="1"/>
  <c r="AK1576" i="3" s="1"/>
  <c r="AG1577" i="3" s="1"/>
  <c r="AK1577" i="3" s="1"/>
  <c r="AG1578" i="3" s="1"/>
  <c r="AK1578" i="3" s="1"/>
  <c r="AG1579" i="3" s="1"/>
  <c r="AK1579" i="3" s="1"/>
  <c r="AG1580" i="3" s="1"/>
  <c r="AK1580" i="3" s="1"/>
  <c r="AG1581" i="3" s="1"/>
  <c r="AK1581" i="3" s="1"/>
  <c r="AG1582" i="3" s="1"/>
  <c r="AK1582" i="3" s="1"/>
  <c r="AG1583" i="3" s="1"/>
  <c r="AK1583" i="3" s="1"/>
  <c r="AG1584" i="3" s="1"/>
  <c r="AK1584" i="3" s="1"/>
  <c r="AG1585" i="3" s="1"/>
  <c r="AK1585" i="3" s="1"/>
  <c r="AG1586" i="3" s="1"/>
  <c r="AK1586" i="3" s="1"/>
  <c r="AG1587" i="3" s="1"/>
  <c r="AK1587" i="3" s="1"/>
  <c r="AG1588" i="3" s="1"/>
  <c r="AK1588" i="3" s="1"/>
  <c r="AG1589" i="3" s="1"/>
  <c r="AK1589" i="3" s="1"/>
  <c r="AG1590" i="3" s="1"/>
  <c r="AK1590" i="3" s="1"/>
  <c r="AG1591" i="3" s="1"/>
  <c r="AK1591" i="3" s="1"/>
  <c r="AG1592" i="3" s="1"/>
  <c r="AK1592" i="3" s="1"/>
  <c r="AG1593" i="3" s="1"/>
  <c r="AK1593" i="3" s="1"/>
  <c r="AG1594" i="3" s="1"/>
  <c r="AK1594" i="3" s="1"/>
  <c r="AG1595" i="3" s="1"/>
  <c r="AK1595" i="3" s="1"/>
  <c r="AG1596" i="3" s="1"/>
  <c r="AK1596" i="3" s="1"/>
  <c r="AG1597" i="3" s="1"/>
  <c r="AK1597" i="3" s="1"/>
  <c r="AG1598" i="3" s="1"/>
  <c r="AK1598" i="3" s="1"/>
  <c r="AG1599" i="3" s="1"/>
  <c r="AK1599" i="3" s="1"/>
  <c r="AG1600" i="3" s="1"/>
  <c r="AK1600" i="3" s="1"/>
  <c r="AG1601" i="3" s="1"/>
  <c r="AK1601" i="3" s="1"/>
  <c r="AG1602" i="3" s="1"/>
  <c r="AK1602" i="3" s="1"/>
  <c r="AG1603" i="3" s="1"/>
  <c r="AK1603" i="3" s="1"/>
  <c r="AG1604" i="3" s="1"/>
  <c r="AK1604" i="3" s="1"/>
  <c r="AG1605" i="3" s="1"/>
  <c r="AK1605" i="3" s="1"/>
  <c r="AG1606" i="3" s="1"/>
  <c r="AK1606" i="3" s="1"/>
  <c r="AG1607" i="3" s="1"/>
  <c r="AK1607" i="3" s="1"/>
  <c r="AG1608" i="3" s="1"/>
  <c r="AK1608" i="3" s="1"/>
  <c r="AG1609" i="3" s="1"/>
  <c r="AK1609" i="3" s="1"/>
  <c r="AG1610" i="3" s="1"/>
  <c r="AK1610" i="3" s="1"/>
  <c r="AG1611" i="3" s="1"/>
  <c r="AK1611" i="3" s="1"/>
  <c r="AG1612" i="3" s="1"/>
  <c r="AK1612" i="3" s="1"/>
  <c r="AG1613" i="3" s="1"/>
  <c r="AK1613" i="3" s="1"/>
  <c r="AG1614" i="3" s="1"/>
  <c r="AK1614" i="3" s="1"/>
  <c r="AG1615" i="3" s="1"/>
  <c r="AK1615" i="3" s="1"/>
  <c r="AG1616" i="3" s="1"/>
  <c r="AK1616" i="3" s="1"/>
  <c r="AG1617" i="3" s="1"/>
  <c r="AK1617" i="3" s="1"/>
  <c r="AG1618" i="3" s="1"/>
  <c r="AK1618" i="3" s="1"/>
  <c r="AG1619" i="3" s="1"/>
  <c r="AK1619" i="3" s="1"/>
  <c r="AG1620" i="3" s="1"/>
  <c r="AK1620" i="3" s="1"/>
  <c r="AG1621" i="3" s="1"/>
  <c r="AK1621" i="3" s="1"/>
  <c r="AG1622" i="3" s="1"/>
  <c r="AK1622" i="3" s="1"/>
  <c r="AG1623" i="3" s="1"/>
  <c r="AK1623" i="3" s="1"/>
  <c r="AG1624" i="3" s="1"/>
  <c r="AK1624" i="3" s="1"/>
  <c r="AG1625" i="3" s="1"/>
  <c r="AK1625" i="3" s="1"/>
  <c r="AG1626" i="3" s="1"/>
  <c r="AK1626" i="3" s="1"/>
  <c r="AG1627" i="3" s="1"/>
  <c r="AK1627" i="3" s="1"/>
  <c r="AG1628" i="3" s="1"/>
  <c r="AK1628" i="3" s="1"/>
  <c r="AG1629" i="3" s="1"/>
  <c r="AK1629" i="3" s="1"/>
  <c r="AG1630" i="3" s="1"/>
  <c r="AK1630" i="3" s="1"/>
  <c r="AG1631" i="3" s="1"/>
  <c r="AK1631" i="3" s="1"/>
  <c r="AG1632" i="3" s="1"/>
  <c r="AK1632" i="3" s="1"/>
  <c r="AG1633" i="3" s="1"/>
  <c r="AK1633" i="3" s="1"/>
  <c r="AG1634" i="3" s="1"/>
  <c r="AK1634" i="3" s="1"/>
  <c r="AA1272" i="3"/>
  <c r="AE1272" i="3" s="1"/>
  <c r="AA1273" i="3" s="1"/>
  <c r="AE1273" i="3" s="1"/>
  <c r="U1262" i="3"/>
  <c r="Y1262" i="3" s="1"/>
  <c r="O1227" i="3"/>
  <c r="S1227" i="3" s="1"/>
  <c r="I1034" i="3"/>
  <c r="M1034" i="3" s="1"/>
  <c r="AZ503" i="3"/>
  <c r="BA503" i="3"/>
  <c r="BB503" i="3" s="1"/>
  <c r="G504" i="3"/>
  <c r="AX504" i="3" s="1"/>
  <c r="BA504" i="3" s="1"/>
  <c r="BB504" i="3" s="1"/>
  <c r="AA1274" i="3" l="1"/>
  <c r="AE1274" i="3" s="1"/>
  <c r="U1263" i="3"/>
  <c r="Y1263" i="3" s="1"/>
  <c r="O1228" i="3"/>
  <c r="S1228" i="3" s="1"/>
  <c r="I1035" i="3"/>
  <c r="M1035" i="3" s="1"/>
  <c r="AZ504" i="3"/>
  <c r="C505" i="3"/>
  <c r="AS505" i="3" s="1"/>
  <c r="AA1275" i="3" l="1"/>
  <c r="AE1275" i="3" s="1"/>
  <c r="U1264" i="3"/>
  <c r="Y1264" i="3" s="1"/>
  <c r="O1229" i="3"/>
  <c r="S1229" i="3" s="1"/>
  <c r="I1036" i="3"/>
  <c r="M1036" i="3" s="1"/>
  <c r="I1037" i="3" s="1"/>
  <c r="M1037" i="3" s="1"/>
  <c r="G505" i="3"/>
  <c r="AA1276" i="3" l="1"/>
  <c r="AE1276" i="3" s="1"/>
  <c r="U1265" i="3"/>
  <c r="Y1265" i="3" s="1"/>
  <c r="O1230" i="3"/>
  <c r="S1230" i="3" s="1"/>
  <c r="I1038" i="3"/>
  <c r="M1038" i="3" s="1"/>
  <c r="I1039" i="3" s="1"/>
  <c r="M1039" i="3" s="1"/>
  <c r="AX505" i="3"/>
  <c r="C506" i="3"/>
  <c r="AS506" i="3" s="1"/>
  <c r="AA1277" i="3" l="1"/>
  <c r="AE1277" i="3" s="1"/>
  <c r="U1266" i="3"/>
  <c r="Y1266" i="3" s="1"/>
  <c r="O1231" i="3"/>
  <c r="S1231" i="3" s="1"/>
  <c r="I1040" i="3"/>
  <c r="M1040" i="3" s="1"/>
  <c r="AZ505" i="3"/>
  <c r="BA505" i="3"/>
  <c r="BB505" i="3" s="1"/>
  <c r="G506" i="3"/>
  <c r="AA1278" i="3" l="1"/>
  <c r="AE1278" i="3" s="1"/>
  <c r="U1267" i="3"/>
  <c r="Y1267" i="3" s="1"/>
  <c r="O1232" i="3"/>
  <c r="S1232" i="3" s="1"/>
  <c r="I1041" i="3"/>
  <c r="M1041" i="3" s="1"/>
  <c r="AX506" i="3"/>
  <c r="C507" i="3"/>
  <c r="AS507" i="3" s="1"/>
  <c r="AA1279" i="3" l="1"/>
  <c r="AE1279" i="3" s="1"/>
  <c r="U1268" i="3"/>
  <c r="Y1268" i="3" s="1"/>
  <c r="O1233" i="3"/>
  <c r="S1233" i="3" s="1"/>
  <c r="I1042" i="3"/>
  <c r="M1042" i="3" s="1"/>
  <c r="AZ506" i="3"/>
  <c r="BA506" i="3"/>
  <c r="BB506" i="3" s="1"/>
  <c r="G507" i="3"/>
  <c r="AA1280" i="3" l="1"/>
  <c r="AE1280" i="3" s="1"/>
  <c r="U1269" i="3"/>
  <c r="Y1269" i="3" s="1"/>
  <c r="O1234" i="3"/>
  <c r="S1234" i="3" s="1"/>
  <c r="I1043" i="3"/>
  <c r="M1043" i="3" s="1"/>
  <c r="AX507" i="3"/>
  <c r="C508" i="3"/>
  <c r="AS508" i="3" s="1"/>
  <c r="AA1281" i="3" l="1"/>
  <c r="AE1281" i="3" s="1"/>
  <c r="U1270" i="3"/>
  <c r="Y1270" i="3" s="1"/>
  <c r="O1235" i="3"/>
  <c r="S1235" i="3" s="1"/>
  <c r="I1044" i="3"/>
  <c r="M1044" i="3" s="1"/>
  <c r="AZ507" i="3"/>
  <c r="BA507" i="3"/>
  <c r="BB507" i="3" s="1"/>
  <c r="G508" i="3"/>
  <c r="AX508" i="3" s="1"/>
  <c r="BA508" i="3" s="1"/>
  <c r="BB508" i="3" s="1"/>
  <c r="AA1282" i="3" l="1"/>
  <c r="AE1282" i="3" s="1"/>
  <c r="U1271" i="3"/>
  <c r="Y1271" i="3" s="1"/>
  <c r="O1236" i="3"/>
  <c r="S1236" i="3" s="1"/>
  <c r="I1045" i="3"/>
  <c r="M1045" i="3" s="1"/>
  <c r="AZ508" i="3"/>
  <c r="C509" i="3"/>
  <c r="AS509" i="3" s="1"/>
  <c r="AA1283" i="3" l="1"/>
  <c r="AE1283" i="3" s="1"/>
  <c r="AA1284" i="3" s="1"/>
  <c r="AE1284" i="3" s="1"/>
  <c r="U1272" i="3"/>
  <c r="Y1272" i="3" s="1"/>
  <c r="U1273" i="3" s="1"/>
  <c r="Y1273" i="3" s="1"/>
  <c r="O1237" i="3"/>
  <c r="S1237" i="3" s="1"/>
  <c r="I1046" i="3"/>
  <c r="M1046" i="3" s="1"/>
  <c r="G509" i="3"/>
  <c r="AA1285" i="3" l="1"/>
  <c r="AE1285" i="3" s="1"/>
  <c r="U1274" i="3"/>
  <c r="Y1274" i="3" s="1"/>
  <c r="O1238" i="3"/>
  <c r="S1238" i="3" s="1"/>
  <c r="I1047" i="3"/>
  <c r="M1047" i="3" s="1"/>
  <c r="AX509" i="3"/>
  <c r="C510" i="3"/>
  <c r="AS510" i="3" s="1"/>
  <c r="AA1286" i="3" l="1"/>
  <c r="AE1286" i="3" s="1"/>
  <c r="U1275" i="3"/>
  <c r="Y1275" i="3" s="1"/>
  <c r="O1239" i="3"/>
  <c r="S1239" i="3" s="1"/>
  <c r="I1048" i="3"/>
  <c r="M1048" i="3" s="1"/>
  <c r="AZ509" i="3"/>
  <c r="BA509" i="3"/>
  <c r="BB509" i="3" s="1"/>
  <c r="G510" i="3"/>
  <c r="AX510" i="3" s="1"/>
  <c r="BA510" i="3" s="1"/>
  <c r="BB510" i="3" s="1"/>
  <c r="AA1287" i="3" l="1"/>
  <c r="AE1287" i="3" s="1"/>
  <c r="U1276" i="3"/>
  <c r="Y1276" i="3" s="1"/>
  <c r="O1240" i="3"/>
  <c r="S1240" i="3" s="1"/>
  <c r="I1049" i="3"/>
  <c r="M1049" i="3" s="1"/>
  <c r="AZ510" i="3"/>
  <c r="C511" i="3"/>
  <c r="AS511" i="3" s="1"/>
  <c r="AA1288" i="3" l="1"/>
  <c r="AE1288" i="3" s="1"/>
  <c r="U1277" i="3"/>
  <c r="Y1277" i="3" s="1"/>
  <c r="O1241" i="3"/>
  <c r="S1241" i="3" s="1"/>
  <c r="I1050" i="3"/>
  <c r="M1050" i="3" s="1"/>
  <c r="G511" i="3"/>
  <c r="AX511" i="3" s="1"/>
  <c r="BA511" i="3" s="1"/>
  <c r="BB511" i="3" s="1"/>
  <c r="AA1289" i="3" l="1"/>
  <c r="AE1289" i="3" s="1"/>
  <c r="U1278" i="3"/>
  <c r="Y1278" i="3" s="1"/>
  <c r="O1242" i="3"/>
  <c r="S1242" i="3" s="1"/>
  <c r="I1051" i="3"/>
  <c r="M1051" i="3" s="1"/>
  <c r="AZ511" i="3"/>
  <c r="C512" i="3"/>
  <c r="AS512" i="3" s="1"/>
  <c r="AA1290" i="3" l="1"/>
  <c r="AE1290" i="3" s="1"/>
  <c r="U1279" i="3"/>
  <c r="Y1279" i="3" s="1"/>
  <c r="O1243" i="3"/>
  <c r="S1243" i="3" s="1"/>
  <c r="I1052" i="3"/>
  <c r="M1052" i="3" s="1"/>
  <c r="G512" i="3"/>
  <c r="AX512" i="3" s="1"/>
  <c r="BA512" i="3" s="1"/>
  <c r="BB512" i="3" s="1"/>
  <c r="AA1291" i="3" l="1"/>
  <c r="AE1291" i="3" s="1"/>
  <c r="U1280" i="3"/>
  <c r="Y1280" i="3" s="1"/>
  <c r="O1244" i="3"/>
  <c r="S1244" i="3" s="1"/>
  <c r="I1053" i="3"/>
  <c r="M1053" i="3" s="1"/>
  <c r="AZ512" i="3"/>
  <c r="C513" i="3"/>
  <c r="AS513" i="3" s="1"/>
  <c r="AA1292" i="3" l="1"/>
  <c r="AE1292" i="3" s="1"/>
  <c r="U1281" i="3"/>
  <c r="Y1281" i="3" s="1"/>
  <c r="O1245" i="3"/>
  <c r="S1245" i="3" s="1"/>
  <c r="I1054" i="3"/>
  <c r="M1054" i="3" s="1"/>
  <c r="G513" i="3"/>
  <c r="AA1293" i="3" l="1"/>
  <c r="AE1293" i="3" s="1"/>
  <c r="U1282" i="3"/>
  <c r="Y1282" i="3" s="1"/>
  <c r="O1246" i="3"/>
  <c r="S1246" i="3" s="1"/>
  <c r="I1055" i="3"/>
  <c r="M1055" i="3" s="1"/>
  <c r="AX513" i="3"/>
  <c r="C514" i="3"/>
  <c r="AS514" i="3" s="1"/>
  <c r="AA1294" i="3" l="1"/>
  <c r="AE1294" i="3" s="1"/>
  <c r="U1283" i="3"/>
  <c r="Y1283" i="3" s="1"/>
  <c r="U1284" i="3" s="1"/>
  <c r="Y1284" i="3" s="1"/>
  <c r="O1247" i="3"/>
  <c r="S1247" i="3" s="1"/>
  <c r="I1056" i="3"/>
  <c r="M1056" i="3" s="1"/>
  <c r="AZ513" i="3"/>
  <c r="BA513" i="3"/>
  <c r="BB513" i="3" s="1"/>
  <c r="G514" i="3"/>
  <c r="AA1295" i="3" l="1"/>
  <c r="AE1295" i="3" s="1"/>
  <c r="AA1296" i="3" s="1"/>
  <c r="AE1296" i="3" s="1"/>
  <c r="U1285" i="3"/>
  <c r="Y1285" i="3" s="1"/>
  <c r="O1248" i="3"/>
  <c r="S1248" i="3" s="1"/>
  <c r="I1057" i="3"/>
  <c r="M1057" i="3" s="1"/>
  <c r="AX514" i="3"/>
  <c r="C515" i="3"/>
  <c r="AS515" i="3" s="1"/>
  <c r="AA1297" i="3" l="1"/>
  <c r="AE1297" i="3" s="1"/>
  <c r="U1286" i="3"/>
  <c r="Y1286" i="3" s="1"/>
  <c r="O1249" i="3"/>
  <c r="S1249" i="3" s="1"/>
  <c r="I1058" i="3"/>
  <c r="M1058" i="3" s="1"/>
  <c r="AZ514" i="3"/>
  <c r="BA514" i="3"/>
  <c r="BB514" i="3" s="1"/>
  <c r="G515" i="3"/>
  <c r="AA1298" i="3" l="1"/>
  <c r="AE1298" i="3" s="1"/>
  <c r="AA1299" i="3" s="1"/>
  <c r="AE1299" i="3" s="1"/>
  <c r="U1287" i="3"/>
  <c r="Y1287" i="3" s="1"/>
  <c r="O1250" i="3"/>
  <c r="S1250" i="3" s="1"/>
  <c r="I1059" i="3"/>
  <c r="M1059" i="3" s="1"/>
  <c r="AX515" i="3"/>
  <c r="C516" i="3"/>
  <c r="AS516" i="3" s="1"/>
  <c r="AA1300" i="3" l="1"/>
  <c r="AE1300" i="3" s="1"/>
  <c r="U1288" i="3"/>
  <c r="Y1288" i="3" s="1"/>
  <c r="O1251" i="3"/>
  <c r="S1251" i="3" s="1"/>
  <c r="I1060" i="3"/>
  <c r="M1060" i="3" s="1"/>
  <c r="AZ515" i="3"/>
  <c r="BA515" i="3"/>
  <c r="BB515" i="3" s="1"/>
  <c r="G516" i="3"/>
  <c r="AA1301" i="3" l="1"/>
  <c r="AE1301" i="3" s="1"/>
  <c r="U1289" i="3"/>
  <c r="Y1289" i="3" s="1"/>
  <c r="O1252" i="3"/>
  <c r="S1252" i="3" s="1"/>
  <c r="I1061" i="3"/>
  <c r="M1061" i="3" s="1"/>
  <c r="AX516" i="3"/>
  <c r="C517" i="3"/>
  <c r="AS517" i="3" s="1"/>
  <c r="AA1302" i="3" l="1"/>
  <c r="AE1302" i="3" s="1"/>
  <c r="U1290" i="3"/>
  <c r="Y1290" i="3" s="1"/>
  <c r="O1253" i="3"/>
  <c r="S1253" i="3" s="1"/>
  <c r="I1062" i="3"/>
  <c r="M1062" i="3" s="1"/>
  <c r="AZ516" i="3"/>
  <c r="BA516" i="3"/>
  <c r="BB516" i="3" s="1"/>
  <c r="G517" i="3"/>
  <c r="AA1303" i="3" l="1"/>
  <c r="AE1303" i="3" s="1"/>
  <c r="AA1304" i="3" s="1"/>
  <c r="AE1304" i="3" s="1"/>
  <c r="U1291" i="3"/>
  <c r="Y1291" i="3" s="1"/>
  <c r="O1254" i="3"/>
  <c r="S1254" i="3" s="1"/>
  <c r="I1063" i="3"/>
  <c r="M1063" i="3" s="1"/>
  <c r="AX517" i="3"/>
  <c r="C518" i="3"/>
  <c r="AS518" i="3" s="1"/>
  <c r="AA1305" i="3" l="1"/>
  <c r="AE1305" i="3" s="1"/>
  <c r="AA1306" i="3" s="1"/>
  <c r="AE1306" i="3" s="1"/>
  <c r="U1292" i="3"/>
  <c r="Y1292" i="3" s="1"/>
  <c r="O1255" i="3"/>
  <c r="S1255" i="3" s="1"/>
  <c r="I1064" i="3"/>
  <c r="M1064" i="3" s="1"/>
  <c r="AZ517" i="3"/>
  <c r="BA517" i="3"/>
  <c r="BB517" i="3" s="1"/>
  <c r="G518" i="3"/>
  <c r="AX518" i="3" s="1"/>
  <c r="BA518" i="3" s="1"/>
  <c r="BB518" i="3" s="1"/>
  <c r="AA1307" i="3" l="1"/>
  <c r="AE1307" i="3" s="1"/>
  <c r="U1293" i="3"/>
  <c r="Y1293" i="3" s="1"/>
  <c r="O1256" i="3"/>
  <c r="S1256" i="3" s="1"/>
  <c r="I1065" i="3"/>
  <c r="M1065" i="3" s="1"/>
  <c r="AZ518" i="3"/>
  <c r="C519" i="3"/>
  <c r="AS519" i="3" s="1"/>
  <c r="AA1308" i="3" l="1"/>
  <c r="AE1308" i="3" s="1"/>
  <c r="U1294" i="3"/>
  <c r="Y1294" i="3" s="1"/>
  <c r="O1257" i="3"/>
  <c r="S1257" i="3" s="1"/>
  <c r="I1066" i="3"/>
  <c r="M1066" i="3" s="1"/>
  <c r="G519" i="3"/>
  <c r="AA1309" i="3" l="1"/>
  <c r="AE1309" i="3" s="1"/>
  <c r="U1295" i="3"/>
  <c r="Y1295" i="3" s="1"/>
  <c r="U1296" i="3" s="1"/>
  <c r="Y1296" i="3" s="1"/>
  <c r="O1258" i="3"/>
  <c r="S1258" i="3" s="1"/>
  <c r="O1259" i="3" s="1"/>
  <c r="S1259" i="3" s="1"/>
  <c r="I1067" i="3"/>
  <c r="M1067" i="3" s="1"/>
  <c r="AX519" i="3"/>
  <c r="C520" i="3"/>
  <c r="AS520" i="3" s="1"/>
  <c r="AA1310" i="3" l="1"/>
  <c r="AE1310" i="3" s="1"/>
  <c r="U1297" i="3"/>
  <c r="Y1297" i="3" s="1"/>
  <c r="O1260" i="3"/>
  <c r="S1260" i="3" s="1"/>
  <c r="I1068" i="3"/>
  <c r="M1068" i="3" s="1"/>
  <c r="AZ519" i="3"/>
  <c r="BA519" i="3"/>
  <c r="BB519" i="3" s="1"/>
  <c r="G520" i="3"/>
  <c r="AA1311" i="3" l="1"/>
  <c r="AE1311" i="3" s="1"/>
  <c r="AA1312" i="3" s="1"/>
  <c r="AE1312" i="3" s="1"/>
  <c r="U1298" i="3"/>
  <c r="Y1298" i="3" s="1"/>
  <c r="U1299" i="3" s="1"/>
  <c r="Y1299" i="3" s="1"/>
  <c r="O1261" i="3"/>
  <c r="S1261" i="3" s="1"/>
  <c r="I1069" i="3"/>
  <c r="M1069" i="3" s="1"/>
  <c r="I1070" i="3" s="1"/>
  <c r="M1070" i="3" s="1"/>
  <c r="AX520" i="3"/>
  <c r="C521" i="3"/>
  <c r="AS521" i="3" s="1"/>
  <c r="AA1313" i="3" l="1"/>
  <c r="AE1313" i="3" s="1"/>
  <c r="U1300" i="3"/>
  <c r="Y1300" i="3" s="1"/>
  <c r="O1262" i="3"/>
  <c r="S1262" i="3" s="1"/>
  <c r="I1071" i="3"/>
  <c r="M1071" i="3" s="1"/>
  <c r="AZ520" i="3"/>
  <c r="BA520" i="3"/>
  <c r="BB520" i="3" s="1"/>
  <c r="G521" i="3"/>
  <c r="AA1314" i="3" l="1"/>
  <c r="AE1314" i="3" s="1"/>
  <c r="U1301" i="3"/>
  <c r="Y1301" i="3" s="1"/>
  <c r="O1263" i="3"/>
  <c r="S1263" i="3" s="1"/>
  <c r="I1072" i="3"/>
  <c r="M1072" i="3" s="1"/>
  <c r="AX521" i="3"/>
  <c r="C522" i="3"/>
  <c r="AS522" i="3" s="1"/>
  <c r="AA1315" i="3" l="1"/>
  <c r="AE1315" i="3" s="1"/>
  <c r="U1302" i="3"/>
  <c r="Y1302" i="3" s="1"/>
  <c r="O1264" i="3"/>
  <c r="S1264" i="3" s="1"/>
  <c r="I1073" i="3"/>
  <c r="M1073" i="3" s="1"/>
  <c r="I1074" i="3" s="1"/>
  <c r="M1074" i="3" s="1"/>
  <c r="AZ521" i="3"/>
  <c r="BA521" i="3"/>
  <c r="BB521" i="3" s="1"/>
  <c r="G522" i="3"/>
  <c r="AA1316" i="3" l="1"/>
  <c r="AE1316" i="3" s="1"/>
  <c r="U1303" i="3"/>
  <c r="Y1303" i="3" s="1"/>
  <c r="U1304" i="3" s="1"/>
  <c r="Y1304" i="3" s="1"/>
  <c r="O1265" i="3"/>
  <c r="S1265" i="3" s="1"/>
  <c r="I1075" i="3"/>
  <c r="M1075" i="3" s="1"/>
  <c r="AX522" i="3"/>
  <c r="C523" i="3"/>
  <c r="AS523" i="3" s="1"/>
  <c r="AA1317" i="3" l="1"/>
  <c r="AE1317" i="3" s="1"/>
  <c r="U1305" i="3"/>
  <c r="Y1305" i="3" s="1"/>
  <c r="U1306" i="3" s="1"/>
  <c r="Y1306" i="3" s="1"/>
  <c r="O1266" i="3"/>
  <c r="S1266" i="3" s="1"/>
  <c r="I1076" i="3"/>
  <c r="M1076" i="3" s="1"/>
  <c r="AZ522" i="3"/>
  <c r="BA522" i="3"/>
  <c r="BB522" i="3" s="1"/>
  <c r="G523" i="3"/>
  <c r="AA1318" i="3" l="1"/>
  <c r="AE1318" i="3" s="1"/>
  <c r="U1307" i="3"/>
  <c r="Y1307" i="3" s="1"/>
  <c r="O1267" i="3"/>
  <c r="S1267" i="3" s="1"/>
  <c r="I1077" i="3"/>
  <c r="M1077" i="3" s="1"/>
  <c r="AX523" i="3"/>
  <c r="C524" i="3"/>
  <c r="AA1319" i="3" l="1"/>
  <c r="AE1319" i="3" s="1"/>
  <c r="U1308" i="3"/>
  <c r="Y1308" i="3" s="1"/>
  <c r="O1268" i="3"/>
  <c r="S1268" i="3" s="1"/>
  <c r="I1078" i="3"/>
  <c r="M1078" i="3" s="1"/>
  <c r="AZ523" i="3"/>
  <c r="BA523" i="3"/>
  <c r="BB523" i="3" s="1"/>
  <c r="AS524" i="3"/>
  <c r="G524" i="3"/>
  <c r="AX524" i="3" s="1"/>
  <c r="AA1320" i="3" l="1"/>
  <c r="AE1320" i="3" s="1"/>
  <c r="U1309" i="3"/>
  <c r="Y1309" i="3" s="1"/>
  <c r="O1269" i="3"/>
  <c r="S1269" i="3" s="1"/>
  <c r="I1079" i="3"/>
  <c r="M1079" i="3" s="1"/>
  <c r="I1080" i="3" s="1"/>
  <c r="M1080" i="3" s="1"/>
  <c r="AZ524" i="3"/>
  <c r="BA524" i="3"/>
  <c r="BB524" i="3" s="1"/>
  <c r="C525" i="3"/>
  <c r="AS525" i="3" s="1"/>
  <c r="G525" i="3" l="1"/>
  <c r="AX525" i="3" s="1"/>
  <c r="AA1321" i="3"/>
  <c r="AE1321" i="3" s="1"/>
  <c r="U1310" i="3"/>
  <c r="Y1310" i="3" s="1"/>
  <c r="O1270" i="3"/>
  <c r="S1270" i="3" s="1"/>
  <c r="I1081" i="3"/>
  <c r="M1081" i="3" s="1"/>
  <c r="AZ525" i="3"/>
  <c r="BA525" i="3"/>
  <c r="BB525" i="3" s="1"/>
  <c r="C526" i="3"/>
  <c r="AA1322" i="3" l="1"/>
  <c r="AE1322" i="3" s="1"/>
  <c r="AA1323" i="3" s="1"/>
  <c r="AE1323" i="3" s="1"/>
  <c r="U1311" i="3"/>
  <c r="Y1311" i="3" s="1"/>
  <c r="U1312" i="3" s="1"/>
  <c r="Y1312" i="3" s="1"/>
  <c r="O1271" i="3"/>
  <c r="S1271" i="3" s="1"/>
  <c r="I1082" i="3"/>
  <c r="M1082" i="3" s="1"/>
  <c r="AS526" i="3"/>
  <c r="G526" i="3"/>
  <c r="AA1324" i="3" l="1"/>
  <c r="AE1324" i="3" s="1"/>
  <c r="AA1325" i="3" s="1"/>
  <c r="AE1325" i="3" s="1"/>
  <c r="U1313" i="3"/>
  <c r="Y1313" i="3" s="1"/>
  <c r="O1272" i="3"/>
  <c r="S1272" i="3" s="1"/>
  <c r="O1273" i="3" s="1"/>
  <c r="S1273" i="3" s="1"/>
  <c r="I1083" i="3"/>
  <c r="M1083" i="3" s="1"/>
  <c r="AX526" i="3"/>
  <c r="C527" i="3"/>
  <c r="AA1326" i="3" l="1"/>
  <c r="AE1326" i="3" s="1"/>
  <c r="U1314" i="3"/>
  <c r="Y1314" i="3" s="1"/>
  <c r="O1274" i="3"/>
  <c r="S1274" i="3" s="1"/>
  <c r="I1084" i="3"/>
  <c r="M1084" i="3" s="1"/>
  <c r="AZ526" i="3"/>
  <c r="BA526" i="3"/>
  <c r="BB526" i="3" s="1"/>
  <c r="AS527" i="3"/>
  <c r="G527" i="3"/>
  <c r="AA1327" i="3" l="1"/>
  <c r="AE1327" i="3" s="1"/>
  <c r="U1315" i="3"/>
  <c r="Y1315" i="3" s="1"/>
  <c r="O1275" i="3"/>
  <c r="S1275" i="3" s="1"/>
  <c r="I1085" i="3"/>
  <c r="M1085" i="3" s="1"/>
  <c r="AX527" i="3"/>
  <c r="C528" i="3"/>
  <c r="AA1328" i="3" l="1"/>
  <c r="AE1328" i="3" s="1"/>
  <c r="AA1329" i="3" s="1"/>
  <c r="AE1329" i="3" s="1"/>
  <c r="AA1330" i="3" s="1"/>
  <c r="AE1330" i="3" s="1"/>
  <c r="U1316" i="3"/>
  <c r="Y1316" i="3" s="1"/>
  <c r="O1276" i="3"/>
  <c r="S1276" i="3" s="1"/>
  <c r="I1086" i="3"/>
  <c r="M1086" i="3" s="1"/>
  <c r="AZ527" i="3"/>
  <c r="BA527" i="3"/>
  <c r="BB527" i="3" s="1"/>
  <c r="AS528" i="3"/>
  <c r="G528" i="3"/>
  <c r="AA1331" i="3" l="1"/>
  <c r="AE1331" i="3" s="1"/>
  <c r="U1317" i="3"/>
  <c r="Y1317" i="3" s="1"/>
  <c r="O1277" i="3"/>
  <c r="S1277" i="3" s="1"/>
  <c r="I1087" i="3"/>
  <c r="M1087" i="3" s="1"/>
  <c r="AX528" i="3"/>
  <c r="C529" i="3"/>
  <c r="AA1332" i="3" l="1"/>
  <c r="AE1332" i="3" s="1"/>
  <c r="AA1333" i="3" s="1"/>
  <c r="AE1333" i="3" s="1"/>
  <c r="U1318" i="3"/>
  <c r="Y1318" i="3" s="1"/>
  <c r="O1278" i="3"/>
  <c r="S1278" i="3" s="1"/>
  <c r="I1088" i="3"/>
  <c r="M1088" i="3" s="1"/>
  <c r="AZ528" i="3"/>
  <c r="BA528" i="3"/>
  <c r="BB528" i="3" s="1"/>
  <c r="AS529" i="3"/>
  <c r="G529" i="3"/>
  <c r="AA1334" i="3" l="1"/>
  <c r="AE1334" i="3" s="1"/>
  <c r="U1319" i="3"/>
  <c r="Y1319" i="3" s="1"/>
  <c r="O1279" i="3"/>
  <c r="S1279" i="3" s="1"/>
  <c r="I1089" i="3"/>
  <c r="M1089" i="3" s="1"/>
  <c r="AX529" i="3"/>
  <c r="C530" i="3"/>
  <c r="AA1335" i="3" l="1"/>
  <c r="AE1335" i="3" s="1"/>
  <c r="U1320" i="3"/>
  <c r="Y1320" i="3" s="1"/>
  <c r="O1280" i="3"/>
  <c r="S1280" i="3" s="1"/>
  <c r="I1090" i="3"/>
  <c r="M1090" i="3" s="1"/>
  <c r="AZ529" i="3"/>
  <c r="BA529" i="3"/>
  <c r="BB529" i="3" s="1"/>
  <c r="AS530" i="3"/>
  <c r="G530" i="3"/>
  <c r="AA1336" i="3" l="1"/>
  <c r="AE1336" i="3" s="1"/>
  <c r="U1321" i="3"/>
  <c r="Y1321" i="3" s="1"/>
  <c r="O1281" i="3"/>
  <c r="S1281" i="3" s="1"/>
  <c r="I1091" i="3"/>
  <c r="M1091" i="3" s="1"/>
  <c r="AX530" i="3"/>
  <c r="C531" i="3"/>
  <c r="AA1337" i="3" l="1"/>
  <c r="AE1337" i="3" s="1"/>
  <c r="U1322" i="3"/>
  <c r="Y1322" i="3" s="1"/>
  <c r="U1323" i="3" s="1"/>
  <c r="Y1323" i="3" s="1"/>
  <c r="O1282" i="3"/>
  <c r="S1282" i="3" s="1"/>
  <c r="I1092" i="3"/>
  <c r="M1092" i="3" s="1"/>
  <c r="AZ530" i="3"/>
  <c r="BA530" i="3"/>
  <c r="BB530" i="3" s="1"/>
  <c r="AS531" i="3"/>
  <c r="G531" i="3"/>
  <c r="AA1338" i="3" l="1"/>
  <c r="AE1338" i="3" s="1"/>
  <c r="U1324" i="3"/>
  <c r="Y1324" i="3" s="1"/>
  <c r="U1325" i="3" s="1"/>
  <c r="Y1325" i="3" s="1"/>
  <c r="O1283" i="3"/>
  <c r="S1283" i="3" s="1"/>
  <c r="I1093" i="3"/>
  <c r="M1093" i="3" s="1"/>
  <c r="C532" i="3"/>
  <c r="AX531" i="3"/>
  <c r="AA1339" i="3" l="1"/>
  <c r="AE1339" i="3" s="1"/>
  <c r="U1326" i="3"/>
  <c r="Y1326" i="3" s="1"/>
  <c r="O1284" i="3"/>
  <c r="S1284" i="3" s="1"/>
  <c r="I1094" i="3"/>
  <c r="M1094" i="3" s="1"/>
  <c r="AZ531" i="3"/>
  <c r="BA531" i="3"/>
  <c r="BB531" i="3" s="1"/>
  <c r="AS532" i="3"/>
  <c r="G532" i="3"/>
  <c r="AA1340" i="3" l="1"/>
  <c r="AE1340" i="3" s="1"/>
  <c r="U1327" i="3"/>
  <c r="Y1327" i="3" s="1"/>
  <c r="O1285" i="3"/>
  <c r="S1285" i="3" s="1"/>
  <c r="I1095" i="3"/>
  <c r="M1095" i="3" s="1"/>
  <c r="AX532" i="3"/>
  <c r="C533" i="3"/>
  <c r="AA1341" i="3" l="1"/>
  <c r="AE1341" i="3" s="1"/>
  <c r="U1328" i="3"/>
  <c r="Y1328" i="3" s="1"/>
  <c r="U1329" i="3" s="1"/>
  <c r="Y1329" i="3" s="1"/>
  <c r="U1330" i="3" s="1"/>
  <c r="Y1330" i="3" s="1"/>
  <c r="O1286" i="3"/>
  <c r="S1286" i="3" s="1"/>
  <c r="I1096" i="3"/>
  <c r="M1096" i="3" s="1"/>
  <c r="AZ532" i="3"/>
  <c r="BA532" i="3"/>
  <c r="BB532" i="3" s="1"/>
  <c r="AS533" i="3"/>
  <c r="G533" i="3"/>
  <c r="AA1342" i="3" l="1"/>
  <c r="AE1342" i="3" s="1"/>
  <c r="U1331" i="3"/>
  <c r="Y1331" i="3" s="1"/>
  <c r="O1287" i="3"/>
  <c r="S1287" i="3" s="1"/>
  <c r="I1097" i="3"/>
  <c r="M1097" i="3" s="1"/>
  <c r="AX533" i="3"/>
  <c r="C534" i="3"/>
  <c r="AA1343" i="3" l="1"/>
  <c r="AE1343" i="3" s="1"/>
  <c r="U1332" i="3"/>
  <c r="Y1332" i="3" s="1"/>
  <c r="U1333" i="3" s="1"/>
  <c r="Y1333" i="3" s="1"/>
  <c r="O1288" i="3"/>
  <c r="S1288" i="3" s="1"/>
  <c r="I1098" i="3"/>
  <c r="M1098" i="3" s="1"/>
  <c r="AZ533" i="3"/>
  <c r="BA533" i="3"/>
  <c r="BB533" i="3" s="1"/>
  <c r="AS534" i="3"/>
  <c r="G534" i="3"/>
  <c r="AA1344" i="3" l="1"/>
  <c r="AE1344" i="3" s="1"/>
  <c r="U1334" i="3"/>
  <c r="Y1334" i="3" s="1"/>
  <c r="O1289" i="3"/>
  <c r="S1289" i="3" s="1"/>
  <c r="I1099" i="3"/>
  <c r="M1099" i="3" s="1"/>
  <c r="AX534" i="3"/>
  <c r="C535" i="3"/>
  <c r="AA1345" i="3" l="1"/>
  <c r="AE1345" i="3" s="1"/>
  <c r="U1335" i="3"/>
  <c r="Y1335" i="3" s="1"/>
  <c r="O1290" i="3"/>
  <c r="S1290" i="3" s="1"/>
  <c r="I1100" i="3"/>
  <c r="M1100" i="3" s="1"/>
  <c r="AZ534" i="3"/>
  <c r="BA534" i="3"/>
  <c r="BB534" i="3" s="1"/>
  <c r="AS535" i="3"/>
  <c r="G535" i="3"/>
  <c r="AA1346" i="3" l="1"/>
  <c r="AE1346" i="3" s="1"/>
  <c r="U1336" i="3"/>
  <c r="Y1336" i="3" s="1"/>
  <c r="O1291" i="3"/>
  <c r="S1291" i="3" s="1"/>
  <c r="I1101" i="3"/>
  <c r="M1101" i="3" s="1"/>
  <c r="AX535" i="3"/>
  <c r="C536" i="3"/>
  <c r="AA1347" i="3" l="1"/>
  <c r="AE1347" i="3" s="1"/>
  <c r="U1337" i="3"/>
  <c r="Y1337" i="3" s="1"/>
  <c r="O1292" i="3"/>
  <c r="S1292" i="3" s="1"/>
  <c r="I1102" i="3"/>
  <c r="M1102" i="3" s="1"/>
  <c r="AZ535" i="3"/>
  <c r="BA535" i="3"/>
  <c r="BB535" i="3" s="1"/>
  <c r="AS536" i="3"/>
  <c r="G536" i="3"/>
  <c r="AA1348" i="3" l="1"/>
  <c r="AE1348" i="3" s="1"/>
  <c r="U1338" i="3"/>
  <c r="Y1338" i="3" s="1"/>
  <c r="O1293" i="3"/>
  <c r="S1293" i="3" s="1"/>
  <c r="I1103" i="3"/>
  <c r="M1103" i="3" s="1"/>
  <c r="AX536" i="3"/>
  <c r="C537" i="3"/>
  <c r="G537" i="3" s="1"/>
  <c r="AA1349" i="3" l="1"/>
  <c r="AE1349" i="3" s="1"/>
  <c r="U1339" i="3"/>
  <c r="Y1339" i="3" s="1"/>
  <c r="O1294" i="3"/>
  <c r="S1294" i="3" s="1"/>
  <c r="I1104" i="3"/>
  <c r="M1104" i="3" s="1"/>
  <c r="AZ536" i="3"/>
  <c r="BA536" i="3"/>
  <c r="BB536" i="3" s="1"/>
  <c r="AS537" i="3"/>
  <c r="AA1350" i="3" l="1"/>
  <c r="AE1350" i="3" s="1"/>
  <c r="AA1351" i="3" s="1"/>
  <c r="AE1351" i="3" s="1"/>
  <c r="U1340" i="3"/>
  <c r="Y1340" i="3" s="1"/>
  <c r="O1295" i="3"/>
  <c r="S1295" i="3" s="1"/>
  <c r="O1296" i="3" s="1"/>
  <c r="S1296" i="3" s="1"/>
  <c r="I1105" i="3"/>
  <c r="M1105" i="3" s="1"/>
  <c r="AX537" i="3"/>
  <c r="C538" i="3"/>
  <c r="G538" i="3" s="1"/>
  <c r="AA1352" i="3" l="1"/>
  <c r="AE1352" i="3" s="1"/>
  <c r="U1341" i="3"/>
  <c r="Y1341" i="3" s="1"/>
  <c r="O1297" i="3"/>
  <c r="S1297" i="3" s="1"/>
  <c r="I1106" i="3"/>
  <c r="M1106" i="3" s="1"/>
  <c r="AZ537" i="3"/>
  <c r="BA537" i="3"/>
  <c r="BB537" i="3" s="1"/>
  <c r="AS538" i="3"/>
  <c r="AA1353" i="3" l="1"/>
  <c r="AE1353" i="3" s="1"/>
  <c r="U1342" i="3"/>
  <c r="Y1342" i="3" s="1"/>
  <c r="O1298" i="3"/>
  <c r="S1298" i="3" s="1"/>
  <c r="O1299" i="3" s="1"/>
  <c r="S1299" i="3" s="1"/>
  <c r="I1107" i="3"/>
  <c r="M1107" i="3" s="1"/>
  <c r="C539" i="3"/>
  <c r="G539" i="3" s="1"/>
  <c r="AX538" i="3"/>
  <c r="AA1354" i="3" l="1"/>
  <c r="AE1354" i="3" s="1"/>
  <c r="AA1355" i="3" s="1"/>
  <c r="AE1355" i="3" s="1"/>
  <c r="U1343" i="3"/>
  <c r="Y1343" i="3" s="1"/>
  <c r="O1300" i="3"/>
  <c r="S1300" i="3" s="1"/>
  <c r="I1108" i="3"/>
  <c r="M1108" i="3" s="1"/>
  <c r="AZ538" i="3"/>
  <c r="BA538" i="3"/>
  <c r="BB538" i="3" s="1"/>
  <c r="AS539" i="3"/>
  <c r="AA1356" i="3" l="1"/>
  <c r="AE1356" i="3" s="1"/>
  <c r="AA1357" i="3" s="1"/>
  <c r="AE1357" i="3" s="1"/>
  <c r="U1344" i="3"/>
  <c r="Y1344" i="3" s="1"/>
  <c r="O1301" i="3"/>
  <c r="S1301" i="3" s="1"/>
  <c r="I1109" i="3"/>
  <c r="M1109" i="3" s="1"/>
  <c r="C540" i="3"/>
  <c r="G540" i="3" s="1"/>
  <c r="AX539" i="3"/>
  <c r="AA1358" i="3" l="1"/>
  <c r="AE1358" i="3" s="1"/>
  <c r="U1345" i="3"/>
  <c r="Y1345" i="3" s="1"/>
  <c r="O1302" i="3"/>
  <c r="S1302" i="3" s="1"/>
  <c r="I1110" i="3"/>
  <c r="M1110" i="3" s="1"/>
  <c r="I1111" i="3" s="1"/>
  <c r="M1111" i="3" s="1"/>
  <c r="I1112" i="3" s="1"/>
  <c r="M1112" i="3" s="1"/>
  <c r="AZ539" i="3"/>
  <c r="BA539" i="3"/>
  <c r="BB539" i="3" s="1"/>
  <c r="AS540" i="3"/>
  <c r="AA1359" i="3" l="1"/>
  <c r="AE1359" i="3" s="1"/>
  <c r="U1346" i="3"/>
  <c r="Y1346" i="3" s="1"/>
  <c r="O1303" i="3"/>
  <c r="S1303" i="3" s="1"/>
  <c r="O1304" i="3" s="1"/>
  <c r="S1304" i="3" s="1"/>
  <c r="I1113" i="3"/>
  <c r="M1113" i="3" s="1"/>
  <c r="AX540" i="3"/>
  <c r="C541" i="3"/>
  <c r="G541" i="3" s="1"/>
  <c r="AA1360" i="3" l="1"/>
  <c r="AE1360" i="3" s="1"/>
  <c r="U1347" i="3"/>
  <c r="Y1347" i="3" s="1"/>
  <c r="O1305" i="3"/>
  <c r="S1305" i="3" s="1"/>
  <c r="I1114" i="3"/>
  <c r="M1114" i="3" s="1"/>
  <c r="AZ540" i="3"/>
  <c r="BA540" i="3"/>
  <c r="BB540" i="3" s="1"/>
  <c r="AS541" i="3"/>
  <c r="AA1361" i="3" l="1"/>
  <c r="AE1361" i="3" s="1"/>
  <c r="AA1362" i="3" s="1"/>
  <c r="AE1362" i="3" s="1"/>
  <c r="AA1363" i="3" s="1"/>
  <c r="AE1363" i="3" s="1"/>
  <c r="U1348" i="3"/>
  <c r="Y1348" i="3" s="1"/>
  <c r="O1306" i="3"/>
  <c r="S1306" i="3" s="1"/>
  <c r="I1115" i="3"/>
  <c r="M1115" i="3" s="1"/>
  <c r="C542" i="3"/>
  <c r="G542" i="3" s="1"/>
  <c r="AX541" i="3"/>
  <c r="AA1364" i="3" l="1"/>
  <c r="AE1364" i="3" s="1"/>
  <c r="U1349" i="3"/>
  <c r="Y1349" i="3" s="1"/>
  <c r="O1307" i="3"/>
  <c r="S1307" i="3" s="1"/>
  <c r="I1116" i="3"/>
  <c r="M1116" i="3" s="1"/>
  <c r="AZ541" i="3"/>
  <c r="BA541" i="3"/>
  <c r="BB541" i="3" s="1"/>
  <c r="AS542" i="3"/>
  <c r="AA1365" i="3" l="1"/>
  <c r="AE1365" i="3" s="1"/>
  <c r="U1350" i="3"/>
  <c r="Y1350" i="3" s="1"/>
  <c r="U1351" i="3" s="1"/>
  <c r="Y1351" i="3" s="1"/>
  <c r="O1308" i="3"/>
  <c r="S1308" i="3" s="1"/>
  <c r="I1117" i="3"/>
  <c r="M1117" i="3" s="1"/>
  <c r="AX542" i="3"/>
  <c r="C543" i="3"/>
  <c r="G543" i="3" s="1"/>
  <c r="AA1366" i="3" l="1"/>
  <c r="AE1366" i="3" s="1"/>
  <c r="U1352" i="3"/>
  <c r="Y1352" i="3" s="1"/>
  <c r="O1309" i="3"/>
  <c r="S1309" i="3" s="1"/>
  <c r="AZ542" i="3"/>
  <c r="BA542" i="3"/>
  <c r="BB542" i="3" s="1"/>
  <c r="AS543" i="3"/>
  <c r="AA1367" i="3" l="1"/>
  <c r="AE1367" i="3" s="1"/>
  <c r="U1353" i="3"/>
  <c r="Y1353" i="3" s="1"/>
  <c r="O1310" i="3"/>
  <c r="S1310" i="3" s="1"/>
  <c r="AX543" i="3"/>
  <c r="C544" i="3"/>
  <c r="G544" i="3" s="1"/>
  <c r="AA1368" i="3" l="1"/>
  <c r="AE1368" i="3" s="1"/>
  <c r="U1354" i="3"/>
  <c r="Y1354" i="3" s="1"/>
  <c r="U1355" i="3" s="1"/>
  <c r="Y1355" i="3" s="1"/>
  <c r="O1311" i="3"/>
  <c r="S1311" i="3" s="1"/>
  <c r="AZ543" i="3"/>
  <c r="BA543" i="3"/>
  <c r="BB543" i="3" s="1"/>
  <c r="AS544" i="3"/>
  <c r="AX544" i="3"/>
  <c r="BA544" i="3" s="1"/>
  <c r="BB544" i="3" s="1"/>
  <c r="AA1369" i="3" l="1"/>
  <c r="AE1369" i="3" s="1"/>
  <c r="U1356" i="3"/>
  <c r="Y1356" i="3" s="1"/>
  <c r="U1357" i="3" s="1"/>
  <c r="Y1357" i="3" s="1"/>
  <c r="O1312" i="3"/>
  <c r="S1312" i="3" s="1"/>
  <c r="AZ544" i="3"/>
  <c r="C545" i="3"/>
  <c r="G545" i="3" s="1"/>
  <c r="AA1370" i="3" l="1"/>
  <c r="AE1370" i="3" s="1"/>
  <c r="U1358" i="3"/>
  <c r="Y1358" i="3" s="1"/>
  <c r="O1313" i="3"/>
  <c r="S1313" i="3" s="1"/>
  <c r="AX545" i="3"/>
  <c r="BA545" i="3" s="1"/>
  <c r="BB545" i="3" s="1"/>
  <c r="AS545" i="3"/>
  <c r="AA1371" i="3" l="1"/>
  <c r="AE1371" i="3" s="1"/>
  <c r="U1359" i="3"/>
  <c r="Y1359" i="3" s="1"/>
  <c r="O1314" i="3"/>
  <c r="S1314" i="3" s="1"/>
  <c r="C546" i="3"/>
  <c r="G546" i="3" s="1"/>
  <c r="AA1372" i="3" l="1"/>
  <c r="AE1372" i="3" s="1"/>
  <c r="U1360" i="3"/>
  <c r="Y1360" i="3" s="1"/>
  <c r="O1315" i="3"/>
  <c r="S1315" i="3" s="1"/>
  <c r="AZ545" i="3"/>
  <c r="AS546" i="3"/>
  <c r="AA1373" i="3" l="1"/>
  <c r="AE1373" i="3" s="1"/>
  <c r="U1361" i="3"/>
  <c r="Y1361" i="3" s="1"/>
  <c r="U1362" i="3" s="1"/>
  <c r="Y1362" i="3" s="1"/>
  <c r="U1363" i="3" s="1"/>
  <c r="Y1363" i="3" s="1"/>
  <c r="O1316" i="3"/>
  <c r="S1316" i="3" s="1"/>
  <c r="AX546" i="3"/>
  <c r="C547" i="3"/>
  <c r="G547" i="3" s="1"/>
  <c r="AA1374" i="3" l="1"/>
  <c r="AE1374" i="3" s="1"/>
  <c r="U1364" i="3"/>
  <c r="Y1364" i="3" s="1"/>
  <c r="O1317" i="3"/>
  <c r="S1317" i="3" s="1"/>
  <c r="AZ546" i="3"/>
  <c r="BA546" i="3"/>
  <c r="BB546" i="3" s="1"/>
  <c r="AS547" i="3"/>
  <c r="AA1375" i="3" l="1"/>
  <c r="AE1375" i="3" s="1"/>
  <c r="U1365" i="3"/>
  <c r="Y1365" i="3" s="1"/>
  <c r="O1318" i="3"/>
  <c r="S1318" i="3" s="1"/>
  <c r="AX547" i="3"/>
  <c r="C548" i="3"/>
  <c r="G548" i="3" s="1"/>
  <c r="AA1376" i="3" l="1"/>
  <c r="AE1376" i="3" s="1"/>
  <c r="U1366" i="3"/>
  <c r="Y1366" i="3" s="1"/>
  <c r="O1319" i="3"/>
  <c r="S1319" i="3" s="1"/>
  <c r="AZ547" i="3"/>
  <c r="BA547" i="3"/>
  <c r="BB547" i="3" s="1"/>
  <c r="AS548" i="3"/>
  <c r="AA1377" i="3" l="1"/>
  <c r="AE1377" i="3" s="1"/>
  <c r="U1367" i="3"/>
  <c r="Y1367" i="3" s="1"/>
  <c r="O1320" i="3"/>
  <c r="S1320" i="3" s="1"/>
  <c r="AX548" i="3"/>
  <c r="C549" i="3"/>
  <c r="G549" i="3" s="1"/>
  <c r="AA1378" i="3" l="1"/>
  <c r="AE1378" i="3" s="1"/>
  <c r="U1368" i="3"/>
  <c r="Y1368" i="3" s="1"/>
  <c r="O1321" i="3"/>
  <c r="S1321" i="3" s="1"/>
  <c r="AZ548" i="3"/>
  <c r="BA548" i="3"/>
  <c r="BB548" i="3" s="1"/>
  <c r="AS549" i="3"/>
  <c r="AA1379" i="3" l="1"/>
  <c r="AE1379" i="3" s="1"/>
  <c r="U1369" i="3"/>
  <c r="Y1369" i="3" s="1"/>
  <c r="O1322" i="3"/>
  <c r="S1322" i="3" s="1"/>
  <c r="AX549" i="3"/>
  <c r="C550" i="3"/>
  <c r="G550" i="3" s="1"/>
  <c r="AA1380" i="3" l="1"/>
  <c r="AE1380" i="3" s="1"/>
  <c r="U1370" i="3"/>
  <c r="Y1370" i="3" s="1"/>
  <c r="O1323" i="3"/>
  <c r="S1323" i="3" s="1"/>
  <c r="AZ549" i="3"/>
  <c r="BA549" i="3"/>
  <c r="BB549" i="3" s="1"/>
  <c r="AS550" i="3"/>
  <c r="AA1381" i="3" l="1"/>
  <c r="AE1381" i="3" s="1"/>
  <c r="U1371" i="3"/>
  <c r="Y1371" i="3" s="1"/>
  <c r="O1324" i="3"/>
  <c r="S1324" i="3" s="1"/>
  <c r="O1325" i="3" s="1"/>
  <c r="S1325" i="3" s="1"/>
  <c r="AX550" i="3"/>
  <c r="C551" i="3"/>
  <c r="G551" i="3" s="1"/>
  <c r="AA1382" i="3" l="1"/>
  <c r="AE1382" i="3" s="1"/>
  <c r="U1372" i="3"/>
  <c r="Y1372" i="3" s="1"/>
  <c r="O1326" i="3"/>
  <c r="S1326" i="3" s="1"/>
  <c r="AZ550" i="3"/>
  <c r="BA550" i="3"/>
  <c r="BB550" i="3" s="1"/>
  <c r="AS551" i="3"/>
  <c r="AA1383" i="3" l="1"/>
  <c r="AE1383" i="3" s="1"/>
  <c r="U1373" i="3"/>
  <c r="Y1373" i="3" s="1"/>
  <c r="O1327" i="3"/>
  <c r="S1327" i="3" s="1"/>
  <c r="AX551" i="3"/>
  <c r="C552" i="3"/>
  <c r="G552" i="3" s="1"/>
  <c r="AA1384" i="3" l="1"/>
  <c r="AE1384" i="3" s="1"/>
  <c r="AA1385" i="3" s="1"/>
  <c r="AE1385" i="3" s="1"/>
  <c r="U1374" i="3"/>
  <c r="Y1374" i="3" s="1"/>
  <c r="O1328" i="3"/>
  <c r="S1328" i="3" s="1"/>
  <c r="O1329" i="3" s="1"/>
  <c r="S1329" i="3" s="1"/>
  <c r="O1330" i="3" s="1"/>
  <c r="S1330" i="3" s="1"/>
  <c r="AZ551" i="3"/>
  <c r="BA551" i="3"/>
  <c r="BB551" i="3" s="1"/>
  <c r="AS552" i="3"/>
  <c r="AA1386" i="3" l="1"/>
  <c r="AE1386" i="3" s="1"/>
  <c r="U1375" i="3"/>
  <c r="Y1375" i="3" s="1"/>
  <c r="O1331" i="3"/>
  <c r="S1331" i="3" s="1"/>
  <c r="AX552" i="3"/>
  <c r="C553" i="3"/>
  <c r="AA1387" i="3" l="1"/>
  <c r="AE1387" i="3" s="1"/>
  <c r="AA1388" i="3" s="1"/>
  <c r="AE1388" i="3" s="1"/>
  <c r="U1376" i="3"/>
  <c r="Y1376" i="3" s="1"/>
  <c r="O1332" i="3"/>
  <c r="S1332" i="3" s="1"/>
  <c r="O1333" i="3" s="1"/>
  <c r="S1333" i="3" s="1"/>
  <c r="AZ552" i="3"/>
  <c r="BA552" i="3"/>
  <c r="BB552" i="3" s="1"/>
  <c r="AS553" i="3"/>
  <c r="G553" i="3"/>
  <c r="AA1389" i="3" l="1"/>
  <c r="AE1389" i="3" s="1"/>
  <c r="U1377" i="3"/>
  <c r="Y1377" i="3" s="1"/>
  <c r="O1334" i="3"/>
  <c r="S1334" i="3" s="1"/>
  <c r="AU556" i="3"/>
  <c r="AU555" i="3"/>
  <c r="AX553" i="3"/>
  <c r="C554" i="3"/>
  <c r="AA1390" i="3" l="1"/>
  <c r="AE1390" i="3" s="1"/>
  <c r="U1378" i="3"/>
  <c r="Y1378" i="3" s="1"/>
  <c r="O1335" i="3"/>
  <c r="S1335" i="3" s="1"/>
  <c r="AZ553" i="3"/>
  <c r="BA553" i="3"/>
  <c r="BB553" i="3" s="1"/>
  <c r="AS554" i="3"/>
  <c r="G554" i="3"/>
  <c r="AA1391" i="3" l="1"/>
  <c r="AE1391" i="3" s="1"/>
  <c r="U1379" i="3"/>
  <c r="Y1379" i="3" s="1"/>
  <c r="O1336" i="3"/>
  <c r="S1336" i="3" s="1"/>
  <c r="AX554" i="3"/>
  <c r="C555" i="3"/>
  <c r="AA1392" i="3" l="1"/>
  <c r="AE1392" i="3" s="1"/>
  <c r="U1380" i="3"/>
  <c r="Y1380" i="3" s="1"/>
  <c r="O1337" i="3"/>
  <c r="S1337" i="3" s="1"/>
  <c r="AZ554" i="3"/>
  <c r="BA554" i="3"/>
  <c r="BB554" i="3" s="1"/>
  <c r="AS555" i="3"/>
  <c r="G555" i="3"/>
  <c r="AA1393" i="3" l="1"/>
  <c r="AE1393" i="3" s="1"/>
  <c r="U1381" i="3"/>
  <c r="Y1381" i="3" s="1"/>
  <c r="O1338" i="3"/>
  <c r="S1338" i="3" s="1"/>
  <c r="AX555" i="3"/>
  <c r="C556" i="3"/>
  <c r="AA1394" i="3" l="1"/>
  <c r="AE1394" i="3" s="1"/>
  <c r="U1382" i="3"/>
  <c r="Y1382" i="3" s="1"/>
  <c r="O1339" i="3"/>
  <c r="S1339" i="3" s="1"/>
  <c r="AZ555" i="3"/>
  <c r="BA555" i="3"/>
  <c r="BB555" i="3" s="1"/>
  <c r="G556" i="3"/>
  <c r="AS556" i="3"/>
  <c r="AA1395" i="3" l="1"/>
  <c r="AE1395" i="3" s="1"/>
  <c r="AA1396" i="3" s="1"/>
  <c r="AE1396" i="3" s="1"/>
  <c r="U1383" i="3"/>
  <c r="Y1383" i="3" s="1"/>
  <c r="O1340" i="3"/>
  <c r="S1340" i="3" s="1"/>
  <c r="AX556" i="3"/>
  <c r="C557" i="3"/>
  <c r="AA1397" i="3" l="1"/>
  <c r="AE1397" i="3" s="1"/>
  <c r="U1384" i="3"/>
  <c r="Y1384" i="3" s="1"/>
  <c r="U1385" i="3" s="1"/>
  <c r="Y1385" i="3" s="1"/>
  <c r="O1341" i="3"/>
  <c r="S1341" i="3" s="1"/>
  <c r="AZ556" i="3"/>
  <c r="BA556" i="3"/>
  <c r="BB556" i="3" s="1"/>
  <c r="AS557" i="3"/>
  <c r="G557" i="3"/>
  <c r="AA1398" i="3" l="1"/>
  <c r="AE1398" i="3" s="1"/>
  <c r="U1386" i="3"/>
  <c r="Y1386" i="3" s="1"/>
  <c r="O1342" i="3"/>
  <c r="S1342" i="3" s="1"/>
  <c r="AX557" i="3"/>
  <c r="C558" i="3"/>
  <c r="AA1399" i="3" l="1"/>
  <c r="AE1399" i="3" s="1"/>
  <c r="U1387" i="3"/>
  <c r="Y1387" i="3" s="1"/>
  <c r="U1388" i="3" s="1"/>
  <c r="Y1388" i="3" s="1"/>
  <c r="O1343" i="3"/>
  <c r="S1343" i="3" s="1"/>
  <c r="AZ557" i="3"/>
  <c r="BA557" i="3"/>
  <c r="BB557" i="3" s="1"/>
  <c r="AS558" i="3"/>
  <c r="G558" i="3"/>
  <c r="AA1400" i="3" l="1"/>
  <c r="AE1400" i="3" s="1"/>
  <c r="U1389" i="3"/>
  <c r="Y1389" i="3" s="1"/>
  <c r="O1344" i="3"/>
  <c r="S1344" i="3" s="1"/>
  <c r="AX558" i="3"/>
  <c r="C559" i="3"/>
  <c r="AA1401" i="3" l="1"/>
  <c r="AE1401" i="3" s="1"/>
  <c r="U1390" i="3"/>
  <c r="Y1390" i="3" s="1"/>
  <c r="O1345" i="3"/>
  <c r="S1345" i="3" s="1"/>
  <c r="AZ558" i="3"/>
  <c r="BA558" i="3"/>
  <c r="BB558" i="3" s="1"/>
  <c r="G559" i="3"/>
  <c r="AS559" i="3"/>
  <c r="AA1402" i="3" l="1"/>
  <c r="AE1402" i="3" s="1"/>
  <c r="U1391" i="3"/>
  <c r="Y1391" i="3" s="1"/>
  <c r="O1346" i="3"/>
  <c r="S1346" i="3" s="1"/>
  <c r="AX559" i="3"/>
  <c r="C560" i="3"/>
  <c r="AA1403" i="3" l="1"/>
  <c r="AE1403" i="3" s="1"/>
  <c r="AA1404" i="3" s="1"/>
  <c r="AE1404" i="3" s="1"/>
  <c r="U1392" i="3"/>
  <c r="Y1392" i="3" s="1"/>
  <c r="O1347" i="3"/>
  <c r="S1347" i="3" s="1"/>
  <c r="AZ559" i="3"/>
  <c r="BA559" i="3"/>
  <c r="BB559" i="3" s="1"/>
  <c r="G560" i="3"/>
  <c r="AS560" i="3"/>
  <c r="AA1405" i="3" l="1"/>
  <c r="AE1405" i="3" s="1"/>
  <c r="U1393" i="3"/>
  <c r="Y1393" i="3" s="1"/>
  <c r="O1348" i="3"/>
  <c r="S1348" i="3" s="1"/>
  <c r="AX560" i="3"/>
  <c r="C561" i="3"/>
  <c r="AA1406" i="3" l="1"/>
  <c r="AE1406" i="3" s="1"/>
  <c r="U1394" i="3"/>
  <c r="Y1394" i="3" s="1"/>
  <c r="O1349" i="3"/>
  <c r="S1349" i="3" s="1"/>
  <c r="AZ560" i="3"/>
  <c r="BA560" i="3"/>
  <c r="BB560" i="3" s="1"/>
  <c r="AS561" i="3"/>
  <c r="G561" i="3"/>
  <c r="AA1407" i="3" l="1"/>
  <c r="AE1407" i="3" s="1"/>
  <c r="AA1408" i="3" s="1"/>
  <c r="AE1408" i="3" s="1"/>
  <c r="U1395" i="3"/>
  <c r="Y1395" i="3" s="1"/>
  <c r="O1350" i="3"/>
  <c r="S1350" i="3" s="1"/>
  <c r="O1351" i="3" s="1"/>
  <c r="S1351" i="3" s="1"/>
  <c r="AX561" i="3"/>
  <c r="C562" i="3"/>
  <c r="AA1409" i="3" l="1"/>
  <c r="AE1409" i="3" s="1"/>
  <c r="U1396" i="3"/>
  <c r="Y1396" i="3" s="1"/>
  <c r="O1352" i="3"/>
  <c r="S1352" i="3" s="1"/>
  <c r="AZ561" i="3"/>
  <c r="BA561" i="3"/>
  <c r="BB561" i="3" s="1"/>
  <c r="AS562" i="3"/>
  <c r="G562" i="3"/>
  <c r="AA1410" i="3" l="1"/>
  <c r="AE1410" i="3" s="1"/>
  <c r="U1397" i="3"/>
  <c r="Y1397" i="3" s="1"/>
  <c r="O1353" i="3"/>
  <c r="S1353" i="3" s="1"/>
  <c r="AX562" i="3"/>
  <c r="C563" i="3"/>
  <c r="AA1411" i="3" l="1"/>
  <c r="AE1411" i="3" s="1"/>
  <c r="U1398" i="3"/>
  <c r="Y1398" i="3" s="1"/>
  <c r="O1354" i="3"/>
  <c r="S1354" i="3" s="1"/>
  <c r="O1355" i="3" s="1"/>
  <c r="S1355" i="3" s="1"/>
  <c r="AZ562" i="3"/>
  <c r="BA562" i="3"/>
  <c r="BB562" i="3" s="1"/>
  <c r="G563" i="3"/>
  <c r="AS563" i="3"/>
  <c r="AA1412" i="3" l="1"/>
  <c r="AE1412" i="3" s="1"/>
  <c r="AA1413" i="3" s="1"/>
  <c r="AE1413" i="3" s="1"/>
  <c r="U1399" i="3"/>
  <c r="Y1399" i="3" s="1"/>
  <c r="O1356" i="3"/>
  <c r="S1356" i="3" s="1"/>
  <c r="AX563" i="3"/>
  <c r="C564" i="3"/>
  <c r="AA1414" i="3" l="1"/>
  <c r="AE1414" i="3" s="1"/>
  <c r="U1400" i="3"/>
  <c r="Y1400" i="3" s="1"/>
  <c r="O1357" i="3"/>
  <c r="S1357" i="3" s="1"/>
  <c r="AZ563" i="3"/>
  <c r="BA563" i="3"/>
  <c r="BB563" i="3" s="1"/>
  <c r="AS564" i="3"/>
  <c r="G564" i="3"/>
  <c r="AA1415" i="3" l="1"/>
  <c r="AE1415" i="3" s="1"/>
  <c r="AA1416" i="3" s="1"/>
  <c r="AE1416" i="3" s="1"/>
  <c r="U1401" i="3"/>
  <c r="Y1401" i="3" s="1"/>
  <c r="O1358" i="3"/>
  <c r="S1358" i="3" s="1"/>
  <c r="AX564" i="3"/>
  <c r="C565" i="3"/>
  <c r="AA1417" i="3" l="1"/>
  <c r="AE1417" i="3" s="1"/>
  <c r="U1402" i="3"/>
  <c r="Y1402" i="3" s="1"/>
  <c r="O1359" i="3"/>
  <c r="S1359" i="3" s="1"/>
  <c r="AZ564" i="3"/>
  <c r="BA564" i="3"/>
  <c r="BB564" i="3" s="1"/>
  <c r="G565" i="3"/>
  <c r="AS565" i="3"/>
  <c r="AA1418" i="3" l="1"/>
  <c r="AE1418" i="3" s="1"/>
  <c r="U1403" i="3"/>
  <c r="Y1403" i="3" s="1"/>
  <c r="U1404" i="3" s="1"/>
  <c r="Y1404" i="3" s="1"/>
  <c r="O1360" i="3"/>
  <c r="S1360" i="3" s="1"/>
  <c r="AX565" i="3"/>
  <c r="C566" i="3"/>
  <c r="AA1419" i="3" l="1"/>
  <c r="AE1419" i="3" s="1"/>
  <c r="U1405" i="3"/>
  <c r="Y1405" i="3" s="1"/>
  <c r="O1361" i="3"/>
  <c r="S1361" i="3" s="1"/>
  <c r="O1362" i="3" s="1"/>
  <c r="S1362" i="3" s="1"/>
  <c r="O1363" i="3" s="1"/>
  <c r="S1363" i="3" s="1"/>
  <c r="AZ565" i="3"/>
  <c r="BA565" i="3"/>
  <c r="BB565" i="3" s="1"/>
  <c r="AS566" i="3"/>
  <c r="G566" i="3"/>
  <c r="AA1420" i="3" l="1"/>
  <c r="AE1420" i="3" s="1"/>
  <c r="U1406" i="3"/>
  <c r="Y1406" i="3" s="1"/>
  <c r="O1364" i="3"/>
  <c r="S1364" i="3" s="1"/>
  <c r="AX566" i="3"/>
  <c r="C567" i="3"/>
  <c r="AA1421" i="3" l="1"/>
  <c r="AE1421" i="3" s="1"/>
  <c r="U1407" i="3"/>
  <c r="Y1407" i="3" s="1"/>
  <c r="U1408" i="3" s="1"/>
  <c r="Y1408" i="3" s="1"/>
  <c r="O1365" i="3"/>
  <c r="S1365" i="3" s="1"/>
  <c r="AZ566" i="3"/>
  <c r="BA566" i="3"/>
  <c r="BB566" i="3" s="1"/>
  <c r="AS567" i="3"/>
  <c r="G567" i="3"/>
  <c r="AA1422" i="3" l="1"/>
  <c r="AE1422" i="3" s="1"/>
  <c r="U1409" i="3"/>
  <c r="Y1409" i="3" s="1"/>
  <c r="O1366" i="3"/>
  <c r="S1366" i="3" s="1"/>
  <c r="AX567" i="3"/>
  <c r="C568" i="3"/>
  <c r="G568" i="3" s="1"/>
  <c r="AA1423" i="3" l="1"/>
  <c r="AE1423" i="3" s="1"/>
  <c r="U1410" i="3"/>
  <c r="Y1410" i="3" s="1"/>
  <c r="O1367" i="3"/>
  <c r="S1367" i="3" s="1"/>
  <c r="AZ567" i="3"/>
  <c r="BA567" i="3"/>
  <c r="BB567" i="3" s="1"/>
  <c r="AS568" i="3"/>
  <c r="AA1424" i="3" l="1"/>
  <c r="AE1424" i="3" s="1"/>
  <c r="U1411" i="3"/>
  <c r="Y1411" i="3" s="1"/>
  <c r="O1368" i="3"/>
  <c r="S1368" i="3" s="1"/>
  <c r="AX568" i="3"/>
  <c r="C569" i="3"/>
  <c r="AA1425" i="3" l="1"/>
  <c r="AE1425" i="3" s="1"/>
  <c r="U1412" i="3"/>
  <c r="Y1412" i="3" s="1"/>
  <c r="U1413" i="3" s="1"/>
  <c r="Y1413" i="3" s="1"/>
  <c r="O1369" i="3"/>
  <c r="S1369" i="3" s="1"/>
  <c r="AZ568" i="3"/>
  <c r="BA568" i="3"/>
  <c r="BB568" i="3" s="1"/>
  <c r="AS569" i="3"/>
  <c r="G569" i="3"/>
  <c r="AA1426" i="3" l="1"/>
  <c r="AE1426" i="3" s="1"/>
  <c r="U1414" i="3"/>
  <c r="Y1414" i="3" s="1"/>
  <c r="O1370" i="3"/>
  <c r="S1370" i="3" s="1"/>
  <c r="AX569" i="3"/>
  <c r="C570" i="3"/>
  <c r="AA1427" i="3" l="1"/>
  <c r="AE1427" i="3" s="1"/>
  <c r="U1415" i="3"/>
  <c r="Y1415" i="3" s="1"/>
  <c r="U1416" i="3" s="1"/>
  <c r="Y1416" i="3" s="1"/>
  <c r="O1371" i="3"/>
  <c r="S1371" i="3" s="1"/>
  <c r="AZ569" i="3"/>
  <c r="BA569" i="3"/>
  <c r="BB569" i="3" s="1"/>
  <c r="G570" i="3"/>
  <c r="AS570" i="3"/>
  <c r="AA1428" i="3" l="1"/>
  <c r="AE1428" i="3" s="1"/>
  <c r="U1417" i="3"/>
  <c r="Y1417" i="3" s="1"/>
  <c r="O1372" i="3"/>
  <c r="S1372" i="3" s="1"/>
  <c r="AX570" i="3"/>
  <c r="C571" i="3"/>
  <c r="AA1429" i="3" l="1"/>
  <c r="AE1429" i="3" s="1"/>
  <c r="U1418" i="3"/>
  <c r="Y1418" i="3" s="1"/>
  <c r="O1373" i="3"/>
  <c r="S1373" i="3" s="1"/>
  <c r="AZ570" i="3"/>
  <c r="BA570" i="3"/>
  <c r="BB570" i="3" s="1"/>
  <c r="AS571" i="3"/>
  <c r="G571" i="3"/>
  <c r="AA1430" i="3" l="1"/>
  <c r="AE1430" i="3" s="1"/>
  <c r="U1419" i="3"/>
  <c r="Y1419" i="3" s="1"/>
  <c r="O1374" i="3"/>
  <c r="S1374" i="3" s="1"/>
  <c r="AX571" i="3"/>
  <c r="C572" i="3"/>
  <c r="AA1431" i="3" l="1"/>
  <c r="AE1431" i="3" s="1"/>
  <c r="U1420" i="3"/>
  <c r="Y1420" i="3" s="1"/>
  <c r="O1375" i="3"/>
  <c r="S1375" i="3" s="1"/>
  <c r="AZ571" i="3"/>
  <c r="BA571" i="3"/>
  <c r="BB571" i="3" s="1"/>
  <c r="AS572" i="3"/>
  <c r="G572" i="3"/>
  <c r="AA1432" i="3" l="1"/>
  <c r="AE1432" i="3" s="1"/>
  <c r="U1421" i="3"/>
  <c r="Y1421" i="3" s="1"/>
  <c r="O1376" i="3"/>
  <c r="S1376" i="3" s="1"/>
  <c r="AX572" i="3"/>
  <c r="C573" i="3"/>
  <c r="AA1433" i="3" l="1"/>
  <c r="AE1433" i="3" s="1"/>
  <c r="AA1434" i="3" s="1"/>
  <c r="AE1434" i="3" s="1"/>
  <c r="AA1435" i="3" s="1"/>
  <c r="AE1435" i="3" s="1"/>
  <c r="AA1436" i="3" s="1"/>
  <c r="AE1436" i="3" s="1"/>
  <c r="AA1437" i="3" s="1"/>
  <c r="AE1437" i="3" s="1"/>
  <c r="U1422" i="3"/>
  <c r="Y1422" i="3" s="1"/>
  <c r="O1377" i="3"/>
  <c r="S1377" i="3" s="1"/>
  <c r="AZ572" i="3"/>
  <c r="BA572" i="3"/>
  <c r="BB572" i="3" s="1"/>
  <c r="AS573" i="3"/>
  <c r="G573" i="3"/>
  <c r="AA1438" i="3" l="1"/>
  <c r="AE1438" i="3" s="1"/>
  <c r="U1423" i="3"/>
  <c r="Y1423" i="3" s="1"/>
  <c r="O1378" i="3"/>
  <c r="S1378" i="3" s="1"/>
  <c r="AX573" i="3"/>
  <c r="C574" i="3"/>
  <c r="AA1439" i="3" l="1"/>
  <c r="AE1439" i="3" s="1"/>
  <c r="U1424" i="3"/>
  <c r="Y1424" i="3" s="1"/>
  <c r="O1379" i="3"/>
  <c r="S1379" i="3" s="1"/>
  <c r="AZ573" i="3"/>
  <c r="BA573" i="3"/>
  <c r="BB573" i="3" s="1"/>
  <c r="AS574" i="3"/>
  <c r="G574" i="3"/>
  <c r="AA1440" i="3" l="1"/>
  <c r="AE1440" i="3" s="1"/>
  <c r="U1425" i="3"/>
  <c r="Y1425" i="3" s="1"/>
  <c r="O1380" i="3"/>
  <c r="S1380" i="3" s="1"/>
  <c r="AX574" i="3"/>
  <c r="C575" i="3"/>
  <c r="AA1441" i="3" l="1"/>
  <c r="AE1441" i="3" s="1"/>
  <c r="AA1442" i="3" s="1"/>
  <c r="AE1442" i="3" s="1"/>
  <c r="AA1443" i="3" s="1"/>
  <c r="AE1443" i="3" s="1"/>
  <c r="AA1444" i="3" s="1"/>
  <c r="AE1444" i="3" s="1"/>
  <c r="AA1445" i="3" s="1"/>
  <c r="AE1445" i="3" s="1"/>
  <c r="AA1446" i="3" s="1"/>
  <c r="AE1446" i="3" s="1"/>
  <c r="AA1447" i="3" s="1"/>
  <c r="AE1447" i="3" s="1"/>
  <c r="AA1448" i="3" s="1"/>
  <c r="AE1448" i="3" s="1"/>
  <c r="AA1449" i="3" s="1"/>
  <c r="AE1449" i="3" s="1"/>
  <c r="AA1450" i="3" s="1"/>
  <c r="AE1450" i="3" s="1"/>
  <c r="AA1451" i="3" s="1"/>
  <c r="AE1451" i="3" s="1"/>
  <c r="AA1452" i="3" s="1"/>
  <c r="AE1452" i="3" s="1"/>
  <c r="AA1453" i="3" s="1"/>
  <c r="AE1453" i="3" s="1"/>
  <c r="AA1454" i="3" s="1"/>
  <c r="AE1454" i="3" s="1"/>
  <c r="AA1455" i="3" s="1"/>
  <c r="AE1455" i="3" s="1"/>
  <c r="AA1456" i="3" s="1"/>
  <c r="AE1456" i="3" s="1"/>
  <c r="AA1457" i="3" s="1"/>
  <c r="AE1457" i="3" s="1"/>
  <c r="U1426" i="3"/>
  <c r="Y1426" i="3" s="1"/>
  <c r="O1381" i="3"/>
  <c r="S1381" i="3" s="1"/>
  <c r="AZ574" i="3"/>
  <c r="BA574" i="3"/>
  <c r="BB574" i="3" s="1"/>
  <c r="AS575" i="3"/>
  <c r="G575" i="3"/>
  <c r="AA1468" i="3" l="1"/>
  <c r="AE1468" i="3" s="1"/>
  <c r="AA1469" i="3" s="1"/>
  <c r="AE1469" i="3" s="1"/>
  <c r="AA1470" i="3" s="1"/>
  <c r="AE1470" i="3" s="1"/>
  <c r="AA1471" i="3" s="1"/>
  <c r="AE1471" i="3" s="1"/>
  <c r="AA1472" i="3" s="1"/>
  <c r="AE1472" i="3" s="1"/>
  <c r="AA1473" i="3" s="1"/>
  <c r="AE1473" i="3" s="1"/>
  <c r="AA1474" i="3" s="1"/>
  <c r="AE1474" i="3" s="1"/>
  <c r="AA1475" i="3" s="1"/>
  <c r="AE1475" i="3" s="1"/>
  <c r="AA1476" i="3" s="1"/>
  <c r="AE1476" i="3" s="1"/>
  <c r="AA1477" i="3" s="1"/>
  <c r="AE1477" i="3" s="1"/>
  <c r="AA1478" i="3" s="1"/>
  <c r="AE1478" i="3" s="1"/>
  <c r="AA1479" i="3" s="1"/>
  <c r="AE1479" i="3" s="1"/>
  <c r="AA1480" i="3" s="1"/>
  <c r="AE1480" i="3" s="1"/>
  <c r="AA1481" i="3" s="1"/>
  <c r="AE1481" i="3" s="1"/>
  <c r="AA1482" i="3" s="1"/>
  <c r="AE1482" i="3" s="1"/>
  <c r="AA1483" i="3" s="1"/>
  <c r="AE1483" i="3" s="1"/>
  <c r="AA1484" i="3" s="1"/>
  <c r="AE1484" i="3" s="1"/>
  <c r="AA1485" i="3" s="1"/>
  <c r="AE1485" i="3" s="1"/>
  <c r="AA1486" i="3" s="1"/>
  <c r="AE1486" i="3" s="1"/>
  <c r="AA1487" i="3" s="1"/>
  <c r="AE1487" i="3" s="1"/>
  <c r="AA1488" i="3" s="1"/>
  <c r="AE1488" i="3" s="1"/>
  <c r="AA1489" i="3" s="1"/>
  <c r="AE1489" i="3" s="1"/>
  <c r="AA1490" i="3" s="1"/>
  <c r="AE1490" i="3" s="1"/>
  <c r="AA1491" i="3" s="1"/>
  <c r="AE1491" i="3" s="1"/>
  <c r="AA1492" i="3" s="1"/>
  <c r="AE1492" i="3" s="1"/>
  <c r="AA1493" i="3" s="1"/>
  <c r="AE1493" i="3" s="1"/>
  <c r="AA1494" i="3" s="1"/>
  <c r="AE1494" i="3" s="1"/>
  <c r="AA1495" i="3" s="1"/>
  <c r="AE1495" i="3" s="1"/>
  <c r="AA1496" i="3" s="1"/>
  <c r="AE1496" i="3" s="1"/>
  <c r="AA1497" i="3" s="1"/>
  <c r="AE1497" i="3" s="1"/>
  <c r="AA1498" i="3" s="1"/>
  <c r="AE1498" i="3" s="1"/>
  <c r="AA1499" i="3" s="1"/>
  <c r="AE1499" i="3" s="1"/>
  <c r="AA1500" i="3" s="1"/>
  <c r="AE1500" i="3" s="1"/>
  <c r="AA1501" i="3" s="1"/>
  <c r="AE1501" i="3" s="1"/>
  <c r="AA1502" i="3" s="1"/>
  <c r="AE1502" i="3" s="1"/>
  <c r="AA1503" i="3" s="1"/>
  <c r="AE1503" i="3" s="1"/>
  <c r="AA1504" i="3" s="1"/>
  <c r="AE1504" i="3" s="1"/>
  <c r="AA1505" i="3" s="1"/>
  <c r="AE1505" i="3" s="1"/>
  <c r="AA1506" i="3" s="1"/>
  <c r="AE1506" i="3" s="1"/>
  <c r="AA1507" i="3" s="1"/>
  <c r="AE1507" i="3" s="1"/>
  <c r="AA1508" i="3" s="1"/>
  <c r="AE1508" i="3" s="1"/>
  <c r="AA1509" i="3" s="1"/>
  <c r="AE1509" i="3" s="1"/>
  <c r="AA1510" i="3" s="1"/>
  <c r="AE1510" i="3" s="1"/>
  <c r="AA1511" i="3" s="1"/>
  <c r="AE1511" i="3" s="1"/>
  <c r="AA1512" i="3" s="1"/>
  <c r="AE1512" i="3" s="1"/>
  <c r="AA1513" i="3" s="1"/>
  <c r="AE1513" i="3" s="1"/>
  <c r="AA1514" i="3" s="1"/>
  <c r="AE1514" i="3" s="1"/>
  <c r="AA1515" i="3" s="1"/>
  <c r="AE1515" i="3" s="1"/>
  <c r="AA1516" i="3" s="1"/>
  <c r="AE1516" i="3" s="1"/>
  <c r="AA1517" i="3" s="1"/>
  <c r="AE1517" i="3" s="1"/>
  <c r="AA1518" i="3" s="1"/>
  <c r="AE1518" i="3" s="1"/>
  <c r="AA1519" i="3" s="1"/>
  <c r="AE1519" i="3" s="1"/>
  <c r="AA1520" i="3" s="1"/>
  <c r="AE1520" i="3" s="1"/>
  <c r="AA1521" i="3" s="1"/>
  <c r="AE1521" i="3" s="1"/>
  <c r="AA1522" i="3" s="1"/>
  <c r="AE1522" i="3" s="1"/>
  <c r="AA1523" i="3" s="1"/>
  <c r="AE1523" i="3" s="1"/>
  <c r="AA1524" i="3" s="1"/>
  <c r="AE1524" i="3" s="1"/>
  <c r="AA1525" i="3" s="1"/>
  <c r="AE1525" i="3" s="1"/>
  <c r="AA1526" i="3" s="1"/>
  <c r="AE1526" i="3" s="1"/>
  <c r="AA1527" i="3" s="1"/>
  <c r="AE1527" i="3" s="1"/>
  <c r="AA1528" i="3" s="1"/>
  <c r="AE1528" i="3" s="1"/>
  <c r="AA1529" i="3" s="1"/>
  <c r="AE1529" i="3" s="1"/>
  <c r="AA1530" i="3" s="1"/>
  <c r="AE1530" i="3" s="1"/>
  <c r="AA1531" i="3" s="1"/>
  <c r="AE1531" i="3" s="1"/>
  <c r="AA1532" i="3" s="1"/>
  <c r="AE1532" i="3" s="1"/>
  <c r="AA1533" i="3" s="1"/>
  <c r="AE1533" i="3" s="1"/>
  <c r="AA1534" i="3" s="1"/>
  <c r="AE1534" i="3" s="1"/>
  <c r="AA1535" i="3" s="1"/>
  <c r="AE1535" i="3" s="1"/>
  <c r="AA1536" i="3" s="1"/>
  <c r="AE1536" i="3" s="1"/>
  <c r="AA1537" i="3" s="1"/>
  <c r="AE1537" i="3" s="1"/>
  <c r="AA1538" i="3" s="1"/>
  <c r="AE1538" i="3" s="1"/>
  <c r="AA1539" i="3" s="1"/>
  <c r="AE1539" i="3" s="1"/>
  <c r="AA1540" i="3" s="1"/>
  <c r="AE1540" i="3" s="1"/>
  <c r="AA1541" i="3" s="1"/>
  <c r="AE1541" i="3" s="1"/>
  <c r="AA1542" i="3" s="1"/>
  <c r="AE1542" i="3" s="1"/>
  <c r="AA1543" i="3" s="1"/>
  <c r="AE1543" i="3" s="1"/>
  <c r="AA1544" i="3" s="1"/>
  <c r="AE1544" i="3" s="1"/>
  <c r="AA1545" i="3" s="1"/>
  <c r="AE1545" i="3" s="1"/>
  <c r="AA1546" i="3" s="1"/>
  <c r="AE1546" i="3" s="1"/>
  <c r="AA1547" i="3" s="1"/>
  <c r="AE1547" i="3" s="1"/>
  <c r="AA1548" i="3" s="1"/>
  <c r="AE1548" i="3" s="1"/>
  <c r="AA1549" i="3" s="1"/>
  <c r="AE1549" i="3" s="1"/>
  <c r="AA1550" i="3" s="1"/>
  <c r="AE1550" i="3" s="1"/>
  <c r="AA1551" i="3" s="1"/>
  <c r="AE1551" i="3" s="1"/>
  <c r="AA1552" i="3" s="1"/>
  <c r="AE1552" i="3" s="1"/>
  <c r="AA1553" i="3" s="1"/>
  <c r="AE1553" i="3" s="1"/>
  <c r="AA1554" i="3" s="1"/>
  <c r="AE1554" i="3" s="1"/>
  <c r="AA1555" i="3" s="1"/>
  <c r="AE1555" i="3" s="1"/>
  <c r="AA1556" i="3" s="1"/>
  <c r="AE1556" i="3" s="1"/>
  <c r="AA1557" i="3" s="1"/>
  <c r="AE1557" i="3" s="1"/>
  <c r="AA1558" i="3" s="1"/>
  <c r="AE1558" i="3" s="1"/>
  <c r="AA1559" i="3" s="1"/>
  <c r="AE1559" i="3" s="1"/>
  <c r="AA1560" i="3" s="1"/>
  <c r="AE1560" i="3" s="1"/>
  <c r="AA1561" i="3" s="1"/>
  <c r="AE1561" i="3" s="1"/>
  <c r="AA1562" i="3" s="1"/>
  <c r="AE1562" i="3" s="1"/>
  <c r="AA1563" i="3" s="1"/>
  <c r="AE1563" i="3" s="1"/>
  <c r="AA1564" i="3" s="1"/>
  <c r="AE1564" i="3" s="1"/>
  <c r="AA1565" i="3" s="1"/>
  <c r="AE1565" i="3" s="1"/>
  <c r="AA1566" i="3" s="1"/>
  <c r="AE1566" i="3" s="1"/>
  <c r="AA1567" i="3" s="1"/>
  <c r="AE1567" i="3" s="1"/>
  <c r="AA1568" i="3" s="1"/>
  <c r="AE1568" i="3" s="1"/>
  <c r="AA1569" i="3" s="1"/>
  <c r="AE1569" i="3" s="1"/>
  <c r="AA1570" i="3" s="1"/>
  <c r="AE1570" i="3" s="1"/>
  <c r="AA1571" i="3" s="1"/>
  <c r="AE1571" i="3" s="1"/>
  <c r="AA1572" i="3" s="1"/>
  <c r="AE1572" i="3" s="1"/>
  <c r="AA1573" i="3" s="1"/>
  <c r="AE1573" i="3" s="1"/>
  <c r="AA1574" i="3" s="1"/>
  <c r="AE1574" i="3" s="1"/>
  <c r="AA1575" i="3" s="1"/>
  <c r="AE1575" i="3" s="1"/>
  <c r="AA1576" i="3" s="1"/>
  <c r="AE1576" i="3" s="1"/>
  <c r="AA1577" i="3" s="1"/>
  <c r="AE1577" i="3" s="1"/>
  <c r="AA1578" i="3" s="1"/>
  <c r="AE1578" i="3" s="1"/>
  <c r="AA1579" i="3" s="1"/>
  <c r="AE1579" i="3" s="1"/>
  <c r="AA1580" i="3" s="1"/>
  <c r="AE1580" i="3" s="1"/>
  <c r="AA1581" i="3" s="1"/>
  <c r="AE1581" i="3" s="1"/>
  <c r="AA1582" i="3" s="1"/>
  <c r="AE1582" i="3" s="1"/>
  <c r="AA1583" i="3" s="1"/>
  <c r="AE1583" i="3" s="1"/>
  <c r="AA1584" i="3" s="1"/>
  <c r="AE1584" i="3" s="1"/>
  <c r="AA1585" i="3" s="1"/>
  <c r="AE1585" i="3" s="1"/>
  <c r="AA1586" i="3" s="1"/>
  <c r="AE1586" i="3" s="1"/>
  <c r="AA1587" i="3" s="1"/>
  <c r="AE1587" i="3" s="1"/>
  <c r="AA1588" i="3" s="1"/>
  <c r="AE1588" i="3" s="1"/>
  <c r="AA1589" i="3" s="1"/>
  <c r="AE1589" i="3" s="1"/>
  <c r="AA1590" i="3" s="1"/>
  <c r="AE1590" i="3" s="1"/>
  <c r="AA1591" i="3" s="1"/>
  <c r="AE1591" i="3" s="1"/>
  <c r="AA1592" i="3" s="1"/>
  <c r="AE1592" i="3" s="1"/>
  <c r="AA1593" i="3" s="1"/>
  <c r="AE1593" i="3" s="1"/>
  <c r="AA1594" i="3" s="1"/>
  <c r="AE1594" i="3" s="1"/>
  <c r="AA1595" i="3" s="1"/>
  <c r="AE1595" i="3" s="1"/>
  <c r="AA1596" i="3" s="1"/>
  <c r="AE1596" i="3" s="1"/>
  <c r="AA1597" i="3" s="1"/>
  <c r="AE1597" i="3" s="1"/>
  <c r="AA1598" i="3" s="1"/>
  <c r="AE1598" i="3" s="1"/>
  <c r="AA1599" i="3" s="1"/>
  <c r="AE1599" i="3" s="1"/>
  <c r="AA1600" i="3" s="1"/>
  <c r="AE1600" i="3" s="1"/>
  <c r="AA1601" i="3" s="1"/>
  <c r="AE1601" i="3" s="1"/>
  <c r="AA1602" i="3" s="1"/>
  <c r="AE1602" i="3" s="1"/>
  <c r="AA1603" i="3" s="1"/>
  <c r="AE1603" i="3" s="1"/>
  <c r="AA1604" i="3" s="1"/>
  <c r="AE1604" i="3" s="1"/>
  <c r="AA1605" i="3" s="1"/>
  <c r="AE1605" i="3" s="1"/>
  <c r="AA1606" i="3" s="1"/>
  <c r="AE1606" i="3" s="1"/>
  <c r="AA1607" i="3" s="1"/>
  <c r="AE1607" i="3" s="1"/>
  <c r="AA1608" i="3" s="1"/>
  <c r="AE1608" i="3" s="1"/>
  <c r="AA1609" i="3" s="1"/>
  <c r="AE1609" i="3" s="1"/>
  <c r="AA1610" i="3" s="1"/>
  <c r="AE1610" i="3" s="1"/>
  <c r="AA1611" i="3" s="1"/>
  <c r="AE1611" i="3" s="1"/>
  <c r="AA1612" i="3" s="1"/>
  <c r="AE1612" i="3" s="1"/>
  <c r="AA1613" i="3" s="1"/>
  <c r="AE1613" i="3" s="1"/>
  <c r="AA1614" i="3" s="1"/>
  <c r="AE1614" i="3" s="1"/>
  <c r="AA1615" i="3" s="1"/>
  <c r="AE1615" i="3" s="1"/>
  <c r="AA1616" i="3" s="1"/>
  <c r="AE1616" i="3" s="1"/>
  <c r="AA1617" i="3" s="1"/>
  <c r="AE1617" i="3" s="1"/>
  <c r="AA1618" i="3" s="1"/>
  <c r="AE1618" i="3" s="1"/>
  <c r="AA1619" i="3" s="1"/>
  <c r="AE1619" i="3" s="1"/>
  <c r="AA1620" i="3" s="1"/>
  <c r="AE1620" i="3" s="1"/>
  <c r="AA1621" i="3" s="1"/>
  <c r="AE1621" i="3" s="1"/>
  <c r="AA1622" i="3" s="1"/>
  <c r="AE1622" i="3" s="1"/>
  <c r="AA1623" i="3" s="1"/>
  <c r="AE1623" i="3" s="1"/>
  <c r="AA1624" i="3" s="1"/>
  <c r="AE1624" i="3" s="1"/>
  <c r="AA1625" i="3" s="1"/>
  <c r="AE1625" i="3" s="1"/>
  <c r="AA1626" i="3" s="1"/>
  <c r="AE1626" i="3" s="1"/>
  <c r="AA1627" i="3" s="1"/>
  <c r="AE1627" i="3" s="1"/>
  <c r="AA1628" i="3" s="1"/>
  <c r="AE1628" i="3" s="1"/>
  <c r="AA1629" i="3" s="1"/>
  <c r="AE1629" i="3" s="1"/>
  <c r="AA1630" i="3" s="1"/>
  <c r="AE1630" i="3" s="1"/>
  <c r="AA1631" i="3" s="1"/>
  <c r="AE1631" i="3" s="1"/>
  <c r="AA1632" i="3" s="1"/>
  <c r="AE1632" i="3" s="1"/>
  <c r="AA1633" i="3" s="1"/>
  <c r="AE1633" i="3" s="1"/>
  <c r="AA1634" i="3" s="1"/>
  <c r="AE1634" i="3" s="1"/>
  <c r="U1427" i="3"/>
  <c r="Y1427" i="3" s="1"/>
  <c r="O1382" i="3"/>
  <c r="S1382" i="3" s="1"/>
  <c r="AX575" i="3"/>
  <c r="C576" i="3"/>
  <c r="U1428" i="3" l="1"/>
  <c r="Y1428" i="3" s="1"/>
  <c r="O1383" i="3"/>
  <c r="S1383" i="3" s="1"/>
  <c r="AZ575" i="3"/>
  <c r="BA575" i="3"/>
  <c r="BB575" i="3" s="1"/>
  <c r="AS576" i="3"/>
  <c r="G576" i="3"/>
  <c r="U1429" i="3" l="1"/>
  <c r="Y1429" i="3" s="1"/>
  <c r="O1384" i="3"/>
  <c r="S1384" i="3" s="1"/>
  <c r="AX576" i="3"/>
  <c r="C577" i="3"/>
  <c r="U1430" i="3" l="1"/>
  <c r="Y1430" i="3" s="1"/>
  <c r="O1385" i="3"/>
  <c r="S1385" i="3" s="1"/>
  <c r="AZ576" i="3"/>
  <c r="BA576" i="3"/>
  <c r="BB576" i="3" s="1"/>
  <c r="AS577" i="3"/>
  <c r="G577" i="3"/>
  <c r="U1431" i="3" l="1"/>
  <c r="Y1431" i="3" s="1"/>
  <c r="O1386" i="3"/>
  <c r="S1386" i="3" s="1"/>
  <c r="AX577" i="3"/>
  <c r="C578" i="3"/>
  <c r="U1432" i="3" l="1"/>
  <c r="Y1432" i="3" s="1"/>
  <c r="O1387" i="3"/>
  <c r="S1387" i="3" s="1"/>
  <c r="AZ577" i="3"/>
  <c r="BA577" i="3"/>
  <c r="BB577" i="3" s="1"/>
  <c r="AS578" i="3"/>
  <c r="G578" i="3"/>
  <c r="U1433" i="3" l="1"/>
  <c r="Y1433" i="3" s="1"/>
  <c r="U1434" i="3" s="1"/>
  <c r="Y1434" i="3" s="1"/>
  <c r="U1435" i="3" s="1"/>
  <c r="Y1435" i="3" s="1"/>
  <c r="U1436" i="3" s="1"/>
  <c r="Y1436" i="3" s="1"/>
  <c r="U1437" i="3" s="1"/>
  <c r="Y1437" i="3" s="1"/>
  <c r="O1388" i="3"/>
  <c r="S1388" i="3" s="1"/>
  <c r="AX578" i="3"/>
  <c r="C579" i="3"/>
  <c r="U1438" i="3" l="1"/>
  <c r="Y1438" i="3" s="1"/>
  <c r="O1389" i="3"/>
  <c r="S1389" i="3" s="1"/>
  <c r="AZ578" i="3"/>
  <c r="BA578" i="3"/>
  <c r="BB578" i="3" s="1"/>
  <c r="AS579" i="3"/>
  <c r="G579" i="3"/>
  <c r="U1439" i="3" l="1"/>
  <c r="Y1439" i="3" s="1"/>
  <c r="O1390" i="3"/>
  <c r="S1390" i="3" s="1"/>
  <c r="AX579" i="3"/>
  <c r="C580" i="3"/>
  <c r="U1440" i="3" l="1"/>
  <c r="Y1440" i="3" s="1"/>
  <c r="O1391" i="3"/>
  <c r="S1391" i="3" s="1"/>
  <c r="AZ579" i="3"/>
  <c r="BA579" i="3"/>
  <c r="BB579" i="3" s="1"/>
  <c r="G580" i="3"/>
  <c r="AS580" i="3"/>
  <c r="U1441" i="3" l="1"/>
  <c r="Y1441" i="3" s="1"/>
  <c r="U1442" i="3" s="1"/>
  <c r="Y1442" i="3" s="1"/>
  <c r="U1443" i="3" s="1"/>
  <c r="Y1443" i="3" s="1"/>
  <c r="U1444" i="3" s="1"/>
  <c r="Y1444" i="3" s="1"/>
  <c r="U1445" i="3" s="1"/>
  <c r="Y1445" i="3" s="1"/>
  <c r="U1446" i="3" s="1"/>
  <c r="Y1446" i="3" s="1"/>
  <c r="U1447" i="3" s="1"/>
  <c r="Y1447" i="3" s="1"/>
  <c r="U1448" i="3" s="1"/>
  <c r="Y1448" i="3" s="1"/>
  <c r="U1449" i="3" s="1"/>
  <c r="Y1449" i="3" s="1"/>
  <c r="U1450" i="3" s="1"/>
  <c r="Y1450" i="3" s="1"/>
  <c r="U1451" i="3" s="1"/>
  <c r="Y1451" i="3" s="1"/>
  <c r="U1452" i="3" s="1"/>
  <c r="Y1452" i="3" s="1"/>
  <c r="U1453" i="3" s="1"/>
  <c r="Y1453" i="3" s="1"/>
  <c r="U1454" i="3" s="1"/>
  <c r="Y1454" i="3" s="1"/>
  <c r="U1455" i="3" s="1"/>
  <c r="Y1455" i="3" s="1"/>
  <c r="U1456" i="3" s="1"/>
  <c r="Y1456" i="3" s="1"/>
  <c r="U1457" i="3" s="1"/>
  <c r="Y1457" i="3" s="1"/>
  <c r="O1392" i="3"/>
  <c r="S1392" i="3" s="1"/>
  <c r="AX580" i="3"/>
  <c r="C581" i="3"/>
  <c r="U1468" i="3" l="1"/>
  <c r="Y1468" i="3" s="1"/>
  <c r="U1469" i="3" s="1"/>
  <c r="Y1469" i="3" s="1"/>
  <c r="U1470" i="3" s="1"/>
  <c r="Y1470" i="3" s="1"/>
  <c r="U1471" i="3" s="1"/>
  <c r="Y1471" i="3" s="1"/>
  <c r="U1472" i="3" s="1"/>
  <c r="Y1472" i="3" s="1"/>
  <c r="U1473" i="3" s="1"/>
  <c r="Y1473" i="3" s="1"/>
  <c r="U1474" i="3" s="1"/>
  <c r="Y1474" i="3" s="1"/>
  <c r="U1475" i="3" s="1"/>
  <c r="Y1475" i="3" s="1"/>
  <c r="U1476" i="3" s="1"/>
  <c r="Y1476" i="3" s="1"/>
  <c r="U1477" i="3" s="1"/>
  <c r="Y1477" i="3" s="1"/>
  <c r="U1478" i="3" s="1"/>
  <c r="Y1478" i="3" s="1"/>
  <c r="U1479" i="3" s="1"/>
  <c r="Y1479" i="3" s="1"/>
  <c r="U1480" i="3" s="1"/>
  <c r="Y1480" i="3" s="1"/>
  <c r="U1481" i="3" s="1"/>
  <c r="Y1481" i="3" s="1"/>
  <c r="U1482" i="3" s="1"/>
  <c r="Y1482" i="3" s="1"/>
  <c r="U1483" i="3" s="1"/>
  <c r="Y1483" i="3" s="1"/>
  <c r="U1484" i="3" s="1"/>
  <c r="Y1484" i="3" s="1"/>
  <c r="U1485" i="3" s="1"/>
  <c r="Y1485" i="3" s="1"/>
  <c r="U1486" i="3" s="1"/>
  <c r="Y1486" i="3" s="1"/>
  <c r="U1487" i="3" s="1"/>
  <c r="Y1487" i="3" s="1"/>
  <c r="U1488" i="3" s="1"/>
  <c r="Y1488" i="3" s="1"/>
  <c r="U1489" i="3" s="1"/>
  <c r="Y1489" i="3" s="1"/>
  <c r="U1490" i="3" s="1"/>
  <c r="Y1490" i="3" s="1"/>
  <c r="U1491" i="3" s="1"/>
  <c r="Y1491" i="3" s="1"/>
  <c r="U1492" i="3" s="1"/>
  <c r="Y1492" i="3" s="1"/>
  <c r="U1493" i="3" s="1"/>
  <c r="Y1493" i="3" s="1"/>
  <c r="U1494" i="3" s="1"/>
  <c r="Y1494" i="3" s="1"/>
  <c r="U1495" i="3" s="1"/>
  <c r="Y1495" i="3" s="1"/>
  <c r="U1496" i="3" s="1"/>
  <c r="Y1496" i="3" s="1"/>
  <c r="U1497" i="3" s="1"/>
  <c r="Y1497" i="3" s="1"/>
  <c r="U1498" i="3" s="1"/>
  <c r="Y1498" i="3" s="1"/>
  <c r="U1499" i="3" s="1"/>
  <c r="Y1499" i="3" s="1"/>
  <c r="U1500" i="3" s="1"/>
  <c r="Y1500" i="3" s="1"/>
  <c r="U1501" i="3" s="1"/>
  <c r="Y1501" i="3" s="1"/>
  <c r="U1502" i="3" s="1"/>
  <c r="Y1502" i="3" s="1"/>
  <c r="U1503" i="3" s="1"/>
  <c r="Y1503" i="3" s="1"/>
  <c r="U1504" i="3" s="1"/>
  <c r="Y1504" i="3" s="1"/>
  <c r="U1505" i="3" s="1"/>
  <c r="Y1505" i="3" s="1"/>
  <c r="U1506" i="3" s="1"/>
  <c r="Y1506" i="3" s="1"/>
  <c r="U1507" i="3" s="1"/>
  <c r="Y1507" i="3" s="1"/>
  <c r="U1508" i="3" s="1"/>
  <c r="Y1508" i="3" s="1"/>
  <c r="U1509" i="3" s="1"/>
  <c r="Y1509" i="3" s="1"/>
  <c r="U1510" i="3" s="1"/>
  <c r="Y1510" i="3" s="1"/>
  <c r="U1511" i="3" s="1"/>
  <c r="Y1511" i="3" s="1"/>
  <c r="U1512" i="3" s="1"/>
  <c r="Y1512" i="3" s="1"/>
  <c r="U1513" i="3" s="1"/>
  <c r="Y1513" i="3" s="1"/>
  <c r="U1514" i="3" s="1"/>
  <c r="Y1514" i="3" s="1"/>
  <c r="U1515" i="3" s="1"/>
  <c r="Y1515" i="3" s="1"/>
  <c r="U1516" i="3" s="1"/>
  <c r="Y1516" i="3" s="1"/>
  <c r="U1517" i="3" s="1"/>
  <c r="Y1517" i="3" s="1"/>
  <c r="U1518" i="3" s="1"/>
  <c r="Y1518" i="3" s="1"/>
  <c r="U1519" i="3" s="1"/>
  <c r="Y1519" i="3" s="1"/>
  <c r="U1520" i="3" s="1"/>
  <c r="Y1520" i="3" s="1"/>
  <c r="U1521" i="3" s="1"/>
  <c r="Y1521" i="3" s="1"/>
  <c r="U1522" i="3" s="1"/>
  <c r="Y1522" i="3" s="1"/>
  <c r="U1523" i="3" s="1"/>
  <c r="Y1523" i="3" s="1"/>
  <c r="U1524" i="3" s="1"/>
  <c r="Y1524" i="3" s="1"/>
  <c r="U1525" i="3" s="1"/>
  <c r="Y1525" i="3" s="1"/>
  <c r="U1526" i="3" s="1"/>
  <c r="Y1526" i="3" s="1"/>
  <c r="U1527" i="3" s="1"/>
  <c r="Y1527" i="3" s="1"/>
  <c r="U1528" i="3" s="1"/>
  <c r="Y1528" i="3" s="1"/>
  <c r="U1529" i="3" s="1"/>
  <c r="Y1529" i="3" s="1"/>
  <c r="U1530" i="3" s="1"/>
  <c r="Y1530" i="3" s="1"/>
  <c r="U1531" i="3" s="1"/>
  <c r="Y1531" i="3" s="1"/>
  <c r="U1532" i="3" s="1"/>
  <c r="Y1532" i="3" s="1"/>
  <c r="U1533" i="3" s="1"/>
  <c r="Y1533" i="3" s="1"/>
  <c r="U1534" i="3" s="1"/>
  <c r="Y1534" i="3" s="1"/>
  <c r="U1535" i="3" s="1"/>
  <c r="Y1535" i="3" s="1"/>
  <c r="U1536" i="3" s="1"/>
  <c r="Y1536" i="3" s="1"/>
  <c r="U1537" i="3" s="1"/>
  <c r="Y1537" i="3" s="1"/>
  <c r="U1538" i="3" s="1"/>
  <c r="Y1538" i="3" s="1"/>
  <c r="U1539" i="3" s="1"/>
  <c r="Y1539" i="3" s="1"/>
  <c r="U1540" i="3" s="1"/>
  <c r="Y1540" i="3" s="1"/>
  <c r="U1541" i="3" s="1"/>
  <c r="Y1541" i="3" s="1"/>
  <c r="U1542" i="3" s="1"/>
  <c r="Y1542" i="3" s="1"/>
  <c r="U1543" i="3" s="1"/>
  <c r="Y1543" i="3" s="1"/>
  <c r="U1544" i="3" s="1"/>
  <c r="Y1544" i="3" s="1"/>
  <c r="U1545" i="3" s="1"/>
  <c r="Y1545" i="3" s="1"/>
  <c r="U1546" i="3" s="1"/>
  <c r="Y1546" i="3" s="1"/>
  <c r="U1547" i="3" s="1"/>
  <c r="Y1547" i="3" s="1"/>
  <c r="U1548" i="3" s="1"/>
  <c r="Y1548" i="3" s="1"/>
  <c r="U1549" i="3" s="1"/>
  <c r="Y1549" i="3" s="1"/>
  <c r="U1550" i="3" s="1"/>
  <c r="Y1550" i="3" s="1"/>
  <c r="U1551" i="3" s="1"/>
  <c r="Y1551" i="3" s="1"/>
  <c r="U1552" i="3" s="1"/>
  <c r="Y1552" i="3" s="1"/>
  <c r="U1553" i="3" s="1"/>
  <c r="Y1553" i="3" s="1"/>
  <c r="U1554" i="3" s="1"/>
  <c r="Y1554" i="3" s="1"/>
  <c r="U1555" i="3" s="1"/>
  <c r="Y1555" i="3" s="1"/>
  <c r="U1556" i="3" s="1"/>
  <c r="Y1556" i="3" s="1"/>
  <c r="U1557" i="3" s="1"/>
  <c r="Y1557" i="3" s="1"/>
  <c r="U1558" i="3" s="1"/>
  <c r="Y1558" i="3" s="1"/>
  <c r="U1559" i="3" s="1"/>
  <c r="Y1559" i="3" s="1"/>
  <c r="U1560" i="3" s="1"/>
  <c r="Y1560" i="3" s="1"/>
  <c r="U1561" i="3" s="1"/>
  <c r="Y1561" i="3" s="1"/>
  <c r="U1562" i="3" s="1"/>
  <c r="Y1562" i="3" s="1"/>
  <c r="U1563" i="3" s="1"/>
  <c r="Y1563" i="3" s="1"/>
  <c r="U1564" i="3" s="1"/>
  <c r="Y1564" i="3" s="1"/>
  <c r="U1565" i="3" s="1"/>
  <c r="Y1565" i="3" s="1"/>
  <c r="U1566" i="3" s="1"/>
  <c r="Y1566" i="3" s="1"/>
  <c r="U1567" i="3" s="1"/>
  <c r="Y1567" i="3" s="1"/>
  <c r="U1568" i="3" s="1"/>
  <c r="Y1568" i="3" s="1"/>
  <c r="U1569" i="3" s="1"/>
  <c r="Y1569" i="3" s="1"/>
  <c r="U1570" i="3" s="1"/>
  <c r="Y1570" i="3" s="1"/>
  <c r="U1571" i="3" s="1"/>
  <c r="Y1571" i="3" s="1"/>
  <c r="U1572" i="3" s="1"/>
  <c r="Y1572" i="3" s="1"/>
  <c r="U1573" i="3" s="1"/>
  <c r="Y1573" i="3" s="1"/>
  <c r="U1574" i="3" s="1"/>
  <c r="Y1574" i="3" s="1"/>
  <c r="U1575" i="3" s="1"/>
  <c r="Y1575" i="3" s="1"/>
  <c r="U1576" i="3" s="1"/>
  <c r="Y1576" i="3" s="1"/>
  <c r="U1577" i="3" s="1"/>
  <c r="Y1577" i="3" s="1"/>
  <c r="U1578" i="3" s="1"/>
  <c r="Y1578" i="3" s="1"/>
  <c r="U1579" i="3" s="1"/>
  <c r="Y1579" i="3" s="1"/>
  <c r="U1580" i="3" s="1"/>
  <c r="Y1580" i="3" s="1"/>
  <c r="U1581" i="3" s="1"/>
  <c r="Y1581" i="3" s="1"/>
  <c r="U1582" i="3" s="1"/>
  <c r="Y1582" i="3" s="1"/>
  <c r="U1583" i="3" s="1"/>
  <c r="Y1583" i="3" s="1"/>
  <c r="U1584" i="3" s="1"/>
  <c r="Y1584" i="3" s="1"/>
  <c r="U1585" i="3" s="1"/>
  <c r="Y1585" i="3" s="1"/>
  <c r="U1586" i="3" s="1"/>
  <c r="Y1586" i="3" s="1"/>
  <c r="U1587" i="3" s="1"/>
  <c r="Y1587" i="3" s="1"/>
  <c r="U1588" i="3" s="1"/>
  <c r="Y1588" i="3" s="1"/>
  <c r="U1589" i="3" s="1"/>
  <c r="Y1589" i="3" s="1"/>
  <c r="U1590" i="3" s="1"/>
  <c r="Y1590" i="3" s="1"/>
  <c r="U1591" i="3" s="1"/>
  <c r="Y1591" i="3" s="1"/>
  <c r="U1592" i="3" s="1"/>
  <c r="Y1592" i="3" s="1"/>
  <c r="U1593" i="3" s="1"/>
  <c r="Y1593" i="3" s="1"/>
  <c r="U1594" i="3" s="1"/>
  <c r="Y1594" i="3" s="1"/>
  <c r="U1595" i="3" s="1"/>
  <c r="Y1595" i="3" s="1"/>
  <c r="U1596" i="3" s="1"/>
  <c r="Y1596" i="3" s="1"/>
  <c r="U1597" i="3" s="1"/>
  <c r="Y1597" i="3" s="1"/>
  <c r="U1598" i="3" s="1"/>
  <c r="Y1598" i="3" s="1"/>
  <c r="U1599" i="3" s="1"/>
  <c r="Y1599" i="3" s="1"/>
  <c r="U1600" i="3" s="1"/>
  <c r="Y1600" i="3" s="1"/>
  <c r="U1601" i="3" s="1"/>
  <c r="Y1601" i="3" s="1"/>
  <c r="U1602" i="3" s="1"/>
  <c r="Y1602" i="3" s="1"/>
  <c r="U1603" i="3" s="1"/>
  <c r="Y1603" i="3" s="1"/>
  <c r="U1604" i="3" s="1"/>
  <c r="Y1604" i="3" s="1"/>
  <c r="U1605" i="3" s="1"/>
  <c r="Y1605" i="3" s="1"/>
  <c r="U1606" i="3" s="1"/>
  <c r="Y1606" i="3" s="1"/>
  <c r="U1607" i="3" s="1"/>
  <c r="Y1607" i="3" s="1"/>
  <c r="U1608" i="3" s="1"/>
  <c r="Y1608" i="3" s="1"/>
  <c r="U1609" i="3" s="1"/>
  <c r="Y1609" i="3" s="1"/>
  <c r="U1610" i="3" s="1"/>
  <c r="Y1610" i="3" s="1"/>
  <c r="U1611" i="3" s="1"/>
  <c r="Y1611" i="3" s="1"/>
  <c r="U1612" i="3" s="1"/>
  <c r="Y1612" i="3" s="1"/>
  <c r="U1613" i="3" s="1"/>
  <c r="Y1613" i="3" s="1"/>
  <c r="U1614" i="3" s="1"/>
  <c r="Y1614" i="3" s="1"/>
  <c r="U1615" i="3" s="1"/>
  <c r="Y1615" i="3" s="1"/>
  <c r="U1616" i="3" s="1"/>
  <c r="Y1616" i="3" s="1"/>
  <c r="U1617" i="3" s="1"/>
  <c r="Y1617" i="3" s="1"/>
  <c r="U1618" i="3" s="1"/>
  <c r="Y1618" i="3" s="1"/>
  <c r="U1619" i="3" s="1"/>
  <c r="Y1619" i="3" s="1"/>
  <c r="U1620" i="3" s="1"/>
  <c r="Y1620" i="3" s="1"/>
  <c r="U1621" i="3" s="1"/>
  <c r="Y1621" i="3" s="1"/>
  <c r="U1622" i="3" s="1"/>
  <c r="Y1622" i="3" s="1"/>
  <c r="U1623" i="3" s="1"/>
  <c r="Y1623" i="3" s="1"/>
  <c r="U1624" i="3" s="1"/>
  <c r="Y1624" i="3" s="1"/>
  <c r="U1625" i="3" s="1"/>
  <c r="Y1625" i="3" s="1"/>
  <c r="U1626" i="3" s="1"/>
  <c r="Y1626" i="3" s="1"/>
  <c r="U1627" i="3" s="1"/>
  <c r="Y1627" i="3" s="1"/>
  <c r="U1628" i="3" s="1"/>
  <c r="Y1628" i="3" s="1"/>
  <c r="U1629" i="3" s="1"/>
  <c r="Y1629" i="3" s="1"/>
  <c r="U1630" i="3" s="1"/>
  <c r="Y1630" i="3" s="1"/>
  <c r="U1631" i="3" s="1"/>
  <c r="Y1631" i="3" s="1"/>
  <c r="U1632" i="3" s="1"/>
  <c r="Y1632" i="3" s="1"/>
  <c r="U1633" i="3" s="1"/>
  <c r="Y1633" i="3" s="1"/>
  <c r="U1634" i="3" s="1"/>
  <c r="Y1634" i="3" s="1"/>
  <c r="O1393" i="3"/>
  <c r="S1393" i="3" s="1"/>
  <c r="AZ580" i="3"/>
  <c r="BA580" i="3"/>
  <c r="BB580" i="3" s="1"/>
  <c r="G581" i="3"/>
  <c r="AS581" i="3"/>
  <c r="O1394" i="3" l="1"/>
  <c r="S1394" i="3" s="1"/>
  <c r="AX581" i="3"/>
  <c r="C582" i="3"/>
  <c r="O1395" i="3" l="1"/>
  <c r="S1395" i="3" s="1"/>
  <c r="AZ581" i="3"/>
  <c r="BA581" i="3"/>
  <c r="BB581" i="3" s="1"/>
  <c r="AS582" i="3"/>
  <c r="G582" i="3"/>
  <c r="C583" i="3" s="1"/>
  <c r="O1396" i="3" l="1"/>
  <c r="S1396" i="3" s="1"/>
  <c r="G583" i="3"/>
  <c r="AS583" i="3"/>
  <c r="AX582" i="3"/>
  <c r="O1397" i="3" l="1"/>
  <c r="S1397" i="3" s="1"/>
  <c r="AZ582" i="3"/>
  <c r="BA582" i="3"/>
  <c r="BB582" i="3" s="1"/>
  <c r="AX583" i="3"/>
  <c r="C584" i="3"/>
  <c r="O1398" i="3" l="1"/>
  <c r="S1398" i="3" s="1"/>
  <c r="AZ583" i="3"/>
  <c r="BA583" i="3"/>
  <c r="BB583" i="3" s="1"/>
  <c r="AS584" i="3"/>
  <c r="G584" i="3"/>
  <c r="O1399" i="3" l="1"/>
  <c r="S1399" i="3" s="1"/>
  <c r="C585" i="3"/>
  <c r="AX584" i="3"/>
  <c r="O1400" i="3" l="1"/>
  <c r="S1400" i="3" s="1"/>
  <c r="AZ584" i="3"/>
  <c r="BA584" i="3"/>
  <c r="BB584" i="3" s="1"/>
  <c r="G585" i="3"/>
  <c r="AS585" i="3"/>
  <c r="O1401" i="3" l="1"/>
  <c r="S1401" i="3" s="1"/>
  <c r="C586" i="3"/>
  <c r="AX585" i="3"/>
  <c r="O1402" i="3" l="1"/>
  <c r="S1402" i="3" s="1"/>
  <c r="AZ585" i="3"/>
  <c r="BA585" i="3"/>
  <c r="BB585" i="3" s="1"/>
  <c r="G586" i="3"/>
  <c r="AS586" i="3"/>
  <c r="O1403" i="3" l="1"/>
  <c r="S1403" i="3" s="1"/>
  <c r="C587" i="3"/>
  <c r="AX586" i="3"/>
  <c r="O1404" i="3" l="1"/>
  <c r="S1404" i="3" s="1"/>
  <c r="AZ586" i="3"/>
  <c r="BA586" i="3"/>
  <c r="BB586" i="3" s="1"/>
  <c r="G587" i="3"/>
  <c r="AS587" i="3"/>
  <c r="O1405" i="3" l="1"/>
  <c r="S1405" i="3" s="1"/>
  <c r="AX587" i="3"/>
  <c r="C588" i="3"/>
  <c r="O1406" i="3" l="1"/>
  <c r="S1406" i="3" s="1"/>
  <c r="AZ587" i="3"/>
  <c r="BA587" i="3"/>
  <c r="BB587" i="3" s="1"/>
  <c r="G588" i="3"/>
  <c r="AS588" i="3"/>
  <c r="O1407" i="3" l="1"/>
  <c r="S1407" i="3" s="1"/>
  <c r="O1408" i="3" s="1"/>
  <c r="S1408" i="3" s="1"/>
  <c r="C589" i="3"/>
  <c r="AX588" i="3"/>
  <c r="O1409" i="3" l="1"/>
  <c r="S1409" i="3" s="1"/>
  <c r="BC588" i="3"/>
  <c r="AZ588" i="3"/>
  <c r="BA588" i="3"/>
  <c r="BB588" i="3" s="1"/>
  <c r="G589" i="3"/>
  <c r="AS589" i="3"/>
  <c r="O1410" i="3" l="1"/>
  <c r="S1410" i="3" s="1"/>
  <c r="C590" i="3"/>
  <c r="AX589" i="3"/>
  <c r="O1411" i="3" l="1"/>
  <c r="S1411" i="3" s="1"/>
  <c r="BC589" i="3"/>
  <c r="AZ589" i="3"/>
  <c r="BA589" i="3"/>
  <c r="BB589" i="3" s="1"/>
  <c r="G590" i="3"/>
  <c r="AS590" i="3"/>
  <c r="O1412" i="3" l="1"/>
  <c r="S1412" i="3" s="1"/>
  <c r="O1413" i="3" s="1"/>
  <c r="S1413" i="3" s="1"/>
  <c r="C591" i="3"/>
  <c r="AX590" i="3"/>
  <c r="O1414" i="3" l="1"/>
  <c r="S1414" i="3" s="1"/>
  <c r="BC590" i="3"/>
  <c r="AZ590" i="3"/>
  <c r="BA590" i="3"/>
  <c r="BB590" i="3" s="1"/>
  <c r="AS591" i="3"/>
  <c r="G591" i="3"/>
  <c r="O1415" i="3" l="1"/>
  <c r="S1415" i="3" s="1"/>
  <c r="AX591" i="3"/>
  <c r="C592" i="3"/>
  <c r="O1416" i="3" l="1"/>
  <c r="S1416" i="3" s="1"/>
  <c r="BC591" i="3"/>
  <c r="AZ591" i="3"/>
  <c r="BA591" i="3"/>
  <c r="BB591" i="3" s="1"/>
  <c r="AS592" i="3"/>
  <c r="G592" i="3"/>
  <c r="O1417" i="3" l="1"/>
  <c r="S1417" i="3" s="1"/>
  <c r="C593" i="3"/>
  <c r="AX592" i="3"/>
  <c r="O1418" i="3" l="1"/>
  <c r="S1418" i="3" s="1"/>
  <c r="BC592" i="3"/>
  <c r="AZ592" i="3"/>
  <c r="BA592" i="3"/>
  <c r="BB592" i="3" s="1"/>
  <c r="AS593" i="3"/>
  <c r="G593" i="3"/>
  <c r="O1419" i="3" l="1"/>
  <c r="S1419" i="3" s="1"/>
  <c r="C594" i="3"/>
  <c r="AX593" i="3"/>
  <c r="BC593" i="3" s="1"/>
  <c r="O1420" i="3" l="1"/>
  <c r="S1420" i="3" s="1"/>
  <c r="AZ593" i="3"/>
  <c r="BA593" i="3"/>
  <c r="BB593" i="3" s="1"/>
  <c r="AS594" i="3"/>
  <c r="G594" i="3"/>
  <c r="O1421" i="3" l="1"/>
  <c r="S1421" i="3" s="1"/>
  <c r="C595" i="3"/>
  <c r="AX594" i="3"/>
  <c r="O1422" i="3" l="1"/>
  <c r="S1422" i="3" s="1"/>
  <c r="BC594" i="3"/>
  <c r="AZ594" i="3"/>
  <c r="BA594" i="3"/>
  <c r="BB594" i="3" s="1"/>
  <c r="AS595" i="3"/>
  <c r="G595" i="3"/>
  <c r="O1423" i="3" l="1"/>
  <c r="S1423" i="3" s="1"/>
  <c r="C596" i="3"/>
  <c r="AX595" i="3"/>
  <c r="BC595" i="3" s="1"/>
  <c r="O1424" i="3" l="1"/>
  <c r="S1424" i="3" s="1"/>
  <c r="AZ595" i="3"/>
  <c r="BA595" i="3"/>
  <c r="BB595" i="3" s="1"/>
  <c r="G596" i="3"/>
  <c r="AS596" i="3"/>
  <c r="O1425" i="3" l="1"/>
  <c r="S1425" i="3" s="1"/>
  <c r="C597" i="3"/>
  <c r="AX596" i="3"/>
  <c r="BC596" i="3" s="1"/>
  <c r="O1426" i="3" l="1"/>
  <c r="S1426" i="3" s="1"/>
  <c r="AZ596" i="3"/>
  <c r="BA596" i="3"/>
  <c r="BB596" i="3" s="1"/>
  <c r="G597" i="3"/>
  <c r="AS597" i="3"/>
  <c r="O1427" i="3" l="1"/>
  <c r="S1427" i="3" s="1"/>
  <c r="C598" i="3"/>
  <c r="AX597" i="3"/>
  <c r="BC597" i="3" s="1"/>
  <c r="O1428" i="3" l="1"/>
  <c r="S1428" i="3" s="1"/>
  <c r="AZ597" i="3"/>
  <c r="BA597" i="3"/>
  <c r="BB597" i="3" s="1"/>
  <c r="AS598" i="3"/>
  <c r="G598" i="3"/>
  <c r="O1429" i="3" l="1"/>
  <c r="S1429" i="3" s="1"/>
  <c r="C599" i="3"/>
  <c r="AX598" i="3"/>
  <c r="BC598" i="3" s="1"/>
  <c r="O1430" i="3" l="1"/>
  <c r="S1430" i="3" s="1"/>
  <c r="AZ598" i="3"/>
  <c r="BA598" i="3"/>
  <c r="BB598" i="3" s="1"/>
  <c r="AS599" i="3"/>
  <c r="G599" i="3"/>
  <c r="O1431" i="3" l="1"/>
  <c r="S1431" i="3" s="1"/>
  <c r="C600" i="3"/>
  <c r="AX599" i="3"/>
  <c r="BC599" i="3" s="1"/>
  <c r="O1432" i="3" l="1"/>
  <c r="S1432" i="3" s="1"/>
  <c r="AZ599" i="3"/>
  <c r="BA599" i="3"/>
  <c r="BB599" i="3" s="1"/>
  <c r="G600" i="3"/>
  <c r="AS600" i="3"/>
  <c r="O1433" i="3" l="1"/>
  <c r="S1433" i="3" s="1"/>
  <c r="O1434" i="3" s="1"/>
  <c r="C601" i="3"/>
  <c r="AX600" i="3"/>
  <c r="BC600" i="3" s="1"/>
  <c r="S1434" i="3" l="1"/>
  <c r="O1435" i="3" s="1"/>
  <c r="S1435" i="3" s="1"/>
  <c r="O1436" i="3" s="1"/>
  <c r="S1436" i="3" s="1"/>
  <c r="O1437" i="3" s="1"/>
  <c r="S1437" i="3" s="1"/>
  <c r="O1438" i="3" s="1"/>
  <c r="S1438" i="3" s="1"/>
  <c r="AZ600" i="3"/>
  <c r="BA600" i="3"/>
  <c r="BB600" i="3" s="1"/>
  <c r="G601" i="3"/>
  <c r="AS601" i="3"/>
  <c r="O1439" i="3" l="1"/>
  <c r="S1439" i="3" s="1"/>
  <c r="C602" i="3"/>
  <c r="AX601" i="3"/>
  <c r="BC601" i="3" s="1"/>
  <c r="O1440" i="3" l="1"/>
  <c r="S1440" i="3" s="1"/>
  <c r="AZ601" i="3"/>
  <c r="BA601" i="3"/>
  <c r="BB601" i="3" s="1"/>
  <c r="G602" i="3"/>
  <c r="AS602" i="3"/>
  <c r="O1441" i="3" l="1"/>
  <c r="S1441" i="3" s="1"/>
  <c r="O1442" i="3" s="1"/>
  <c r="S1442" i="3" s="1"/>
  <c r="O1443" i="3" s="1"/>
  <c r="S1443" i="3" s="1"/>
  <c r="O1444" i="3" s="1"/>
  <c r="S1444" i="3" s="1"/>
  <c r="O1445" i="3" s="1"/>
  <c r="S1445" i="3" s="1"/>
  <c r="O1446" i="3" s="1"/>
  <c r="S1446" i="3" s="1"/>
  <c r="O1447" i="3" s="1"/>
  <c r="S1447" i="3" s="1"/>
  <c r="O1448" i="3" s="1"/>
  <c r="S1448" i="3" s="1"/>
  <c r="O1449" i="3" s="1"/>
  <c r="S1449" i="3" s="1"/>
  <c r="O1450" i="3" s="1"/>
  <c r="S1450" i="3" s="1"/>
  <c r="O1451" i="3" s="1"/>
  <c r="S1451" i="3" s="1"/>
  <c r="O1452" i="3" s="1"/>
  <c r="S1452" i="3" s="1"/>
  <c r="O1453" i="3" s="1"/>
  <c r="S1453" i="3" s="1"/>
  <c r="O1454" i="3" s="1"/>
  <c r="S1454" i="3" s="1"/>
  <c r="O1455" i="3" s="1"/>
  <c r="S1455" i="3" s="1"/>
  <c r="O1456" i="3" s="1"/>
  <c r="S1456" i="3" s="1"/>
  <c r="O1457" i="3" s="1"/>
  <c r="S1457" i="3" s="1"/>
  <c r="C603" i="3"/>
  <c r="AX602" i="3"/>
  <c r="BC602" i="3" s="1"/>
  <c r="O1468" i="3" l="1"/>
  <c r="S1468" i="3" s="1"/>
  <c r="O1469" i="3" s="1"/>
  <c r="S1469" i="3" s="1"/>
  <c r="O1470" i="3" s="1"/>
  <c r="S1470" i="3" s="1"/>
  <c r="O1471" i="3" s="1"/>
  <c r="S1471" i="3" s="1"/>
  <c r="O1472" i="3" s="1"/>
  <c r="S1472" i="3" s="1"/>
  <c r="O1473" i="3" s="1"/>
  <c r="S1473" i="3" s="1"/>
  <c r="O1474" i="3" s="1"/>
  <c r="S1474" i="3" s="1"/>
  <c r="O1475" i="3" s="1"/>
  <c r="S1475" i="3" s="1"/>
  <c r="O1476" i="3" s="1"/>
  <c r="S1476" i="3" s="1"/>
  <c r="O1477" i="3" s="1"/>
  <c r="S1477" i="3" s="1"/>
  <c r="O1478" i="3" s="1"/>
  <c r="S1478" i="3" s="1"/>
  <c r="O1479" i="3" s="1"/>
  <c r="S1479" i="3" s="1"/>
  <c r="O1480" i="3" s="1"/>
  <c r="S1480" i="3" s="1"/>
  <c r="O1481" i="3" s="1"/>
  <c r="S1481" i="3" s="1"/>
  <c r="O1482" i="3" s="1"/>
  <c r="S1482" i="3" s="1"/>
  <c r="O1483" i="3" s="1"/>
  <c r="S1483" i="3" s="1"/>
  <c r="O1484" i="3" s="1"/>
  <c r="S1484" i="3" s="1"/>
  <c r="O1485" i="3" s="1"/>
  <c r="S1485" i="3" s="1"/>
  <c r="O1486" i="3" s="1"/>
  <c r="S1486" i="3" s="1"/>
  <c r="O1487" i="3" s="1"/>
  <c r="S1487" i="3" s="1"/>
  <c r="O1488" i="3" s="1"/>
  <c r="S1488" i="3" s="1"/>
  <c r="O1489" i="3" s="1"/>
  <c r="S1489" i="3" s="1"/>
  <c r="O1490" i="3" s="1"/>
  <c r="S1490" i="3" s="1"/>
  <c r="O1491" i="3" s="1"/>
  <c r="S1491" i="3" s="1"/>
  <c r="O1492" i="3" s="1"/>
  <c r="S1492" i="3" s="1"/>
  <c r="O1493" i="3" s="1"/>
  <c r="S1493" i="3" s="1"/>
  <c r="O1494" i="3" s="1"/>
  <c r="S1494" i="3" s="1"/>
  <c r="O1495" i="3" s="1"/>
  <c r="S1495" i="3" s="1"/>
  <c r="O1496" i="3" s="1"/>
  <c r="S1496" i="3" s="1"/>
  <c r="O1497" i="3" s="1"/>
  <c r="S1497" i="3" s="1"/>
  <c r="O1498" i="3" s="1"/>
  <c r="S1498" i="3" s="1"/>
  <c r="O1499" i="3" s="1"/>
  <c r="S1499" i="3" s="1"/>
  <c r="O1500" i="3" s="1"/>
  <c r="S1500" i="3" s="1"/>
  <c r="O1501" i="3" s="1"/>
  <c r="S1501" i="3" s="1"/>
  <c r="O1502" i="3" s="1"/>
  <c r="S1502" i="3" s="1"/>
  <c r="O1503" i="3" s="1"/>
  <c r="S1503" i="3" s="1"/>
  <c r="O1504" i="3" s="1"/>
  <c r="S1504" i="3" s="1"/>
  <c r="O1505" i="3" s="1"/>
  <c r="S1505" i="3" s="1"/>
  <c r="O1506" i="3" s="1"/>
  <c r="S1506" i="3" s="1"/>
  <c r="O1507" i="3" s="1"/>
  <c r="S1507" i="3" s="1"/>
  <c r="O1508" i="3" s="1"/>
  <c r="S1508" i="3" s="1"/>
  <c r="O1509" i="3" s="1"/>
  <c r="S1509" i="3" s="1"/>
  <c r="O1510" i="3" s="1"/>
  <c r="S1510" i="3" s="1"/>
  <c r="O1511" i="3" s="1"/>
  <c r="S1511" i="3" s="1"/>
  <c r="O1512" i="3" s="1"/>
  <c r="S1512" i="3" s="1"/>
  <c r="O1513" i="3" s="1"/>
  <c r="S1513" i="3" s="1"/>
  <c r="O1514" i="3" s="1"/>
  <c r="S1514" i="3" s="1"/>
  <c r="O1515" i="3" s="1"/>
  <c r="S1515" i="3" s="1"/>
  <c r="O1516" i="3" s="1"/>
  <c r="S1516" i="3" s="1"/>
  <c r="O1517" i="3" s="1"/>
  <c r="S1517" i="3" s="1"/>
  <c r="O1518" i="3" s="1"/>
  <c r="S1518" i="3" s="1"/>
  <c r="O1519" i="3" s="1"/>
  <c r="S1519" i="3" s="1"/>
  <c r="O1520" i="3" s="1"/>
  <c r="S1520" i="3" s="1"/>
  <c r="O1521" i="3" s="1"/>
  <c r="S1521" i="3" s="1"/>
  <c r="O1522" i="3" s="1"/>
  <c r="S1522" i="3" s="1"/>
  <c r="O1523" i="3" s="1"/>
  <c r="S1523" i="3" s="1"/>
  <c r="O1524" i="3" s="1"/>
  <c r="S1524" i="3" s="1"/>
  <c r="O1525" i="3" s="1"/>
  <c r="S1525" i="3" s="1"/>
  <c r="O1526" i="3" s="1"/>
  <c r="S1526" i="3" s="1"/>
  <c r="O1527" i="3" s="1"/>
  <c r="S1527" i="3" s="1"/>
  <c r="O1528" i="3" s="1"/>
  <c r="S1528" i="3" s="1"/>
  <c r="O1529" i="3" s="1"/>
  <c r="S1529" i="3" s="1"/>
  <c r="O1530" i="3" s="1"/>
  <c r="S1530" i="3" s="1"/>
  <c r="O1531" i="3" s="1"/>
  <c r="S1531" i="3" s="1"/>
  <c r="O1532" i="3" s="1"/>
  <c r="S1532" i="3" s="1"/>
  <c r="O1533" i="3" s="1"/>
  <c r="S1533" i="3" s="1"/>
  <c r="O1534" i="3" s="1"/>
  <c r="S1534" i="3" s="1"/>
  <c r="O1535" i="3" s="1"/>
  <c r="S1535" i="3" s="1"/>
  <c r="O1536" i="3" s="1"/>
  <c r="S1536" i="3" s="1"/>
  <c r="O1537" i="3" s="1"/>
  <c r="S1537" i="3" s="1"/>
  <c r="O1538" i="3" s="1"/>
  <c r="S1538" i="3" s="1"/>
  <c r="O1539" i="3" s="1"/>
  <c r="S1539" i="3" s="1"/>
  <c r="O1540" i="3" s="1"/>
  <c r="S1540" i="3" s="1"/>
  <c r="O1541" i="3" s="1"/>
  <c r="S1541" i="3" s="1"/>
  <c r="O1542" i="3" s="1"/>
  <c r="S1542" i="3" s="1"/>
  <c r="O1543" i="3" s="1"/>
  <c r="S1543" i="3" s="1"/>
  <c r="O1544" i="3" s="1"/>
  <c r="S1544" i="3" s="1"/>
  <c r="O1545" i="3" s="1"/>
  <c r="S1545" i="3" s="1"/>
  <c r="O1546" i="3" s="1"/>
  <c r="S1546" i="3" s="1"/>
  <c r="O1547" i="3" s="1"/>
  <c r="S1547" i="3" s="1"/>
  <c r="O1548" i="3" s="1"/>
  <c r="S1548" i="3" s="1"/>
  <c r="O1549" i="3" s="1"/>
  <c r="S1549" i="3" s="1"/>
  <c r="O1550" i="3" s="1"/>
  <c r="S1550" i="3" s="1"/>
  <c r="O1551" i="3" s="1"/>
  <c r="S1551" i="3" s="1"/>
  <c r="O1552" i="3" s="1"/>
  <c r="S1552" i="3" s="1"/>
  <c r="O1553" i="3" s="1"/>
  <c r="S1553" i="3" s="1"/>
  <c r="O1554" i="3" s="1"/>
  <c r="S1554" i="3" s="1"/>
  <c r="O1555" i="3" s="1"/>
  <c r="S1555" i="3" s="1"/>
  <c r="O1556" i="3" s="1"/>
  <c r="S1556" i="3" s="1"/>
  <c r="O1557" i="3" s="1"/>
  <c r="S1557" i="3" s="1"/>
  <c r="O1558" i="3" s="1"/>
  <c r="S1558" i="3" s="1"/>
  <c r="O1559" i="3" s="1"/>
  <c r="S1559" i="3" s="1"/>
  <c r="O1560" i="3" s="1"/>
  <c r="S1560" i="3" s="1"/>
  <c r="O1561" i="3" s="1"/>
  <c r="S1561" i="3" s="1"/>
  <c r="O1562" i="3" s="1"/>
  <c r="S1562" i="3" s="1"/>
  <c r="O1563" i="3" s="1"/>
  <c r="S1563" i="3" s="1"/>
  <c r="O1564" i="3" s="1"/>
  <c r="S1564" i="3" s="1"/>
  <c r="O1565" i="3" s="1"/>
  <c r="S1565" i="3" s="1"/>
  <c r="O1566" i="3" s="1"/>
  <c r="S1566" i="3" s="1"/>
  <c r="O1567" i="3" s="1"/>
  <c r="S1567" i="3" s="1"/>
  <c r="O1568" i="3" s="1"/>
  <c r="S1568" i="3" s="1"/>
  <c r="O1569" i="3" s="1"/>
  <c r="S1569" i="3" s="1"/>
  <c r="O1570" i="3" s="1"/>
  <c r="S1570" i="3" s="1"/>
  <c r="O1571" i="3" s="1"/>
  <c r="S1571" i="3" s="1"/>
  <c r="O1572" i="3" s="1"/>
  <c r="S1572" i="3" s="1"/>
  <c r="O1573" i="3" s="1"/>
  <c r="S1573" i="3" s="1"/>
  <c r="O1574" i="3" s="1"/>
  <c r="S1574" i="3" s="1"/>
  <c r="O1575" i="3" s="1"/>
  <c r="S1575" i="3" s="1"/>
  <c r="O1576" i="3" s="1"/>
  <c r="S1576" i="3" s="1"/>
  <c r="O1577" i="3" s="1"/>
  <c r="S1577" i="3" s="1"/>
  <c r="O1578" i="3" s="1"/>
  <c r="S1578" i="3" s="1"/>
  <c r="O1579" i="3" s="1"/>
  <c r="S1579" i="3" s="1"/>
  <c r="O1580" i="3" s="1"/>
  <c r="S1580" i="3" s="1"/>
  <c r="O1581" i="3" s="1"/>
  <c r="S1581" i="3" s="1"/>
  <c r="O1582" i="3" s="1"/>
  <c r="S1582" i="3" s="1"/>
  <c r="O1583" i="3" s="1"/>
  <c r="S1583" i="3" s="1"/>
  <c r="O1584" i="3" s="1"/>
  <c r="S1584" i="3" s="1"/>
  <c r="O1585" i="3" s="1"/>
  <c r="S1585" i="3" s="1"/>
  <c r="O1586" i="3" s="1"/>
  <c r="S1586" i="3" s="1"/>
  <c r="O1587" i="3" s="1"/>
  <c r="S1587" i="3" s="1"/>
  <c r="O1588" i="3" s="1"/>
  <c r="S1588" i="3" s="1"/>
  <c r="O1589" i="3" s="1"/>
  <c r="S1589" i="3" s="1"/>
  <c r="O1590" i="3" s="1"/>
  <c r="S1590" i="3" s="1"/>
  <c r="O1591" i="3" s="1"/>
  <c r="S1591" i="3" s="1"/>
  <c r="O1592" i="3" s="1"/>
  <c r="S1592" i="3" s="1"/>
  <c r="O1593" i="3" s="1"/>
  <c r="S1593" i="3" s="1"/>
  <c r="O1594" i="3" s="1"/>
  <c r="S1594" i="3" s="1"/>
  <c r="O1595" i="3" s="1"/>
  <c r="S1595" i="3" s="1"/>
  <c r="O1596" i="3" s="1"/>
  <c r="S1596" i="3" s="1"/>
  <c r="O1597" i="3" s="1"/>
  <c r="S1597" i="3" s="1"/>
  <c r="O1598" i="3" s="1"/>
  <c r="S1598" i="3" s="1"/>
  <c r="O1599" i="3" s="1"/>
  <c r="S1599" i="3" s="1"/>
  <c r="O1600" i="3" s="1"/>
  <c r="S1600" i="3" s="1"/>
  <c r="O1601" i="3" s="1"/>
  <c r="S1601" i="3" s="1"/>
  <c r="O1602" i="3" s="1"/>
  <c r="S1602" i="3" s="1"/>
  <c r="O1603" i="3" s="1"/>
  <c r="S1603" i="3" s="1"/>
  <c r="O1604" i="3" s="1"/>
  <c r="S1604" i="3" s="1"/>
  <c r="O1605" i="3" s="1"/>
  <c r="S1605" i="3" s="1"/>
  <c r="O1606" i="3" s="1"/>
  <c r="S1606" i="3" s="1"/>
  <c r="O1607" i="3" s="1"/>
  <c r="S1607" i="3" s="1"/>
  <c r="O1608" i="3" s="1"/>
  <c r="S1608" i="3" s="1"/>
  <c r="O1609" i="3" s="1"/>
  <c r="S1609" i="3" s="1"/>
  <c r="O1610" i="3" s="1"/>
  <c r="S1610" i="3" s="1"/>
  <c r="O1611" i="3" s="1"/>
  <c r="S1611" i="3" s="1"/>
  <c r="O1612" i="3" s="1"/>
  <c r="S1612" i="3" s="1"/>
  <c r="O1613" i="3" s="1"/>
  <c r="S1613" i="3" s="1"/>
  <c r="O1614" i="3" s="1"/>
  <c r="S1614" i="3" s="1"/>
  <c r="O1615" i="3" s="1"/>
  <c r="S1615" i="3" s="1"/>
  <c r="O1616" i="3" s="1"/>
  <c r="S1616" i="3" s="1"/>
  <c r="O1617" i="3" s="1"/>
  <c r="S1617" i="3" s="1"/>
  <c r="O1618" i="3" s="1"/>
  <c r="S1618" i="3" s="1"/>
  <c r="O1619" i="3" s="1"/>
  <c r="S1619" i="3" s="1"/>
  <c r="O1620" i="3" s="1"/>
  <c r="S1620" i="3" s="1"/>
  <c r="O1621" i="3" s="1"/>
  <c r="S1621" i="3" s="1"/>
  <c r="O1622" i="3" s="1"/>
  <c r="S1622" i="3" s="1"/>
  <c r="O1623" i="3" s="1"/>
  <c r="S1623" i="3" s="1"/>
  <c r="O1624" i="3" s="1"/>
  <c r="S1624" i="3" s="1"/>
  <c r="O1625" i="3" s="1"/>
  <c r="S1625" i="3" s="1"/>
  <c r="O1626" i="3" s="1"/>
  <c r="S1626" i="3" s="1"/>
  <c r="O1627" i="3" s="1"/>
  <c r="S1627" i="3" s="1"/>
  <c r="O1628" i="3" s="1"/>
  <c r="S1628" i="3" s="1"/>
  <c r="O1629" i="3" s="1"/>
  <c r="S1629" i="3" s="1"/>
  <c r="O1630" i="3" s="1"/>
  <c r="S1630" i="3" s="1"/>
  <c r="O1631" i="3" s="1"/>
  <c r="S1631" i="3" s="1"/>
  <c r="O1632" i="3" s="1"/>
  <c r="S1632" i="3" s="1"/>
  <c r="O1633" i="3" s="1"/>
  <c r="S1633" i="3" s="1"/>
  <c r="O1634" i="3" s="1"/>
  <c r="S1634" i="3" s="1"/>
  <c r="AZ602" i="3"/>
  <c r="BA602" i="3"/>
  <c r="BB602" i="3" s="1"/>
  <c r="G603" i="3"/>
  <c r="AS603" i="3"/>
  <c r="C604" i="3" l="1"/>
  <c r="AX603" i="3"/>
  <c r="BC603" i="3" s="1"/>
  <c r="AZ603" i="3" l="1"/>
  <c r="BA603" i="3"/>
  <c r="BB603" i="3" s="1"/>
  <c r="G604" i="3"/>
  <c r="AS604" i="3"/>
  <c r="C605" i="3" l="1"/>
  <c r="AX604" i="3"/>
  <c r="BC604" i="3" s="1"/>
  <c r="AZ604" i="3" l="1"/>
  <c r="BA604" i="3"/>
  <c r="BB604" i="3" s="1"/>
  <c r="G605" i="3"/>
  <c r="AS605" i="3"/>
  <c r="C606" i="3" l="1"/>
  <c r="AX605" i="3"/>
  <c r="BC605" i="3" s="1"/>
  <c r="AZ605" i="3" l="1"/>
  <c r="BA605" i="3"/>
  <c r="BB605" i="3" s="1"/>
  <c r="G606" i="3"/>
  <c r="AS606" i="3"/>
  <c r="C607" i="3" l="1"/>
  <c r="AX606" i="3"/>
  <c r="BC606" i="3" s="1"/>
  <c r="AZ606" i="3" l="1"/>
  <c r="BA606" i="3"/>
  <c r="BB606" i="3" s="1"/>
  <c r="AS607" i="3"/>
  <c r="G607" i="3"/>
  <c r="AX607" i="3" l="1"/>
  <c r="BC607" i="3" s="1"/>
  <c r="C608" i="3"/>
  <c r="AZ607" i="3" l="1"/>
  <c r="BA607" i="3"/>
  <c r="BB607" i="3" s="1"/>
  <c r="G608" i="3"/>
  <c r="AS608" i="3"/>
  <c r="C609" i="3" l="1"/>
  <c r="AX608" i="3"/>
  <c r="BC608" i="3" s="1"/>
  <c r="AZ608" i="3" l="1"/>
  <c r="BA608" i="3"/>
  <c r="BB608" i="3" s="1"/>
  <c r="AS609" i="3"/>
  <c r="G609" i="3"/>
  <c r="AX609" i="3" l="1"/>
  <c r="C610" i="3"/>
  <c r="BA609" i="3" l="1"/>
  <c r="BB609" i="3" s="1"/>
  <c r="BC609" i="3"/>
  <c r="AZ609" i="3"/>
  <c r="AS610" i="3"/>
  <c r="G610" i="3"/>
  <c r="C611" i="3" l="1"/>
  <c r="AX610" i="3"/>
  <c r="BA610" i="3" l="1"/>
  <c r="BB610" i="3" s="1"/>
  <c r="BC610" i="3"/>
  <c r="AZ610" i="3"/>
  <c r="AS611" i="3"/>
  <c r="G611" i="3"/>
  <c r="C612" i="3" l="1"/>
  <c r="AX611" i="3"/>
  <c r="AZ611" i="3" l="1"/>
  <c r="BA611" i="3"/>
  <c r="BB611" i="3" s="1"/>
  <c r="BC611" i="3"/>
  <c r="AS612" i="3"/>
  <c r="G612" i="3"/>
  <c r="AX612" i="3" l="1"/>
  <c r="C613" i="3"/>
  <c r="AZ612" i="3" l="1"/>
  <c r="BA612" i="3"/>
  <c r="BB612" i="3" s="1"/>
  <c r="BC612" i="3"/>
  <c r="AS613" i="3"/>
  <c r="G613" i="3"/>
  <c r="AX613" i="3" l="1"/>
  <c r="C614" i="3"/>
  <c r="AZ613" i="3" l="1"/>
  <c r="BA613" i="3"/>
  <c r="BB613" i="3" s="1"/>
  <c r="BC613" i="3"/>
  <c r="G614" i="3"/>
  <c r="AS614" i="3"/>
  <c r="AX614" i="3" l="1"/>
  <c r="C615" i="3"/>
  <c r="BA614" i="3" l="1"/>
  <c r="BB614" i="3" s="1"/>
  <c r="BC614" i="3"/>
  <c r="AZ614" i="3"/>
  <c r="AS615" i="3"/>
  <c r="G615" i="3"/>
  <c r="AX615" i="3" l="1"/>
  <c r="C616" i="3"/>
  <c r="BA615" i="3" l="1"/>
  <c r="BC615" i="3"/>
  <c r="AZ615" i="3"/>
  <c r="BB615" i="3"/>
  <c r="AS616" i="3"/>
  <c r="G616" i="3"/>
  <c r="C617" i="3" l="1"/>
  <c r="AX616" i="3"/>
  <c r="AZ616" i="3" l="1"/>
  <c r="BC616" i="3"/>
  <c r="BA616" i="3"/>
  <c r="BB616" i="3" s="1"/>
  <c r="G617" i="3"/>
  <c r="AS617" i="3"/>
  <c r="C618" i="3" l="1"/>
  <c r="AX617" i="3"/>
  <c r="AZ617" i="3" l="1"/>
  <c r="BA617" i="3"/>
  <c r="BB617" i="3" s="1"/>
  <c r="BC617" i="3"/>
  <c r="AS618" i="3"/>
  <c r="G618" i="3"/>
  <c r="C619" i="3" l="1"/>
  <c r="AX618" i="3"/>
  <c r="AZ618" i="3" l="1"/>
  <c r="BA618" i="3"/>
  <c r="BB618" i="3" s="1"/>
  <c r="BC618" i="3"/>
  <c r="AS619" i="3"/>
  <c r="G619" i="3"/>
  <c r="AX619" i="3" l="1"/>
  <c r="C620" i="3"/>
  <c r="AZ619" i="3" l="1"/>
  <c r="BA619" i="3"/>
  <c r="BB619" i="3" s="1"/>
  <c r="BC619" i="3"/>
  <c r="G620" i="3"/>
  <c r="AS620" i="3"/>
  <c r="AX620" i="3" l="1"/>
  <c r="C621" i="3"/>
  <c r="AZ620" i="3" l="1"/>
  <c r="BA620" i="3"/>
  <c r="BB620" i="3" s="1"/>
  <c r="BC620" i="3"/>
  <c r="G621" i="3"/>
  <c r="AS621" i="3"/>
  <c r="AX621" i="3" l="1"/>
  <c r="C622" i="3"/>
  <c r="AZ621" i="3" l="1"/>
  <c r="BA621" i="3"/>
  <c r="BB621" i="3" s="1"/>
  <c r="BC621" i="3"/>
  <c r="G622" i="3"/>
  <c r="AS622" i="3"/>
  <c r="AX622" i="3" l="1"/>
  <c r="C623" i="3"/>
  <c r="AZ622" i="3" l="1"/>
  <c r="BA622" i="3"/>
  <c r="BB622" i="3" s="1"/>
  <c r="BC622" i="3"/>
  <c r="AS623" i="3"/>
  <c r="G623" i="3"/>
  <c r="C624" i="3" l="1"/>
  <c r="AX623" i="3"/>
  <c r="AZ623" i="3" l="1"/>
  <c r="BA623" i="3"/>
  <c r="BB623" i="3" s="1"/>
  <c r="BC623" i="3"/>
  <c r="G624" i="3"/>
  <c r="AS624" i="3"/>
  <c r="AX624" i="3" l="1"/>
  <c r="C625" i="3"/>
  <c r="AZ624" i="3" l="1"/>
  <c r="BA624" i="3"/>
  <c r="BB624" i="3" s="1"/>
  <c r="BC624" i="3"/>
  <c r="AS625" i="3"/>
  <c r="G625" i="3"/>
  <c r="AX625" i="3" l="1"/>
  <c r="C626" i="3"/>
  <c r="AZ625" i="3" l="1"/>
  <c r="BA625" i="3"/>
  <c r="BB625" i="3" s="1"/>
  <c r="BC625" i="3"/>
  <c r="G626" i="3"/>
  <c r="AS626" i="3"/>
  <c r="C627" i="3" l="1"/>
  <c r="AX626" i="3"/>
  <c r="AZ626" i="3" l="1"/>
  <c r="BA626" i="3"/>
  <c r="BB626" i="3" s="1"/>
  <c r="BC626" i="3"/>
  <c r="AS627" i="3"/>
  <c r="G627" i="3"/>
  <c r="AX627" i="3" l="1"/>
  <c r="C628" i="3"/>
  <c r="AZ627" i="3" l="1"/>
  <c r="BA627" i="3"/>
  <c r="BB627" i="3" s="1"/>
  <c r="BC627" i="3"/>
  <c r="G628" i="3"/>
  <c r="AS628" i="3"/>
  <c r="C629" i="3" l="1"/>
  <c r="AX628" i="3"/>
  <c r="AZ628" i="3" l="1"/>
  <c r="BA628" i="3"/>
  <c r="BB628" i="3" s="1"/>
  <c r="BC628" i="3"/>
  <c r="G629" i="3"/>
  <c r="AS629" i="3"/>
  <c r="AX629" i="3" l="1"/>
  <c r="C630" i="3"/>
  <c r="AZ629" i="3" l="1"/>
  <c r="BA629" i="3"/>
  <c r="BB629" i="3" s="1"/>
  <c r="BC629" i="3"/>
  <c r="AS630" i="3"/>
  <c r="G630" i="3"/>
  <c r="AX630" i="3" l="1"/>
  <c r="C631" i="3"/>
  <c r="AZ630" i="3" l="1"/>
  <c r="BA630" i="3"/>
  <c r="BB630" i="3" s="1"/>
  <c r="BC630" i="3"/>
  <c r="G631" i="3"/>
  <c r="AX631" i="3" s="1"/>
  <c r="AS631" i="3"/>
  <c r="BA631" i="3" l="1"/>
  <c r="BB631" i="3" s="1"/>
  <c r="BC631" i="3"/>
  <c r="C632" i="3"/>
  <c r="AZ631" i="3"/>
  <c r="G632" i="3" l="1"/>
  <c r="AX632" i="3" s="1"/>
  <c r="AS632" i="3"/>
  <c r="BA632" i="3" l="1"/>
  <c r="BB632" i="3" s="1"/>
  <c r="BC632" i="3"/>
  <c r="AZ632" i="3"/>
  <c r="C633" i="3"/>
  <c r="G633" i="3" l="1"/>
  <c r="AS633" i="3"/>
  <c r="AX633" i="3" l="1"/>
  <c r="C634" i="3"/>
  <c r="AZ633" i="3" l="1"/>
  <c r="BA633" i="3"/>
  <c r="BB633" i="3" s="1"/>
  <c r="BC633" i="3"/>
  <c r="AS634" i="3"/>
  <c r="G634" i="3"/>
  <c r="C635" i="3" l="1"/>
  <c r="AX634" i="3"/>
  <c r="AZ634" i="3" l="1"/>
  <c r="BA634" i="3"/>
  <c r="BB634" i="3" s="1"/>
  <c r="BC634" i="3"/>
  <c r="AS635" i="3"/>
  <c r="G635" i="3"/>
  <c r="AX635" i="3" l="1"/>
  <c r="C636" i="3"/>
  <c r="AZ635" i="3" l="1"/>
  <c r="BA635" i="3"/>
  <c r="BB635" i="3" s="1"/>
  <c r="BC635" i="3"/>
  <c r="AS636" i="3"/>
  <c r="G636" i="3"/>
  <c r="C637" i="3" l="1"/>
  <c r="AX636" i="3"/>
  <c r="AZ636" i="3" l="1"/>
  <c r="BA636" i="3"/>
  <c r="BB636" i="3" s="1"/>
  <c r="BC636" i="3"/>
  <c r="AS637" i="3"/>
  <c r="G637" i="3"/>
  <c r="C638" i="3" l="1"/>
  <c r="AX637" i="3"/>
  <c r="AZ637" i="3" l="1"/>
  <c r="BA637" i="3"/>
  <c r="BB637" i="3" s="1"/>
  <c r="BC637" i="3"/>
  <c r="AS638" i="3"/>
  <c r="G638" i="3"/>
  <c r="C639" i="3" l="1"/>
  <c r="AX638" i="3"/>
  <c r="AZ638" i="3" l="1"/>
  <c r="BA638" i="3"/>
  <c r="BB638" i="3" s="1"/>
  <c r="BC638" i="3"/>
  <c r="G639" i="3"/>
  <c r="AS639" i="3"/>
  <c r="AX639" i="3" l="1"/>
  <c r="C640" i="3"/>
  <c r="AZ639" i="3" l="1"/>
  <c r="BA639" i="3"/>
  <c r="BB639" i="3" s="1"/>
  <c r="BC639" i="3"/>
  <c r="G640" i="3"/>
  <c r="AS640" i="3"/>
  <c r="C641" i="3" l="1"/>
  <c r="AX640" i="3"/>
  <c r="AZ640" i="3" l="1"/>
  <c r="BA640" i="3"/>
  <c r="BB640" i="3" s="1"/>
  <c r="BC640" i="3"/>
  <c r="G641" i="3"/>
  <c r="AS641" i="3"/>
  <c r="C642" i="3" l="1"/>
  <c r="AX641" i="3"/>
  <c r="AZ641" i="3" l="1"/>
  <c r="BA641" i="3"/>
  <c r="BB641" i="3" s="1"/>
  <c r="BC641" i="3"/>
  <c r="G642" i="3"/>
  <c r="AS642" i="3"/>
  <c r="C643" i="3" l="1"/>
  <c r="AX642" i="3"/>
  <c r="AZ642" i="3" l="1"/>
  <c r="BA642" i="3"/>
  <c r="BB642" i="3" s="1"/>
  <c r="BC642" i="3"/>
  <c r="G643" i="3"/>
  <c r="AS643" i="3"/>
  <c r="AX643" i="3" l="1"/>
  <c r="C644" i="3"/>
  <c r="AZ643" i="3" l="1"/>
  <c r="BA643" i="3"/>
  <c r="BB643" i="3" s="1"/>
  <c r="BC643" i="3"/>
  <c r="AS644" i="3"/>
  <c r="G644" i="3"/>
  <c r="AX644" i="3" l="1"/>
  <c r="C645" i="3"/>
  <c r="AZ644" i="3" l="1"/>
  <c r="BA644" i="3"/>
  <c r="BB644" i="3" s="1"/>
  <c r="BC644" i="3"/>
  <c r="G645" i="3"/>
  <c r="AS645" i="3"/>
  <c r="AX645" i="3" l="1"/>
  <c r="C646" i="3"/>
  <c r="AZ645" i="3" l="1"/>
  <c r="BA645" i="3"/>
  <c r="BB645" i="3" s="1"/>
  <c r="BC645" i="3"/>
  <c r="G646" i="3"/>
  <c r="AS646" i="3"/>
  <c r="C647" i="3" l="1"/>
  <c r="AX646" i="3"/>
  <c r="AZ646" i="3" l="1"/>
  <c r="BC646" i="3"/>
  <c r="BA646" i="3"/>
  <c r="BB646" i="3" s="1"/>
  <c r="G647" i="3"/>
  <c r="AS647" i="3"/>
  <c r="AX647" i="3" l="1"/>
  <c r="C648" i="3"/>
  <c r="AZ647" i="3" l="1"/>
  <c r="BA647" i="3"/>
  <c r="BB647" i="3" s="1"/>
  <c r="BC647" i="3"/>
  <c r="AS648" i="3"/>
  <c r="G648" i="3"/>
  <c r="AX648" i="3" l="1"/>
  <c r="C649" i="3"/>
  <c r="AZ648" i="3" l="1"/>
  <c r="BA648" i="3"/>
  <c r="BB648" i="3" s="1"/>
  <c r="BC648" i="3"/>
  <c r="G649" i="3"/>
  <c r="AS649" i="3"/>
  <c r="AX649" i="3" l="1"/>
  <c r="C650" i="3"/>
  <c r="AZ649" i="3" l="1"/>
  <c r="BA649" i="3"/>
  <c r="BB649" i="3" s="1"/>
  <c r="BC649" i="3"/>
  <c r="AS650" i="3"/>
  <c r="G650" i="3"/>
  <c r="C651" i="3" l="1"/>
  <c r="AX650" i="3"/>
  <c r="AZ650" i="3" l="1"/>
  <c r="BA650" i="3"/>
  <c r="BB650" i="3" s="1"/>
  <c r="BC650" i="3"/>
  <c r="G651" i="3"/>
  <c r="AS651" i="3"/>
  <c r="AX651" i="3" l="1"/>
  <c r="C652" i="3"/>
  <c r="AZ651" i="3" l="1"/>
  <c r="BA651" i="3"/>
  <c r="BB651" i="3" s="1"/>
  <c r="BC651" i="3"/>
  <c r="AS652" i="3"/>
  <c r="G652" i="3"/>
  <c r="AX652" i="3" l="1"/>
  <c r="C653" i="3"/>
  <c r="AZ652" i="3" l="1"/>
  <c r="BA652" i="3"/>
  <c r="BB652" i="3" s="1"/>
  <c r="BC652" i="3"/>
  <c r="AS653" i="3"/>
  <c r="G653" i="3"/>
  <c r="AX653" i="3" l="1"/>
  <c r="C654" i="3"/>
  <c r="AZ653" i="3" l="1"/>
  <c r="BA653" i="3"/>
  <c r="BB653" i="3" s="1"/>
  <c r="BC653" i="3"/>
  <c r="G654" i="3"/>
  <c r="AS654" i="3"/>
  <c r="AX654" i="3" l="1"/>
  <c r="C655" i="3"/>
  <c r="AZ654" i="3" l="1"/>
  <c r="BA654" i="3"/>
  <c r="BB654" i="3" s="1"/>
  <c r="BC654" i="3"/>
  <c r="AS655" i="3"/>
  <c r="G655" i="3"/>
  <c r="AX655" i="3" l="1"/>
  <c r="C656" i="3"/>
  <c r="AZ655" i="3" l="1"/>
  <c r="BA655" i="3"/>
  <c r="BB655" i="3" s="1"/>
  <c r="BC655" i="3"/>
  <c r="G656" i="3"/>
  <c r="AS656" i="3"/>
  <c r="AX656" i="3" l="1"/>
  <c r="AZ656" i="3" s="1"/>
  <c r="C657" i="3"/>
  <c r="AS657" i="3" l="1"/>
  <c r="G657" i="3"/>
  <c r="C658" i="3" l="1"/>
  <c r="AX657" i="3"/>
  <c r="AZ657" i="3" s="1"/>
  <c r="G658" i="3" l="1"/>
  <c r="AS658" i="3"/>
  <c r="AX658" i="3" l="1"/>
  <c r="AZ658" i="3" s="1"/>
  <c r="C659" i="3"/>
  <c r="G659" i="3" l="1"/>
  <c r="AS659" i="3"/>
  <c r="C660" i="3" l="1"/>
  <c r="AX659" i="3"/>
  <c r="AZ659" i="3" s="1"/>
  <c r="AS660" i="3" l="1"/>
  <c r="G660" i="3"/>
  <c r="AX660" i="3" l="1"/>
  <c r="AZ660" i="3" s="1"/>
  <c r="C661" i="3"/>
  <c r="AS661" i="3" l="1"/>
  <c r="G661" i="3"/>
  <c r="AX661" i="3" l="1"/>
  <c r="AZ661" i="3" s="1"/>
  <c r="C662" i="3"/>
  <c r="AS662" i="3" l="1"/>
  <c r="G662" i="3"/>
  <c r="AX662" i="3" l="1"/>
  <c r="AZ662" i="3" s="1"/>
  <c r="C663" i="3"/>
  <c r="AS663" i="3" l="1"/>
  <c r="G663" i="3"/>
  <c r="AX663" i="3" l="1"/>
  <c r="AZ663" i="3" s="1"/>
  <c r="C664" i="3"/>
  <c r="AS664" i="3" l="1"/>
  <c r="G664" i="3"/>
  <c r="AX664" i="3" l="1"/>
  <c r="AZ664" i="3" s="1"/>
  <c r="C665" i="3"/>
  <c r="G665" i="3" l="1"/>
  <c r="AS665" i="3"/>
  <c r="AX665" i="3" l="1"/>
  <c r="AZ665" i="3" s="1"/>
  <c r="C666" i="3"/>
  <c r="AS666" i="3" l="1"/>
  <c r="G666" i="3"/>
  <c r="C667" i="3" l="1"/>
  <c r="AX666" i="3"/>
  <c r="AZ666" i="3" s="1"/>
  <c r="G667" i="3" l="1"/>
  <c r="AS667" i="3"/>
  <c r="C668" i="3" l="1"/>
  <c r="AX667" i="3"/>
  <c r="AZ667" i="3" s="1"/>
  <c r="AS668" i="3" l="1"/>
  <c r="G668" i="3"/>
  <c r="AX668" i="3" l="1"/>
  <c r="AZ668" i="3" s="1"/>
  <c r="C669" i="3"/>
  <c r="G669" i="3" l="1"/>
  <c r="AS669" i="3"/>
  <c r="C670" i="3" l="1"/>
  <c r="AX669" i="3"/>
  <c r="AZ669" i="3" s="1"/>
  <c r="G670" i="3" l="1"/>
  <c r="AS670" i="3"/>
  <c r="AX670" i="3" l="1"/>
  <c r="AZ670" i="3" s="1"/>
  <c r="C671" i="3"/>
  <c r="G671" i="3" l="1"/>
  <c r="AS671" i="3"/>
  <c r="C672" i="3" l="1"/>
  <c r="AX671" i="3"/>
  <c r="AZ671" i="3" s="1"/>
  <c r="AS672" i="3" l="1"/>
  <c r="G672" i="3"/>
  <c r="C673" i="3" l="1"/>
  <c r="AX672" i="3"/>
  <c r="AZ672" i="3" s="1"/>
  <c r="G673" i="3" l="1"/>
  <c r="AS673" i="3"/>
  <c r="C674" i="3" l="1"/>
  <c r="AX673" i="3"/>
  <c r="AZ673" i="3" s="1"/>
  <c r="AS674" i="3" l="1"/>
  <c r="G674" i="3"/>
  <c r="C675" i="3" l="1"/>
  <c r="AX674" i="3"/>
  <c r="AZ674" i="3" s="1"/>
  <c r="G675" i="3" l="1"/>
  <c r="AS675" i="3"/>
  <c r="C676" i="3" l="1"/>
  <c r="AX675" i="3"/>
  <c r="AZ675" i="3" s="1"/>
  <c r="G676" i="3" l="1"/>
  <c r="AS676" i="3"/>
  <c r="C677" i="3" l="1"/>
  <c r="AX676" i="3"/>
  <c r="AZ676" i="3" s="1"/>
  <c r="G677" i="3" l="1"/>
  <c r="AS677" i="3"/>
  <c r="C678" i="3" l="1"/>
  <c r="AX677" i="3"/>
  <c r="AZ677" i="3" s="1"/>
  <c r="G678" i="3" l="1"/>
  <c r="AS678" i="3"/>
  <c r="C679" i="3" l="1"/>
  <c r="AX678" i="3"/>
  <c r="AZ678" i="3" s="1"/>
  <c r="G679" i="3" l="1"/>
  <c r="AS679" i="3"/>
  <c r="C680" i="3" l="1"/>
  <c r="AX679" i="3"/>
  <c r="AZ679" i="3" s="1"/>
  <c r="G680" i="3" l="1"/>
  <c r="AS680" i="3"/>
  <c r="C681" i="3" l="1"/>
  <c r="AX680" i="3"/>
  <c r="AZ680" i="3" s="1"/>
  <c r="G681" i="3" l="1"/>
  <c r="AS681" i="3"/>
  <c r="C682" i="3" l="1"/>
  <c r="AX681" i="3"/>
  <c r="AZ681" i="3" s="1"/>
  <c r="AS682" i="3" l="1"/>
  <c r="G682" i="3"/>
  <c r="C683" i="3" l="1"/>
  <c r="AX682" i="3"/>
  <c r="AZ682" i="3" s="1"/>
  <c r="G683" i="3" l="1"/>
  <c r="AS683" i="3"/>
  <c r="C684" i="3" l="1"/>
  <c r="AX683" i="3"/>
  <c r="AZ683" i="3" s="1"/>
  <c r="AS684" i="3" l="1"/>
  <c r="G684" i="3"/>
  <c r="C685" i="3" l="1"/>
  <c r="AX684" i="3"/>
  <c r="AZ684" i="3" s="1"/>
  <c r="G685" i="3" l="1"/>
  <c r="AS685" i="3"/>
  <c r="C686" i="3" l="1"/>
  <c r="AX685" i="3"/>
  <c r="AZ685" i="3" s="1"/>
  <c r="AS686" i="3" l="1"/>
  <c r="G686" i="3"/>
  <c r="C687" i="3" l="1"/>
  <c r="AX686" i="3"/>
  <c r="AZ686" i="3" s="1"/>
  <c r="G687" i="3" l="1"/>
  <c r="AS687" i="3"/>
  <c r="C688" i="3" l="1"/>
  <c r="AX687" i="3"/>
  <c r="AZ687" i="3" s="1"/>
  <c r="G688" i="3" l="1"/>
  <c r="AS688" i="3"/>
  <c r="C689" i="3" l="1"/>
  <c r="AX688" i="3"/>
  <c r="AZ688" i="3" s="1"/>
  <c r="G689" i="3" l="1"/>
  <c r="AS689" i="3"/>
  <c r="C690" i="3" l="1"/>
  <c r="AX689" i="3"/>
  <c r="AZ689" i="3" s="1"/>
  <c r="G690" i="3" l="1"/>
  <c r="AS690" i="3"/>
  <c r="C691" i="3" l="1"/>
  <c r="AX690" i="3"/>
  <c r="AZ690" i="3" s="1"/>
  <c r="G691" i="3" l="1"/>
  <c r="AS691" i="3"/>
  <c r="C692" i="3" l="1"/>
  <c r="AX691" i="3"/>
  <c r="AZ691" i="3" s="1"/>
  <c r="AS692" i="3" l="1"/>
  <c r="G692" i="3"/>
  <c r="AX692" i="3" l="1"/>
  <c r="AZ692" i="3" s="1"/>
  <c r="C693" i="3"/>
  <c r="AS693" i="3" l="1"/>
  <c r="G693" i="3"/>
  <c r="C694" i="3" l="1"/>
  <c r="AX693" i="3"/>
  <c r="AZ693" i="3" s="1"/>
  <c r="G694" i="3" l="1"/>
  <c r="AS694" i="3"/>
  <c r="C695" i="3" l="1"/>
  <c r="AX694" i="3"/>
  <c r="AZ694" i="3" s="1"/>
  <c r="G695" i="3" l="1"/>
  <c r="AS695" i="3"/>
  <c r="C696" i="3" l="1"/>
  <c r="AX695" i="3"/>
  <c r="AZ695" i="3" s="1"/>
  <c r="AS696" i="3" l="1"/>
  <c r="G696" i="3"/>
  <c r="AX696" i="3" l="1"/>
  <c r="AZ696" i="3" s="1"/>
  <c r="C697" i="3"/>
  <c r="G697" i="3" l="1"/>
  <c r="AS697" i="3"/>
  <c r="C698" i="3" l="1"/>
  <c r="AX697" i="3"/>
  <c r="AZ697" i="3" s="1"/>
  <c r="G698" i="3" l="1"/>
  <c r="AS698" i="3"/>
  <c r="C699" i="3" l="1"/>
  <c r="AX698" i="3"/>
  <c r="AZ698" i="3" s="1"/>
  <c r="AS699" i="3" l="1"/>
  <c r="G699" i="3"/>
  <c r="C700" i="3" l="1"/>
  <c r="AX699" i="3"/>
  <c r="AZ699" i="3" s="1"/>
  <c r="G700" i="3" l="1"/>
  <c r="AS700" i="3"/>
  <c r="AX700" i="3" l="1"/>
  <c r="AZ700" i="3" s="1"/>
  <c r="C701" i="3"/>
  <c r="G701" i="3" l="1"/>
  <c r="AS701" i="3"/>
  <c r="C702" i="3" l="1"/>
  <c r="AX701" i="3"/>
  <c r="AZ701" i="3" s="1"/>
  <c r="G702" i="3" l="1"/>
  <c r="AS702" i="3"/>
  <c r="C703" i="3" l="1"/>
  <c r="AX702" i="3"/>
  <c r="AZ702" i="3" s="1"/>
  <c r="AS703" i="3" l="1"/>
  <c r="G703" i="3"/>
  <c r="C704" i="3" l="1"/>
  <c r="AX703" i="3"/>
  <c r="AZ703" i="3" s="1"/>
  <c r="G704" i="3" l="1"/>
  <c r="AS704" i="3"/>
  <c r="AX704" i="3" l="1"/>
  <c r="AZ704" i="3" s="1"/>
  <c r="C705" i="3"/>
  <c r="G705" i="3" l="1"/>
  <c r="AS705" i="3"/>
  <c r="C706" i="3" l="1"/>
  <c r="AX705" i="3"/>
  <c r="AZ705" i="3" s="1"/>
  <c r="G706" i="3" l="1"/>
  <c r="AS706" i="3"/>
  <c r="C707" i="3" l="1"/>
  <c r="AX706" i="3"/>
  <c r="AZ706" i="3" s="1"/>
  <c r="G707" i="3" l="1"/>
  <c r="AS707" i="3"/>
  <c r="C708" i="3" l="1"/>
  <c r="AX707" i="3"/>
  <c r="AZ707" i="3" s="1"/>
  <c r="AS708" i="3" l="1"/>
  <c r="G708" i="3"/>
  <c r="AX708" i="3" l="1"/>
  <c r="AZ708" i="3" s="1"/>
  <c r="C709" i="3"/>
  <c r="AS709" i="3" l="1"/>
  <c r="G709" i="3"/>
  <c r="C710" i="3" l="1"/>
  <c r="AX709" i="3"/>
  <c r="AZ709" i="3" s="1"/>
  <c r="AS710" i="3" l="1"/>
  <c r="G710" i="3"/>
  <c r="C711" i="3" l="1"/>
  <c r="AX710" i="3"/>
  <c r="AZ710" i="3" s="1"/>
  <c r="AS711" i="3" l="1"/>
  <c r="G711" i="3"/>
  <c r="C712" i="3" l="1"/>
  <c r="AX711" i="3"/>
  <c r="AZ711" i="3" s="1"/>
  <c r="G712" i="3" l="1"/>
  <c r="AS712" i="3"/>
  <c r="AX712" i="3" l="1"/>
  <c r="AZ712" i="3" s="1"/>
  <c r="C713" i="3"/>
  <c r="G713" i="3" l="1"/>
  <c r="AS713" i="3"/>
  <c r="C714" i="3" l="1"/>
  <c r="AX713" i="3"/>
  <c r="AZ713" i="3" s="1"/>
  <c r="G714" i="3" l="1"/>
  <c r="AS714" i="3"/>
  <c r="C715" i="3" l="1"/>
  <c r="AX714" i="3"/>
  <c r="AZ714" i="3" s="1"/>
  <c r="G715" i="3" l="1"/>
  <c r="AS715" i="3"/>
  <c r="C716" i="3" l="1"/>
  <c r="AX715" i="3"/>
  <c r="AZ715" i="3" s="1"/>
  <c r="G716" i="3" l="1"/>
  <c r="AS716" i="3"/>
  <c r="C717" i="3" l="1"/>
  <c r="AX716" i="3"/>
  <c r="AZ716" i="3" s="1"/>
  <c r="G717" i="3" l="1"/>
  <c r="AS717" i="3"/>
  <c r="C718" i="3" l="1"/>
  <c r="AX717" i="3"/>
  <c r="AZ717" i="3" s="1"/>
  <c r="G718" i="3" l="1"/>
  <c r="AS718" i="3"/>
  <c r="C719" i="3" l="1"/>
  <c r="AX718" i="3"/>
  <c r="AZ718" i="3" s="1"/>
  <c r="AS719" i="3" l="1"/>
  <c r="G719" i="3"/>
  <c r="AX719" i="3" l="1"/>
  <c r="AZ719" i="3" s="1"/>
  <c r="C720" i="3"/>
  <c r="G720" i="3" l="1"/>
  <c r="AS720" i="3"/>
  <c r="AX720" i="3" l="1"/>
  <c r="AZ720" i="3" s="1"/>
  <c r="C721" i="3"/>
  <c r="G721" i="3" l="1"/>
  <c r="AS721" i="3"/>
  <c r="C722" i="3" l="1"/>
  <c r="AX721" i="3"/>
  <c r="AZ721" i="3" s="1"/>
  <c r="G722" i="3" l="1"/>
  <c r="AS722" i="3"/>
  <c r="C723" i="3" l="1"/>
  <c r="AX722" i="3"/>
  <c r="AZ722" i="3" s="1"/>
  <c r="G723" i="3" l="1"/>
  <c r="AS723" i="3"/>
  <c r="AX723" i="3" l="1"/>
  <c r="AZ723" i="3" s="1"/>
  <c r="C724" i="3"/>
  <c r="AS724" i="3" l="1"/>
  <c r="G724" i="3"/>
  <c r="AX724" i="3" l="1"/>
  <c r="AZ724" i="3" s="1"/>
  <c r="C725" i="3"/>
  <c r="AS725" i="3" l="1"/>
  <c r="G725" i="3"/>
  <c r="C726" i="3" l="1"/>
  <c r="AX725" i="3"/>
  <c r="AZ725" i="3" s="1"/>
  <c r="G726" i="3" l="1"/>
  <c r="AS726" i="3"/>
  <c r="C727" i="3" l="1"/>
  <c r="AX726" i="3"/>
  <c r="AZ726" i="3" s="1"/>
  <c r="AS727" i="3" l="1"/>
  <c r="G727" i="3"/>
  <c r="C728" i="3" l="1"/>
  <c r="AX727" i="3"/>
  <c r="AZ727" i="3" s="1"/>
  <c r="G728" i="3" l="1"/>
  <c r="AS728" i="3"/>
  <c r="C729" i="3" l="1"/>
  <c r="AX728" i="3"/>
  <c r="AZ728" i="3" s="1"/>
  <c r="G729" i="3" l="1"/>
  <c r="AS729" i="3"/>
  <c r="AX729" i="3" l="1"/>
  <c r="AZ729" i="3" s="1"/>
  <c r="C730" i="3"/>
  <c r="AS730" i="3" l="1"/>
  <c r="G730" i="3"/>
  <c r="C731" i="3" l="1"/>
  <c r="AX730" i="3"/>
  <c r="AZ730" i="3" s="1"/>
  <c r="G731" i="3" l="1"/>
  <c r="AS731" i="3"/>
  <c r="C732" i="3" l="1"/>
  <c r="AX731" i="3"/>
  <c r="AZ731" i="3" s="1"/>
  <c r="AS732" i="3" l="1"/>
  <c r="G732" i="3"/>
  <c r="C733" i="3" l="1"/>
  <c r="AX732" i="3"/>
  <c r="AZ732" i="3" s="1"/>
  <c r="AS733" i="3" l="1"/>
  <c r="G733" i="3"/>
  <c r="AX733" i="3" l="1"/>
  <c r="AZ733" i="3" s="1"/>
  <c r="C734" i="3"/>
  <c r="G734" i="3" l="1"/>
  <c r="AS734" i="3"/>
  <c r="C735" i="3" l="1"/>
  <c r="AX734" i="3"/>
  <c r="AZ734" i="3" s="1"/>
  <c r="G735" i="3" l="1"/>
  <c r="AS735" i="3"/>
  <c r="C736" i="3" l="1"/>
  <c r="AX735" i="3"/>
  <c r="AZ735" i="3" s="1"/>
  <c r="G736" i="3" l="1"/>
  <c r="AS736" i="3"/>
  <c r="C737" i="3" l="1"/>
  <c r="AX736" i="3"/>
  <c r="AZ736" i="3" s="1"/>
  <c r="G737" i="3" l="1"/>
  <c r="AS737" i="3"/>
  <c r="C738" i="3" l="1"/>
  <c r="AX737" i="3"/>
  <c r="AZ737" i="3" s="1"/>
  <c r="AS738" i="3" l="1"/>
  <c r="G738" i="3"/>
  <c r="C739" i="3" l="1"/>
  <c r="AX738" i="3"/>
  <c r="AZ738" i="3" s="1"/>
  <c r="G739" i="3" l="1"/>
  <c r="AS739" i="3"/>
  <c r="AX739" i="3" l="1"/>
  <c r="AZ739" i="3" s="1"/>
  <c r="C740" i="3"/>
  <c r="G740" i="3" l="1"/>
  <c r="AS740" i="3"/>
  <c r="C741" i="3" l="1"/>
  <c r="AX740" i="3"/>
  <c r="AZ740" i="3" s="1"/>
  <c r="AS741" i="3" l="1"/>
  <c r="G741" i="3"/>
  <c r="C742" i="3" l="1"/>
  <c r="AX741" i="3"/>
  <c r="AZ741" i="3" s="1"/>
  <c r="G742" i="3" l="1"/>
  <c r="AS742" i="3"/>
  <c r="C743" i="3" l="1"/>
  <c r="AX742" i="3"/>
  <c r="AZ742" i="3" s="1"/>
  <c r="AS743" i="3" l="1"/>
  <c r="G743" i="3"/>
  <c r="AX743" i="3" l="1"/>
  <c r="AZ743" i="3" s="1"/>
  <c r="C744" i="3"/>
  <c r="AS744" i="3" l="1"/>
  <c r="G744" i="3"/>
  <c r="C745" i="3" l="1"/>
  <c r="AX744" i="3"/>
  <c r="AZ744" i="3" s="1"/>
  <c r="G745" i="3" l="1"/>
  <c r="AS745" i="3"/>
  <c r="AX745" i="3" l="1"/>
  <c r="AZ745" i="3" s="1"/>
  <c r="C746" i="3"/>
  <c r="AS746" i="3" l="1"/>
  <c r="G746" i="3"/>
  <c r="C747" i="3" l="1"/>
  <c r="AX746" i="3"/>
  <c r="AZ746" i="3" s="1"/>
  <c r="G747" i="3" l="1"/>
  <c r="AS747" i="3"/>
  <c r="C748" i="3" l="1"/>
  <c r="AX747" i="3"/>
  <c r="AZ747" i="3" s="1"/>
  <c r="G748" i="3" l="1"/>
  <c r="AS748" i="3"/>
  <c r="C749" i="3" l="1"/>
  <c r="AX748" i="3"/>
  <c r="AZ748" i="3" s="1"/>
  <c r="AS749" i="3" l="1"/>
  <c r="G749" i="3"/>
  <c r="AX749" i="3" l="1"/>
  <c r="AZ749" i="3" s="1"/>
  <c r="C750" i="3"/>
  <c r="G750" i="3" l="1"/>
  <c r="AS750" i="3"/>
  <c r="C751" i="3" l="1"/>
  <c r="AX750" i="3"/>
  <c r="AZ750" i="3" s="1"/>
  <c r="AS751" i="3" l="1"/>
  <c r="G751" i="3"/>
  <c r="C752" i="3" l="1"/>
  <c r="AX751" i="3"/>
  <c r="AZ751" i="3" s="1"/>
  <c r="G752" i="3" l="1"/>
  <c r="AS752" i="3"/>
  <c r="C753" i="3" l="1"/>
  <c r="AX752" i="3"/>
  <c r="AZ752" i="3" s="1"/>
  <c r="AS753" i="3" l="1"/>
  <c r="G753" i="3"/>
  <c r="AX753" i="3" l="1"/>
  <c r="AZ753" i="3" s="1"/>
  <c r="C754" i="3"/>
  <c r="AS754" i="3" l="1"/>
  <c r="G754" i="3"/>
  <c r="C755" i="3" l="1"/>
  <c r="AX754" i="3"/>
  <c r="AZ754" i="3" s="1"/>
  <c r="G755" i="3" l="1"/>
  <c r="AS755" i="3"/>
  <c r="C756" i="3" l="1"/>
  <c r="AX755" i="3"/>
  <c r="AZ755" i="3" s="1"/>
  <c r="G756" i="3" l="1"/>
  <c r="AS756" i="3"/>
  <c r="AX756" i="3" l="1"/>
  <c r="AZ756" i="3" s="1"/>
  <c r="C757" i="3"/>
  <c r="AS757" i="3" l="1"/>
  <c r="G757" i="3"/>
  <c r="AX757" i="3" l="1"/>
  <c r="AZ757" i="3" s="1"/>
  <c r="C758" i="3"/>
  <c r="G758" i="3" l="1"/>
  <c r="AS758" i="3"/>
  <c r="AX758" i="3" l="1"/>
  <c r="AZ758" i="3" s="1"/>
  <c r="C759" i="3"/>
  <c r="G759" i="3" l="1"/>
  <c r="AS759" i="3"/>
  <c r="AX759" i="3" l="1"/>
  <c r="AZ759" i="3" s="1"/>
  <c r="C760" i="3"/>
  <c r="G760" i="3" l="1"/>
  <c r="AS760" i="3"/>
  <c r="C761" i="3" l="1"/>
  <c r="AX760" i="3"/>
  <c r="AZ760" i="3" s="1"/>
  <c r="G761" i="3" l="1"/>
  <c r="AS761" i="3"/>
  <c r="C762" i="3" l="1"/>
  <c r="AX761" i="3"/>
  <c r="AZ761" i="3" s="1"/>
  <c r="G762" i="3" l="1"/>
  <c r="AS762" i="3"/>
  <c r="AX762" i="3" l="1"/>
  <c r="AZ762" i="3" s="1"/>
  <c r="C763" i="3"/>
  <c r="AS763" i="3" l="1"/>
  <c r="G763" i="3"/>
  <c r="AX763" i="3" l="1"/>
  <c r="AZ763" i="3" s="1"/>
  <c r="C764" i="3"/>
  <c r="AS764" i="3" l="1"/>
  <c r="G764" i="3"/>
  <c r="AX764" i="3" l="1"/>
  <c r="AZ764" i="3" s="1"/>
  <c r="C765" i="3"/>
  <c r="G765" i="3" l="1"/>
  <c r="AS765" i="3"/>
  <c r="AX765" i="3" l="1"/>
  <c r="AZ765" i="3" s="1"/>
  <c r="C766" i="3"/>
  <c r="G766" i="3" l="1"/>
  <c r="AS766" i="3"/>
  <c r="AX766" i="3" l="1"/>
  <c r="AZ766" i="3" s="1"/>
  <c r="C767" i="3"/>
  <c r="AS767" i="3" l="1"/>
  <c r="G767" i="3"/>
  <c r="AX767" i="3" l="1"/>
  <c r="AZ767" i="3" s="1"/>
  <c r="C768" i="3"/>
  <c r="AS768" i="3" l="1"/>
  <c r="G768" i="3"/>
  <c r="AX768" i="3" l="1"/>
  <c r="AZ768" i="3" s="1"/>
  <c r="C769" i="3"/>
  <c r="AS769" i="3" l="1"/>
  <c r="G769" i="3"/>
  <c r="AX769" i="3" l="1"/>
  <c r="AZ769" i="3" s="1"/>
  <c r="C770" i="3"/>
  <c r="AS770" i="3" l="1"/>
  <c r="G770" i="3"/>
  <c r="C771" i="3" l="1"/>
  <c r="AX770" i="3"/>
  <c r="AZ770" i="3" s="1"/>
  <c r="G771" i="3" l="1"/>
  <c r="AS771" i="3"/>
  <c r="AX771" i="3" l="1"/>
  <c r="AZ771" i="3" s="1"/>
  <c r="C772" i="3"/>
  <c r="AS772" i="3" l="1"/>
  <c r="G772" i="3"/>
  <c r="C773" i="3" l="1"/>
  <c r="AX772" i="3"/>
  <c r="AZ772" i="3" s="1"/>
  <c r="G773" i="3" l="1"/>
  <c r="AS773" i="3"/>
  <c r="C774" i="3" l="1"/>
  <c r="AX773" i="3"/>
  <c r="AZ773" i="3" s="1"/>
  <c r="G774" i="3" l="1"/>
  <c r="AS774" i="3"/>
  <c r="AX774" i="3" l="1"/>
  <c r="AZ774" i="3" s="1"/>
  <c r="C775" i="3"/>
  <c r="G775" i="3" l="1"/>
  <c r="AS775" i="3"/>
  <c r="AX775" i="3" l="1"/>
  <c r="AZ775" i="3" s="1"/>
  <c r="C776" i="3"/>
  <c r="G776" i="3" l="1"/>
  <c r="AS776" i="3"/>
  <c r="AX776" i="3" l="1"/>
  <c r="AZ776" i="3" s="1"/>
  <c r="C777" i="3"/>
  <c r="AS777" i="3" l="1"/>
  <c r="G777" i="3"/>
  <c r="C778" i="3" l="1"/>
  <c r="AX777" i="3"/>
  <c r="AZ777" i="3" s="1"/>
  <c r="AS778" i="3" l="1"/>
  <c r="G778" i="3"/>
  <c r="AX778" i="3" l="1"/>
  <c r="AZ778" i="3" s="1"/>
  <c r="C779" i="3"/>
  <c r="G779" i="3" l="1"/>
  <c r="AS779" i="3"/>
  <c r="AX779" i="3" l="1"/>
  <c r="AZ779" i="3" s="1"/>
  <c r="C780" i="3"/>
  <c r="AS780" i="3" l="1"/>
  <c r="G780" i="3"/>
  <c r="AX780" i="3" l="1"/>
  <c r="AZ780" i="3" s="1"/>
  <c r="C781" i="3"/>
  <c r="G781" i="3" l="1"/>
  <c r="AS781" i="3"/>
  <c r="C782" i="3" l="1"/>
  <c r="AX781" i="3"/>
  <c r="AZ781" i="3" s="1"/>
  <c r="G782" i="3" l="1"/>
  <c r="AS782" i="3"/>
  <c r="AX782" i="3" l="1"/>
  <c r="AZ782" i="3" s="1"/>
  <c r="C783" i="3"/>
  <c r="AS783" i="3" l="1"/>
  <c r="G783" i="3"/>
  <c r="AX783" i="3" l="1"/>
  <c r="AZ783" i="3" s="1"/>
  <c r="C784" i="3"/>
  <c r="G784" i="3" l="1"/>
  <c r="AS784" i="3"/>
  <c r="AX784" i="3" l="1"/>
  <c r="AZ784" i="3" s="1"/>
  <c r="C785" i="3"/>
  <c r="G785" i="3" l="1"/>
  <c r="AS785" i="3"/>
  <c r="AX785" i="3" l="1"/>
  <c r="AZ785" i="3" s="1"/>
  <c r="C786" i="3"/>
  <c r="G786" i="3" l="1"/>
  <c r="AS786" i="3"/>
  <c r="AX786" i="3" l="1"/>
  <c r="AZ786" i="3" s="1"/>
  <c r="C787" i="3"/>
  <c r="G787" i="3" l="1"/>
  <c r="AS787" i="3"/>
  <c r="C788" i="3" l="1"/>
  <c r="AX787" i="3"/>
  <c r="AZ787" i="3" s="1"/>
  <c r="AS788" i="3" l="1"/>
  <c r="G788" i="3"/>
  <c r="AX788" i="3" l="1"/>
  <c r="AZ788" i="3" s="1"/>
  <c r="C789" i="3"/>
  <c r="AS789" i="3" l="1"/>
  <c r="G789" i="3"/>
  <c r="AX789" i="3" l="1"/>
  <c r="AZ789" i="3" s="1"/>
  <c r="C790" i="3"/>
  <c r="AS790" i="3" l="1"/>
  <c r="G790" i="3"/>
  <c r="AX790" i="3" l="1"/>
  <c r="AZ790" i="3" s="1"/>
  <c r="C791" i="3"/>
  <c r="AS791" i="3" l="1"/>
  <c r="G791" i="3"/>
  <c r="C792" i="3" l="1"/>
  <c r="AX791" i="3"/>
  <c r="AZ791" i="3" s="1"/>
  <c r="G792" i="3" l="1"/>
  <c r="AS792" i="3"/>
  <c r="AX792" i="3" l="1"/>
  <c r="AZ792" i="3" s="1"/>
  <c r="C793" i="3"/>
  <c r="G793" i="3" l="1"/>
  <c r="AS793" i="3"/>
  <c r="AX793" i="3" l="1"/>
  <c r="AZ793" i="3" s="1"/>
  <c r="C794" i="3"/>
  <c r="G794" i="3" l="1"/>
  <c r="AS794" i="3"/>
  <c r="AX794" i="3" l="1"/>
  <c r="AZ794" i="3" s="1"/>
  <c r="C795" i="3"/>
  <c r="AS795" i="3" l="1"/>
  <c r="G795" i="3"/>
  <c r="AX795" i="3" l="1"/>
  <c r="AZ795" i="3" s="1"/>
  <c r="C796" i="3"/>
  <c r="G796" i="3" l="1"/>
  <c r="AS796" i="3"/>
  <c r="AX796" i="3" l="1"/>
  <c r="AZ796" i="3" s="1"/>
  <c r="C797" i="3"/>
  <c r="G797" i="3" l="1"/>
  <c r="AS797" i="3"/>
  <c r="AX797" i="3" l="1"/>
  <c r="AZ797" i="3" s="1"/>
  <c r="C798" i="3"/>
  <c r="G798" i="3" l="1"/>
  <c r="AS798" i="3"/>
  <c r="AX798" i="3" l="1"/>
  <c r="AZ798" i="3" s="1"/>
  <c r="C799" i="3"/>
  <c r="AS799" i="3" l="1"/>
  <c r="G799" i="3"/>
  <c r="AX799" i="3" l="1"/>
  <c r="AZ799" i="3" s="1"/>
  <c r="C800" i="3"/>
  <c r="G800" i="3" l="1"/>
  <c r="AS800" i="3"/>
  <c r="AX800" i="3" l="1"/>
  <c r="AZ800" i="3" s="1"/>
  <c r="C801" i="3"/>
  <c r="AS801" i="3" l="1"/>
  <c r="G801" i="3"/>
  <c r="AX801" i="3" l="1"/>
  <c r="AZ801" i="3" s="1"/>
  <c r="C802" i="3"/>
  <c r="G802" i="3" l="1"/>
  <c r="AS802" i="3"/>
  <c r="C803" i="3" l="1"/>
  <c r="AX802" i="3"/>
  <c r="AZ802" i="3" s="1"/>
  <c r="AS803" i="3" l="1"/>
  <c r="G803" i="3"/>
  <c r="C804" i="3" l="1"/>
  <c r="AX803" i="3"/>
  <c r="AZ803" i="3" s="1"/>
  <c r="G804" i="3" l="1"/>
  <c r="AS804" i="3"/>
  <c r="AX804" i="3" l="1"/>
  <c r="AZ804" i="3" s="1"/>
  <c r="C805" i="3"/>
  <c r="AS805" i="3" l="1"/>
  <c r="G805" i="3"/>
  <c r="AX805" i="3" l="1"/>
  <c r="AZ805" i="3" s="1"/>
  <c r="C806" i="3"/>
  <c r="G806" i="3" l="1"/>
  <c r="AS806" i="3"/>
  <c r="AX806" i="3" l="1"/>
  <c r="AZ806" i="3" s="1"/>
  <c r="C807" i="3"/>
  <c r="AS807" i="3" l="1"/>
  <c r="G807" i="3"/>
  <c r="AX807" i="3" l="1"/>
  <c r="AZ807" i="3" s="1"/>
  <c r="C808" i="3"/>
  <c r="G808" i="3" l="1"/>
  <c r="AS808" i="3"/>
  <c r="C809" i="3" l="1"/>
  <c r="AX808" i="3"/>
  <c r="AZ808" i="3" s="1"/>
  <c r="G809" i="3" l="1"/>
  <c r="AS809" i="3"/>
  <c r="AX809" i="3" l="1"/>
  <c r="AZ809" i="3" s="1"/>
  <c r="C810" i="3"/>
  <c r="AS810" i="3" l="1"/>
  <c r="G810" i="3"/>
  <c r="AX810" i="3" l="1"/>
  <c r="AZ810" i="3" s="1"/>
  <c r="C811" i="3"/>
  <c r="G811" i="3" l="1"/>
  <c r="AS811" i="3"/>
  <c r="AX811" i="3" l="1"/>
  <c r="AZ811" i="3" s="1"/>
  <c r="C812" i="3"/>
  <c r="G812" i="3" l="1"/>
  <c r="AS812" i="3"/>
  <c r="AX812" i="3" l="1"/>
  <c r="AZ812" i="3" s="1"/>
  <c r="C813" i="3"/>
  <c r="G813" i="3" l="1"/>
  <c r="AS813" i="3"/>
  <c r="AX813" i="3" l="1"/>
  <c r="AZ813" i="3" s="1"/>
  <c r="C814" i="3"/>
  <c r="G814" i="3" l="1"/>
  <c r="AS814" i="3"/>
  <c r="AX814" i="3" l="1"/>
  <c r="AZ814" i="3" s="1"/>
  <c r="C815" i="3"/>
  <c r="G815" i="3" l="1"/>
  <c r="AS815" i="3"/>
  <c r="AX815" i="3" l="1"/>
  <c r="AZ815" i="3" s="1"/>
  <c r="C816" i="3"/>
  <c r="G816" i="3" l="1"/>
  <c r="AS816" i="3"/>
  <c r="AX816" i="3" l="1"/>
  <c r="AZ816" i="3" s="1"/>
  <c r="C817" i="3"/>
  <c r="G817" i="3" l="1"/>
  <c r="AS817" i="3"/>
  <c r="C818" i="3" l="1"/>
  <c r="AX817" i="3"/>
  <c r="AZ817" i="3" s="1"/>
  <c r="G818" i="3" l="1"/>
  <c r="AS818" i="3"/>
  <c r="AX818" i="3" l="1"/>
  <c r="AZ818" i="3" s="1"/>
  <c r="C819" i="3"/>
  <c r="G819" i="3" l="1"/>
  <c r="AS819" i="3"/>
  <c r="AX819" i="3" l="1"/>
  <c r="AZ819" i="3" s="1"/>
  <c r="C820" i="3"/>
  <c r="G820" i="3" l="1"/>
  <c r="AS820" i="3"/>
  <c r="AX820" i="3" l="1"/>
  <c r="AZ820" i="3" s="1"/>
  <c r="C821" i="3"/>
  <c r="AS821" i="3" l="1"/>
  <c r="G821" i="3"/>
  <c r="AX821" i="3" l="1"/>
  <c r="AZ821" i="3" s="1"/>
  <c r="C822" i="3"/>
  <c r="G822" i="3" l="1"/>
  <c r="AS822" i="3"/>
  <c r="C823" i="3" l="1"/>
  <c r="AX822" i="3"/>
  <c r="AZ822" i="3" s="1"/>
  <c r="G823" i="3" l="1"/>
  <c r="AS823" i="3"/>
  <c r="AX823" i="3" l="1"/>
  <c r="AZ823" i="3" s="1"/>
  <c r="C824" i="3"/>
  <c r="AS824" i="3" l="1"/>
  <c r="G824" i="3"/>
  <c r="C825" i="3" l="1"/>
  <c r="AX824" i="3"/>
  <c r="AZ824" i="3" s="1"/>
  <c r="AS825" i="3" l="1"/>
  <c r="G825" i="3"/>
  <c r="AX825" i="3" l="1"/>
  <c r="AZ825" i="3" s="1"/>
  <c r="C826" i="3"/>
  <c r="G826" i="3" l="1"/>
  <c r="AS826" i="3"/>
  <c r="AX826" i="3" l="1"/>
  <c r="AZ826" i="3" s="1"/>
  <c r="C827" i="3"/>
  <c r="G827" i="3" l="1"/>
  <c r="AS827" i="3"/>
  <c r="AX827" i="3" l="1"/>
  <c r="AZ827" i="3" s="1"/>
  <c r="C828" i="3"/>
  <c r="G828" i="3" l="1"/>
  <c r="AS828" i="3"/>
  <c r="AX828" i="3" l="1"/>
  <c r="AZ828" i="3" s="1"/>
  <c r="C829" i="3"/>
  <c r="G829" i="3" l="1"/>
  <c r="AS829" i="3"/>
  <c r="AX829" i="3" l="1"/>
  <c r="AZ829" i="3" s="1"/>
  <c r="C830" i="3"/>
  <c r="G830" i="3" l="1"/>
  <c r="AS830" i="3"/>
  <c r="AX830" i="3" l="1"/>
  <c r="AZ830" i="3" s="1"/>
  <c r="C831" i="3"/>
  <c r="G831" i="3" l="1"/>
  <c r="AS831" i="3"/>
  <c r="AX831" i="3" l="1"/>
  <c r="AZ831" i="3" s="1"/>
  <c r="C832" i="3"/>
  <c r="G832" i="3" l="1"/>
  <c r="AS832" i="3"/>
  <c r="C833" i="3" l="1"/>
  <c r="AX832" i="3"/>
  <c r="AZ832" i="3" s="1"/>
  <c r="G833" i="3" l="1"/>
  <c r="AS833" i="3"/>
  <c r="AX833" i="3" l="1"/>
  <c r="AZ833" i="3" s="1"/>
  <c r="C834" i="3"/>
  <c r="G834" i="3" l="1"/>
  <c r="AS834" i="3"/>
  <c r="AX834" i="3" l="1"/>
  <c r="AZ834" i="3" s="1"/>
  <c r="C835" i="3"/>
  <c r="G835" i="3" l="1"/>
  <c r="AS835" i="3"/>
  <c r="C836" i="3" l="1"/>
  <c r="AX835" i="3"/>
  <c r="AZ835" i="3" s="1"/>
  <c r="G836" i="3" l="1"/>
  <c r="AS836" i="3"/>
  <c r="AX836" i="3" l="1"/>
  <c r="AZ836" i="3" s="1"/>
  <c r="C837" i="3"/>
  <c r="G837" i="3" l="1"/>
  <c r="AS837" i="3"/>
  <c r="C838" i="3" l="1"/>
  <c r="AX837" i="3"/>
  <c r="AZ837" i="3" s="1"/>
  <c r="G838" i="3" l="1"/>
  <c r="AS838" i="3"/>
  <c r="AX838" i="3" l="1"/>
  <c r="AZ838" i="3" s="1"/>
  <c r="C839" i="3"/>
  <c r="AS839" i="3" l="1"/>
  <c r="G839" i="3"/>
  <c r="C840" i="3" l="1"/>
  <c r="AX839" i="3"/>
  <c r="AZ839" i="3" s="1"/>
  <c r="G840" i="3" l="1"/>
  <c r="AS840" i="3"/>
  <c r="AX840" i="3" l="1"/>
  <c r="AZ840" i="3" s="1"/>
  <c r="C841" i="3"/>
  <c r="G841" i="3" l="1"/>
  <c r="AS841" i="3"/>
  <c r="AX841" i="3" l="1"/>
  <c r="AZ841" i="3" s="1"/>
  <c r="C842" i="3"/>
  <c r="AS842" i="3" l="1"/>
  <c r="G842" i="3"/>
  <c r="C843" i="3" l="1"/>
  <c r="AX842" i="3"/>
  <c r="AZ842" i="3" s="1"/>
  <c r="G843" i="3" l="1"/>
  <c r="AS843" i="3"/>
  <c r="C844" i="3" l="1"/>
  <c r="AX843" i="3"/>
  <c r="AZ843" i="3" s="1"/>
  <c r="G844" i="3" l="1"/>
  <c r="AS844" i="3"/>
  <c r="AX844" i="3" l="1"/>
  <c r="AZ844" i="3" s="1"/>
  <c r="C845" i="3"/>
  <c r="G845" i="3" l="1"/>
  <c r="AS845" i="3"/>
  <c r="AX845" i="3" l="1"/>
  <c r="AZ845" i="3" s="1"/>
  <c r="C846" i="3"/>
  <c r="G846" i="3" l="1"/>
  <c r="AS846" i="3"/>
  <c r="AX846" i="3" l="1"/>
  <c r="AZ846" i="3" s="1"/>
  <c r="C847" i="3"/>
  <c r="AS847" i="3" l="1"/>
  <c r="G847" i="3"/>
  <c r="C848" i="3" l="1"/>
  <c r="AX847" i="3"/>
  <c r="AZ847" i="3" s="1"/>
  <c r="G848" i="3" l="1"/>
  <c r="AS848" i="3"/>
  <c r="AX848" i="3" l="1"/>
  <c r="AZ848" i="3" s="1"/>
  <c r="C849" i="3"/>
  <c r="G849" i="3" l="1"/>
  <c r="AS849" i="3"/>
  <c r="AX849" i="3" l="1"/>
  <c r="AZ849" i="3" s="1"/>
  <c r="C850" i="3"/>
  <c r="G850" i="3" l="1"/>
  <c r="AS850" i="3"/>
  <c r="AX850" i="3" l="1"/>
  <c r="AZ850" i="3" s="1"/>
  <c r="C851" i="3"/>
  <c r="G851" i="3" l="1"/>
  <c r="AS851" i="3"/>
  <c r="C852" i="3" l="1"/>
  <c r="AX851" i="3"/>
  <c r="AZ851" i="3" s="1"/>
  <c r="G852" i="3" l="1"/>
  <c r="AS852" i="3"/>
  <c r="AX852" i="3" l="1"/>
  <c r="AZ852" i="3" s="1"/>
  <c r="C853" i="3"/>
  <c r="G853" i="3" l="1"/>
  <c r="AS853" i="3"/>
  <c r="AX853" i="3" l="1"/>
  <c r="AZ853" i="3" s="1"/>
  <c r="C854" i="3"/>
  <c r="AS854" i="3" l="1"/>
  <c r="G854" i="3"/>
  <c r="AX854" i="3" l="1"/>
  <c r="AZ854" i="3" s="1"/>
  <c r="C855" i="3"/>
  <c r="G855" i="3" l="1"/>
  <c r="AS855" i="3"/>
  <c r="C856" i="3" l="1"/>
  <c r="AX855" i="3"/>
  <c r="AZ855" i="3" s="1"/>
  <c r="G856" i="3" l="1"/>
  <c r="AS856" i="3"/>
  <c r="AX856" i="3" l="1"/>
  <c r="AZ856" i="3" s="1"/>
  <c r="C857" i="3"/>
  <c r="AS857" i="3" l="1"/>
  <c r="G857" i="3"/>
  <c r="C858" i="3" l="1"/>
  <c r="AX857" i="3"/>
  <c r="AZ857" i="3" s="1"/>
  <c r="G858" i="3" l="1"/>
  <c r="AS858" i="3"/>
  <c r="C859" i="3" l="1"/>
  <c r="AX858" i="3"/>
  <c r="AZ858" i="3" s="1"/>
  <c r="G859" i="3" l="1"/>
  <c r="AS859" i="3"/>
  <c r="C860" i="3" l="1"/>
  <c r="AX859" i="3"/>
  <c r="AZ859" i="3" s="1"/>
  <c r="AS860" i="3" l="1"/>
  <c r="G860" i="3"/>
  <c r="C861" i="3" l="1"/>
  <c r="AX860" i="3"/>
  <c r="AZ860" i="3" s="1"/>
  <c r="G861" i="3" l="1"/>
  <c r="AS861" i="3"/>
  <c r="AX861" i="3" l="1"/>
  <c r="AZ861" i="3" s="1"/>
  <c r="C862" i="3"/>
  <c r="G862" i="3" l="1"/>
  <c r="AS862" i="3"/>
  <c r="AX862" i="3" l="1"/>
  <c r="AZ862" i="3" s="1"/>
  <c r="C863" i="3"/>
  <c r="G863" i="3" l="1"/>
  <c r="AS863" i="3"/>
  <c r="AX863" i="3" l="1"/>
  <c r="AZ863" i="3" s="1"/>
  <c r="C864" i="3"/>
  <c r="G864" i="3" l="1"/>
  <c r="AS864" i="3"/>
  <c r="C865" i="3" l="1"/>
  <c r="AX864" i="3"/>
  <c r="AZ864" i="3" s="1"/>
  <c r="G865" i="3" l="1"/>
  <c r="AS865" i="3"/>
  <c r="C866" i="3" l="1"/>
  <c r="AX865" i="3"/>
  <c r="AZ865" i="3" s="1"/>
  <c r="G866" i="3" l="1"/>
  <c r="AS866" i="3"/>
  <c r="AX866" i="3" l="1"/>
  <c r="AZ866" i="3" s="1"/>
  <c r="C867" i="3"/>
  <c r="G867" i="3" l="1"/>
  <c r="AS867" i="3"/>
  <c r="C868" i="3" l="1"/>
  <c r="AX867" i="3"/>
  <c r="AZ867" i="3" s="1"/>
  <c r="G868" i="3" l="1"/>
  <c r="AS868" i="3"/>
  <c r="C869" i="3" l="1"/>
  <c r="AX868" i="3"/>
  <c r="AZ868" i="3" s="1"/>
  <c r="G869" i="3" l="1"/>
  <c r="AS869" i="3"/>
  <c r="C870" i="3" l="1"/>
  <c r="AX869" i="3"/>
  <c r="AZ869" i="3" s="1"/>
  <c r="G870" i="3" l="1"/>
  <c r="AS870" i="3"/>
  <c r="C871" i="3" l="1"/>
  <c r="AX870" i="3"/>
  <c r="AZ870" i="3" s="1"/>
  <c r="G871" i="3" l="1"/>
  <c r="AS871" i="3"/>
  <c r="C872" i="3" l="1"/>
  <c r="AX871" i="3"/>
  <c r="AZ871" i="3" s="1"/>
  <c r="G872" i="3" l="1"/>
  <c r="AS872" i="3"/>
  <c r="C873" i="3" l="1"/>
  <c r="AX872" i="3"/>
  <c r="AZ872" i="3" s="1"/>
  <c r="G873" i="3" l="1"/>
  <c r="AS873" i="3"/>
  <c r="C874" i="3" l="1"/>
  <c r="AX873" i="3"/>
  <c r="AZ873" i="3" s="1"/>
  <c r="G874" i="3" l="1"/>
  <c r="AS874" i="3"/>
  <c r="C875" i="3" l="1"/>
  <c r="AX874" i="3"/>
  <c r="AZ874" i="3" s="1"/>
  <c r="G875" i="3" l="1"/>
  <c r="AS875" i="3"/>
  <c r="C876" i="3" l="1"/>
  <c r="AX875" i="3"/>
  <c r="AZ875" i="3" s="1"/>
  <c r="G876" i="3" l="1"/>
  <c r="AS876" i="3"/>
  <c r="C877" i="3" l="1"/>
  <c r="AX876" i="3"/>
  <c r="AZ876" i="3" s="1"/>
  <c r="G877" i="3" l="1"/>
  <c r="AS877" i="3"/>
  <c r="C878" i="3" l="1"/>
  <c r="AX877" i="3"/>
  <c r="AZ877" i="3" s="1"/>
  <c r="G878" i="3" l="1"/>
  <c r="AS878" i="3"/>
  <c r="AX878" i="3" l="1"/>
  <c r="AZ878" i="3" s="1"/>
  <c r="C879" i="3"/>
  <c r="G879" i="3" l="1"/>
  <c r="AS879" i="3"/>
  <c r="C880" i="3" l="1"/>
  <c r="AX879" i="3"/>
  <c r="AZ879" i="3" s="1"/>
  <c r="G880" i="3" l="1"/>
  <c r="AS880" i="3"/>
  <c r="C881" i="3" l="1"/>
  <c r="AX880" i="3"/>
  <c r="AZ880" i="3" s="1"/>
  <c r="G881" i="3" l="1"/>
  <c r="AS881" i="3"/>
  <c r="C882" i="3" l="1"/>
  <c r="AX881" i="3"/>
  <c r="AZ881" i="3" s="1"/>
  <c r="G882" i="3" l="1"/>
  <c r="AS882" i="3"/>
  <c r="C883" i="3" l="1"/>
  <c r="AX882" i="3"/>
  <c r="AZ882" i="3" s="1"/>
  <c r="G883" i="3" l="1"/>
  <c r="AS883" i="3"/>
  <c r="C884" i="3" l="1"/>
  <c r="AX883" i="3"/>
  <c r="AZ883" i="3" s="1"/>
  <c r="G884" i="3" l="1"/>
  <c r="AS884" i="3"/>
  <c r="C885" i="3" l="1"/>
  <c r="AX884" i="3"/>
  <c r="AZ884" i="3" s="1"/>
  <c r="G885" i="3" l="1"/>
  <c r="AS885" i="3"/>
  <c r="C886" i="3" l="1"/>
  <c r="AX885" i="3"/>
  <c r="AZ885" i="3" s="1"/>
  <c r="G886" i="3" l="1"/>
  <c r="AS886" i="3"/>
  <c r="C887" i="3" l="1"/>
  <c r="AX886" i="3"/>
  <c r="AZ886" i="3" s="1"/>
  <c r="G887" i="3" l="1"/>
  <c r="AS887" i="3"/>
  <c r="C888" i="3" l="1"/>
  <c r="AX887" i="3"/>
  <c r="AZ887" i="3" s="1"/>
  <c r="G888" i="3" l="1"/>
  <c r="AS888" i="3"/>
  <c r="C889" i="3" l="1"/>
  <c r="AX888" i="3"/>
  <c r="AZ888" i="3" s="1"/>
  <c r="G889" i="3" l="1"/>
  <c r="AS889" i="3"/>
  <c r="C890" i="3" l="1"/>
  <c r="AX889" i="3"/>
  <c r="AZ889" i="3" s="1"/>
  <c r="G890" i="3" l="1"/>
  <c r="AS890" i="3"/>
  <c r="C891" i="3" l="1"/>
  <c r="AX890" i="3"/>
  <c r="AZ890" i="3" s="1"/>
  <c r="G891" i="3" l="1"/>
  <c r="AS891" i="3"/>
  <c r="C892" i="3" l="1"/>
  <c r="AX891" i="3"/>
  <c r="AZ891" i="3" s="1"/>
  <c r="G892" i="3" l="1"/>
  <c r="AS892" i="3"/>
  <c r="C893" i="3" l="1"/>
  <c r="AX892" i="3"/>
  <c r="AZ892" i="3" s="1"/>
  <c r="G893" i="3" l="1"/>
  <c r="AS893" i="3"/>
  <c r="C894" i="3" l="1"/>
  <c r="AX893" i="3"/>
  <c r="AZ893" i="3" s="1"/>
  <c r="G894" i="3" l="1"/>
  <c r="AS894" i="3"/>
  <c r="C895" i="3" l="1"/>
  <c r="AX894" i="3"/>
  <c r="AZ894" i="3" s="1"/>
  <c r="G895" i="3" l="1"/>
  <c r="AS895" i="3"/>
  <c r="C896" i="3" l="1"/>
  <c r="AX895" i="3"/>
  <c r="AZ895" i="3" s="1"/>
  <c r="G896" i="3" l="1"/>
  <c r="AS896" i="3"/>
  <c r="C897" i="3" l="1"/>
  <c r="AX896" i="3"/>
  <c r="AZ896" i="3" s="1"/>
  <c r="G897" i="3" l="1"/>
  <c r="AS897" i="3"/>
  <c r="C898" i="3" l="1"/>
  <c r="AX897" i="3"/>
  <c r="AZ897" i="3" s="1"/>
  <c r="G898" i="3" l="1"/>
  <c r="AS898" i="3"/>
  <c r="C899" i="3" l="1"/>
  <c r="AX898" i="3"/>
  <c r="AZ898" i="3" s="1"/>
  <c r="G899" i="3" l="1"/>
  <c r="AS899" i="3"/>
  <c r="C900" i="3" l="1"/>
  <c r="AX899" i="3"/>
  <c r="AZ899" i="3" s="1"/>
  <c r="G900" i="3" l="1"/>
  <c r="AS900" i="3"/>
  <c r="C901" i="3" l="1"/>
  <c r="AX900" i="3"/>
  <c r="AZ900" i="3" s="1"/>
  <c r="G901" i="3" l="1"/>
  <c r="AS901" i="3"/>
  <c r="C902" i="3" l="1"/>
  <c r="AX901" i="3"/>
  <c r="AZ901" i="3" s="1"/>
  <c r="G902" i="3" l="1"/>
  <c r="AS902" i="3"/>
  <c r="C903" i="3" l="1"/>
  <c r="AX902" i="3"/>
  <c r="AZ902" i="3" s="1"/>
  <c r="G903" i="3" l="1"/>
  <c r="AS903" i="3"/>
  <c r="C904" i="3" l="1"/>
  <c r="AX903" i="3"/>
  <c r="AZ903" i="3" s="1"/>
  <c r="G904" i="3" l="1"/>
  <c r="AS904" i="3"/>
  <c r="C905" i="3" l="1"/>
  <c r="AX904" i="3"/>
  <c r="AZ904" i="3" s="1"/>
  <c r="G905" i="3" l="1"/>
  <c r="AS905" i="3"/>
  <c r="C906" i="3" l="1"/>
  <c r="AX905" i="3"/>
  <c r="AZ905" i="3" s="1"/>
  <c r="G906" i="3" l="1"/>
  <c r="AS906" i="3"/>
  <c r="C907" i="3" l="1"/>
  <c r="AX906" i="3"/>
  <c r="AZ906" i="3" s="1"/>
  <c r="G907" i="3" l="1"/>
  <c r="AS907" i="3"/>
  <c r="C908" i="3" l="1"/>
  <c r="AX907" i="3"/>
  <c r="AZ907" i="3" s="1"/>
  <c r="G908" i="3" l="1"/>
  <c r="AS908" i="3"/>
  <c r="C909" i="3" l="1"/>
  <c r="AX908" i="3"/>
  <c r="AZ908" i="3" s="1"/>
  <c r="G909" i="3" l="1"/>
  <c r="AS909" i="3"/>
  <c r="C910" i="3" l="1"/>
  <c r="AX909" i="3"/>
  <c r="AZ909" i="3" s="1"/>
  <c r="G910" i="3" l="1"/>
  <c r="AS910" i="3"/>
  <c r="C911" i="3" l="1"/>
  <c r="AX910" i="3"/>
  <c r="AZ910" i="3" s="1"/>
  <c r="G911" i="3" l="1"/>
  <c r="AS911" i="3"/>
  <c r="C912" i="3" l="1"/>
  <c r="AX911" i="3"/>
  <c r="AZ911" i="3" s="1"/>
  <c r="G912" i="3" l="1"/>
  <c r="AS912" i="3"/>
  <c r="C913" i="3" l="1"/>
  <c r="AX912" i="3"/>
  <c r="AZ912" i="3" s="1"/>
  <c r="G913" i="3" l="1"/>
  <c r="AS913" i="3"/>
  <c r="C914" i="3" l="1"/>
  <c r="AX913" i="3"/>
  <c r="AZ913" i="3" s="1"/>
  <c r="G914" i="3" l="1"/>
  <c r="AS914" i="3"/>
  <c r="C915" i="3" l="1"/>
  <c r="AX914" i="3"/>
  <c r="AZ914" i="3" s="1"/>
  <c r="G915" i="3" l="1"/>
  <c r="AS915" i="3"/>
  <c r="C916" i="3" l="1"/>
  <c r="AX915" i="3"/>
  <c r="AZ915" i="3" s="1"/>
  <c r="G916" i="3" l="1"/>
  <c r="AS916" i="3"/>
  <c r="C917" i="3" l="1"/>
  <c r="AX916" i="3"/>
  <c r="AZ916" i="3" s="1"/>
  <c r="G917" i="3" l="1"/>
  <c r="AS917" i="3"/>
  <c r="C918" i="3" l="1"/>
  <c r="AX917" i="3"/>
  <c r="AZ917" i="3" s="1"/>
  <c r="G918" i="3" l="1"/>
  <c r="AS918" i="3"/>
  <c r="C919" i="3" l="1"/>
  <c r="AX918" i="3"/>
  <c r="AZ918" i="3" s="1"/>
  <c r="G919" i="3" l="1"/>
  <c r="AS919" i="3"/>
  <c r="C920" i="3" l="1"/>
  <c r="AX919" i="3"/>
  <c r="AZ919" i="3" s="1"/>
  <c r="G920" i="3" l="1"/>
  <c r="AS920" i="3"/>
  <c r="C921" i="3" l="1"/>
  <c r="AX920" i="3"/>
  <c r="AZ920" i="3" s="1"/>
  <c r="G921" i="3" l="1"/>
  <c r="AS921" i="3"/>
  <c r="C922" i="3" l="1"/>
  <c r="AX921" i="3"/>
  <c r="AZ921" i="3" s="1"/>
  <c r="G922" i="3" l="1"/>
  <c r="AS922" i="3"/>
  <c r="C923" i="3" l="1"/>
  <c r="AX922" i="3"/>
  <c r="AZ922" i="3" s="1"/>
  <c r="G923" i="3" l="1"/>
  <c r="AS923" i="3"/>
  <c r="C924" i="3" l="1"/>
  <c r="AX923" i="3"/>
  <c r="AZ923" i="3" s="1"/>
  <c r="G924" i="3" l="1"/>
  <c r="AS924" i="3"/>
  <c r="C925" i="3" l="1"/>
  <c r="AX924" i="3"/>
  <c r="AZ924" i="3" s="1"/>
  <c r="G925" i="3" l="1"/>
  <c r="AS925" i="3"/>
  <c r="C926" i="3" l="1"/>
  <c r="AX925" i="3"/>
  <c r="AZ925" i="3" s="1"/>
  <c r="G926" i="3" l="1"/>
  <c r="AS926" i="3"/>
  <c r="C927" i="3" l="1"/>
  <c r="AX926" i="3"/>
  <c r="AZ926" i="3" s="1"/>
  <c r="G927" i="3" l="1"/>
  <c r="AS927" i="3"/>
  <c r="C928" i="3" l="1"/>
  <c r="AX927" i="3"/>
  <c r="AZ927" i="3" s="1"/>
  <c r="G928" i="3" l="1"/>
  <c r="AS928" i="3"/>
  <c r="C929" i="3" l="1"/>
  <c r="AX928" i="3"/>
  <c r="AZ928" i="3" s="1"/>
  <c r="G929" i="3" l="1"/>
  <c r="AS929" i="3"/>
  <c r="C930" i="3" l="1"/>
  <c r="AX929" i="3"/>
  <c r="AZ929" i="3" s="1"/>
  <c r="G930" i="3" l="1"/>
  <c r="AS930" i="3"/>
  <c r="C931" i="3" l="1"/>
  <c r="AX930" i="3"/>
  <c r="AZ930" i="3" s="1"/>
  <c r="G931" i="3" l="1"/>
  <c r="AS931" i="3"/>
  <c r="C932" i="3" l="1"/>
  <c r="AX931" i="3"/>
  <c r="AZ931" i="3" s="1"/>
  <c r="G932" i="3" l="1"/>
  <c r="AS932" i="3"/>
  <c r="C933" i="3" l="1"/>
  <c r="AX932" i="3"/>
  <c r="AZ932" i="3" s="1"/>
  <c r="G933" i="3" l="1"/>
  <c r="AS933" i="3"/>
  <c r="C934" i="3" l="1"/>
  <c r="AX933" i="3"/>
  <c r="AZ933" i="3" s="1"/>
  <c r="G934" i="3" l="1"/>
  <c r="AS934" i="3"/>
  <c r="C935" i="3" l="1"/>
  <c r="AX934" i="3"/>
  <c r="AZ934" i="3" s="1"/>
  <c r="G935" i="3" l="1"/>
  <c r="AS935" i="3"/>
  <c r="C936" i="3" l="1"/>
  <c r="AX935" i="3"/>
  <c r="AZ935" i="3" s="1"/>
  <c r="G936" i="3" l="1"/>
  <c r="AS936" i="3"/>
  <c r="C937" i="3" l="1"/>
  <c r="AX936" i="3"/>
  <c r="AZ936" i="3" s="1"/>
  <c r="G937" i="3" l="1"/>
  <c r="AS937" i="3"/>
  <c r="C938" i="3" l="1"/>
  <c r="AX937" i="3"/>
  <c r="AZ937" i="3" s="1"/>
  <c r="G938" i="3" l="1"/>
  <c r="AS938" i="3"/>
  <c r="C939" i="3" l="1"/>
  <c r="AX938" i="3"/>
  <c r="AZ938" i="3" s="1"/>
  <c r="G939" i="3" l="1"/>
  <c r="AS939" i="3"/>
  <c r="C940" i="3" l="1"/>
  <c r="AX939" i="3"/>
  <c r="AZ939" i="3" s="1"/>
  <c r="G940" i="3" l="1"/>
  <c r="AS940" i="3"/>
  <c r="C941" i="3" l="1"/>
  <c r="AX940" i="3"/>
  <c r="AZ940" i="3" s="1"/>
  <c r="G941" i="3" l="1"/>
  <c r="AS941" i="3"/>
  <c r="C942" i="3" l="1"/>
  <c r="AX941" i="3"/>
  <c r="AZ941" i="3" s="1"/>
  <c r="G942" i="3" l="1"/>
  <c r="AS942" i="3"/>
  <c r="C943" i="3" l="1"/>
  <c r="AX942" i="3"/>
  <c r="AZ942" i="3" s="1"/>
  <c r="G943" i="3" l="1"/>
  <c r="AS943" i="3"/>
  <c r="C944" i="3" l="1"/>
  <c r="AX943" i="3"/>
  <c r="AZ943" i="3" s="1"/>
  <c r="G944" i="3" l="1"/>
  <c r="AS944" i="3"/>
  <c r="C945" i="3" l="1"/>
  <c r="AX944" i="3"/>
  <c r="AZ944" i="3" s="1"/>
  <c r="G945" i="3" l="1"/>
  <c r="AS945" i="3"/>
  <c r="C946" i="3" l="1"/>
  <c r="AX945" i="3"/>
  <c r="AZ945" i="3" s="1"/>
  <c r="G946" i="3" l="1"/>
  <c r="AS946" i="3"/>
  <c r="C947" i="3" l="1"/>
  <c r="AX946" i="3"/>
  <c r="AZ946" i="3" s="1"/>
  <c r="G947" i="3" l="1"/>
  <c r="AS947" i="3"/>
  <c r="C948" i="3" l="1"/>
  <c r="AX947" i="3"/>
  <c r="AZ947" i="3" s="1"/>
  <c r="G948" i="3" l="1"/>
  <c r="AS948" i="3"/>
  <c r="C949" i="3" l="1"/>
  <c r="AX948" i="3"/>
  <c r="AZ948" i="3" s="1"/>
  <c r="G949" i="3" l="1"/>
  <c r="AS949" i="3"/>
  <c r="C950" i="3" l="1"/>
  <c r="AX949" i="3"/>
  <c r="AZ949" i="3" s="1"/>
  <c r="G950" i="3" l="1"/>
  <c r="AS950" i="3"/>
  <c r="C951" i="3" l="1"/>
  <c r="AX950" i="3"/>
  <c r="AZ950" i="3" s="1"/>
  <c r="G951" i="3" l="1"/>
  <c r="AS951" i="3"/>
  <c r="C952" i="3" l="1"/>
  <c r="AX951" i="3"/>
  <c r="AZ951" i="3" s="1"/>
  <c r="G952" i="3" l="1"/>
  <c r="AS952" i="3"/>
  <c r="C953" i="3" l="1"/>
  <c r="AX952" i="3"/>
  <c r="AZ952" i="3" s="1"/>
  <c r="G953" i="3" l="1"/>
  <c r="AS953" i="3"/>
  <c r="C954" i="3" l="1"/>
  <c r="AX953" i="3"/>
  <c r="AZ953" i="3" s="1"/>
  <c r="G954" i="3" l="1"/>
  <c r="AS954" i="3"/>
  <c r="C955" i="3" l="1"/>
  <c r="AX954" i="3"/>
  <c r="AZ954" i="3" s="1"/>
  <c r="G955" i="3" l="1"/>
  <c r="AS955" i="3"/>
  <c r="C956" i="3" l="1"/>
  <c r="AX955" i="3"/>
  <c r="AZ955" i="3" s="1"/>
  <c r="G956" i="3" l="1"/>
  <c r="AS956" i="3"/>
  <c r="C957" i="3" l="1"/>
  <c r="AX956" i="3"/>
  <c r="AZ956" i="3" s="1"/>
  <c r="G957" i="3" l="1"/>
  <c r="AS957" i="3"/>
  <c r="C958" i="3" l="1"/>
  <c r="AX957" i="3"/>
  <c r="AZ957" i="3" s="1"/>
  <c r="G958" i="3" l="1"/>
  <c r="AS958" i="3"/>
  <c r="C959" i="3" l="1"/>
  <c r="AX958" i="3"/>
  <c r="AZ958" i="3" s="1"/>
  <c r="G959" i="3" l="1"/>
  <c r="AS959" i="3"/>
  <c r="C960" i="3" l="1"/>
  <c r="AX959" i="3"/>
  <c r="AZ959" i="3" s="1"/>
  <c r="G960" i="3" l="1"/>
  <c r="AS960" i="3"/>
  <c r="C961" i="3" l="1"/>
  <c r="AX960" i="3"/>
  <c r="AZ960" i="3" s="1"/>
  <c r="G961" i="3" l="1"/>
  <c r="AS961" i="3"/>
  <c r="C962" i="3" l="1"/>
  <c r="AX961" i="3"/>
  <c r="AZ961" i="3" s="1"/>
  <c r="G962" i="3" l="1"/>
  <c r="AS962" i="3"/>
  <c r="C963" i="3" l="1"/>
  <c r="AX962" i="3"/>
  <c r="AZ962" i="3" s="1"/>
  <c r="G963" i="3" l="1"/>
  <c r="AS963" i="3"/>
  <c r="C964" i="3" l="1"/>
  <c r="AX963" i="3"/>
  <c r="AZ963" i="3" s="1"/>
  <c r="G964" i="3" l="1"/>
  <c r="AS964" i="3"/>
  <c r="C965" i="3" l="1"/>
  <c r="AX964" i="3"/>
  <c r="AZ964" i="3" s="1"/>
  <c r="G965" i="3" l="1"/>
  <c r="AS965" i="3"/>
  <c r="C966" i="3" l="1"/>
  <c r="AX965" i="3"/>
  <c r="AZ965" i="3" s="1"/>
  <c r="G966" i="3" l="1"/>
  <c r="AS966" i="3"/>
  <c r="C967" i="3" l="1"/>
  <c r="AX966" i="3"/>
  <c r="AZ966" i="3" s="1"/>
  <c r="G967" i="3" l="1"/>
  <c r="AS967" i="3"/>
  <c r="C968" i="3" l="1"/>
  <c r="AX967" i="3"/>
  <c r="AZ967" i="3" s="1"/>
  <c r="G968" i="3" l="1"/>
  <c r="AS968" i="3"/>
  <c r="C969" i="3" l="1"/>
  <c r="AX968" i="3"/>
  <c r="AZ968" i="3" s="1"/>
  <c r="G969" i="3" l="1"/>
  <c r="AS969" i="3"/>
  <c r="C970" i="3" l="1"/>
  <c r="AX969" i="3"/>
  <c r="AZ969" i="3" s="1"/>
  <c r="G970" i="3" l="1"/>
  <c r="AS970" i="3"/>
  <c r="C971" i="3" l="1"/>
  <c r="AX970" i="3"/>
  <c r="AZ970" i="3" s="1"/>
  <c r="G971" i="3" l="1"/>
  <c r="AS971" i="3"/>
  <c r="C972" i="3" l="1"/>
  <c r="AX971" i="3"/>
  <c r="AZ971" i="3" s="1"/>
  <c r="G972" i="3" l="1"/>
  <c r="AS972" i="3"/>
  <c r="C973" i="3" l="1"/>
  <c r="AX972" i="3"/>
  <c r="AZ972" i="3" s="1"/>
  <c r="G973" i="3" l="1"/>
  <c r="AS973" i="3"/>
  <c r="C974" i="3" l="1"/>
  <c r="AX973" i="3"/>
  <c r="AZ973" i="3" s="1"/>
  <c r="G974" i="3" l="1"/>
  <c r="AS974" i="3"/>
  <c r="C975" i="3" l="1"/>
  <c r="AX974" i="3"/>
  <c r="AZ974" i="3" s="1"/>
  <c r="G975" i="3" l="1"/>
  <c r="AS975" i="3"/>
  <c r="C976" i="3" l="1"/>
  <c r="AX975" i="3"/>
  <c r="AZ975" i="3" s="1"/>
  <c r="G976" i="3" l="1"/>
  <c r="AS976" i="3"/>
  <c r="C977" i="3" l="1"/>
  <c r="AX976" i="3"/>
  <c r="AZ976" i="3" s="1"/>
  <c r="G977" i="3" l="1"/>
  <c r="AS977" i="3"/>
  <c r="C978" i="3" l="1"/>
  <c r="AX977" i="3"/>
  <c r="AZ977" i="3" s="1"/>
  <c r="G978" i="3" l="1"/>
  <c r="AS978" i="3"/>
  <c r="C979" i="3" l="1"/>
  <c r="AX978" i="3"/>
  <c r="AZ978" i="3" s="1"/>
  <c r="G979" i="3" l="1"/>
  <c r="AS979" i="3"/>
  <c r="C980" i="3" l="1"/>
  <c r="AX979" i="3"/>
  <c r="AZ979" i="3" s="1"/>
  <c r="G980" i="3" l="1"/>
  <c r="AS980" i="3"/>
  <c r="C981" i="3" l="1"/>
  <c r="AX980" i="3"/>
  <c r="AZ980" i="3" s="1"/>
  <c r="G981" i="3" l="1"/>
  <c r="AS981" i="3"/>
  <c r="C982" i="3" l="1"/>
  <c r="AX981" i="3"/>
  <c r="AZ981" i="3" s="1"/>
  <c r="G982" i="3" l="1"/>
  <c r="AS982" i="3"/>
  <c r="C983" i="3" l="1"/>
  <c r="AX982" i="3"/>
  <c r="AZ982" i="3" s="1"/>
  <c r="G983" i="3" l="1"/>
  <c r="AS983" i="3"/>
  <c r="C984" i="3" l="1"/>
  <c r="AX983" i="3"/>
  <c r="AZ983" i="3" s="1"/>
  <c r="G984" i="3" l="1"/>
  <c r="AS984" i="3"/>
  <c r="C985" i="3" l="1"/>
  <c r="AX984" i="3"/>
  <c r="AZ984" i="3" s="1"/>
  <c r="G985" i="3" l="1"/>
  <c r="AS985" i="3"/>
  <c r="C986" i="3" l="1"/>
  <c r="AX985" i="3"/>
  <c r="AZ985" i="3" s="1"/>
  <c r="G986" i="3" l="1"/>
  <c r="AS986" i="3"/>
  <c r="C987" i="3" l="1"/>
  <c r="AX986" i="3"/>
  <c r="AZ986" i="3" s="1"/>
  <c r="G987" i="3" l="1"/>
  <c r="AS987" i="3"/>
  <c r="C988" i="3" l="1"/>
  <c r="AX987" i="3"/>
  <c r="AZ987" i="3" s="1"/>
  <c r="G988" i="3" l="1"/>
  <c r="AS988" i="3"/>
  <c r="C989" i="3" l="1"/>
  <c r="AX988" i="3"/>
  <c r="AZ988" i="3" s="1"/>
  <c r="G989" i="3" l="1"/>
  <c r="AS989" i="3"/>
  <c r="C990" i="3" l="1"/>
  <c r="AX989" i="3"/>
  <c r="AZ989" i="3" s="1"/>
  <c r="G990" i="3" l="1"/>
  <c r="AS990" i="3"/>
  <c r="C991" i="3" l="1"/>
  <c r="AX990" i="3"/>
  <c r="AZ990" i="3" s="1"/>
  <c r="G991" i="3" l="1"/>
  <c r="AS991" i="3"/>
  <c r="C992" i="3" l="1"/>
  <c r="AX991" i="3"/>
  <c r="AZ991" i="3" s="1"/>
  <c r="G992" i="3" l="1"/>
  <c r="AS992" i="3"/>
  <c r="C993" i="3" l="1"/>
  <c r="AX992" i="3"/>
  <c r="AZ992" i="3" s="1"/>
  <c r="G993" i="3" l="1"/>
  <c r="AS993" i="3"/>
  <c r="C994" i="3" l="1"/>
  <c r="AX993" i="3"/>
  <c r="AZ993" i="3" s="1"/>
  <c r="G994" i="3" l="1"/>
  <c r="AS994" i="3"/>
  <c r="C995" i="3" l="1"/>
  <c r="AX994" i="3"/>
  <c r="AZ994" i="3" s="1"/>
  <c r="G995" i="3" l="1"/>
  <c r="AS995" i="3"/>
  <c r="C996" i="3" l="1"/>
  <c r="AX995" i="3"/>
  <c r="AZ995" i="3" s="1"/>
  <c r="G996" i="3" l="1"/>
  <c r="AS996" i="3"/>
  <c r="C997" i="3" l="1"/>
  <c r="AX996" i="3"/>
  <c r="AZ996" i="3" s="1"/>
  <c r="G997" i="3" l="1"/>
  <c r="AS997" i="3"/>
  <c r="C998" i="3" l="1"/>
  <c r="AX997" i="3"/>
  <c r="AZ997" i="3" s="1"/>
  <c r="G998" i="3" l="1"/>
  <c r="AS998" i="3"/>
  <c r="C999" i="3" l="1"/>
  <c r="AX998" i="3"/>
  <c r="AZ998" i="3" s="1"/>
  <c r="G999" i="3" l="1"/>
  <c r="AS999" i="3"/>
  <c r="C1000" i="3" l="1"/>
  <c r="AX999" i="3"/>
  <c r="AZ999" i="3" s="1"/>
  <c r="G1000" i="3" l="1"/>
  <c r="AS1000" i="3"/>
  <c r="C1001" i="3" l="1"/>
  <c r="AX1000" i="3"/>
  <c r="AZ1000" i="3" s="1"/>
  <c r="G1001" i="3" l="1"/>
  <c r="AS1001" i="3"/>
  <c r="C1002" i="3" l="1"/>
  <c r="AX1001" i="3"/>
  <c r="AZ1001" i="3" s="1"/>
  <c r="G1002" i="3" l="1"/>
  <c r="AS1002" i="3"/>
  <c r="C1003" i="3" l="1"/>
  <c r="AX1002" i="3"/>
  <c r="AZ1002" i="3" s="1"/>
  <c r="G1003" i="3" l="1"/>
  <c r="AS1003" i="3"/>
  <c r="C1004" i="3" l="1"/>
  <c r="AX1003" i="3"/>
  <c r="AZ1003" i="3" s="1"/>
  <c r="G1004" i="3" l="1"/>
  <c r="AS1004" i="3"/>
  <c r="C1005" i="3" l="1"/>
  <c r="AX1004" i="3"/>
  <c r="AZ1004" i="3" s="1"/>
  <c r="G1005" i="3" l="1"/>
  <c r="AS1005" i="3"/>
  <c r="C1006" i="3" l="1"/>
  <c r="AX1005" i="3"/>
  <c r="AZ1005" i="3" s="1"/>
  <c r="G1006" i="3" l="1"/>
  <c r="AS1006" i="3"/>
  <c r="C1007" i="3" l="1"/>
  <c r="AX1006" i="3"/>
  <c r="AZ1006" i="3" s="1"/>
  <c r="G1007" i="3" l="1"/>
  <c r="AS1007" i="3"/>
  <c r="C1008" i="3" l="1"/>
  <c r="AX1007" i="3"/>
  <c r="AZ1007" i="3" s="1"/>
  <c r="G1008" i="3" l="1"/>
  <c r="AS1008" i="3"/>
  <c r="C1009" i="3" l="1"/>
  <c r="AX1008" i="3"/>
  <c r="AZ1008" i="3" s="1"/>
  <c r="G1009" i="3" l="1"/>
  <c r="AS1009" i="3"/>
  <c r="C1010" i="3" l="1"/>
  <c r="AX1009" i="3"/>
  <c r="AZ1009" i="3" s="1"/>
  <c r="G1010" i="3" l="1"/>
  <c r="AS1010" i="3"/>
  <c r="C1011" i="3" l="1"/>
  <c r="AX1010" i="3"/>
  <c r="AZ1010" i="3" s="1"/>
  <c r="G1011" i="3" l="1"/>
  <c r="AS1011" i="3"/>
  <c r="C1012" i="3" l="1"/>
  <c r="AX1011" i="3"/>
  <c r="AZ1011" i="3" s="1"/>
  <c r="G1012" i="3" l="1"/>
  <c r="AS1012" i="3"/>
  <c r="C1013" i="3" l="1"/>
  <c r="AX1012" i="3"/>
  <c r="AZ1012" i="3" s="1"/>
  <c r="G1013" i="3" l="1"/>
  <c r="AS1013" i="3"/>
  <c r="C1014" i="3" l="1"/>
  <c r="AX1013" i="3"/>
  <c r="AZ1013" i="3" s="1"/>
  <c r="G1014" i="3" l="1"/>
  <c r="AS1014" i="3"/>
  <c r="C1015" i="3" l="1"/>
  <c r="AX1014" i="3"/>
  <c r="AZ1014" i="3" s="1"/>
  <c r="G1015" i="3" l="1"/>
  <c r="AS1015" i="3"/>
  <c r="C1016" i="3" l="1"/>
  <c r="AX1015" i="3"/>
  <c r="AZ1015" i="3" s="1"/>
  <c r="G1016" i="3" l="1"/>
  <c r="AS1016" i="3"/>
  <c r="C1017" i="3" l="1"/>
  <c r="AX1016" i="3"/>
  <c r="AZ1016" i="3" s="1"/>
  <c r="G1017" i="3" l="1"/>
  <c r="AS1017" i="3"/>
  <c r="C1018" i="3" l="1"/>
  <c r="AX1017" i="3"/>
  <c r="AZ1017" i="3" s="1"/>
  <c r="G1018" i="3" l="1"/>
  <c r="AS1018" i="3"/>
  <c r="C1019" i="3" l="1"/>
  <c r="AX1018" i="3"/>
  <c r="AZ1018" i="3" s="1"/>
  <c r="G1019" i="3" l="1"/>
  <c r="AS1019" i="3"/>
  <c r="C1020" i="3" l="1"/>
  <c r="AX1019" i="3"/>
  <c r="AZ1019" i="3" s="1"/>
  <c r="G1020" i="3" l="1"/>
  <c r="AS1020" i="3"/>
  <c r="C1021" i="3" l="1"/>
  <c r="AX1020" i="3"/>
  <c r="AZ1020" i="3" s="1"/>
  <c r="G1021" i="3" l="1"/>
  <c r="AS1021" i="3"/>
  <c r="C1022" i="3" l="1"/>
  <c r="AX1021" i="3"/>
  <c r="AZ1021" i="3" s="1"/>
  <c r="G1022" i="3" l="1"/>
  <c r="AS1022" i="3"/>
  <c r="C1023" i="3" l="1"/>
  <c r="AX1022" i="3"/>
  <c r="AZ1022" i="3" s="1"/>
  <c r="G1023" i="3" l="1"/>
  <c r="AS1023" i="3"/>
  <c r="C1024" i="3" l="1"/>
  <c r="AX1023" i="3"/>
  <c r="AZ1023" i="3" s="1"/>
  <c r="G1024" i="3" l="1"/>
  <c r="AS1024" i="3"/>
  <c r="C1025" i="3" l="1"/>
  <c r="AX1024" i="3"/>
  <c r="AZ1024" i="3" s="1"/>
  <c r="G1025" i="3" l="1"/>
  <c r="AS1025" i="3"/>
  <c r="C1026" i="3" l="1"/>
  <c r="AX1025" i="3"/>
  <c r="AZ1025" i="3" s="1"/>
  <c r="G1026" i="3" l="1"/>
  <c r="AS1026" i="3"/>
  <c r="C1027" i="3" l="1"/>
  <c r="AX1026" i="3"/>
  <c r="AZ1026" i="3" s="1"/>
  <c r="G1027" i="3" l="1"/>
  <c r="AS1027" i="3"/>
  <c r="C1028" i="3" l="1"/>
  <c r="AX1027" i="3"/>
  <c r="AZ1027" i="3" s="1"/>
  <c r="G1028" i="3" l="1"/>
  <c r="AS1028" i="3"/>
  <c r="C1029" i="3" l="1"/>
  <c r="AX1028" i="3"/>
  <c r="AZ1028" i="3" s="1"/>
  <c r="G1029" i="3" l="1"/>
  <c r="AS1029" i="3"/>
  <c r="C1030" i="3" l="1"/>
  <c r="AX1029" i="3"/>
  <c r="AZ1029" i="3" s="1"/>
  <c r="G1030" i="3" l="1"/>
  <c r="AS1030" i="3"/>
  <c r="C1031" i="3" l="1"/>
  <c r="AX1030" i="3"/>
  <c r="AZ1030" i="3" s="1"/>
  <c r="G1031" i="3" l="1"/>
  <c r="AS1031" i="3"/>
  <c r="C1032" i="3" l="1"/>
  <c r="AX1031" i="3"/>
  <c r="AZ1031" i="3" s="1"/>
  <c r="G1032" i="3" l="1"/>
  <c r="AS1032" i="3"/>
  <c r="C1033" i="3" l="1"/>
  <c r="AX1032" i="3"/>
  <c r="AZ1032" i="3" s="1"/>
  <c r="G1033" i="3" l="1"/>
  <c r="AS1033" i="3"/>
  <c r="C1034" i="3" l="1"/>
  <c r="AX1033" i="3"/>
  <c r="AZ1033" i="3" s="1"/>
  <c r="G1034" i="3" l="1"/>
  <c r="AS1034" i="3"/>
  <c r="C1035" i="3" l="1"/>
  <c r="AX1034" i="3"/>
  <c r="AZ1034" i="3" s="1"/>
  <c r="G1035" i="3" l="1"/>
  <c r="AS1035" i="3"/>
  <c r="C1036" i="3" l="1"/>
  <c r="AX1035" i="3"/>
  <c r="AZ1035" i="3" s="1"/>
  <c r="G1036" i="3" l="1"/>
  <c r="AS1036" i="3"/>
  <c r="C1037" i="3" l="1"/>
  <c r="AX1036" i="3"/>
  <c r="AZ1036" i="3" s="1"/>
  <c r="G1037" i="3" l="1"/>
  <c r="AS1037" i="3"/>
  <c r="C1038" i="3" l="1"/>
  <c r="AX1037" i="3"/>
  <c r="AZ1037" i="3" s="1"/>
  <c r="G1038" i="3" l="1"/>
  <c r="AS1038" i="3"/>
  <c r="C1039" i="3" l="1"/>
  <c r="AX1038" i="3"/>
  <c r="AZ1038" i="3" s="1"/>
  <c r="G1039" i="3" l="1"/>
  <c r="AS1039" i="3"/>
  <c r="C1040" i="3" l="1"/>
  <c r="AX1039" i="3"/>
  <c r="AZ1039" i="3" s="1"/>
  <c r="G1040" i="3" l="1"/>
  <c r="AS1040" i="3"/>
  <c r="C1041" i="3" l="1"/>
  <c r="AX1040" i="3"/>
  <c r="AZ1040" i="3" s="1"/>
  <c r="G1041" i="3" l="1"/>
  <c r="AS1041" i="3"/>
  <c r="C1042" i="3" l="1"/>
  <c r="AX1041" i="3"/>
  <c r="AZ1041" i="3" s="1"/>
  <c r="G1042" i="3" l="1"/>
  <c r="AS1042" i="3"/>
  <c r="C1043" i="3" l="1"/>
  <c r="AX1042" i="3"/>
  <c r="AZ1042" i="3" s="1"/>
  <c r="G1043" i="3" l="1"/>
  <c r="AS1043" i="3"/>
  <c r="C1044" i="3" l="1"/>
  <c r="AX1043" i="3"/>
  <c r="AZ1043" i="3" s="1"/>
  <c r="G1044" i="3" l="1"/>
  <c r="AS1044" i="3"/>
  <c r="C1045" i="3" l="1"/>
  <c r="AX1044" i="3"/>
  <c r="AZ1044" i="3" s="1"/>
  <c r="G1045" i="3" l="1"/>
  <c r="AS1045" i="3"/>
  <c r="C1046" i="3" l="1"/>
  <c r="AX1045" i="3"/>
  <c r="AZ1045" i="3" s="1"/>
  <c r="G1046" i="3" l="1"/>
  <c r="AS1046" i="3"/>
  <c r="C1047" i="3" l="1"/>
  <c r="AX1046" i="3"/>
  <c r="AZ1046" i="3" s="1"/>
  <c r="G1047" i="3" l="1"/>
  <c r="AS1047" i="3"/>
  <c r="C1048" i="3" l="1"/>
  <c r="AX1047" i="3"/>
  <c r="AZ1047" i="3" s="1"/>
  <c r="G1048" i="3" l="1"/>
  <c r="AS1048" i="3"/>
  <c r="C1049" i="3" l="1"/>
  <c r="AX1048" i="3"/>
  <c r="AZ1048" i="3" s="1"/>
  <c r="G1049" i="3" l="1"/>
  <c r="AS1049" i="3"/>
  <c r="C1050" i="3" l="1"/>
  <c r="AX1049" i="3"/>
  <c r="AZ1049" i="3" s="1"/>
  <c r="G1050" i="3" l="1"/>
  <c r="AS1050" i="3"/>
  <c r="C1051" i="3" l="1"/>
  <c r="AX1050" i="3"/>
  <c r="AZ1050" i="3" s="1"/>
  <c r="G1051" i="3" l="1"/>
  <c r="AS1051" i="3"/>
  <c r="C1052" i="3" l="1"/>
  <c r="AX1051" i="3"/>
  <c r="AZ1051" i="3" s="1"/>
  <c r="G1052" i="3" l="1"/>
  <c r="AS1052" i="3"/>
  <c r="C1053" i="3" l="1"/>
  <c r="AX1052" i="3"/>
  <c r="AZ1052" i="3" s="1"/>
  <c r="G1053" i="3" l="1"/>
  <c r="AS1053" i="3"/>
  <c r="C1054" i="3" l="1"/>
  <c r="AX1053" i="3"/>
  <c r="AZ1053" i="3" s="1"/>
  <c r="G1054" i="3" l="1"/>
  <c r="AS1054" i="3"/>
  <c r="C1055" i="3" l="1"/>
  <c r="AX1054" i="3"/>
  <c r="AZ1054" i="3" s="1"/>
  <c r="G1055" i="3" l="1"/>
  <c r="AS1055" i="3"/>
  <c r="C1056" i="3" l="1"/>
  <c r="AX1055" i="3"/>
  <c r="AZ1055" i="3" s="1"/>
  <c r="G1056" i="3" l="1"/>
  <c r="AS1056" i="3"/>
  <c r="C1057" i="3" l="1"/>
  <c r="AX1056" i="3"/>
  <c r="AZ1056" i="3" s="1"/>
  <c r="G1057" i="3" l="1"/>
  <c r="AS1057" i="3"/>
  <c r="C1058" i="3" l="1"/>
  <c r="AX1057" i="3"/>
  <c r="AZ1057" i="3" s="1"/>
  <c r="G1058" i="3" l="1"/>
  <c r="AS1058" i="3"/>
  <c r="C1059" i="3" l="1"/>
  <c r="AX1058" i="3"/>
  <c r="AZ1058" i="3" s="1"/>
  <c r="G1059" i="3" l="1"/>
  <c r="AS1059" i="3"/>
  <c r="C1060" i="3" l="1"/>
  <c r="AX1059" i="3"/>
  <c r="AZ1059" i="3" s="1"/>
  <c r="G1060" i="3" l="1"/>
  <c r="AS1060" i="3"/>
  <c r="C1061" i="3" l="1"/>
  <c r="AX1060" i="3"/>
  <c r="AZ1060" i="3" s="1"/>
  <c r="G1061" i="3" l="1"/>
  <c r="AS1061" i="3"/>
  <c r="C1062" i="3" l="1"/>
  <c r="AX1061" i="3"/>
  <c r="AZ1061" i="3" s="1"/>
  <c r="G1062" i="3" l="1"/>
  <c r="AS1062" i="3"/>
  <c r="C1063" i="3" l="1"/>
  <c r="AX1062" i="3"/>
  <c r="AZ1062" i="3" s="1"/>
  <c r="G1063" i="3" l="1"/>
  <c r="AS1063" i="3"/>
  <c r="C1064" i="3" l="1"/>
  <c r="AX1063" i="3"/>
  <c r="AZ1063" i="3" s="1"/>
  <c r="G1064" i="3" l="1"/>
  <c r="AS1064" i="3"/>
  <c r="C1065" i="3" l="1"/>
  <c r="AX1064" i="3"/>
  <c r="AZ1064" i="3" s="1"/>
  <c r="G1065" i="3" l="1"/>
  <c r="AS1065" i="3"/>
  <c r="C1066" i="3" l="1"/>
  <c r="AX1065" i="3"/>
  <c r="AZ1065" i="3" s="1"/>
  <c r="G1066" i="3" l="1"/>
  <c r="AS1066" i="3"/>
  <c r="C1067" i="3" l="1"/>
  <c r="AX1066" i="3"/>
  <c r="AZ1066" i="3" s="1"/>
  <c r="G1067" i="3" l="1"/>
  <c r="AS1067" i="3"/>
  <c r="C1068" i="3" l="1"/>
  <c r="AX1067" i="3"/>
  <c r="AZ1067" i="3" s="1"/>
  <c r="G1068" i="3" l="1"/>
  <c r="AS1068" i="3"/>
  <c r="C1069" i="3" l="1"/>
  <c r="AX1068" i="3"/>
  <c r="AZ1068" i="3" s="1"/>
  <c r="G1069" i="3" l="1"/>
  <c r="AS1069" i="3"/>
  <c r="C1070" i="3" l="1"/>
  <c r="AX1069" i="3"/>
  <c r="AZ1069" i="3" s="1"/>
  <c r="G1070" i="3" l="1"/>
  <c r="AS1070" i="3"/>
  <c r="C1071" i="3" l="1"/>
  <c r="AX1070" i="3"/>
  <c r="AZ1070" i="3" s="1"/>
  <c r="G1071" i="3" l="1"/>
  <c r="AS1071" i="3"/>
  <c r="C1072" i="3" l="1"/>
  <c r="AX1071" i="3"/>
  <c r="AZ1071" i="3" s="1"/>
  <c r="G1072" i="3" l="1"/>
  <c r="AS1072" i="3"/>
  <c r="C1073" i="3" l="1"/>
  <c r="AX1072" i="3"/>
  <c r="AZ1072" i="3" s="1"/>
  <c r="G1073" i="3" l="1"/>
  <c r="AS1073" i="3"/>
  <c r="C1074" i="3" l="1"/>
  <c r="AX1073" i="3"/>
  <c r="AZ1073" i="3" s="1"/>
  <c r="G1074" i="3" l="1"/>
  <c r="AS1074" i="3"/>
  <c r="C1075" i="3" l="1"/>
  <c r="AX1074" i="3"/>
  <c r="AZ1074" i="3" s="1"/>
  <c r="G1075" i="3" l="1"/>
  <c r="AS1075" i="3"/>
  <c r="C1076" i="3" l="1"/>
  <c r="AX1075" i="3"/>
  <c r="AZ1075" i="3" s="1"/>
  <c r="G1076" i="3" l="1"/>
  <c r="AS1076" i="3"/>
  <c r="C1077" i="3" l="1"/>
  <c r="AX1076" i="3"/>
  <c r="AZ1076" i="3" s="1"/>
  <c r="G1077" i="3" l="1"/>
  <c r="AS1077" i="3"/>
  <c r="C1078" i="3" l="1"/>
  <c r="AX1077" i="3"/>
  <c r="AZ1077" i="3" s="1"/>
  <c r="G1078" i="3" l="1"/>
  <c r="AS1078" i="3"/>
  <c r="C1079" i="3" l="1"/>
  <c r="AX1078" i="3"/>
  <c r="AZ1078" i="3" s="1"/>
  <c r="G1079" i="3" l="1"/>
  <c r="AS1079" i="3"/>
  <c r="C1080" i="3" l="1"/>
  <c r="AX1079" i="3"/>
  <c r="AZ1079" i="3" s="1"/>
  <c r="G1080" i="3" l="1"/>
  <c r="AS1080" i="3"/>
  <c r="C1081" i="3" l="1"/>
  <c r="AX1080" i="3"/>
  <c r="AZ1080" i="3" s="1"/>
  <c r="G1081" i="3" l="1"/>
  <c r="AS1081" i="3"/>
  <c r="C1082" i="3" l="1"/>
  <c r="AX1081" i="3"/>
  <c r="AZ1081" i="3" s="1"/>
  <c r="G1082" i="3" l="1"/>
  <c r="AS1082" i="3"/>
  <c r="C1083" i="3" l="1"/>
  <c r="AX1082" i="3"/>
  <c r="AZ1082" i="3" s="1"/>
  <c r="G1083" i="3" l="1"/>
  <c r="AS1083" i="3"/>
  <c r="C1084" i="3" l="1"/>
  <c r="AX1083" i="3"/>
  <c r="AZ1083" i="3" s="1"/>
  <c r="G1084" i="3" l="1"/>
  <c r="AS1084" i="3"/>
  <c r="C1085" i="3" l="1"/>
  <c r="AX1084" i="3"/>
  <c r="AZ1084" i="3" s="1"/>
  <c r="G1085" i="3" l="1"/>
  <c r="AS1085" i="3"/>
  <c r="C1086" i="3" l="1"/>
  <c r="AX1085" i="3"/>
  <c r="AZ1085" i="3" s="1"/>
  <c r="G1086" i="3" l="1"/>
  <c r="AS1086" i="3"/>
  <c r="C1087" i="3" l="1"/>
  <c r="AX1086" i="3"/>
  <c r="AZ1086" i="3" s="1"/>
  <c r="G1087" i="3" l="1"/>
  <c r="AS1087" i="3"/>
  <c r="C1088" i="3" l="1"/>
  <c r="AX1087" i="3"/>
  <c r="AZ1087" i="3" s="1"/>
  <c r="G1088" i="3" l="1"/>
  <c r="AS1088" i="3"/>
  <c r="C1089" i="3" l="1"/>
  <c r="AX1088" i="3"/>
  <c r="AZ1088" i="3" s="1"/>
  <c r="G1089" i="3" l="1"/>
  <c r="AS1089" i="3"/>
  <c r="C1090" i="3" l="1"/>
  <c r="AX1089" i="3"/>
  <c r="AZ1089" i="3" s="1"/>
  <c r="G1090" i="3" l="1"/>
  <c r="AS1090" i="3"/>
  <c r="C1091" i="3" l="1"/>
  <c r="AX1090" i="3"/>
  <c r="AZ1090" i="3" s="1"/>
  <c r="G1091" i="3" l="1"/>
  <c r="AS1091" i="3"/>
  <c r="C1092" i="3" l="1"/>
  <c r="AX1091" i="3"/>
  <c r="AZ1091" i="3" s="1"/>
  <c r="G1092" i="3" l="1"/>
  <c r="AS1092" i="3"/>
  <c r="C1093" i="3" l="1"/>
  <c r="AX1092" i="3"/>
  <c r="AZ1092" i="3" s="1"/>
  <c r="G1093" i="3" l="1"/>
  <c r="AS1093" i="3"/>
  <c r="C1094" i="3" l="1"/>
  <c r="AX1093" i="3"/>
  <c r="AZ1093" i="3" s="1"/>
  <c r="G1094" i="3" l="1"/>
  <c r="AS1094" i="3"/>
  <c r="C1095" i="3" l="1"/>
  <c r="AX1094" i="3"/>
  <c r="AZ1094" i="3" s="1"/>
  <c r="G1095" i="3" l="1"/>
  <c r="AS1095" i="3"/>
  <c r="C1096" i="3" l="1"/>
  <c r="AX1095" i="3"/>
  <c r="AZ1095" i="3" s="1"/>
  <c r="G1096" i="3" l="1"/>
  <c r="AS1096" i="3"/>
  <c r="C1097" i="3" l="1"/>
  <c r="AX1096" i="3"/>
  <c r="AZ1096" i="3" s="1"/>
  <c r="G1097" i="3" l="1"/>
  <c r="AS1097" i="3"/>
  <c r="C1098" i="3" l="1"/>
  <c r="AX1097" i="3"/>
  <c r="AZ1097" i="3" s="1"/>
  <c r="G1098" i="3" l="1"/>
  <c r="AS1098" i="3"/>
  <c r="C1099" i="3" l="1"/>
  <c r="AX1098" i="3"/>
  <c r="AZ1098" i="3" s="1"/>
  <c r="G1099" i="3" l="1"/>
  <c r="AS1099" i="3"/>
  <c r="C1100" i="3" l="1"/>
  <c r="AX1099" i="3"/>
  <c r="AZ1099" i="3" s="1"/>
  <c r="G1100" i="3" l="1"/>
  <c r="AS1100" i="3"/>
  <c r="C1101" i="3" l="1"/>
  <c r="AX1100" i="3"/>
  <c r="AZ1100" i="3" s="1"/>
  <c r="G1101" i="3" l="1"/>
  <c r="AS1101" i="3"/>
  <c r="C1102" i="3" l="1"/>
  <c r="AX1101" i="3"/>
  <c r="AZ1101" i="3" s="1"/>
  <c r="G1102" i="3" l="1"/>
  <c r="AS1102" i="3"/>
  <c r="C1103" i="3" l="1"/>
  <c r="AX1102" i="3"/>
  <c r="AZ1102" i="3" s="1"/>
  <c r="G1103" i="3" l="1"/>
  <c r="AS1103" i="3"/>
  <c r="C1104" i="3" l="1"/>
  <c r="AX1103" i="3"/>
  <c r="AZ1103" i="3" s="1"/>
  <c r="G1104" i="3" l="1"/>
  <c r="AS1104" i="3"/>
  <c r="C1105" i="3" l="1"/>
  <c r="AX1104" i="3"/>
  <c r="AZ1104" i="3" s="1"/>
  <c r="G1105" i="3" l="1"/>
  <c r="AS1105" i="3"/>
  <c r="C1106" i="3" l="1"/>
  <c r="AX1105" i="3"/>
  <c r="AZ1105" i="3" s="1"/>
  <c r="G1106" i="3" l="1"/>
  <c r="AS1106" i="3"/>
  <c r="C1107" i="3" l="1"/>
  <c r="AX1106" i="3"/>
  <c r="AZ1106" i="3" s="1"/>
  <c r="G1107" i="3" l="1"/>
  <c r="AS1107" i="3"/>
  <c r="C1108" i="3" l="1"/>
  <c r="AX1107" i="3"/>
  <c r="AZ1107" i="3" s="1"/>
  <c r="G1108" i="3" l="1"/>
  <c r="AS1108" i="3"/>
  <c r="C1109" i="3" l="1"/>
  <c r="AX1108" i="3"/>
  <c r="AZ1108" i="3" s="1"/>
  <c r="G1109" i="3" l="1"/>
  <c r="AS1109" i="3"/>
  <c r="C1110" i="3" l="1"/>
  <c r="AX1109" i="3"/>
  <c r="AZ1109" i="3" s="1"/>
  <c r="G1110" i="3" l="1"/>
  <c r="AS1110" i="3"/>
  <c r="C1111" i="3" l="1"/>
  <c r="AX1110" i="3"/>
  <c r="AZ1110" i="3" s="1"/>
  <c r="G1111" i="3" l="1"/>
  <c r="AS1111" i="3"/>
  <c r="C1112" i="3" l="1"/>
  <c r="AX1111" i="3"/>
  <c r="AZ1111" i="3" s="1"/>
  <c r="G1112" i="3" l="1"/>
  <c r="AS1112" i="3"/>
  <c r="C1113" i="3" l="1"/>
  <c r="AX1112" i="3"/>
  <c r="AZ1112" i="3" s="1"/>
  <c r="G1113" i="3" l="1"/>
  <c r="AS1113" i="3"/>
  <c r="C1114" i="3" l="1"/>
  <c r="AX1113" i="3"/>
  <c r="AZ1113" i="3" s="1"/>
  <c r="G1114" i="3" l="1"/>
  <c r="AS1114" i="3"/>
  <c r="C1115" i="3" l="1"/>
  <c r="AX1114" i="3"/>
  <c r="AZ1114" i="3" s="1"/>
  <c r="G1115" i="3" l="1"/>
  <c r="AS1115" i="3"/>
  <c r="C1116" i="3" l="1"/>
  <c r="AX1115" i="3"/>
  <c r="AZ1115" i="3" s="1"/>
  <c r="G1116" i="3" l="1"/>
  <c r="AS1116" i="3"/>
  <c r="C1117" i="3" l="1"/>
  <c r="AX1116" i="3"/>
  <c r="AZ1116" i="3" s="1"/>
  <c r="G1117" i="3" l="1"/>
  <c r="AS1117" i="3"/>
  <c r="C1118" i="3" l="1"/>
  <c r="G1118" i="3" l="1"/>
  <c r="C1119" i="3" l="1"/>
  <c r="G1119" i="3" l="1"/>
  <c r="C1120" i="3" l="1"/>
  <c r="G1120" i="3" l="1"/>
  <c r="C1121" i="3" l="1"/>
  <c r="G1121" i="3" l="1"/>
  <c r="C1122" i="3" l="1"/>
  <c r="G1122" i="3" l="1"/>
  <c r="C1123" i="3" l="1"/>
  <c r="G1123" i="3" l="1"/>
  <c r="C1124" i="3" l="1"/>
  <c r="G1124" i="3" l="1"/>
  <c r="C1125" i="3" l="1"/>
  <c r="G1125" i="3" l="1"/>
  <c r="C1126" i="3" l="1"/>
  <c r="G1126" i="3" l="1"/>
  <c r="C1127" i="3" l="1"/>
  <c r="G1127" i="3" l="1"/>
  <c r="C1128" i="3" l="1"/>
  <c r="G1128" i="3" l="1"/>
  <c r="C1129" i="3" l="1"/>
  <c r="G1129" i="3" l="1"/>
  <c r="C1130" i="3" l="1"/>
  <c r="G1130" i="3" l="1"/>
  <c r="C1131" i="3" l="1"/>
  <c r="G1131" i="3" l="1"/>
  <c r="C1132" i="3" l="1"/>
  <c r="G1132" i="3" l="1"/>
  <c r="C1133" i="3" l="1"/>
  <c r="G1133" i="3" l="1"/>
  <c r="C1134" i="3" l="1"/>
  <c r="G1134" i="3" l="1"/>
  <c r="C1135" i="3" l="1"/>
  <c r="G1135" i="3" l="1"/>
  <c r="C1136" i="3" l="1"/>
  <c r="G1136" i="3" l="1"/>
  <c r="C1137" i="3" l="1"/>
  <c r="G1137" i="3" l="1"/>
  <c r="C1138" i="3" l="1"/>
  <c r="G1138" i="3" l="1"/>
  <c r="C1139" i="3" l="1"/>
  <c r="G1139" i="3" l="1"/>
  <c r="C1140" i="3" l="1"/>
  <c r="G1140" i="3" l="1"/>
  <c r="C1141" i="3" l="1"/>
  <c r="G1141" i="3" l="1"/>
  <c r="C1142" i="3" l="1"/>
  <c r="G1142" i="3" l="1"/>
  <c r="C1143" i="3" l="1"/>
  <c r="G1143" i="3" l="1"/>
  <c r="C1144" i="3" l="1"/>
  <c r="G1144" i="3" l="1"/>
  <c r="C1145" i="3" l="1"/>
  <c r="G1145" i="3" l="1"/>
  <c r="C1146" i="3" l="1"/>
  <c r="G1146" i="3" l="1"/>
  <c r="C1147" i="3" l="1"/>
  <c r="G1147" i="3" l="1"/>
  <c r="C1148" i="3" l="1"/>
  <c r="G1148" i="3" l="1"/>
  <c r="C1149" i="3" l="1"/>
  <c r="G1149" i="3" l="1"/>
  <c r="C1150" i="3" l="1"/>
  <c r="G1150" i="3" l="1"/>
  <c r="C1151" i="3" l="1"/>
  <c r="G1151" i="3" l="1"/>
  <c r="C1152" i="3" l="1"/>
  <c r="G1152" i="3" l="1"/>
  <c r="C1153" i="3" l="1"/>
  <c r="G1153" i="3" l="1"/>
  <c r="C1154" i="3" l="1"/>
  <c r="G1154" i="3" l="1"/>
  <c r="C1155" i="3" l="1"/>
  <c r="G1155" i="3" l="1"/>
  <c r="C1156" i="3" l="1"/>
  <c r="G1156" i="3" l="1"/>
  <c r="C1157" i="3" l="1"/>
  <c r="G1157" i="3" l="1"/>
  <c r="C1158" i="3" l="1"/>
  <c r="G1158" i="3" l="1"/>
  <c r="C1159" i="3" l="1"/>
  <c r="G1159" i="3" l="1"/>
  <c r="C1160" i="3" l="1"/>
  <c r="G1160" i="3" l="1"/>
  <c r="C1161" i="3" l="1"/>
  <c r="G1161" i="3" l="1"/>
  <c r="C1162" i="3" l="1"/>
  <c r="G1162" i="3" l="1"/>
  <c r="C1163" i="3" l="1"/>
  <c r="G1163" i="3" l="1"/>
  <c r="C1164" i="3" l="1"/>
  <c r="G1164" i="3" l="1"/>
  <c r="C1165" i="3" l="1"/>
  <c r="G1165" i="3" l="1"/>
  <c r="C1166" i="3" l="1"/>
  <c r="G1166" i="3" l="1"/>
  <c r="C1167" i="3" l="1"/>
  <c r="G1167" i="3" l="1"/>
  <c r="C1168" i="3" l="1"/>
  <c r="G1168" i="3" l="1"/>
  <c r="C1169" i="3" l="1"/>
  <c r="G1169" i="3" l="1"/>
  <c r="C1170" i="3" l="1"/>
  <c r="G1170" i="3" l="1"/>
  <c r="C1171" i="3" l="1"/>
  <c r="G1171" i="3" l="1"/>
  <c r="C1172" i="3" l="1"/>
  <c r="G1172" i="3" l="1"/>
  <c r="C1173" i="3" l="1"/>
  <c r="G1173" i="3" l="1"/>
  <c r="C1174" i="3" l="1"/>
  <c r="G1174" i="3" l="1"/>
  <c r="C1175" i="3" l="1"/>
  <c r="G1175" i="3" l="1"/>
  <c r="C1176" i="3" l="1"/>
  <c r="G1176" i="3" l="1"/>
  <c r="C1177" i="3" l="1"/>
  <c r="G1177" i="3" l="1"/>
  <c r="C1178" i="3" l="1"/>
  <c r="G1178" i="3" l="1"/>
  <c r="C1179" i="3" l="1"/>
  <c r="G1179" i="3" l="1"/>
  <c r="C1180" i="3" l="1"/>
  <c r="G1180" i="3" l="1"/>
  <c r="C1181" i="3" l="1"/>
  <c r="G1181" i="3" l="1"/>
  <c r="C1182" i="3" l="1"/>
  <c r="G1182" i="3" l="1"/>
  <c r="C1183" i="3" l="1"/>
  <c r="G1183" i="3" l="1"/>
  <c r="C1184" i="3" l="1"/>
  <c r="G1184" i="3" l="1"/>
  <c r="C1185" i="3" l="1"/>
  <c r="G1185" i="3" l="1"/>
  <c r="C1186" i="3" l="1"/>
  <c r="G1186" i="3" l="1"/>
  <c r="C1187" i="3" l="1"/>
  <c r="G1187" i="3" l="1"/>
  <c r="C1188" i="3" l="1"/>
  <c r="G1188" i="3" l="1"/>
  <c r="C1189" i="3" l="1"/>
  <c r="G1189" i="3" l="1"/>
  <c r="C1190" i="3" l="1"/>
  <c r="G1190" i="3" l="1"/>
  <c r="C1191" i="3" l="1"/>
  <c r="G1191" i="3" l="1"/>
  <c r="C1192" i="3" l="1"/>
  <c r="G1192" i="3" l="1"/>
  <c r="C1193" i="3" l="1"/>
  <c r="G1193" i="3" l="1"/>
  <c r="C1194" i="3" l="1"/>
  <c r="G1194" i="3" l="1"/>
  <c r="C1195" i="3" l="1"/>
  <c r="G1195" i="3" l="1"/>
  <c r="C1196" i="3" l="1"/>
  <c r="G1196" i="3" l="1"/>
  <c r="C1197" i="3" l="1"/>
  <c r="G1197" i="3" l="1"/>
  <c r="C1198" i="3" l="1"/>
  <c r="G1198" i="3" l="1"/>
  <c r="C1199" i="3" l="1"/>
  <c r="G1199" i="3" l="1"/>
  <c r="C1200" i="3" l="1"/>
  <c r="G1200" i="3" l="1"/>
  <c r="C1201" i="3" l="1"/>
  <c r="G1201" i="3" l="1"/>
  <c r="C1202" i="3" l="1"/>
  <c r="G1202" i="3" l="1"/>
  <c r="C1203" i="3" l="1"/>
  <c r="G1203" i="3" l="1"/>
  <c r="C1204" i="3" l="1"/>
  <c r="G1204" i="3" l="1"/>
  <c r="C1205" i="3" l="1"/>
  <c r="G1205" i="3" l="1"/>
  <c r="C1206" i="3" l="1"/>
  <c r="G1206" i="3" l="1"/>
  <c r="C1207" i="3" l="1"/>
  <c r="G1207" i="3" l="1"/>
  <c r="C1208" i="3" l="1"/>
  <c r="G1208" i="3" l="1"/>
  <c r="C1209" i="3" l="1"/>
  <c r="G1209" i="3" l="1"/>
  <c r="C1210" i="3" l="1"/>
  <c r="G1210" i="3" l="1"/>
  <c r="C1211" i="3" l="1"/>
  <c r="G1211" i="3" l="1"/>
  <c r="C1212" i="3" l="1"/>
  <c r="G1212" i="3" l="1"/>
  <c r="C1213" i="3" l="1"/>
  <c r="G1213" i="3" l="1"/>
  <c r="C1214" i="3" l="1"/>
  <c r="G1214" i="3" l="1"/>
  <c r="C1215" i="3" l="1"/>
  <c r="G1215" i="3" l="1"/>
  <c r="C1216" i="3" l="1"/>
  <c r="G1216" i="3" l="1"/>
  <c r="C1217" i="3" l="1"/>
  <c r="G1217" i="3" l="1"/>
  <c r="C1218" i="3" l="1"/>
  <c r="G1218" i="3" l="1"/>
  <c r="C1219" i="3" l="1"/>
  <c r="G1219" i="3" l="1"/>
  <c r="C1220" i="3" l="1"/>
  <c r="G1220" i="3" l="1"/>
  <c r="C1221" i="3" l="1"/>
  <c r="G1221" i="3" l="1"/>
  <c r="C1222" i="3" l="1"/>
  <c r="G1222" i="3" l="1"/>
  <c r="C1223" i="3" l="1"/>
  <c r="G1223" i="3" l="1"/>
  <c r="C1224" i="3" l="1"/>
  <c r="G1224" i="3" l="1"/>
  <c r="C1225" i="3" l="1"/>
  <c r="G1225" i="3" l="1"/>
  <c r="C1226" i="3" l="1"/>
  <c r="G1226" i="3" l="1"/>
  <c r="C1227" i="3" l="1"/>
  <c r="G1227" i="3" l="1"/>
  <c r="C1228" i="3" l="1"/>
  <c r="G1228" i="3" l="1"/>
  <c r="C1229" i="3" l="1"/>
  <c r="G1229" i="3" l="1"/>
  <c r="C1230" i="3" l="1"/>
  <c r="G1230" i="3" l="1"/>
  <c r="C1231" i="3" l="1"/>
  <c r="G1231" i="3" l="1"/>
  <c r="C1232" i="3" l="1"/>
  <c r="G1232" i="3" l="1"/>
  <c r="C1233" i="3" l="1"/>
  <c r="G1233" i="3" l="1"/>
  <c r="C1234" i="3" l="1"/>
  <c r="G1234" i="3" l="1"/>
  <c r="C1235" i="3" l="1"/>
  <c r="G1235" i="3" l="1"/>
  <c r="C1236" i="3" l="1"/>
  <c r="G1236" i="3" l="1"/>
  <c r="C1237" i="3" l="1"/>
  <c r="G1237" i="3" l="1"/>
  <c r="C1238" i="3" l="1"/>
  <c r="G1238" i="3" l="1"/>
  <c r="C1239" i="3" l="1"/>
  <c r="G1239" i="3" l="1"/>
  <c r="C1240" i="3" l="1"/>
  <c r="G1240" i="3" l="1"/>
  <c r="C1241" i="3" l="1"/>
  <c r="G1241" i="3" l="1"/>
  <c r="C1242" i="3" l="1"/>
  <c r="G1242" i="3" l="1"/>
  <c r="C1243" i="3" l="1"/>
  <c r="G1243" i="3" l="1"/>
  <c r="C1244" i="3" l="1"/>
  <c r="G1244" i="3" l="1"/>
  <c r="C1245" i="3" l="1"/>
  <c r="G1245" i="3" l="1"/>
  <c r="C1246" i="3" l="1"/>
  <c r="G1246" i="3" l="1"/>
  <c r="C1247" i="3" l="1"/>
  <c r="G1247" i="3" l="1"/>
  <c r="C1248" i="3" l="1"/>
  <c r="G1248" i="3" l="1"/>
  <c r="C1249" i="3" l="1"/>
  <c r="G1249" i="3" l="1"/>
  <c r="C1250" i="3" l="1"/>
  <c r="G1250" i="3" l="1"/>
  <c r="C1251" i="3" l="1"/>
  <c r="G1251" i="3" l="1"/>
  <c r="C1252" i="3" l="1"/>
  <c r="G1252" i="3" l="1"/>
  <c r="C1253" i="3" l="1"/>
  <c r="G1253" i="3" l="1"/>
  <c r="C1254" i="3" l="1"/>
  <c r="G1254" i="3" l="1"/>
  <c r="C1255" i="3" l="1"/>
  <c r="G1255" i="3" l="1"/>
  <c r="C1256" i="3" l="1"/>
  <c r="G1256" i="3" l="1"/>
  <c r="AX1117" i="3"/>
  <c r="AZ1117" i="3" s="1"/>
  <c r="I1118" i="3"/>
  <c r="AS1118" i="3" s="1"/>
  <c r="C1257" i="3" l="1"/>
  <c r="G1257" i="3"/>
  <c r="M1118" i="3"/>
  <c r="I1119" i="3" s="1"/>
  <c r="M1119" i="3" s="1"/>
  <c r="AX1119" i="3" s="1"/>
  <c r="AZ1119" i="3" s="1"/>
  <c r="AX1118" i="3"/>
  <c r="AZ1118" i="3" s="1"/>
  <c r="AS1119" i="3" l="1"/>
  <c r="C1258" i="3"/>
  <c r="I1120" i="3"/>
  <c r="AS1120" i="3" s="1"/>
  <c r="M1120" i="3" l="1"/>
  <c r="G1258" i="3"/>
  <c r="I1121" i="3"/>
  <c r="AX1120" i="3"/>
  <c r="AZ1120" i="3" s="1"/>
  <c r="C1259" i="3" l="1"/>
  <c r="M1121" i="3"/>
  <c r="AS1121" i="3"/>
  <c r="G1259" i="3" l="1"/>
  <c r="I1122" i="3"/>
  <c r="AX1121" i="3"/>
  <c r="AZ1121" i="3" s="1"/>
  <c r="C1260" i="3" l="1"/>
  <c r="M1122" i="3"/>
  <c r="AS1122" i="3"/>
  <c r="G1260" i="3" l="1"/>
  <c r="AX1122" i="3"/>
  <c r="AZ1122" i="3" s="1"/>
  <c r="I1123" i="3"/>
  <c r="C1261" i="3" l="1"/>
  <c r="M1123" i="3"/>
  <c r="AS1123" i="3"/>
  <c r="G1261" i="3" l="1"/>
  <c r="AX1123" i="3"/>
  <c r="AZ1123" i="3" s="1"/>
  <c r="I1124" i="3"/>
  <c r="C1262" i="3" l="1"/>
  <c r="AS1124" i="3"/>
  <c r="M1124" i="3"/>
  <c r="G1262" i="3" l="1"/>
  <c r="I1125" i="3"/>
  <c r="AX1124" i="3"/>
  <c r="AZ1124" i="3" s="1"/>
  <c r="C1263" i="3" l="1"/>
  <c r="M1125" i="3"/>
  <c r="AS1125" i="3"/>
  <c r="G1263" i="3" l="1"/>
  <c r="AX1125" i="3"/>
  <c r="AZ1125" i="3" s="1"/>
  <c r="I1126" i="3"/>
  <c r="C1264" i="3" l="1"/>
  <c r="M1126" i="3"/>
  <c r="AS1126" i="3"/>
  <c r="G1264" i="3" l="1"/>
  <c r="I1127" i="3"/>
  <c r="AX1126" i="3"/>
  <c r="AZ1126" i="3" s="1"/>
  <c r="C1265" i="3" l="1"/>
  <c r="AS1127" i="3"/>
  <c r="M1127" i="3"/>
  <c r="G1265" i="3" l="1"/>
  <c r="AX1127" i="3"/>
  <c r="AZ1127" i="3" s="1"/>
  <c r="I1128" i="3"/>
  <c r="C1266" i="3" l="1"/>
  <c r="AS1128" i="3"/>
  <c r="M1128" i="3"/>
  <c r="G1266" i="3" l="1"/>
  <c r="AX1128" i="3"/>
  <c r="AZ1128" i="3" s="1"/>
  <c r="I1129" i="3"/>
  <c r="C1267" i="3" l="1"/>
  <c r="M1129" i="3"/>
  <c r="AS1129" i="3"/>
  <c r="G1267" i="3" l="1"/>
  <c r="I1130" i="3"/>
  <c r="AX1129" i="3"/>
  <c r="AZ1129" i="3" s="1"/>
  <c r="C1268" i="3" l="1"/>
  <c r="M1130" i="3"/>
  <c r="AS1130" i="3"/>
  <c r="G1268" i="3" l="1"/>
  <c r="AX1130" i="3"/>
  <c r="AZ1130" i="3" s="1"/>
  <c r="I1131" i="3"/>
  <c r="C1269" i="3" l="1"/>
  <c r="M1131" i="3"/>
  <c r="AS1131" i="3"/>
  <c r="G1269" i="3" l="1"/>
  <c r="AX1131" i="3"/>
  <c r="AZ1131" i="3" s="1"/>
  <c r="I1132" i="3"/>
  <c r="C1270" i="3" l="1"/>
  <c r="AS1132" i="3"/>
  <c r="M1132" i="3"/>
  <c r="G1270" i="3" l="1"/>
  <c r="AX1132" i="3"/>
  <c r="AZ1132" i="3" s="1"/>
  <c r="I1133" i="3"/>
  <c r="C1271" i="3" l="1"/>
  <c r="AS1133" i="3"/>
  <c r="M1133" i="3"/>
  <c r="G1271" i="3" l="1"/>
  <c r="AX1133" i="3"/>
  <c r="AZ1133" i="3" s="1"/>
  <c r="I1134" i="3"/>
  <c r="C1272" i="3" l="1"/>
  <c r="M1134" i="3"/>
  <c r="AS1134" i="3"/>
  <c r="G1272" i="3" l="1"/>
  <c r="I1135" i="3"/>
  <c r="AX1134" i="3"/>
  <c r="AZ1134" i="3" s="1"/>
  <c r="C1273" i="3" l="1"/>
  <c r="AS1135" i="3"/>
  <c r="M1135" i="3"/>
  <c r="G1273" i="3" l="1"/>
  <c r="I1136" i="3"/>
  <c r="AX1135" i="3"/>
  <c r="AZ1135" i="3" s="1"/>
  <c r="C1274" i="3" l="1"/>
  <c r="AS1136" i="3"/>
  <c r="M1136" i="3"/>
  <c r="G1274" i="3" l="1"/>
  <c r="AX1136" i="3"/>
  <c r="AZ1136" i="3" s="1"/>
  <c r="I1137" i="3"/>
  <c r="C1275" i="3" l="1"/>
  <c r="AS1137" i="3"/>
  <c r="M1137" i="3"/>
  <c r="G1275" i="3" l="1"/>
  <c r="I1138" i="3"/>
  <c r="AX1137" i="3"/>
  <c r="AZ1137" i="3" s="1"/>
  <c r="C1276" i="3" l="1"/>
  <c r="AS1138" i="3"/>
  <c r="M1138" i="3"/>
  <c r="G1276" i="3" l="1"/>
  <c r="AX1138" i="3"/>
  <c r="AZ1138" i="3" s="1"/>
  <c r="I1139" i="3"/>
  <c r="C1277" i="3" l="1"/>
  <c r="AS1139" i="3"/>
  <c r="M1139" i="3"/>
  <c r="G1277" i="3" l="1"/>
  <c r="AX1139" i="3"/>
  <c r="AZ1139" i="3" s="1"/>
  <c r="I1140" i="3"/>
  <c r="C1278" i="3" l="1"/>
  <c r="AS1140" i="3"/>
  <c r="M1140" i="3"/>
  <c r="G1278" i="3" l="1"/>
  <c r="AX1140" i="3"/>
  <c r="AZ1140" i="3" s="1"/>
  <c r="I1141" i="3"/>
  <c r="C1279" i="3" l="1"/>
  <c r="AS1141" i="3"/>
  <c r="M1141" i="3"/>
  <c r="G1279" i="3" l="1"/>
  <c r="I1142" i="3"/>
  <c r="AX1141" i="3"/>
  <c r="AZ1141" i="3" s="1"/>
  <c r="C1280" i="3" l="1"/>
  <c r="M1142" i="3"/>
  <c r="AS1142" i="3"/>
  <c r="G1280" i="3" l="1"/>
  <c r="I1143" i="3"/>
  <c r="AX1142" i="3"/>
  <c r="AZ1142" i="3" s="1"/>
  <c r="C1281" i="3" l="1"/>
  <c r="M1143" i="3"/>
  <c r="AS1143" i="3"/>
  <c r="G1281" i="3" l="1"/>
  <c r="AX1143" i="3"/>
  <c r="AZ1143" i="3" s="1"/>
  <c r="I1144" i="3"/>
  <c r="C1282" i="3" l="1"/>
  <c r="AS1144" i="3"/>
  <c r="M1144" i="3"/>
  <c r="G1282" i="3" l="1"/>
  <c r="AX1144" i="3"/>
  <c r="AZ1144" i="3" s="1"/>
  <c r="I1145" i="3"/>
  <c r="C1283" i="3" l="1"/>
  <c r="AS1145" i="3"/>
  <c r="M1145" i="3"/>
  <c r="G1283" i="3" l="1"/>
  <c r="AX1145" i="3"/>
  <c r="AZ1145" i="3" s="1"/>
  <c r="I1146" i="3"/>
  <c r="C1284" i="3" l="1"/>
  <c r="AS1146" i="3"/>
  <c r="M1146" i="3"/>
  <c r="G1284" i="3" l="1"/>
  <c r="AX1146" i="3"/>
  <c r="AZ1146" i="3" s="1"/>
  <c r="I1147" i="3"/>
  <c r="C1285" i="3" l="1"/>
  <c r="M1147" i="3"/>
  <c r="AS1147" i="3"/>
  <c r="G1285" i="3" l="1"/>
  <c r="AX1147" i="3"/>
  <c r="AZ1147" i="3" s="1"/>
  <c r="I1148" i="3"/>
  <c r="C1286" i="3" l="1"/>
  <c r="AS1148" i="3"/>
  <c r="M1148" i="3"/>
  <c r="G1286" i="3" l="1"/>
  <c r="AX1148" i="3"/>
  <c r="AZ1148" i="3" s="1"/>
  <c r="I1149" i="3"/>
  <c r="C1287" i="3" l="1"/>
  <c r="AS1149" i="3"/>
  <c r="M1149" i="3"/>
  <c r="G1287" i="3" l="1"/>
  <c r="AX1149" i="3"/>
  <c r="AZ1149" i="3" s="1"/>
  <c r="I1150" i="3"/>
  <c r="C1288" i="3" l="1"/>
  <c r="M1150" i="3"/>
  <c r="AS1150" i="3"/>
  <c r="G1288" i="3" l="1"/>
  <c r="I1151" i="3"/>
  <c r="AX1150" i="3"/>
  <c r="AZ1150" i="3" s="1"/>
  <c r="C1289" i="3" l="1"/>
  <c r="AS1151" i="3"/>
  <c r="M1151" i="3"/>
  <c r="G1289" i="3" l="1"/>
  <c r="AX1151" i="3"/>
  <c r="AZ1151" i="3" s="1"/>
  <c r="I1152" i="3"/>
  <c r="C1290" i="3" l="1"/>
  <c r="AS1152" i="3"/>
  <c r="M1152" i="3"/>
  <c r="G1290" i="3" l="1"/>
  <c r="AX1152" i="3"/>
  <c r="AZ1152" i="3" s="1"/>
  <c r="I1153" i="3"/>
  <c r="C1291" i="3" l="1"/>
  <c r="AS1153" i="3"/>
  <c r="M1153" i="3"/>
  <c r="G1291" i="3" l="1"/>
  <c r="I1154" i="3"/>
  <c r="AX1153" i="3"/>
  <c r="AZ1153" i="3" s="1"/>
  <c r="C1292" i="3" l="1"/>
  <c r="AS1154" i="3"/>
  <c r="M1154" i="3"/>
  <c r="G1292" i="3" l="1"/>
  <c r="AX1154" i="3"/>
  <c r="AZ1154" i="3" s="1"/>
  <c r="I1155" i="3"/>
  <c r="C1293" i="3" l="1"/>
  <c r="AS1155" i="3"/>
  <c r="M1155" i="3"/>
  <c r="G1293" i="3" l="1"/>
  <c r="AX1155" i="3"/>
  <c r="AZ1155" i="3" s="1"/>
  <c r="I1156" i="3"/>
  <c r="C1294" i="3" l="1"/>
  <c r="AS1156" i="3"/>
  <c r="M1156" i="3"/>
  <c r="G1294" i="3" l="1"/>
  <c r="AX1156" i="3"/>
  <c r="AZ1156" i="3" s="1"/>
  <c r="I1157" i="3"/>
  <c r="C1295" i="3" l="1"/>
  <c r="AS1157" i="3"/>
  <c r="M1157" i="3"/>
  <c r="G1295" i="3" l="1"/>
  <c r="I1158" i="3"/>
  <c r="AX1157" i="3"/>
  <c r="AZ1157" i="3" s="1"/>
  <c r="C1296" i="3" l="1"/>
  <c r="M1158" i="3"/>
  <c r="AS1158" i="3"/>
  <c r="G1296" i="3" l="1"/>
  <c r="I1159" i="3"/>
  <c r="AX1158" i="3"/>
  <c r="AZ1158" i="3" s="1"/>
  <c r="C1297" i="3" l="1"/>
  <c r="AS1159" i="3"/>
  <c r="M1159" i="3"/>
  <c r="G1297" i="3" l="1"/>
  <c r="AX1159" i="3"/>
  <c r="AZ1159" i="3" s="1"/>
  <c r="I1160" i="3"/>
  <c r="C1298" i="3" l="1"/>
  <c r="AS1160" i="3"/>
  <c r="M1160" i="3"/>
  <c r="G1298" i="3" l="1"/>
  <c r="AX1160" i="3"/>
  <c r="AZ1160" i="3" s="1"/>
  <c r="I1161" i="3"/>
  <c r="C1299" i="3" l="1"/>
  <c r="AS1161" i="3"/>
  <c r="M1161" i="3"/>
  <c r="G1299" i="3" l="1"/>
  <c r="I1162" i="3"/>
  <c r="AX1161" i="3"/>
  <c r="AZ1161" i="3" s="1"/>
  <c r="C1300" i="3" l="1"/>
  <c r="M1162" i="3"/>
  <c r="AS1162" i="3"/>
  <c r="G1300" i="3" l="1"/>
  <c r="I1163" i="3"/>
  <c r="AX1162" i="3"/>
  <c r="AZ1162" i="3" s="1"/>
  <c r="C1301" i="3" l="1"/>
  <c r="M1163" i="3"/>
  <c r="AS1163" i="3"/>
  <c r="G1301" i="3" l="1"/>
  <c r="AX1163" i="3"/>
  <c r="AZ1163" i="3" s="1"/>
  <c r="I1164" i="3"/>
  <c r="C1302" i="3" l="1"/>
  <c r="AS1164" i="3"/>
  <c r="M1164" i="3"/>
  <c r="G1302" i="3" l="1"/>
  <c r="AX1164" i="3"/>
  <c r="AZ1164" i="3" s="1"/>
  <c r="I1165" i="3"/>
  <c r="C1303" i="3" l="1"/>
  <c r="AS1165" i="3"/>
  <c r="M1165" i="3"/>
  <c r="G1303" i="3" l="1"/>
  <c r="I1166" i="3"/>
  <c r="AX1165" i="3"/>
  <c r="AZ1165" i="3" s="1"/>
  <c r="C1304" i="3" l="1"/>
  <c r="M1166" i="3"/>
  <c r="AS1166" i="3"/>
  <c r="G1304" i="3" l="1"/>
  <c r="I1167" i="3"/>
  <c r="AX1166" i="3"/>
  <c r="AZ1166" i="3" s="1"/>
  <c r="C1305" i="3" l="1"/>
  <c r="AS1167" i="3"/>
  <c r="M1167" i="3"/>
  <c r="G1305" i="3" l="1"/>
  <c r="AX1167" i="3"/>
  <c r="AZ1167" i="3" s="1"/>
  <c r="I1168" i="3"/>
  <c r="C1306" i="3" l="1"/>
  <c r="AS1168" i="3"/>
  <c r="M1168" i="3"/>
  <c r="G1306" i="3" l="1"/>
  <c r="AX1168" i="3"/>
  <c r="AZ1168" i="3" s="1"/>
  <c r="I1169" i="3"/>
  <c r="C1307" i="3" l="1"/>
  <c r="AS1169" i="3"/>
  <c r="M1169" i="3"/>
  <c r="G1307" i="3" l="1"/>
  <c r="I1170" i="3"/>
  <c r="AX1169" i="3"/>
  <c r="AZ1169" i="3" s="1"/>
  <c r="C1308" i="3" l="1"/>
  <c r="AS1170" i="3"/>
  <c r="M1170" i="3"/>
  <c r="G1308" i="3" l="1"/>
  <c r="AX1170" i="3"/>
  <c r="AZ1170" i="3" s="1"/>
  <c r="I1171" i="3"/>
  <c r="C1309" i="3" l="1"/>
  <c r="AS1171" i="3"/>
  <c r="M1171" i="3"/>
  <c r="G1309" i="3" l="1"/>
  <c r="AX1171" i="3"/>
  <c r="AZ1171" i="3" s="1"/>
  <c r="I1172" i="3"/>
  <c r="C1310" i="3" l="1"/>
  <c r="AS1172" i="3"/>
  <c r="M1172" i="3"/>
  <c r="G1310" i="3" l="1"/>
  <c r="AX1172" i="3"/>
  <c r="AZ1172" i="3" s="1"/>
  <c r="I1173" i="3"/>
  <c r="C1311" i="3" l="1"/>
  <c r="AS1173" i="3"/>
  <c r="M1173" i="3"/>
  <c r="G1311" i="3" l="1"/>
  <c r="I1174" i="3"/>
  <c r="AX1173" i="3"/>
  <c r="AZ1173" i="3" s="1"/>
  <c r="C1312" i="3" l="1"/>
  <c r="AS1174" i="3"/>
  <c r="M1174" i="3"/>
  <c r="G1312" i="3" l="1"/>
  <c r="AX1174" i="3"/>
  <c r="AZ1174" i="3" s="1"/>
  <c r="I1175" i="3"/>
  <c r="C1313" i="3" l="1"/>
  <c r="AS1175" i="3"/>
  <c r="M1175" i="3"/>
  <c r="G1313" i="3" l="1"/>
  <c r="AX1175" i="3"/>
  <c r="AZ1175" i="3" s="1"/>
  <c r="I1176" i="3"/>
  <c r="C1314" i="3" l="1"/>
  <c r="AS1176" i="3"/>
  <c r="M1176" i="3"/>
  <c r="G1314" i="3" l="1"/>
  <c r="AX1176" i="3"/>
  <c r="AZ1176" i="3" s="1"/>
  <c r="I1177" i="3"/>
  <c r="C1315" i="3" l="1"/>
  <c r="AS1177" i="3"/>
  <c r="M1177" i="3"/>
  <c r="G1315" i="3" l="1"/>
  <c r="AX1177" i="3"/>
  <c r="AZ1177" i="3" s="1"/>
  <c r="I1178" i="3"/>
  <c r="C1316" i="3" l="1"/>
  <c r="AS1178" i="3"/>
  <c r="M1178" i="3"/>
  <c r="G1316" i="3" l="1"/>
  <c r="AX1178" i="3"/>
  <c r="AZ1178" i="3" s="1"/>
  <c r="I1179" i="3"/>
  <c r="C1317" i="3" l="1"/>
  <c r="AS1179" i="3"/>
  <c r="M1179" i="3"/>
  <c r="G1317" i="3" l="1"/>
  <c r="AX1179" i="3"/>
  <c r="AZ1179" i="3" s="1"/>
  <c r="I1180" i="3"/>
  <c r="C1318" i="3" l="1"/>
  <c r="AS1180" i="3"/>
  <c r="M1180" i="3"/>
  <c r="G1318" i="3" l="1"/>
  <c r="AX1180" i="3"/>
  <c r="AZ1180" i="3" s="1"/>
  <c r="I1181" i="3"/>
  <c r="C1319" i="3" l="1"/>
  <c r="AS1181" i="3"/>
  <c r="M1181" i="3"/>
  <c r="G1319" i="3" l="1"/>
  <c r="AX1181" i="3"/>
  <c r="AZ1181" i="3" s="1"/>
  <c r="I1182" i="3"/>
  <c r="C1320" i="3" l="1"/>
  <c r="AS1182" i="3"/>
  <c r="M1182" i="3"/>
  <c r="G1320" i="3" l="1"/>
  <c r="AX1182" i="3"/>
  <c r="AZ1182" i="3" s="1"/>
  <c r="I1183" i="3"/>
  <c r="C1321" i="3" l="1"/>
  <c r="AS1183" i="3"/>
  <c r="M1183" i="3"/>
  <c r="G1321" i="3" l="1"/>
  <c r="AX1183" i="3"/>
  <c r="AZ1183" i="3" s="1"/>
  <c r="I1184" i="3"/>
  <c r="C1322" i="3" l="1"/>
  <c r="AS1184" i="3"/>
  <c r="M1184" i="3"/>
  <c r="G1322" i="3" l="1"/>
  <c r="AX1184" i="3"/>
  <c r="AZ1184" i="3" s="1"/>
  <c r="I1185" i="3"/>
  <c r="C1323" i="3" l="1"/>
  <c r="AS1185" i="3"/>
  <c r="M1185" i="3"/>
  <c r="G1323" i="3" l="1"/>
  <c r="I1186" i="3"/>
  <c r="AX1185" i="3"/>
  <c r="AZ1185" i="3" s="1"/>
  <c r="C1324" i="3" l="1"/>
  <c r="M1186" i="3"/>
  <c r="AS1186" i="3"/>
  <c r="G1324" i="3" l="1"/>
  <c r="AX1186" i="3"/>
  <c r="AZ1186" i="3" s="1"/>
  <c r="I1187" i="3"/>
  <c r="C1325" i="3" l="1"/>
  <c r="AS1187" i="3"/>
  <c r="M1187" i="3"/>
  <c r="G1325" i="3" l="1"/>
  <c r="AX1187" i="3"/>
  <c r="AZ1187" i="3" s="1"/>
  <c r="I1188" i="3"/>
  <c r="C1326" i="3" l="1"/>
  <c r="AS1188" i="3"/>
  <c r="M1188" i="3"/>
  <c r="G1326" i="3" l="1"/>
  <c r="I1189" i="3"/>
  <c r="AX1188" i="3"/>
  <c r="AZ1188" i="3" s="1"/>
  <c r="C1327" i="3" l="1"/>
  <c r="M1189" i="3"/>
  <c r="AS1189" i="3"/>
  <c r="G1327" i="3" l="1"/>
  <c r="AX1189" i="3"/>
  <c r="AZ1189" i="3" s="1"/>
  <c r="I1190" i="3"/>
  <c r="C1328" i="3" l="1"/>
  <c r="M1190" i="3"/>
  <c r="AS1190" i="3"/>
  <c r="G1328" i="3" l="1"/>
  <c r="I1191" i="3"/>
  <c r="AX1190" i="3"/>
  <c r="AZ1190" i="3" s="1"/>
  <c r="C1329" i="3" l="1"/>
  <c r="M1191" i="3"/>
  <c r="AS1191" i="3"/>
  <c r="G1329" i="3" l="1"/>
  <c r="AX1191" i="3"/>
  <c r="AZ1191" i="3" s="1"/>
  <c r="I1192" i="3"/>
  <c r="C1330" i="3" l="1"/>
  <c r="G1330" i="3" s="1"/>
  <c r="AS1192" i="3"/>
  <c r="M1192" i="3"/>
  <c r="C1331" i="3" l="1"/>
  <c r="AX1192" i="3"/>
  <c r="AZ1192" i="3" s="1"/>
  <c r="I1193" i="3"/>
  <c r="G1331" i="3" l="1"/>
  <c r="M1193" i="3"/>
  <c r="AS1193" i="3"/>
  <c r="C1332" i="3" l="1"/>
  <c r="I1194" i="3"/>
  <c r="AX1193" i="3"/>
  <c r="AZ1193" i="3" s="1"/>
  <c r="G1332" i="3" l="1"/>
  <c r="M1194" i="3"/>
  <c r="AS1194" i="3"/>
  <c r="C1333" i="3" l="1"/>
  <c r="AX1194" i="3"/>
  <c r="AZ1194" i="3" s="1"/>
  <c r="I1195" i="3"/>
  <c r="G1333" i="3" l="1"/>
  <c r="M1195" i="3"/>
  <c r="AS1195" i="3"/>
  <c r="C1334" i="3" l="1"/>
  <c r="AX1195" i="3"/>
  <c r="AZ1195" i="3" s="1"/>
  <c r="I1196" i="3"/>
  <c r="G1334" i="3" l="1"/>
  <c r="AS1196" i="3"/>
  <c r="M1196" i="3"/>
  <c r="C1335" i="3" l="1"/>
  <c r="I1197" i="3"/>
  <c r="AX1196" i="3"/>
  <c r="AZ1196" i="3" s="1"/>
  <c r="G1335" i="3" l="1"/>
  <c r="M1197" i="3"/>
  <c r="AS1197" i="3"/>
  <c r="C1336" i="3" l="1"/>
  <c r="I1198" i="3"/>
  <c r="AX1197" i="3"/>
  <c r="AZ1197" i="3" s="1"/>
  <c r="G1336" i="3" l="1"/>
  <c r="AS1198" i="3"/>
  <c r="M1198" i="3"/>
  <c r="C1337" i="3" l="1"/>
  <c r="AX1198" i="3"/>
  <c r="AZ1198" i="3" s="1"/>
  <c r="I1199" i="3"/>
  <c r="G1337" i="3" l="1"/>
  <c r="AS1199" i="3"/>
  <c r="M1199" i="3"/>
  <c r="C1338" i="3" l="1"/>
  <c r="AX1199" i="3"/>
  <c r="AZ1199" i="3" s="1"/>
  <c r="I1200" i="3"/>
  <c r="G1338" i="3" l="1"/>
  <c r="AS1200" i="3"/>
  <c r="M1200" i="3"/>
  <c r="C1339" i="3" l="1"/>
  <c r="AX1200" i="3"/>
  <c r="AZ1200" i="3" s="1"/>
  <c r="I1201" i="3"/>
  <c r="G1339" i="3" l="1"/>
  <c r="M1201" i="3"/>
  <c r="AS1201" i="3"/>
  <c r="C1340" i="3" l="1"/>
  <c r="I1202" i="3"/>
  <c r="AX1201" i="3"/>
  <c r="AZ1201" i="3" s="1"/>
  <c r="G1340" i="3" l="1"/>
  <c r="M1202" i="3"/>
  <c r="AS1202" i="3"/>
  <c r="C1341" i="3" l="1"/>
  <c r="AX1202" i="3"/>
  <c r="AZ1202" i="3" s="1"/>
  <c r="I1203" i="3"/>
  <c r="G1341" i="3" l="1"/>
  <c r="M1203" i="3"/>
  <c r="AS1203" i="3"/>
  <c r="C1342" i="3" l="1"/>
  <c r="AX1203" i="3"/>
  <c r="AZ1203" i="3" s="1"/>
  <c r="I1204" i="3"/>
  <c r="G1342" i="3" l="1"/>
  <c r="AS1204" i="3"/>
  <c r="M1204" i="3"/>
  <c r="C1343" i="3" l="1"/>
  <c r="I1205" i="3"/>
  <c r="AX1204" i="3"/>
  <c r="AZ1204" i="3" s="1"/>
  <c r="G1343" i="3" l="1"/>
  <c r="M1205" i="3"/>
  <c r="AS1205" i="3"/>
  <c r="C1344" i="3" l="1"/>
  <c r="AX1205" i="3"/>
  <c r="AZ1205" i="3" s="1"/>
  <c r="I1206" i="3"/>
  <c r="G1344" i="3" l="1"/>
  <c r="M1206" i="3"/>
  <c r="AS1206" i="3"/>
  <c r="C1345" i="3" l="1"/>
  <c r="I1207" i="3"/>
  <c r="AX1206" i="3"/>
  <c r="AZ1206" i="3" s="1"/>
  <c r="G1345" i="3" l="1"/>
  <c r="AS1207" i="3"/>
  <c r="M1207" i="3"/>
  <c r="C1346" i="3" l="1"/>
  <c r="AX1207" i="3"/>
  <c r="AZ1207" i="3" s="1"/>
  <c r="I1208" i="3"/>
  <c r="G1346" i="3" l="1"/>
  <c r="AS1208" i="3"/>
  <c r="M1208" i="3"/>
  <c r="C1347" i="3" l="1"/>
  <c r="I1209" i="3"/>
  <c r="AX1208" i="3"/>
  <c r="AZ1208" i="3" s="1"/>
  <c r="G1347" i="3" l="1"/>
  <c r="M1209" i="3"/>
  <c r="AS1209" i="3"/>
  <c r="C1348" i="3" l="1"/>
  <c r="AX1209" i="3"/>
  <c r="AZ1209" i="3" s="1"/>
  <c r="I1210" i="3"/>
  <c r="G1348" i="3" l="1"/>
  <c r="M1210" i="3"/>
  <c r="AS1210" i="3"/>
  <c r="C1349" i="3" l="1"/>
  <c r="I1211" i="3"/>
  <c r="AX1210" i="3"/>
  <c r="AZ1210" i="3" s="1"/>
  <c r="G1349" i="3" l="1"/>
  <c r="AS1211" i="3"/>
  <c r="M1211" i="3"/>
  <c r="C1350" i="3" l="1"/>
  <c r="AX1211" i="3"/>
  <c r="AZ1211" i="3" s="1"/>
  <c r="I1212" i="3"/>
  <c r="G1350" i="3" l="1"/>
  <c r="AS1212" i="3"/>
  <c r="M1212" i="3"/>
  <c r="C1351" i="3" l="1"/>
  <c r="I1213" i="3"/>
  <c r="AX1212" i="3"/>
  <c r="AZ1212" i="3" s="1"/>
  <c r="G1351" i="3" l="1"/>
  <c r="M1213" i="3"/>
  <c r="AS1213" i="3"/>
  <c r="C1352" i="3" l="1"/>
  <c r="AX1213" i="3"/>
  <c r="AZ1213" i="3" s="1"/>
  <c r="I1214" i="3"/>
  <c r="G1352" i="3" l="1"/>
  <c r="M1214" i="3"/>
  <c r="AS1214" i="3"/>
  <c r="C1353" i="3" l="1"/>
  <c r="AX1214" i="3"/>
  <c r="AZ1214" i="3" s="1"/>
  <c r="I1215" i="3"/>
  <c r="G1353" i="3" l="1"/>
  <c r="AS1215" i="3"/>
  <c r="M1215" i="3"/>
  <c r="C1354" i="3" l="1"/>
  <c r="AX1215" i="3"/>
  <c r="AZ1215" i="3" s="1"/>
  <c r="I1216" i="3"/>
  <c r="G1354" i="3" l="1"/>
  <c r="AS1216" i="3"/>
  <c r="M1216" i="3"/>
  <c r="C1355" i="3" l="1"/>
  <c r="I1217" i="3"/>
  <c r="AX1216" i="3"/>
  <c r="AZ1216" i="3" s="1"/>
  <c r="G1355" i="3" l="1"/>
  <c r="AS1217" i="3"/>
  <c r="M1217" i="3"/>
  <c r="C1356" i="3" l="1"/>
  <c r="I1218" i="3"/>
  <c r="AX1217" i="3"/>
  <c r="AZ1217" i="3" s="1"/>
  <c r="G1356" i="3" l="1"/>
  <c r="M1218" i="3"/>
  <c r="AS1218" i="3"/>
  <c r="C1357" i="3" l="1"/>
  <c r="I1219" i="3"/>
  <c r="AX1218" i="3"/>
  <c r="AZ1218" i="3" s="1"/>
  <c r="G1357" i="3" l="1"/>
  <c r="AS1219" i="3"/>
  <c r="M1219" i="3"/>
  <c r="C1358" i="3" l="1"/>
  <c r="AX1219" i="3"/>
  <c r="AZ1219" i="3" s="1"/>
  <c r="I1220" i="3"/>
  <c r="G1358" i="3" l="1"/>
  <c r="M1220" i="3"/>
  <c r="AS1220" i="3"/>
  <c r="C1359" i="3" l="1"/>
  <c r="AX1220" i="3"/>
  <c r="AZ1220" i="3" s="1"/>
  <c r="I1221" i="3"/>
  <c r="G1359" i="3" l="1"/>
  <c r="AS1221" i="3"/>
  <c r="M1221" i="3"/>
  <c r="C1360" i="3" l="1"/>
  <c r="AX1221" i="3"/>
  <c r="AZ1221" i="3" s="1"/>
  <c r="I1222" i="3"/>
  <c r="G1360" i="3" l="1"/>
  <c r="M1222" i="3"/>
  <c r="AS1222" i="3"/>
  <c r="C1361" i="3" l="1"/>
  <c r="I1223" i="3"/>
  <c r="AX1222" i="3"/>
  <c r="AZ1222" i="3" s="1"/>
  <c r="G1361" i="3" l="1"/>
  <c r="M1223" i="3"/>
  <c r="AS1223" i="3"/>
  <c r="C1362" i="3" l="1"/>
  <c r="AX1223" i="3"/>
  <c r="AZ1223" i="3" s="1"/>
  <c r="I1224" i="3"/>
  <c r="G1362" i="3" l="1"/>
  <c r="AS1224" i="3"/>
  <c r="M1224" i="3"/>
  <c r="C1363" i="3" l="1"/>
  <c r="AX1224" i="3"/>
  <c r="AZ1224" i="3" s="1"/>
  <c r="I1225" i="3"/>
  <c r="G1363" i="3" l="1"/>
  <c r="M1225" i="3"/>
  <c r="AS1225" i="3"/>
  <c r="C1364" i="3" l="1"/>
  <c r="AX1225" i="3"/>
  <c r="AZ1225" i="3" s="1"/>
  <c r="I1226" i="3"/>
  <c r="G1364" i="3" l="1"/>
  <c r="M1226" i="3"/>
  <c r="AS1226" i="3"/>
  <c r="C1365" i="3" l="1"/>
  <c r="I1227" i="3"/>
  <c r="AX1226" i="3"/>
  <c r="AZ1226" i="3" s="1"/>
  <c r="G1365" i="3" l="1"/>
  <c r="M1227" i="3"/>
  <c r="AS1227" i="3"/>
  <c r="C1366" i="3" l="1"/>
  <c r="I1228" i="3"/>
  <c r="AX1227" i="3"/>
  <c r="AZ1227" i="3" s="1"/>
  <c r="G1366" i="3" l="1"/>
  <c r="AS1228" i="3"/>
  <c r="M1228" i="3"/>
  <c r="C1367" i="3" l="1"/>
  <c r="I1229" i="3"/>
  <c r="AX1228" i="3"/>
  <c r="AZ1228" i="3" s="1"/>
  <c r="G1367" i="3" l="1"/>
  <c r="AS1229" i="3"/>
  <c r="M1229" i="3"/>
  <c r="C1368" i="3" l="1"/>
  <c r="I1230" i="3"/>
  <c r="AX1229" i="3"/>
  <c r="AZ1229" i="3" s="1"/>
  <c r="G1368" i="3" l="1"/>
  <c r="M1230" i="3"/>
  <c r="AS1230" i="3"/>
  <c r="C1369" i="3" l="1"/>
  <c r="I1231" i="3"/>
  <c r="AX1230" i="3"/>
  <c r="AZ1230" i="3" s="1"/>
  <c r="G1369" i="3" l="1"/>
  <c r="AS1231" i="3"/>
  <c r="M1231" i="3"/>
  <c r="C1370" i="3" l="1"/>
  <c r="AX1231" i="3"/>
  <c r="AZ1231" i="3" s="1"/>
  <c r="I1232" i="3"/>
  <c r="G1370" i="3" l="1"/>
  <c r="M1232" i="3"/>
  <c r="AS1232" i="3"/>
  <c r="C1371" i="3" l="1"/>
  <c r="AX1232" i="3"/>
  <c r="AZ1232" i="3" s="1"/>
  <c r="I1233" i="3"/>
  <c r="G1371" i="3" l="1"/>
  <c r="AS1233" i="3"/>
  <c r="M1233" i="3"/>
  <c r="C1372" i="3" l="1"/>
  <c r="AX1233" i="3"/>
  <c r="AZ1233" i="3" s="1"/>
  <c r="I1234" i="3"/>
  <c r="G1372" i="3" l="1"/>
  <c r="M1234" i="3"/>
  <c r="AS1234" i="3"/>
  <c r="C1373" i="3" l="1"/>
  <c r="I1235" i="3"/>
  <c r="AX1234" i="3"/>
  <c r="AZ1234" i="3" s="1"/>
  <c r="G1373" i="3" l="1"/>
  <c r="AS1235" i="3"/>
  <c r="M1235" i="3"/>
  <c r="C1374" i="3" l="1"/>
  <c r="AX1235" i="3"/>
  <c r="AZ1235" i="3" s="1"/>
  <c r="I1236" i="3"/>
  <c r="G1374" i="3" l="1"/>
  <c r="AS1236" i="3"/>
  <c r="M1236" i="3"/>
  <c r="C1375" i="3" l="1"/>
  <c r="I1237" i="3"/>
  <c r="AX1236" i="3"/>
  <c r="AZ1236" i="3" s="1"/>
  <c r="G1375" i="3" l="1"/>
  <c r="AS1237" i="3"/>
  <c r="M1237" i="3"/>
  <c r="C1376" i="3" l="1"/>
  <c r="AX1237" i="3"/>
  <c r="AZ1237" i="3" s="1"/>
  <c r="I1238" i="3"/>
  <c r="G1376" i="3" l="1"/>
  <c r="AS1238" i="3"/>
  <c r="M1238" i="3"/>
  <c r="C1377" i="3" l="1"/>
  <c r="I1239" i="3"/>
  <c r="AX1238" i="3"/>
  <c r="AZ1238" i="3" s="1"/>
  <c r="G1377" i="3" l="1"/>
  <c r="AS1239" i="3"/>
  <c r="M1239" i="3"/>
  <c r="C1378" i="3" l="1"/>
  <c r="I1240" i="3"/>
  <c r="AX1239" i="3"/>
  <c r="AZ1239" i="3" s="1"/>
  <c r="G1378" i="3" l="1"/>
  <c r="AS1240" i="3"/>
  <c r="M1240" i="3"/>
  <c r="C1379" i="3" l="1"/>
  <c r="AX1240" i="3"/>
  <c r="AZ1240" i="3" s="1"/>
  <c r="I1241" i="3"/>
  <c r="G1379" i="3" l="1"/>
  <c r="AS1241" i="3"/>
  <c r="M1241" i="3"/>
  <c r="C1380" i="3" l="1"/>
  <c r="AX1241" i="3"/>
  <c r="AZ1241" i="3" s="1"/>
  <c r="I1242" i="3"/>
  <c r="G1380" i="3" l="1"/>
  <c r="M1242" i="3"/>
  <c r="AS1242" i="3"/>
  <c r="C1381" i="3" l="1"/>
  <c r="I1243" i="3"/>
  <c r="AX1242" i="3"/>
  <c r="AZ1242" i="3" s="1"/>
  <c r="G1381" i="3" l="1"/>
  <c r="AS1243" i="3"/>
  <c r="M1243" i="3"/>
  <c r="C1382" i="3" l="1"/>
  <c r="I1244" i="3"/>
  <c r="AX1243" i="3"/>
  <c r="AZ1243" i="3" s="1"/>
  <c r="G1382" i="3" l="1"/>
  <c r="AS1244" i="3"/>
  <c r="M1244" i="3"/>
  <c r="C1383" i="3" l="1"/>
  <c r="AX1244" i="3"/>
  <c r="AZ1244" i="3" s="1"/>
  <c r="I1245" i="3"/>
  <c r="G1383" i="3" l="1"/>
  <c r="AS1245" i="3"/>
  <c r="M1245" i="3"/>
  <c r="C1384" i="3" l="1"/>
  <c r="AX1245" i="3"/>
  <c r="AZ1245" i="3" s="1"/>
  <c r="I1246" i="3"/>
  <c r="G1384" i="3" l="1"/>
  <c r="AS1246" i="3"/>
  <c r="M1246" i="3"/>
  <c r="C1385" i="3" l="1"/>
  <c r="AX1246" i="3"/>
  <c r="AZ1246" i="3" s="1"/>
  <c r="I1247" i="3"/>
  <c r="G1385" i="3" l="1"/>
  <c r="M1247" i="3"/>
  <c r="AS1247" i="3"/>
  <c r="C1386" i="3" l="1"/>
  <c r="I1248" i="3"/>
  <c r="AX1247" i="3"/>
  <c r="AZ1247" i="3" s="1"/>
  <c r="G1386" i="3" l="1"/>
  <c r="M1248" i="3"/>
  <c r="AS1248" i="3"/>
  <c r="C1387" i="3" l="1"/>
  <c r="AX1248" i="3"/>
  <c r="AZ1248" i="3" s="1"/>
  <c r="I1249" i="3"/>
  <c r="G1387" i="3" l="1"/>
  <c r="M1249" i="3"/>
  <c r="AS1249" i="3"/>
  <c r="C1388" i="3" l="1"/>
  <c r="I1250" i="3"/>
  <c r="AX1249" i="3"/>
  <c r="AZ1249" i="3" s="1"/>
  <c r="G1388" i="3" l="1"/>
  <c r="M1250" i="3"/>
  <c r="AS1250" i="3"/>
  <c r="C1389" i="3" l="1"/>
  <c r="I1251" i="3"/>
  <c r="AX1250" i="3"/>
  <c r="AZ1250" i="3" s="1"/>
  <c r="G1389" i="3" l="1"/>
  <c r="AS1251" i="3"/>
  <c r="M1251" i="3"/>
  <c r="C1390" i="3" l="1"/>
  <c r="AX1251" i="3"/>
  <c r="AZ1251" i="3" s="1"/>
  <c r="I1252" i="3"/>
  <c r="G1390" i="3" l="1"/>
  <c r="AS1252" i="3"/>
  <c r="M1252" i="3"/>
  <c r="C1391" i="3" l="1"/>
  <c r="I1253" i="3"/>
  <c r="AX1252" i="3"/>
  <c r="AZ1252" i="3" s="1"/>
  <c r="G1391" i="3" l="1"/>
  <c r="M1253" i="3"/>
  <c r="AS1253" i="3"/>
  <c r="C1392" i="3" l="1"/>
  <c r="I1254" i="3"/>
  <c r="AX1253" i="3"/>
  <c r="AZ1253" i="3" s="1"/>
  <c r="G1392" i="3" l="1"/>
  <c r="M1254" i="3"/>
  <c r="AS1254" i="3"/>
  <c r="C1393" i="3" l="1"/>
  <c r="AX1254" i="3"/>
  <c r="AZ1254" i="3" s="1"/>
  <c r="I1255" i="3"/>
  <c r="G1393" i="3" l="1"/>
  <c r="AS1255" i="3"/>
  <c r="M1255" i="3"/>
  <c r="C1394" i="3" l="1"/>
  <c r="AX1255" i="3"/>
  <c r="AZ1255" i="3" s="1"/>
  <c r="I1256" i="3"/>
  <c r="G1394" i="3" l="1"/>
  <c r="AS1256" i="3"/>
  <c r="M1256" i="3"/>
  <c r="C1395" i="3" l="1"/>
  <c r="AX1256" i="3"/>
  <c r="AZ1256" i="3" s="1"/>
  <c r="I1257" i="3"/>
  <c r="G1395" i="3" l="1"/>
  <c r="M1257" i="3"/>
  <c r="AS1257" i="3"/>
  <c r="C1396" i="3" l="1"/>
  <c r="I1258" i="3"/>
  <c r="AX1257" i="3"/>
  <c r="AZ1257" i="3" s="1"/>
  <c r="G1396" i="3" l="1"/>
  <c r="M1258" i="3"/>
  <c r="AS1258" i="3"/>
  <c r="C1397" i="3" l="1"/>
  <c r="I1259" i="3"/>
  <c r="AX1258" i="3"/>
  <c r="AZ1258" i="3" s="1"/>
  <c r="G1397" i="3" l="1"/>
  <c r="M1259" i="3"/>
  <c r="AS1259" i="3"/>
  <c r="C1398" i="3" l="1"/>
  <c r="I1260" i="3"/>
  <c r="AX1259" i="3"/>
  <c r="AZ1259" i="3" s="1"/>
  <c r="G1398" i="3" l="1"/>
  <c r="M1260" i="3"/>
  <c r="AS1260" i="3"/>
  <c r="C1399" i="3" l="1"/>
  <c r="I1261" i="3"/>
  <c r="AX1260" i="3"/>
  <c r="AZ1260" i="3" s="1"/>
  <c r="G1399" i="3" l="1"/>
  <c r="M1261" i="3"/>
  <c r="AS1261" i="3"/>
  <c r="C1400" i="3" l="1"/>
  <c r="I1262" i="3"/>
  <c r="AX1261" i="3"/>
  <c r="AZ1261" i="3" s="1"/>
  <c r="G1400" i="3" l="1"/>
  <c r="M1262" i="3"/>
  <c r="AS1262" i="3"/>
  <c r="C1401" i="3" l="1"/>
  <c r="I1263" i="3"/>
  <c r="AX1262" i="3"/>
  <c r="AZ1262" i="3" s="1"/>
  <c r="G1401" i="3" l="1"/>
  <c r="M1263" i="3"/>
  <c r="AS1263" i="3"/>
  <c r="C1402" i="3" l="1"/>
  <c r="I1264" i="3"/>
  <c r="AX1263" i="3"/>
  <c r="AZ1263" i="3" s="1"/>
  <c r="G1402" i="3" l="1"/>
  <c r="M1264" i="3"/>
  <c r="AS1264" i="3"/>
  <c r="C1403" i="3" l="1"/>
  <c r="I1265" i="3"/>
  <c r="AX1264" i="3"/>
  <c r="AZ1264" i="3" s="1"/>
  <c r="G1403" i="3" l="1"/>
  <c r="M1265" i="3"/>
  <c r="AS1265" i="3"/>
  <c r="C1404" i="3" l="1"/>
  <c r="I1266" i="3"/>
  <c r="AX1265" i="3"/>
  <c r="AZ1265" i="3" s="1"/>
  <c r="G1404" i="3" l="1"/>
  <c r="M1266" i="3"/>
  <c r="AS1266" i="3"/>
  <c r="C1405" i="3" l="1"/>
  <c r="I1267" i="3"/>
  <c r="AX1266" i="3"/>
  <c r="AZ1266" i="3" s="1"/>
  <c r="G1405" i="3" l="1"/>
  <c r="M1267" i="3"/>
  <c r="AS1267" i="3"/>
  <c r="C1406" i="3" l="1"/>
  <c r="I1268" i="3"/>
  <c r="AX1267" i="3"/>
  <c r="AZ1267" i="3" s="1"/>
  <c r="G1406" i="3" l="1"/>
  <c r="M1268" i="3"/>
  <c r="AS1268" i="3"/>
  <c r="C1407" i="3" l="1"/>
  <c r="I1269" i="3"/>
  <c r="AX1268" i="3"/>
  <c r="AZ1268" i="3" s="1"/>
  <c r="G1407" i="3" l="1"/>
  <c r="M1269" i="3"/>
  <c r="AS1269" i="3"/>
  <c r="C1408" i="3" l="1"/>
  <c r="I1270" i="3"/>
  <c r="AX1269" i="3"/>
  <c r="AZ1269" i="3" s="1"/>
  <c r="G1408" i="3" l="1"/>
  <c r="M1270" i="3"/>
  <c r="AS1270" i="3"/>
  <c r="C1409" i="3" l="1"/>
  <c r="I1271" i="3"/>
  <c r="AX1270" i="3"/>
  <c r="AZ1270" i="3" s="1"/>
  <c r="G1409" i="3" l="1"/>
  <c r="M1271" i="3"/>
  <c r="AS1271" i="3"/>
  <c r="C1410" i="3" l="1"/>
  <c r="I1272" i="3"/>
  <c r="AX1271" i="3"/>
  <c r="AZ1271" i="3" s="1"/>
  <c r="G1410" i="3" l="1"/>
  <c r="M1272" i="3"/>
  <c r="AS1272" i="3"/>
  <c r="C1411" i="3" l="1"/>
  <c r="I1273" i="3"/>
  <c r="AX1272" i="3"/>
  <c r="AZ1272" i="3" s="1"/>
  <c r="G1411" i="3" l="1"/>
  <c r="M1273" i="3"/>
  <c r="AS1273" i="3"/>
  <c r="C1412" i="3" l="1"/>
  <c r="I1274" i="3"/>
  <c r="AX1273" i="3"/>
  <c r="AZ1273" i="3" s="1"/>
  <c r="G1412" i="3" l="1"/>
  <c r="M1274" i="3"/>
  <c r="AS1274" i="3"/>
  <c r="C1413" i="3" l="1"/>
  <c r="I1275" i="3"/>
  <c r="AX1274" i="3"/>
  <c r="AZ1274" i="3" s="1"/>
  <c r="G1413" i="3" l="1"/>
  <c r="M1275" i="3"/>
  <c r="AS1275" i="3"/>
  <c r="C1414" i="3" l="1"/>
  <c r="I1276" i="3"/>
  <c r="AX1275" i="3"/>
  <c r="AZ1275" i="3" s="1"/>
  <c r="G1414" i="3" l="1"/>
  <c r="M1276" i="3"/>
  <c r="AS1276" i="3"/>
  <c r="C1415" i="3" l="1"/>
  <c r="I1277" i="3"/>
  <c r="AX1276" i="3"/>
  <c r="AZ1276" i="3" s="1"/>
  <c r="G1415" i="3" l="1"/>
  <c r="M1277" i="3"/>
  <c r="AS1277" i="3"/>
  <c r="C1416" i="3" l="1"/>
  <c r="I1278" i="3"/>
  <c r="AX1277" i="3"/>
  <c r="AZ1277" i="3" s="1"/>
  <c r="G1416" i="3" l="1"/>
  <c r="M1278" i="3"/>
  <c r="AS1278" i="3"/>
  <c r="C1417" i="3" l="1"/>
  <c r="I1279" i="3"/>
  <c r="AX1278" i="3"/>
  <c r="AZ1278" i="3" s="1"/>
  <c r="G1417" i="3" l="1"/>
  <c r="M1279" i="3"/>
  <c r="AS1279" i="3"/>
  <c r="C1418" i="3" l="1"/>
  <c r="I1280" i="3"/>
  <c r="AX1279" i="3"/>
  <c r="AZ1279" i="3" s="1"/>
  <c r="G1418" i="3" l="1"/>
  <c r="M1280" i="3"/>
  <c r="AS1280" i="3"/>
  <c r="C1419" i="3" l="1"/>
  <c r="I1281" i="3"/>
  <c r="AX1280" i="3"/>
  <c r="AZ1280" i="3" s="1"/>
  <c r="G1419" i="3" l="1"/>
  <c r="M1281" i="3"/>
  <c r="AS1281" i="3"/>
  <c r="C1420" i="3" l="1"/>
  <c r="I1282" i="3"/>
  <c r="AX1281" i="3"/>
  <c r="AZ1281" i="3" s="1"/>
  <c r="G1420" i="3" l="1"/>
  <c r="M1282" i="3"/>
  <c r="AS1282" i="3"/>
  <c r="C1421" i="3" l="1"/>
  <c r="I1283" i="3"/>
  <c r="AX1282" i="3"/>
  <c r="AZ1282" i="3" s="1"/>
  <c r="G1421" i="3" l="1"/>
  <c r="M1283" i="3"/>
  <c r="AS1283" i="3"/>
  <c r="C1422" i="3" l="1"/>
  <c r="I1284" i="3"/>
  <c r="AX1283" i="3"/>
  <c r="AZ1283" i="3" s="1"/>
  <c r="G1422" i="3" l="1"/>
  <c r="M1284" i="3"/>
  <c r="AS1284" i="3"/>
  <c r="C1423" i="3" l="1"/>
  <c r="I1285" i="3"/>
  <c r="AX1284" i="3"/>
  <c r="AZ1284" i="3" s="1"/>
  <c r="G1423" i="3" l="1"/>
  <c r="M1285" i="3"/>
  <c r="AS1285" i="3"/>
  <c r="C1424" i="3" l="1"/>
  <c r="I1286" i="3"/>
  <c r="AX1285" i="3"/>
  <c r="AZ1285" i="3" s="1"/>
  <c r="G1424" i="3" l="1"/>
  <c r="M1286" i="3"/>
  <c r="AS1286" i="3"/>
  <c r="C1425" i="3" l="1"/>
  <c r="I1287" i="3"/>
  <c r="AX1286" i="3"/>
  <c r="AZ1286" i="3" s="1"/>
  <c r="G1425" i="3" l="1"/>
  <c r="M1287" i="3"/>
  <c r="AS1287" i="3"/>
  <c r="C1426" i="3" l="1"/>
  <c r="I1288" i="3"/>
  <c r="AX1287" i="3"/>
  <c r="AZ1287" i="3" s="1"/>
  <c r="G1426" i="3" l="1"/>
  <c r="M1288" i="3"/>
  <c r="AS1288" i="3"/>
  <c r="C1427" i="3" l="1"/>
  <c r="I1289" i="3"/>
  <c r="AX1288" i="3"/>
  <c r="AZ1288" i="3" s="1"/>
  <c r="G1427" i="3" l="1"/>
  <c r="M1289" i="3"/>
  <c r="AS1289" i="3"/>
  <c r="C1428" i="3" l="1"/>
  <c r="I1290" i="3"/>
  <c r="AX1289" i="3"/>
  <c r="AZ1289" i="3" s="1"/>
  <c r="G1428" i="3" l="1"/>
  <c r="M1290" i="3"/>
  <c r="AS1290" i="3"/>
  <c r="C1429" i="3" l="1"/>
  <c r="I1291" i="3"/>
  <c r="AX1290" i="3"/>
  <c r="AZ1290" i="3" s="1"/>
  <c r="G1429" i="3" l="1"/>
  <c r="M1291" i="3"/>
  <c r="AS1291" i="3"/>
  <c r="C1430" i="3" l="1"/>
  <c r="I1292" i="3"/>
  <c r="AX1291" i="3"/>
  <c r="AZ1291" i="3" s="1"/>
  <c r="M1292" i="3" l="1"/>
  <c r="AS1292" i="3"/>
  <c r="C1431" i="3" l="1"/>
  <c r="I1293" i="3"/>
  <c r="AX1292" i="3"/>
  <c r="AZ1292" i="3" s="1"/>
  <c r="G1431" i="3" l="1"/>
  <c r="M1293" i="3"/>
  <c r="AS1293" i="3"/>
  <c r="C1432" i="3" l="1"/>
  <c r="I1294" i="3"/>
  <c r="AX1293" i="3"/>
  <c r="AZ1293" i="3" s="1"/>
  <c r="G1432" i="3" l="1"/>
  <c r="M1294" i="3"/>
  <c r="AS1294" i="3"/>
  <c r="C1433" i="3" l="1"/>
  <c r="I1295" i="3"/>
  <c r="AX1294" i="3"/>
  <c r="AZ1294" i="3" s="1"/>
  <c r="G1433" i="3" l="1"/>
  <c r="C1434" i="3" s="1"/>
  <c r="M1295" i="3"/>
  <c r="AS1295" i="3"/>
  <c r="G1434" i="3" l="1"/>
  <c r="I1296" i="3"/>
  <c r="AX1295" i="3"/>
  <c r="AZ1295" i="3" s="1"/>
  <c r="C1435" i="3" l="1"/>
  <c r="M1296" i="3"/>
  <c r="AS1296" i="3"/>
  <c r="G1435" i="3" l="1"/>
  <c r="I1297" i="3"/>
  <c r="AX1296" i="3"/>
  <c r="AZ1296" i="3" s="1"/>
  <c r="C1436" i="3" l="1"/>
  <c r="M1297" i="3"/>
  <c r="AS1297" i="3"/>
  <c r="G1436" i="3" l="1"/>
  <c r="I1298" i="3"/>
  <c r="AX1297" i="3"/>
  <c r="AZ1297" i="3" s="1"/>
  <c r="C1437" i="3" l="1"/>
  <c r="M1298" i="3"/>
  <c r="AS1298" i="3"/>
  <c r="G1437" i="3" l="1"/>
  <c r="I1299" i="3"/>
  <c r="AX1298" i="3"/>
  <c r="AZ1298" i="3" s="1"/>
  <c r="M1299" i="3" l="1"/>
  <c r="AS1299" i="3"/>
  <c r="C1438" i="3" l="1"/>
  <c r="I1300" i="3"/>
  <c r="AX1299" i="3"/>
  <c r="AZ1299" i="3" s="1"/>
  <c r="G1438" i="3" l="1"/>
  <c r="C1439" i="3" s="1"/>
  <c r="M1300" i="3"/>
  <c r="AS1300" i="3"/>
  <c r="G1439" i="3" l="1"/>
  <c r="I1301" i="3"/>
  <c r="AX1300" i="3"/>
  <c r="AZ1300" i="3" s="1"/>
  <c r="C1440" i="3" l="1"/>
  <c r="M1301" i="3"/>
  <c r="AS1301" i="3"/>
  <c r="G1440" i="3" l="1"/>
  <c r="C1441" i="3" s="1"/>
  <c r="I1302" i="3"/>
  <c r="AX1301" i="3"/>
  <c r="AZ1301" i="3" s="1"/>
  <c r="G1441" i="3" l="1"/>
  <c r="M1302" i="3"/>
  <c r="AS1302" i="3"/>
  <c r="C1442" i="3" l="1"/>
  <c r="I1303" i="3"/>
  <c r="AX1302" i="3"/>
  <c r="AZ1302" i="3" s="1"/>
  <c r="G1442" i="3" l="1"/>
  <c r="M1303" i="3"/>
  <c r="AS1303" i="3"/>
  <c r="C1443" i="3" l="1"/>
  <c r="I1304" i="3"/>
  <c r="AX1303" i="3"/>
  <c r="AZ1303" i="3" s="1"/>
  <c r="G1443" i="3" l="1"/>
  <c r="M1304" i="3"/>
  <c r="AS1304" i="3"/>
  <c r="C1444" i="3" l="1"/>
  <c r="I1305" i="3"/>
  <c r="AX1304" i="3"/>
  <c r="AZ1304" i="3" s="1"/>
  <c r="G1444" i="3" l="1"/>
  <c r="M1305" i="3"/>
  <c r="AX1305" i="3" s="1"/>
  <c r="AS1305" i="3"/>
  <c r="C1445" i="3" l="1"/>
  <c r="I1306" i="3"/>
  <c r="AZ1305" i="3"/>
  <c r="G1445" i="3" l="1"/>
  <c r="M1306" i="3"/>
  <c r="AX1306" i="3" s="1"/>
  <c r="AS1306" i="3"/>
  <c r="C1446" i="3" l="1"/>
  <c r="I1307" i="3"/>
  <c r="AZ1306" i="3"/>
  <c r="G1446" i="3" l="1"/>
  <c r="C1447" i="3" s="1"/>
  <c r="M1307" i="3"/>
  <c r="AX1307" i="3" s="1"/>
  <c r="AS1307" i="3"/>
  <c r="G1447" i="3" l="1"/>
  <c r="I1308" i="3"/>
  <c r="AZ1307" i="3"/>
  <c r="C1448" i="3" l="1"/>
  <c r="M1308" i="3"/>
  <c r="AX1308" i="3" s="1"/>
  <c r="AS1308" i="3"/>
  <c r="G1448" i="3" l="1"/>
  <c r="I1309" i="3"/>
  <c r="AZ1308" i="3"/>
  <c r="C1449" i="3" l="1"/>
  <c r="M1309" i="3"/>
  <c r="AX1309" i="3" s="1"/>
  <c r="AS1309" i="3"/>
  <c r="G1449" i="3" l="1"/>
  <c r="C1450" i="3" s="1"/>
  <c r="I1310" i="3"/>
  <c r="AZ1309" i="3"/>
  <c r="G1450" i="3" l="1"/>
  <c r="M1310" i="3"/>
  <c r="AX1310" i="3" s="1"/>
  <c r="AS1310" i="3"/>
  <c r="C1451" i="3" l="1"/>
  <c r="I1311" i="3"/>
  <c r="AZ1310" i="3"/>
  <c r="G1451" i="3" l="1"/>
  <c r="M1311" i="3"/>
  <c r="AX1311" i="3" s="1"/>
  <c r="AS1311" i="3"/>
  <c r="C1452" i="3" l="1"/>
  <c r="I1312" i="3"/>
  <c r="AZ1311" i="3"/>
  <c r="G1452" i="3" l="1"/>
  <c r="M1312" i="3"/>
  <c r="AX1312" i="3" s="1"/>
  <c r="AS1312" i="3"/>
  <c r="C1453" i="3" l="1"/>
  <c r="I1313" i="3"/>
  <c r="AZ1312" i="3"/>
  <c r="G1453" i="3" l="1"/>
  <c r="M1313" i="3"/>
  <c r="AX1313" i="3" s="1"/>
  <c r="AS1313" i="3"/>
  <c r="C1454" i="3" l="1"/>
  <c r="I1314" i="3"/>
  <c r="AZ1313" i="3"/>
  <c r="G1454" i="3" l="1"/>
  <c r="C1455" i="3" s="1"/>
  <c r="M1314" i="3"/>
  <c r="AX1314" i="3" s="1"/>
  <c r="AS1314" i="3"/>
  <c r="G1455" i="3" l="1"/>
  <c r="I1315" i="3"/>
  <c r="AZ1314" i="3"/>
  <c r="C1456" i="3" l="1"/>
  <c r="G1456" i="3" s="1"/>
  <c r="M1315" i="3"/>
  <c r="AX1315" i="3" s="1"/>
  <c r="AS1315" i="3"/>
  <c r="C1457" i="3" l="1"/>
  <c r="I1316" i="3"/>
  <c r="AZ1315" i="3"/>
  <c r="G1457" i="3" l="1"/>
  <c r="M1316" i="3"/>
  <c r="AX1316" i="3" s="1"/>
  <c r="AS1316" i="3"/>
  <c r="I1317" i="3" l="1"/>
  <c r="AZ1316" i="3"/>
  <c r="M1317" i="3" l="1"/>
  <c r="AX1317" i="3" s="1"/>
  <c r="AS1317" i="3"/>
  <c r="I1318" i="3" l="1"/>
  <c r="AZ1317" i="3"/>
  <c r="M1318" i="3" l="1"/>
  <c r="AX1318" i="3" s="1"/>
  <c r="AS1318" i="3"/>
  <c r="I1319" i="3" l="1"/>
  <c r="AZ1318" i="3"/>
  <c r="M1319" i="3" l="1"/>
  <c r="AX1319" i="3" s="1"/>
  <c r="AS1319" i="3"/>
  <c r="I1320" i="3" l="1"/>
  <c r="AZ1319" i="3"/>
  <c r="M1320" i="3" l="1"/>
  <c r="AX1320" i="3" s="1"/>
  <c r="AS1320" i="3"/>
  <c r="I1321" i="3" l="1"/>
  <c r="AZ1320" i="3"/>
  <c r="M1321" i="3" l="1"/>
  <c r="AX1321" i="3" s="1"/>
  <c r="AS1321" i="3"/>
  <c r="I1322" i="3" l="1"/>
  <c r="AZ1321" i="3"/>
  <c r="M1322" i="3" l="1"/>
  <c r="AX1322" i="3" s="1"/>
  <c r="AS1322" i="3"/>
  <c r="I1323" i="3" l="1"/>
  <c r="AZ1322" i="3"/>
  <c r="M1323" i="3" l="1"/>
  <c r="AX1323" i="3" s="1"/>
  <c r="AS1323" i="3"/>
  <c r="I1324" i="3" l="1"/>
  <c r="AZ1323" i="3"/>
  <c r="M1324" i="3" l="1"/>
  <c r="AX1324" i="3" s="1"/>
  <c r="AS1324" i="3"/>
  <c r="I1325" i="3" l="1"/>
  <c r="AS1325" i="3" s="1"/>
  <c r="AZ1324" i="3"/>
  <c r="M1325" i="3" l="1"/>
  <c r="AX1325" i="3" s="1"/>
  <c r="I1326" i="3" l="1"/>
  <c r="AS1326" i="3" s="1"/>
  <c r="AZ1325" i="3"/>
  <c r="M1326" i="3" l="1"/>
  <c r="AX1326" i="3" s="1"/>
  <c r="I1327" i="3" l="1"/>
  <c r="AS1327" i="3" s="1"/>
  <c r="AZ1326" i="3"/>
  <c r="M1327" i="3" l="1"/>
  <c r="AX1327" i="3" l="1"/>
  <c r="AZ1327" i="3" s="1"/>
  <c r="I1328" i="3"/>
  <c r="AS1328" i="3" s="1"/>
  <c r="M1328" i="3" l="1"/>
  <c r="AX1328" i="3" s="1"/>
  <c r="I1329" i="3" l="1"/>
  <c r="AS1329" i="3" s="1"/>
  <c r="AZ1328" i="3"/>
  <c r="M1329" i="3" l="1"/>
  <c r="D15" i="9"/>
  <c r="AX1329" i="3" l="1"/>
  <c r="AZ1329" i="3" s="1"/>
  <c r="C1468" i="3"/>
  <c r="I1330" i="3"/>
  <c r="AS1330" i="3" s="1"/>
  <c r="M1330" i="3" l="1"/>
  <c r="G1468" i="3"/>
  <c r="AX1330" i="3" l="1"/>
  <c r="AZ1330" i="3" s="1"/>
  <c r="C1469" i="3"/>
  <c r="I1331" i="3"/>
  <c r="AS1331" i="3" s="1"/>
  <c r="G1469" i="3" l="1"/>
  <c r="M1331" i="3"/>
  <c r="AX1331" i="3" l="1"/>
  <c r="I1332" i="3"/>
  <c r="AS1332" i="3" s="1"/>
  <c r="AZ1331" i="3"/>
  <c r="C1470" i="3"/>
  <c r="G1470" i="3" l="1"/>
  <c r="M1332" i="3"/>
  <c r="AX1332" i="3" l="1"/>
  <c r="C1471" i="3"/>
  <c r="I1333" i="3"/>
  <c r="AS1333" i="3" s="1"/>
  <c r="AZ1332" i="3"/>
  <c r="M1333" i="3" l="1"/>
  <c r="G1471" i="3"/>
  <c r="AX1333" i="3" l="1"/>
  <c r="AZ1333" i="3" s="1"/>
  <c r="C1472" i="3"/>
  <c r="I1334" i="3"/>
  <c r="AS1334" i="3" s="1"/>
  <c r="M1334" i="3" l="1"/>
  <c r="G1472" i="3"/>
  <c r="AX1334" i="3" l="1"/>
  <c r="AZ1334" i="3" s="1"/>
  <c r="C1473" i="3"/>
  <c r="I1335" i="3"/>
  <c r="AS1335" i="3" s="1"/>
  <c r="M1335" i="3" l="1"/>
  <c r="G1473" i="3"/>
  <c r="AX1335" i="3" l="1"/>
  <c r="AZ1335" i="3" s="1"/>
  <c r="C1474" i="3"/>
  <c r="I1336" i="3"/>
  <c r="AS1336" i="3" s="1"/>
  <c r="M1336" i="3" l="1"/>
  <c r="G1474" i="3"/>
  <c r="AX1336" i="3" l="1"/>
  <c r="AZ1336" i="3" s="1"/>
  <c r="C1475" i="3"/>
  <c r="I1337" i="3"/>
  <c r="AS1337" i="3" s="1"/>
  <c r="G1475" i="3" l="1"/>
  <c r="M1337" i="3"/>
  <c r="AX1337" i="3" l="1"/>
  <c r="I1338" i="3"/>
  <c r="AS1338" i="3" s="1"/>
  <c r="AZ1337" i="3"/>
  <c r="C1476" i="3"/>
  <c r="G1476" i="3" l="1"/>
  <c r="M1338" i="3"/>
  <c r="AX1338" i="3" l="1"/>
  <c r="AZ1338" i="3" s="1"/>
  <c r="I1339" i="3"/>
  <c r="AS1339" i="3" s="1"/>
  <c r="C1477" i="3"/>
  <c r="G1477" i="3" l="1"/>
  <c r="M1339" i="3"/>
  <c r="AX1339" i="3" l="1"/>
  <c r="C1478" i="3"/>
  <c r="I1340" i="3"/>
  <c r="AS1340" i="3" s="1"/>
  <c r="AZ1339" i="3"/>
  <c r="M1340" i="3" l="1"/>
  <c r="G1478" i="3"/>
  <c r="AX1340" i="3" l="1"/>
  <c r="C1479" i="3"/>
  <c r="I1341" i="3"/>
  <c r="AS1341" i="3" s="1"/>
  <c r="AZ1340" i="3"/>
  <c r="M1341" i="3" l="1"/>
  <c r="G1479" i="3"/>
  <c r="AX1341" i="3" l="1"/>
  <c r="AZ1341" i="3" s="1"/>
  <c r="C1480" i="3"/>
  <c r="I1342" i="3"/>
  <c r="AS1342" i="3" s="1"/>
  <c r="M1342" i="3" l="1"/>
  <c r="G1480" i="3"/>
  <c r="AX1342" i="3" l="1"/>
  <c r="AZ1342" i="3" s="1"/>
  <c r="C1481" i="3"/>
  <c r="I1343" i="3"/>
  <c r="AS1343" i="3" s="1"/>
  <c r="M1343" i="3" l="1"/>
  <c r="G1481" i="3"/>
  <c r="AX1343" i="3" l="1"/>
  <c r="C1482" i="3"/>
  <c r="I1344" i="3"/>
  <c r="AS1344" i="3" s="1"/>
  <c r="AZ1343" i="3"/>
  <c r="M1344" i="3" l="1"/>
  <c r="G1482" i="3"/>
  <c r="AX1344" i="3" l="1"/>
  <c r="AZ1344" i="3" s="1"/>
  <c r="C1483" i="3"/>
  <c r="I1345" i="3"/>
  <c r="AS1345" i="3" s="1"/>
  <c r="M1345" i="3" l="1"/>
  <c r="G1483" i="3"/>
  <c r="AX1345" i="3" l="1"/>
  <c r="AZ1345" i="3" s="1"/>
  <c r="C1484" i="3"/>
  <c r="I1346" i="3"/>
  <c r="AS1346" i="3" s="1"/>
  <c r="M1346" i="3" l="1"/>
  <c r="G1484" i="3"/>
  <c r="AX1346" i="3" l="1"/>
  <c r="AZ1346" i="3" s="1"/>
  <c r="C1485" i="3"/>
  <c r="I1347" i="3"/>
  <c r="AS1347" i="3" s="1"/>
  <c r="G1485" i="3" l="1"/>
  <c r="M1347" i="3"/>
  <c r="AX1347" i="3" l="1"/>
  <c r="AZ1347" i="3" s="1"/>
  <c r="C1486" i="3"/>
  <c r="I1348" i="3"/>
  <c r="AS1348" i="3" s="1"/>
  <c r="G1486" i="3" l="1"/>
  <c r="M1348" i="3"/>
  <c r="AX1348" i="3" l="1"/>
  <c r="AZ1348" i="3" s="1"/>
  <c r="I1349" i="3"/>
  <c r="AS1349" i="3" s="1"/>
  <c r="C1487" i="3"/>
  <c r="G1487" i="3" l="1"/>
  <c r="M1349" i="3"/>
  <c r="AX1349" i="3" l="1"/>
  <c r="AZ1349" i="3" s="1"/>
  <c r="I1350" i="3"/>
  <c r="AS1350" i="3" s="1"/>
  <c r="C1488" i="3"/>
  <c r="G1488" i="3" l="1"/>
  <c r="M1350" i="3"/>
  <c r="AX1350" i="3" s="1"/>
  <c r="I1351" i="3" l="1"/>
  <c r="AS1351" i="3" s="1"/>
  <c r="AZ1350" i="3"/>
  <c r="C1489" i="3"/>
  <c r="G1489" i="3" l="1"/>
  <c r="M1351" i="3"/>
  <c r="AX1351" i="3" l="1"/>
  <c r="I1352" i="3"/>
  <c r="AS1352" i="3" s="1"/>
  <c r="AZ1351" i="3"/>
  <c r="C1490" i="3"/>
  <c r="G1490" i="3" l="1"/>
  <c r="M1352" i="3"/>
  <c r="AX1352" i="3" l="1"/>
  <c r="AZ1352" i="3" s="1"/>
  <c r="C1491" i="3"/>
  <c r="I1353" i="3"/>
  <c r="AS1353" i="3" s="1"/>
  <c r="M1353" i="3" l="1"/>
  <c r="G1491" i="3"/>
  <c r="AX1353" i="3" l="1"/>
  <c r="C1492" i="3"/>
  <c r="I1354" i="3"/>
  <c r="AS1354" i="3" s="1"/>
  <c r="AZ1353" i="3"/>
  <c r="G1492" i="3" l="1"/>
  <c r="M1354" i="3"/>
  <c r="AX1354" i="3" l="1"/>
  <c r="I1355" i="3"/>
  <c r="AS1355" i="3" s="1"/>
  <c r="AZ1354" i="3"/>
  <c r="C1493" i="3"/>
  <c r="G1493" i="3" l="1"/>
  <c r="M1355" i="3"/>
  <c r="AX1355" i="3" l="1"/>
  <c r="AZ1355" i="3" s="1"/>
  <c r="I1356" i="3"/>
  <c r="AS1356" i="3" s="1"/>
  <c r="C1494" i="3"/>
  <c r="G1494" i="3" l="1"/>
  <c r="M1356" i="3"/>
  <c r="AX1356" i="3" l="1"/>
  <c r="I1357" i="3"/>
  <c r="AS1357" i="3" s="1"/>
  <c r="AZ1356" i="3"/>
  <c r="C1495" i="3"/>
  <c r="G1495" i="3" l="1"/>
  <c r="M1357" i="3"/>
  <c r="AX1357" i="3" l="1"/>
  <c r="I1358" i="3"/>
  <c r="AS1358" i="3" s="1"/>
  <c r="AZ1357" i="3"/>
  <c r="C1496" i="3"/>
  <c r="G1496" i="3" l="1"/>
  <c r="M1358" i="3"/>
  <c r="AX1358" i="3" l="1"/>
  <c r="I1359" i="3"/>
  <c r="AS1359" i="3" s="1"/>
  <c r="AZ1358" i="3"/>
  <c r="C1497" i="3"/>
  <c r="G1497" i="3" l="1"/>
  <c r="M1359" i="3"/>
  <c r="AX1359" i="3" l="1"/>
  <c r="AZ1359" i="3" s="1"/>
  <c r="I1360" i="3"/>
  <c r="AS1360" i="3" s="1"/>
  <c r="C1498" i="3"/>
  <c r="G1498" i="3" l="1"/>
  <c r="M1360" i="3"/>
  <c r="AX1360" i="3" l="1"/>
  <c r="AZ1360" i="3" s="1"/>
  <c r="I1361" i="3"/>
  <c r="AS1361" i="3" s="1"/>
  <c r="C1499" i="3"/>
  <c r="G1499" i="3" l="1"/>
  <c r="M1361" i="3"/>
  <c r="AX1361" i="3" s="1"/>
  <c r="I1362" i="3" l="1"/>
  <c r="AS1362" i="3" s="1"/>
  <c r="AZ1361" i="3"/>
  <c r="C1500" i="3"/>
  <c r="G1500" i="3" l="1"/>
  <c r="M1362" i="3"/>
  <c r="AX1362" i="3" s="1"/>
  <c r="I1363" i="3" l="1"/>
  <c r="AS1363" i="3" s="1"/>
  <c r="AZ1362" i="3"/>
  <c r="C1501" i="3"/>
  <c r="G1501" i="3" l="1"/>
  <c r="M1363" i="3"/>
  <c r="AX1363" i="3" l="1"/>
  <c r="C1502" i="3"/>
  <c r="I1364" i="3"/>
  <c r="AS1364" i="3" s="1"/>
  <c r="AZ1363" i="3"/>
  <c r="M1364" i="3" l="1"/>
  <c r="G1502" i="3"/>
  <c r="AX1364" i="3" l="1"/>
  <c r="AZ1364" i="3" s="1"/>
  <c r="C1503" i="3"/>
  <c r="I1365" i="3"/>
  <c r="AS1365" i="3" s="1"/>
  <c r="M1365" i="3" l="1"/>
  <c r="G1503" i="3"/>
  <c r="AX1365" i="3" l="1"/>
  <c r="C1504" i="3"/>
  <c r="I1366" i="3"/>
  <c r="AS1366" i="3" s="1"/>
  <c r="AZ1365" i="3"/>
  <c r="M1366" i="3" l="1"/>
  <c r="G1504" i="3"/>
  <c r="AX1366" i="3" l="1"/>
  <c r="C1505" i="3"/>
  <c r="I1367" i="3"/>
  <c r="AS1367" i="3" s="1"/>
  <c r="AZ1366" i="3"/>
  <c r="M1367" i="3" l="1"/>
  <c r="G1505" i="3"/>
  <c r="AX1367" i="3" l="1"/>
  <c r="AZ1367" i="3" s="1"/>
  <c r="C1506" i="3"/>
  <c r="I1368" i="3"/>
  <c r="AS1368" i="3" s="1"/>
  <c r="M1368" i="3" l="1"/>
  <c r="G1506" i="3"/>
  <c r="AX1368" i="3" l="1"/>
  <c r="AZ1368" i="3" s="1"/>
  <c r="C1507" i="3"/>
  <c r="I1369" i="3"/>
  <c r="AS1369" i="3" s="1"/>
  <c r="M1369" i="3" l="1"/>
  <c r="G1507" i="3"/>
  <c r="AX1369" i="3" l="1"/>
  <c r="AZ1369" i="3" s="1"/>
  <c r="C1508" i="3"/>
  <c r="I1370" i="3"/>
  <c r="AS1370" i="3" s="1"/>
  <c r="M1370" i="3" l="1"/>
  <c r="G1508" i="3"/>
  <c r="AX1370" i="3" l="1"/>
  <c r="C1509" i="3"/>
  <c r="I1371" i="3"/>
  <c r="AS1371" i="3" s="1"/>
  <c r="AZ1370" i="3"/>
  <c r="G1509" i="3" l="1"/>
  <c r="M1371" i="3"/>
  <c r="AX1371" i="3" l="1"/>
  <c r="AZ1371" i="3" s="1"/>
  <c r="C1510" i="3"/>
  <c r="I1372" i="3"/>
  <c r="AS1372" i="3" s="1"/>
  <c r="M1372" i="3" l="1"/>
  <c r="G1510" i="3"/>
  <c r="AX1372" i="3" l="1"/>
  <c r="AZ1372" i="3" s="1"/>
  <c r="C1511" i="3"/>
  <c r="I1373" i="3"/>
  <c r="AS1373" i="3" s="1"/>
  <c r="G1511" i="3" l="1"/>
  <c r="M1373" i="3"/>
  <c r="AX1373" i="3" l="1"/>
  <c r="AZ1373" i="3" s="1"/>
  <c r="I1374" i="3"/>
  <c r="AS1374" i="3" s="1"/>
  <c r="C1512" i="3"/>
  <c r="G1512" i="3" l="1"/>
  <c r="M1374" i="3"/>
  <c r="AX1374" i="3" l="1"/>
  <c r="AZ1374" i="3" s="1"/>
  <c r="I1375" i="3"/>
  <c r="AS1375" i="3" s="1"/>
  <c r="C1513" i="3"/>
  <c r="G1513" i="3" l="1"/>
  <c r="M1375" i="3"/>
  <c r="AX1375" i="3" l="1"/>
  <c r="AZ1375" i="3" s="1"/>
  <c r="C1514" i="3"/>
  <c r="I1376" i="3"/>
  <c r="AS1376" i="3" s="1"/>
  <c r="M1376" i="3" l="1"/>
  <c r="G1514" i="3"/>
  <c r="AX1376" i="3" l="1"/>
  <c r="AZ1376" i="3" s="1"/>
  <c r="C1515" i="3"/>
  <c r="I1377" i="3"/>
  <c r="AS1377" i="3" s="1"/>
  <c r="M1377" i="3" l="1"/>
  <c r="G1515" i="3"/>
  <c r="AX1377" i="3" l="1"/>
  <c r="C1516" i="3"/>
  <c r="I1378" i="3"/>
  <c r="AS1378" i="3" s="1"/>
  <c r="AZ1377" i="3"/>
  <c r="M1378" i="3" l="1"/>
  <c r="G1516" i="3"/>
  <c r="AX1378" i="3" l="1"/>
  <c r="AZ1378" i="3" s="1"/>
  <c r="C1517" i="3"/>
  <c r="I1379" i="3"/>
  <c r="AS1379" i="3" s="1"/>
  <c r="G1517" i="3" l="1"/>
  <c r="M1379" i="3"/>
  <c r="AX1379" i="3" l="1"/>
  <c r="I1380" i="3"/>
  <c r="AS1380" i="3" s="1"/>
  <c r="AZ1379" i="3"/>
  <c r="C1518" i="3"/>
  <c r="G1518" i="3" l="1"/>
  <c r="M1380" i="3"/>
  <c r="AX1380" i="3" l="1"/>
  <c r="I1381" i="3"/>
  <c r="AS1381" i="3" s="1"/>
  <c r="AZ1380" i="3"/>
  <c r="C1519" i="3"/>
  <c r="G1519" i="3" l="1"/>
  <c r="M1381" i="3"/>
  <c r="AX1381" i="3" l="1"/>
  <c r="AZ1381" i="3" s="1"/>
  <c r="I1382" i="3"/>
  <c r="AS1382" i="3" s="1"/>
  <c r="C1520" i="3"/>
  <c r="G1520" i="3" l="1"/>
  <c r="M1382" i="3"/>
  <c r="AX1382" i="3" l="1"/>
  <c r="I1383" i="3"/>
  <c r="AS1383" i="3" s="1"/>
  <c r="AZ1382" i="3"/>
  <c r="C1521" i="3"/>
  <c r="G1521" i="3" l="1"/>
  <c r="M1383" i="3"/>
  <c r="AX1383" i="3" l="1"/>
  <c r="I1384" i="3"/>
  <c r="AS1384" i="3" s="1"/>
  <c r="AZ1383" i="3"/>
  <c r="C1522" i="3"/>
  <c r="G1522" i="3" l="1"/>
  <c r="M1384" i="3"/>
  <c r="AX1384" i="3" l="1"/>
  <c r="AZ1384" i="3" s="1"/>
  <c r="C1523" i="3"/>
  <c r="I1385" i="3"/>
  <c r="AS1385" i="3" s="1"/>
  <c r="M1385" i="3" l="1"/>
  <c r="G1523" i="3"/>
  <c r="AX1385" i="3" l="1"/>
  <c r="C1524" i="3"/>
  <c r="I1386" i="3"/>
  <c r="AS1386" i="3" s="1"/>
  <c r="AZ1385" i="3"/>
  <c r="G1524" i="3" l="1"/>
  <c r="M1386" i="3"/>
  <c r="AX1386" i="3" l="1"/>
  <c r="AZ1386" i="3" s="1"/>
  <c r="I1387" i="3"/>
  <c r="AS1387" i="3" s="1"/>
  <c r="C1525" i="3"/>
  <c r="G1525" i="3" l="1"/>
  <c r="M1387" i="3"/>
  <c r="AX1387" i="3" l="1"/>
  <c r="I1388" i="3"/>
  <c r="AS1388" i="3" s="1"/>
  <c r="AZ1387" i="3"/>
  <c r="C1526" i="3"/>
  <c r="G1526" i="3" l="1"/>
  <c r="M1388" i="3"/>
  <c r="AX1388" i="3" l="1"/>
  <c r="C1527" i="3"/>
  <c r="I1389" i="3"/>
  <c r="AS1389" i="3" s="1"/>
  <c r="AZ1388" i="3"/>
  <c r="M1389" i="3" l="1"/>
  <c r="G1527" i="3"/>
  <c r="AX1389" i="3" l="1"/>
  <c r="AZ1389" i="3" s="1"/>
  <c r="C1528" i="3"/>
  <c r="I1390" i="3"/>
  <c r="AS1390" i="3" s="1"/>
  <c r="M1390" i="3" l="1"/>
  <c r="G1528" i="3"/>
  <c r="AX1390" i="3" l="1"/>
  <c r="AZ1390" i="3" s="1"/>
  <c r="C1529" i="3"/>
  <c r="I1391" i="3"/>
  <c r="AS1391" i="3" s="1"/>
  <c r="M1391" i="3" l="1"/>
  <c r="G1529" i="3"/>
  <c r="AX1391" i="3" l="1"/>
  <c r="AZ1391" i="3" s="1"/>
  <c r="C1530" i="3"/>
  <c r="I1392" i="3"/>
  <c r="AS1392" i="3" s="1"/>
  <c r="M1392" i="3" l="1"/>
  <c r="G1530" i="3"/>
  <c r="AX1392" i="3" l="1"/>
  <c r="AZ1392" i="3" s="1"/>
  <c r="C1531" i="3"/>
  <c r="I1393" i="3"/>
  <c r="AS1393" i="3" s="1"/>
  <c r="M1393" i="3" l="1"/>
  <c r="G1531" i="3"/>
  <c r="AX1393" i="3" l="1"/>
  <c r="AZ1393" i="3" s="1"/>
  <c r="C1532" i="3"/>
  <c r="I1394" i="3"/>
  <c r="AS1394" i="3" s="1"/>
  <c r="M1394" i="3" l="1"/>
  <c r="G1532" i="3"/>
  <c r="AX1394" i="3" l="1"/>
  <c r="C1533" i="3"/>
  <c r="I1395" i="3"/>
  <c r="AS1395" i="3" s="1"/>
  <c r="AZ1394" i="3"/>
  <c r="G1533" i="3" l="1"/>
  <c r="M1395" i="3"/>
  <c r="AX1395" i="3" l="1"/>
  <c r="AZ1395" i="3" s="1"/>
  <c r="I1396" i="3"/>
  <c r="AS1396" i="3" s="1"/>
  <c r="C1534" i="3"/>
  <c r="G1534" i="3" l="1"/>
  <c r="M1396" i="3"/>
  <c r="AX1396" i="3" l="1"/>
  <c r="AZ1396" i="3" s="1"/>
  <c r="I1397" i="3"/>
  <c r="AS1397" i="3" s="1"/>
  <c r="C1535" i="3"/>
  <c r="G1535" i="3" l="1"/>
  <c r="M1397" i="3"/>
  <c r="AX1397" i="3" l="1"/>
  <c r="C1536" i="3"/>
  <c r="I1398" i="3"/>
  <c r="AS1398" i="3" s="1"/>
  <c r="AZ1397" i="3"/>
  <c r="G1536" i="3" l="1"/>
  <c r="M1398" i="3"/>
  <c r="AX1398" i="3" l="1"/>
  <c r="C1537" i="3"/>
  <c r="I1399" i="3"/>
  <c r="AS1399" i="3" s="1"/>
  <c r="AZ1398" i="3"/>
  <c r="M1399" i="3" l="1"/>
  <c r="G1537" i="3"/>
  <c r="AX1399" i="3" l="1"/>
  <c r="C1538" i="3"/>
  <c r="I1400" i="3"/>
  <c r="AS1400" i="3" s="1"/>
  <c r="AZ1399" i="3"/>
  <c r="M1400" i="3" l="1"/>
  <c r="G1538" i="3"/>
  <c r="AX1400" i="3" l="1"/>
  <c r="C1539" i="3"/>
  <c r="I1401" i="3"/>
  <c r="AS1401" i="3" s="1"/>
  <c r="AZ1400" i="3"/>
  <c r="M1401" i="3" l="1"/>
  <c r="G1539" i="3"/>
  <c r="AX1401" i="3" l="1"/>
  <c r="C1540" i="3"/>
  <c r="I1402" i="3"/>
  <c r="AS1402" i="3" s="1"/>
  <c r="AZ1401" i="3"/>
  <c r="M1402" i="3" l="1"/>
  <c r="G1540" i="3"/>
  <c r="AX1402" i="3" l="1"/>
  <c r="C1541" i="3"/>
  <c r="I1403" i="3"/>
  <c r="AS1403" i="3" s="1"/>
  <c r="AZ1402" i="3"/>
  <c r="M1403" i="3" l="1"/>
  <c r="G1541" i="3"/>
  <c r="AX1403" i="3" l="1"/>
  <c r="C1542" i="3"/>
  <c r="I1404" i="3"/>
  <c r="AS1404" i="3" s="1"/>
  <c r="AZ1403" i="3"/>
  <c r="M1404" i="3" l="1"/>
  <c r="G1542" i="3"/>
  <c r="AX1404" i="3" l="1"/>
  <c r="C1543" i="3"/>
  <c r="I1405" i="3"/>
  <c r="AS1405" i="3" s="1"/>
  <c r="AZ1404" i="3"/>
  <c r="M1405" i="3" l="1"/>
  <c r="G1543" i="3"/>
  <c r="AX1405" i="3" l="1"/>
  <c r="AZ1405" i="3" s="1"/>
  <c r="C1544" i="3"/>
  <c r="I1406" i="3"/>
  <c r="AS1406" i="3" s="1"/>
  <c r="G1544" i="3" l="1"/>
  <c r="M1406" i="3"/>
  <c r="AX1406" i="3" l="1"/>
  <c r="AZ1406" i="3" s="1"/>
  <c r="I1407" i="3"/>
  <c r="AS1407" i="3" s="1"/>
  <c r="C1545" i="3"/>
  <c r="G1545" i="3" l="1"/>
  <c r="M1407" i="3"/>
  <c r="AX1407" i="3" s="1"/>
  <c r="I1408" i="3" l="1"/>
  <c r="AS1408" i="3" s="1"/>
  <c r="AZ1407" i="3"/>
  <c r="C1546" i="3"/>
  <c r="G1546" i="3" l="1"/>
  <c r="M1408" i="3"/>
  <c r="AX1408" i="3" l="1"/>
  <c r="I1409" i="3"/>
  <c r="AS1409" i="3" s="1"/>
  <c r="AZ1408" i="3"/>
  <c r="C1547" i="3"/>
  <c r="G1547" i="3" l="1"/>
  <c r="M1409" i="3"/>
  <c r="AX1409" i="3" l="1"/>
  <c r="C1548" i="3"/>
  <c r="I1410" i="3"/>
  <c r="AS1410" i="3" s="1"/>
  <c r="AZ1409" i="3"/>
  <c r="M1410" i="3" l="1"/>
  <c r="G1548" i="3"/>
  <c r="AX1410" i="3" l="1"/>
  <c r="C1549" i="3"/>
  <c r="I1411" i="3"/>
  <c r="AS1411" i="3" s="1"/>
  <c r="AZ1410" i="3"/>
  <c r="G1549" i="3" l="1"/>
  <c r="M1411" i="3"/>
  <c r="AX1411" i="3" l="1"/>
  <c r="I1412" i="3"/>
  <c r="AS1412" i="3" s="1"/>
  <c r="AZ1411" i="3"/>
  <c r="C1550" i="3"/>
  <c r="G1550" i="3" l="1"/>
  <c r="M1412" i="3"/>
  <c r="AX1412" i="3" s="1"/>
  <c r="I1413" i="3" l="1"/>
  <c r="AS1413" i="3" s="1"/>
  <c r="AZ1412" i="3"/>
  <c r="C1551" i="3"/>
  <c r="G1551" i="3" l="1"/>
  <c r="M1413" i="3"/>
  <c r="AX1413" i="3" l="1"/>
  <c r="AZ1413" i="3" s="1"/>
  <c r="I1414" i="3"/>
  <c r="AS1414" i="3" s="1"/>
  <c r="C1552" i="3"/>
  <c r="G1552" i="3" l="1"/>
  <c r="M1414" i="3"/>
  <c r="AX1414" i="3" l="1"/>
  <c r="I1415" i="3"/>
  <c r="AS1415" i="3" s="1"/>
  <c r="AZ1414" i="3"/>
  <c r="C1553" i="3"/>
  <c r="G1553" i="3" l="1"/>
  <c r="M1415" i="3"/>
  <c r="AX1415" i="3" l="1"/>
  <c r="I1416" i="3"/>
  <c r="AS1416" i="3" s="1"/>
  <c r="AZ1415" i="3"/>
  <c r="C1554" i="3"/>
  <c r="G1554" i="3" l="1"/>
  <c r="M1416" i="3"/>
  <c r="AX1416" i="3" l="1"/>
  <c r="AZ1416" i="3" s="1"/>
  <c r="I1417" i="3"/>
  <c r="AS1417" i="3" s="1"/>
  <c r="C1555" i="3"/>
  <c r="G1555" i="3" l="1"/>
  <c r="M1417" i="3"/>
  <c r="AX1417" i="3" l="1"/>
  <c r="AZ1417" i="3" s="1"/>
  <c r="I1418" i="3"/>
  <c r="AS1418" i="3" s="1"/>
  <c r="C1556" i="3"/>
  <c r="G1556" i="3" l="1"/>
  <c r="M1418" i="3"/>
  <c r="AX1418" i="3" l="1"/>
  <c r="I1419" i="3"/>
  <c r="AS1419" i="3" s="1"/>
  <c r="AZ1418" i="3"/>
  <c r="C1557" i="3"/>
  <c r="G1557" i="3" l="1"/>
  <c r="M1419" i="3"/>
  <c r="AX1419" i="3" l="1"/>
  <c r="AZ1419" i="3" s="1"/>
  <c r="I1420" i="3"/>
  <c r="AS1420" i="3" s="1"/>
  <c r="C1558" i="3"/>
  <c r="G1558" i="3" l="1"/>
  <c r="M1420" i="3"/>
  <c r="AX1420" i="3" l="1"/>
  <c r="I1421" i="3"/>
  <c r="AS1421" i="3" s="1"/>
  <c r="AZ1420" i="3"/>
  <c r="C1559" i="3"/>
  <c r="G1559" i="3" l="1"/>
  <c r="M1421" i="3"/>
  <c r="AX1421" i="3" l="1"/>
  <c r="I1422" i="3"/>
  <c r="AS1422" i="3" s="1"/>
  <c r="AZ1421" i="3"/>
  <c r="C1560" i="3"/>
  <c r="G1560" i="3" l="1"/>
  <c r="M1422" i="3"/>
  <c r="AX1422" i="3" l="1"/>
  <c r="I1423" i="3"/>
  <c r="AS1423" i="3" s="1"/>
  <c r="AZ1422" i="3"/>
  <c r="C1561" i="3"/>
  <c r="G1561" i="3" l="1"/>
  <c r="M1423" i="3"/>
  <c r="AX1423" i="3" l="1"/>
  <c r="I1424" i="3"/>
  <c r="AS1424" i="3" s="1"/>
  <c r="AZ1423" i="3"/>
  <c r="C1562" i="3"/>
  <c r="G1562" i="3" l="1"/>
  <c r="M1424" i="3"/>
  <c r="AX1424" i="3" l="1"/>
  <c r="AZ1424" i="3" s="1"/>
  <c r="C1563" i="3"/>
  <c r="I1425" i="3"/>
  <c r="AS1425" i="3" s="1"/>
  <c r="M1425" i="3" l="1"/>
  <c r="G1563" i="3"/>
  <c r="AX1425" i="3" l="1"/>
  <c r="AZ1425" i="3" s="1"/>
  <c r="C1564" i="3"/>
  <c r="I1426" i="3"/>
  <c r="AS1426" i="3" s="1"/>
  <c r="M1426" i="3" l="1"/>
  <c r="G1564" i="3"/>
  <c r="AX1426" i="3" l="1"/>
  <c r="AZ1426" i="3" s="1"/>
  <c r="C1565" i="3"/>
  <c r="I1427" i="3"/>
  <c r="AS1427" i="3" s="1"/>
  <c r="M1427" i="3" l="1"/>
  <c r="G1565" i="3"/>
  <c r="AX1427" i="3" l="1"/>
  <c r="AZ1427" i="3" s="1"/>
  <c r="C1566" i="3"/>
  <c r="I1428" i="3"/>
  <c r="AS1428" i="3" s="1"/>
  <c r="G1566" i="3" l="1"/>
  <c r="M1428" i="3"/>
  <c r="AX1428" i="3" l="1"/>
  <c r="C1567" i="3"/>
  <c r="I1429" i="3"/>
  <c r="AS1429" i="3" s="1"/>
  <c r="AZ1428" i="3"/>
  <c r="M1429" i="3" l="1"/>
  <c r="G1567" i="3"/>
  <c r="AX1429" i="3" l="1"/>
  <c r="AZ1429" i="3" s="1"/>
  <c r="C1568" i="3"/>
  <c r="I1430" i="3"/>
  <c r="AS1430" i="3" s="1"/>
  <c r="M1430" i="3" l="1"/>
  <c r="G1568" i="3"/>
  <c r="AX1430" i="3" l="1"/>
  <c r="AZ1430" i="3" s="1"/>
  <c r="C1569" i="3"/>
  <c r="I1431" i="3"/>
  <c r="AS1431" i="3" s="1"/>
  <c r="G1569" i="3" l="1"/>
  <c r="M1431" i="3"/>
  <c r="AX1431" i="3" l="1"/>
  <c r="I1432" i="3"/>
  <c r="AS1432" i="3" s="1"/>
  <c r="AZ1431" i="3"/>
  <c r="C1570" i="3"/>
  <c r="G1570" i="3" l="1"/>
  <c r="M1432" i="3"/>
  <c r="AX1432" i="3" l="1"/>
  <c r="AZ1432" i="3" s="1"/>
  <c r="C1571" i="3"/>
  <c r="I1433" i="3"/>
  <c r="AS1433" i="3" s="1"/>
  <c r="M1433" i="3" l="1"/>
  <c r="I1434" i="3" s="1"/>
  <c r="G1571" i="3"/>
  <c r="M1434" i="3" l="1"/>
  <c r="AS1434" i="3"/>
  <c r="AX1433" i="3"/>
  <c r="AZ1433" i="3" s="1"/>
  <c r="C1572" i="3"/>
  <c r="I1435" i="3" l="1"/>
  <c r="AX1434" i="3"/>
  <c r="AZ1434" i="3" s="1"/>
  <c r="G1572" i="3"/>
  <c r="M1435" i="3" l="1"/>
  <c r="AS1435" i="3"/>
  <c r="C1573" i="3"/>
  <c r="I1436" i="3" l="1"/>
  <c r="AX1435" i="3"/>
  <c r="AZ1435" i="3" s="1"/>
  <c r="G1573" i="3"/>
  <c r="M1436" i="3" l="1"/>
  <c r="AS1436" i="3"/>
  <c r="C1574" i="3"/>
  <c r="I1437" i="3" l="1"/>
  <c r="AX1436" i="3"/>
  <c r="AZ1436" i="3" s="1"/>
  <c r="G1574" i="3"/>
  <c r="M1437" i="3" l="1"/>
  <c r="AX1437" i="3" s="1"/>
  <c r="AZ1437" i="3" s="1"/>
  <c r="AS1437" i="3"/>
  <c r="C1575" i="3"/>
  <c r="G1575" i="3" l="1"/>
  <c r="C1576" i="3" l="1"/>
  <c r="I1438" i="3"/>
  <c r="AS1438" i="3" s="1"/>
  <c r="M1438" i="3" l="1"/>
  <c r="G1576" i="3"/>
  <c r="AX1438" i="3" l="1"/>
  <c r="I1439" i="3"/>
  <c r="C1577" i="3"/>
  <c r="AZ1438" i="3"/>
  <c r="M1439" i="3" l="1"/>
  <c r="AS1439" i="3"/>
  <c r="G1577" i="3"/>
  <c r="I1440" i="3" l="1"/>
  <c r="AX1439" i="3"/>
  <c r="AZ1439" i="3" s="1"/>
  <c r="C1578" i="3"/>
  <c r="M1440" i="3" l="1"/>
  <c r="AS1440" i="3"/>
  <c r="G1578" i="3"/>
  <c r="AX1440" i="3" l="1"/>
  <c r="AZ1440" i="3" s="1"/>
  <c r="I1441" i="3"/>
  <c r="C1579" i="3"/>
  <c r="M1441" i="3" l="1"/>
  <c r="AS1441" i="3"/>
  <c r="G1579" i="3"/>
  <c r="I1442" i="3" l="1"/>
  <c r="AX1441" i="3"/>
  <c r="AZ1441" i="3" s="1"/>
  <c r="C1580" i="3"/>
  <c r="M1442" i="3" l="1"/>
  <c r="AS1442" i="3"/>
  <c r="G1580" i="3"/>
  <c r="I1443" i="3" l="1"/>
  <c r="AX1442" i="3"/>
  <c r="AZ1442" i="3" s="1"/>
  <c r="C1581" i="3"/>
  <c r="M1443" i="3" l="1"/>
  <c r="AS1443" i="3"/>
  <c r="G1581" i="3"/>
  <c r="I1444" i="3" l="1"/>
  <c r="AX1443" i="3"/>
  <c r="AZ1443" i="3" s="1"/>
  <c r="C1582" i="3"/>
  <c r="M1444" i="3" l="1"/>
  <c r="AS1444" i="3"/>
  <c r="G1582" i="3"/>
  <c r="I1445" i="3" l="1"/>
  <c r="AX1444" i="3"/>
  <c r="AZ1444" i="3" s="1"/>
  <c r="C1583" i="3"/>
  <c r="M1445" i="3" l="1"/>
  <c r="AS1445" i="3"/>
  <c r="G1583" i="3"/>
  <c r="I1446" i="3" l="1"/>
  <c r="AX1445" i="3"/>
  <c r="AZ1445" i="3" s="1"/>
  <c r="C1584" i="3"/>
  <c r="M1446" i="3" l="1"/>
  <c r="I1447" i="3" s="1"/>
  <c r="AS1446" i="3"/>
  <c r="G1584" i="3"/>
  <c r="M1447" i="3" l="1"/>
  <c r="AS1447" i="3"/>
  <c r="AX1446" i="3"/>
  <c r="AZ1446" i="3" s="1"/>
  <c r="C1585" i="3"/>
  <c r="I1448" i="3" l="1"/>
  <c r="AX1447" i="3"/>
  <c r="AZ1447" i="3" s="1"/>
  <c r="G1585" i="3"/>
  <c r="M1448" i="3" l="1"/>
  <c r="AS1448" i="3"/>
  <c r="C1586" i="3"/>
  <c r="I1449" i="3" l="1"/>
  <c r="AX1448" i="3"/>
  <c r="AZ1448" i="3" s="1"/>
  <c r="G1586" i="3"/>
  <c r="M1449" i="3" l="1"/>
  <c r="I1450" i="3" s="1"/>
  <c r="AS1449" i="3"/>
  <c r="C1587" i="3"/>
  <c r="M1450" i="3" l="1"/>
  <c r="AS1450" i="3"/>
  <c r="AX1449" i="3"/>
  <c r="AZ1449" i="3" s="1"/>
  <c r="G1587" i="3"/>
  <c r="I1451" i="3" l="1"/>
  <c r="AX1450" i="3"/>
  <c r="AZ1450" i="3" s="1"/>
  <c r="C1588" i="3"/>
  <c r="M1451" i="3" l="1"/>
  <c r="AS1451" i="3"/>
  <c r="G1588" i="3"/>
  <c r="I1452" i="3" l="1"/>
  <c r="AX1451" i="3"/>
  <c r="AZ1451" i="3" s="1"/>
  <c r="C1589" i="3"/>
  <c r="M1452" i="3" l="1"/>
  <c r="AS1452" i="3"/>
  <c r="G1589" i="3"/>
  <c r="I1453" i="3" l="1"/>
  <c r="AX1452" i="3"/>
  <c r="AZ1452" i="3" s="1"/>
  <c r="C1590" i="3"/>
  <c r="M1453" i="3" l="1"/>
  <c r="AS1453" i="3"/>
  <c r="G1590" i="3"/>
  <c r="I1454" i="3" l="1"/>
  <c r="AX1453" i="3"/>
  <c r="AZ1453" i="3" s="1"/>
  <c r="C1591" i="3"/>
  <c r="M1454" i="3" l="1"/>
  <c r="I1455" i="3" s="1"/>
  <c r="AS1454" i="3"/>
  <c r="G1591" i="3"/>
  <c r="M1455" i="3" l="1"/>
  <c r="AS1455" i="3"/>
  <c r="AX1454" i="3"/>
  <c r="AZ1454" i="3" s="1"/>
  <c r="C1592" i="3"/>
  <c r="I1456" i="3" l="1"/>
  <c r="AX1455" i="3"/>
  <c r="AZ1455" i="3" s="1"/>
  <c r="G1592" i="3"/>
  <c r="AS1456" i="3" l="1"/>
  <c r="M1456" i="3"/>
  <c r="C1593" i="3"/>
  <c r="I1457" i="3" l="1"/>
  <c r="AX1456" i="3"/>
  <c r="AZ1456" i="3" s="1"/>
  <c r="G1593" i="3"/>
  <c r="M1457" i="3" l="1"/>
  <c r="AS1457" i="3"/>
  <c r="C1594" i="3"/>
  <c r="B11" i="9" l="1"/>
  <c r="B13" i="9" s="1"/>
  <c r="AX1457" i="3"/>
  <c r="AZ1457" i="3" s="1"/>
  <c r="G1594" i="3"/>
  <c r="C1595" i="3" l="1"/>
  <c r="G1595" i="3" l="1"/>
  <c r="C1596" i="3" l="1"/>
  <c r="G1596" i="3" l="1"/>
  <c r="C1597" i="3" l="1"/>
  <c r="G1597" i="3" l="1"/>
  <c r="C1598" i="3" l="1"/>
  <c r="G1598" i="3" l="1"/>
  <c r="C1599" i="3" l="1"/>
  <c r="G1599" i="3" l="1"/>
  <c r="C1600" i="3" l="1"/>
  <c r="G1600" i="3" l="1"/>
  <c r="C1601" i="3" l="1"/>
  <c r="G1601" i="3" l="1"/>
  <c r="C1602" i="3" l="1"/>
  <c r="G1602" i="3" l="1"/>
  <c r="C1603" i="3" l="1"/>
  <c r="G1603" i="3" l="1"/>
  <c r="C1604" i="3" l="1"/>
  <c r="G1604" i="3" l="1"/>
  <c r="C1605" i="3" l="1"/>
  <c r="G1605" i="3" l="1"/>
  <c r="C1606" i="3" l="1"/>
  <c r="I1468" i="3"/>
  <c r="AS1468" i="3" s="1"/>
  <c r="M1468" i="3" l="1"/>
  <c r="AX1468" i="3" s="1"/>
  <c r="G1606" i="3"/>
  <c r="C1607" i="3" l="1"/>
  <c r="I1469" i="3"/>
  <c r="AS1469" i="3" s="1"/>
  <c r="AZ1468" i="3"/>
  <c r="G1607" i="3" l="1"/>
  <c r="M1469" i="3"/>
  <c r="AX1469" i="3" s="1"/>
  <c r="I1470" i="3" l="1"/>
  <c r="AS1470" i="3" s="1"/>
  <c r="AZ1469" i="3"/>
  <c r="C1608" i="3"/>
  <c r="G1608" i="3" l="1"/>
  <c r="M1470" i="3"/>
  <c r="AX1470" i="3" s="1"/>
  <c r="I1471" i="3" l="1"/>
  <c r="AS1471" i="3" s="1"/>
  <c r="AZ1470" i="3"/>
  <c r="C1609" i="3"/>
  <c r="G1609" i="3" l="1"/>
  <c r="M1471" i="3"/>
  <c r="AX1471" i="3" s="1"/>
  <c r="I1472" i="3" l="1"/>
  <c r="AS1472" i="3" s="1"/>
  <c r="AZ1471" i="3"/>
  <c r="C1610" i="3"/>
  <c r="G1610" i="3" l="1"/>
  <c r="M1472" i="3"/>
  <c r="AX1472" i="3" s="1"/>
  <c r="C1611" i="3" l="1"/>
  <c r="I1473" i="3"/>
  <c r="AS1473" i="3" s="1"/>
  <c r="AZ1472" i="3"/>
  <c r="G1611" i="3" l="1"/>
  <c r="M1473" i="3"/>
  <c r="AX1473" i="3" s="1"/>
  <c r="I1474" i="3" l="1"/>
  <c r="AS1474" i="3" s="1"/>
  <c r="AZ1473" i="3"/>
  <c r="C1612" i="3"/>
  <c r="G1612" i="3" l="1"/>
  <c r="M1474" i="3"/>
  <c r="AX1474" i="3" s="1"/>
  <c r="I1475" i="3" l="1"/>
  <c r="AS1475" i="3" s="1"/>
  <c r="AZ1474" i="3"/>
  <c r="C1613" i="3"/>
  <c r="G1613" i="3" l="1"/>
  <c r="M1475" i="3"/>
  <c r="AX1475" i="3" s="1"/>
  <c r="I1476" i="3" l="1"/>
  <c r="AS1476" i="3" s="1"/>
  <c r="AZ1475" i="3"/>
  <c r="C1614" i="3"/>
  <c r="G1614" i="3" l="1"/>
  <c r="M1476" i="3"/>
  <c r="AX1476" i="3" s="1"/>
  <c r="I1477" i="3" l="1"/>
  <c r="AS1477" i="3" s="1"/>
  <c r="AZ1476" i="3"/>
  <c r="C1615" i="3"/>
  <c r="G1615" i="3" l="1"/>
  <c r="M1477" i="3"/>
  <c r="AX1477" i="3" s="1"/>
  <c r="I1478" i="3" l="1"/>
  <c r="AS1478" i="3" s="1"/>
  <c r="AZ1477" i="3"/>
  <c r="C1616" i="3"/>
  <c r="G1616" i="3" l="1"/>
  <c r="M1478" i="3"/>
  <c r="AX1478" i="3" s="1"/>
  <c r="I1479" i="3" l="1"/>
  <c r="AS1479" i="3" s="1"/>
  <c r="AZ1478" i="3"/>
  <c r="C1617" i="3"/>
  <c r="G1617" i="3" l="1"/>
  <c r="M1479" i="3"/>
  <c r="AX1479" i="3" s="1"/>
  <c r="I1480" i="3" l="1"/>
  <c r="AS1480" i="3" s="1"/>
  <c r="AZ1479" i="3"/>
  <c r="C1618" i="3"/>
  <c r="G1618" i="3" l="1"/>
  <c r="M1480" i="3"/>
  <c r="AX1480" i="3" s="1"/>
  <c r="I1481" i="3" l="1"/>
  <c r="AS1481" i="3" s="1"/>
  <c r="AZ1480" i="3"/>
  <c r="C1619" i="3"/>
  <c r="G1619" i="3" l="1"/>
  <c r="M1481" i="3"/>
  <c r="AX1481" i="3" s="1"/>
  <c r="C1620" i="3" l="1"/>
  <c r="I1482" i="3"/>
  <c r="AS1482" i="3" s="1"/>
  <c r="AZ1481" i="3"/>
  <c r="M1482" i="3" l="1"/>
  <c r="AX1482" i="3" s="1"/>
  <c r="G1620" i="3"/>
  <c r="C1621" i="3" l="1"/>
  <c r="I1483" i="3"/>
  <c r="AS1483" i="3" s="1"/>
  <c r="AZ1482" i="3"/>
  <c r="M1483" i="3" l="1"/>
  <c r="AX1483" i="3" s="1"/>
  <c r="G1621" i="3"/>
  <c r="C1622" i="3" l="1"/>
  <c r="I1484" i="3"/>
  <c r="AS1484" i="3" s="1"/>
  <c r="AZ1483" i="3"/>
  <c r="M1484" i="3" l="1"/>
  <c r="AX1484" i="3" s="1"/>
  <c r="G1622" i="3"/>
  <c r="C1623" i="3" l="1"/>
  <c r="I1485" i="3"/>
  <c r="AS1485" i="3" s="1"/>
  <c r="AZ1484" i="3"/>
  <c r="M1485" i="3" l="1"/>
  <c r="AX1485" i="3" s="1"/>
  <c r="G1623" i="3"/>
  <c r="C1624" i="3" l="1"/>
  <c r="I1486" i="3"/>
  <c r="AS1486" i="3" s="1"/>
  <c r="AZ1485" i="3"/>
  <c r="M1486" i="3" l="1"/>
  <c r="AX1486" i="3" s="1"/>
  <c r="G1624" i="3"/>
  <c r="C1625" i="3" l="1"/>
  <c r="I1487" i="3"/>
  <c r="AS1487" i="3" s="1"/>
  <c r="AZ1486" i="3"/>
  <c r="M1487" i="3" l="1"/>
  <c r="AX1487" i="3" s="1"/>
  <c r="G1625" i="3"/>
  <c r="C1626" i="3" l="1"/>
  <c r="I1488" i="3"/>
  <c r="AS1488" i="3" s="1"/>
  <c r="AZ1487" i="3"/>
  <c r="M1488" i="3" l="1"/>
  <c r="AX1488" i="3" s="1"/>
  <c r="G1626" i="3"/>
  <c r="C1627" i="3" l="1"/>
  <c r="I1489" i="3"/>
  <c r="AS1489" i="3" s="1"/>
  <c r="AZ1488" i="3"/>
  <c r="M1489" i="3" l="1"/>
  <c r="AX1489" i="3" s="1"/>
  <c r="G1627" i="3"/>
  <c r="C1628" i="3" l="1"/>
  <c r="I1490" i="3"/>
  <c r="AS1490" i="3" s="1"/>
  <c r="AZ1489" i="3"/>
  <c r="G1628" i="3" l="1"/>
  <c r="M1490" i="3"/>
  <c r="AX1490" i="3" s="1"/>
  <c r="I1491" i="3" l="1"/>
  <c r="AS1491" i="3" s="1"/>
  <c r="AZ1490" i="3"/>
  <c r="C1629" i="3"/>
  <c r="G1629" i="3" l="1"/>
  <c r="M1491" i="3"/>
  <c r="AX1491" i="3" s="1"/>
  <c r="I1492" i="3" l="1"/>
  <c r="AS1492" i="3" s="1"/>
  <c r="AZ1491" i="3"/>
  <c r="C1630" i="3"/>
  <c r="G1630" i="3" l="1"/>
  <c r="M1492" i="3"/>
  <c r="AX1492" i="3" s="1"/>
  <c r="I1493" i="3" l="1"/>
  <c r="AS1493" i="3" s="1"/>
  <c r="AZ1492" i="3"/>
  <c r="C1631" i="3"/>
  <c r="G1631" i="3" l="1"/>
  <c r="M1493" i="3"/>
  <c r="AX1493" i="3" s="1"/>
  <c r="I1494" i="3" l="1"/>
  <c r="AS1494" i="3" s="1"/>
  <c r="AZ1493" i="3"/>
  <c r="C1632" i="3"/>
  <c r="G1632" i="3" l="1"/>
  <c r="M1494" i="3"/>
  <c r="AX1494" i="3" s="1"/>
  <c r="I1495" i="3" l="1"/>
  <c r="AS1495" i="3" s="1"/>
  <c r="AZ1494" i="3"/>
  <c r="C1633" i="3"/>
  <c r="G1633" i="3" l="1"/>
  <c r="M1495" i="3"/>
  <c r="AX1495" i="3" s="1"/>
  <c r="C1634" i="3" l="1"/>
  <c r="I1496" i="3"/>
  <c r="AS1496" i="3" s="1"/>
  <c r="AZ1495" i="3"/>
  <c r="M1496" i="3" l="1"/>
  <c r="AX1496" i="3" s="1"/>
  <c r="G1634" i="3"/>
  <c r="I1497" i="3" l="1"/>
  <c r="AS1497" i="3" s="1"/>
  <c r="AZ1496" i="3"/>
  <c r="M1497" i="3" l="1"/>
  <c r="AX1497" i="3" s="1"/>
  <c r="I1498" i="3" l="1"/>
  <c r="AS1498" i="3" s="1"/>
  <c r="AZ1497" i="3"/>
  <c r="M1498" i="3" l="1"/>
  <c r="AX1498" i="3" s="1"/>
  <c r="I1499" i="3" l="1"/>
  <c r="AS1499" i="3" s="1"/>
  <c r="AZ1498" i="3"/>
  <c r="M1499" i="3" l="1"/>
  <c r="AX1499" i="3" s="1"/>
  <c r="I1500" i="3" l="1"/>
  <c r="AS1500" i="3" s="1"/>
  <c r="AZ1499" i="3"/>
  <c r="M1500" i="3" l="1"/>
  <c r="AX1500" i="3" s="1"/>
  <c r="I1501" i="3" l="1"/>
  <c r="AS1501" i="3" s="1"/>
  <c r="AZ1500" i="3"/>
  <c r="M1501" i="3" l="1"/>
  <c r="AX1501" i="3" s="1"/>
  <c r="I1502" i="3" l="1"/>
  <c r="AS1502" i="3" s="1"/>
  <c r="AZ1501" i="3"/>
  <c r="M1502" i="3" l="1"/>
  <c r="AX1502" i="3" s="1"/>
  <c r="I1503" i="3" l="1"/>
  <c r="AS1503" i="3" s="1"/>
  <c r="AZ1502" i="3"/>
  <c r="M1503" i="3" l="1"/>
  <c r="AX1503" i="3" s="1"/>
  <c r="I1504" i="3" l="1"/>
  <c r="AS1504" i="3" s="1"/>
  <c r="AZ1503" i="3"/>
  <c r="M1504" i="3" l="1"/>
  <c r="AX1504" i="3" s="1"/>
  <c r="I1505" i="3" l="1"/>
  <c r="AS1505" i="3" s="1"/>
  <c r="AZ1504" i="3"/>
  <c r="M1505" i="3" l="1"/>
  <c r="AX1505" i="3" s="1"/>
  <c r="I1506" i="3" l="1"/>
  <c r="AS1506" i="3" s="1"/>
  <c r="AZ1505" i="3"/>
  <c r="M1506" i="3" l="1"/>
  <c r="AX1506" i="3" s="1"/>
  <c r="I1507" i="3" l="1"/>
  <c r="AS1507" i="3" s="1"/>
  <c r="AZ1506" i="3"/>
  <c r="M1507" i="3" l="1"/>
  <c r="AX1507" i="3" s="1"/>
  <c r="I1508" i="3" l="1"/>
  <c r="AS1508" i="3" s="1"/>
  <c r="AZ1507" i="3"/>
  <c r="M1508" i="3" l="1"/>
  <c r="AX1508" i="3" s="1"/>
  <c r="I1509" i="3" l="1"/>
  <c r="AS1509" i="3" s="1"/>
  <c r="AZ1508" i="3"/>
  <c r="M1509" i="3" l="1"/>
  <c r="AX1509" i="3" s="1"/>
  <c r="I1510" i="3" l="1"/>
  <c r="AS1510" i="3" s="1"/>
  <c r="AZ1509" i="3"/>
  <c r="M1510" i="3" l="1"/>
  <c r="AX1510" i="3" s="1"/>
  <c r="I1511" i="3" l="1"/>
  <c r="AS1511" i="3" s="1"/>
  <c r="AZ1510" i="3"/>
  <c r="M1511" i="3" l="1"/>
  <c r="AX1511" i="3" s="1"/>
  <c r="I1512" i="3" l="1"/>
  <c r="AS1512" i="3" s="1"/>
  <c r="AZ1511" i="3"/>
  <c r="M1512" i="3" l="1"/>
  <c r="AX1512" i="3" s="1"/>
  <c r="I1513" i="3" l="1"/>
  <c r="AS1513" i="3" s="1"/>
  <c r="AZ1512" i="3"/>
  <c r="M1513" i="3" l="1"/>
  <c r="AX1513" i="3" s="1"/>
  <c r="I1514" i="3" l="1"/>
  <c r="AS1514" i="3" s="1"/>
  <c r="AZ1513" i="3"/>
  <c r="M1514" i="3" l="1"/>
  <c r="AX1514" i="3" s="1"/>
  <c r="I1515" i="3" l="1"/>
  <c r="AS1515" i="3" s="1"/>
  <c r="AZ1514" i="3"/>
  <c r="M1515" i="3" l="1"/>
  <c r="AX1515" i="3" s="1"/>
  <c r="I1516" i="3" l="1"/>
  <c r="AS1516" i="3" s="1"/>
  <c r="AZ1515" i="3"/>
  <c r="M1516" i="3" l="1"/>
  <c r="AX1516" i="3" s="1"/>
  <c r="I1517" i="3" l="1"/>
  <c r="AS1517" i="3" s="1"/>
  <c r="AZ1516" i="3"/>
  <c r="M1517" i="3" l="1"/>
  <c r="AX1517" i="3" s="1"/>
  <c r="I1518" i="3" l="1"/>
  <c r="AS1518" i="3" s="1"/>
  <c r="AZ1517" i="3"/>
  <c r="M1518" i="3" l="1"/>
  <c r="AX1518" i="3" s="1"/>
  <c r="I1519" i="3" l="1"/>
  <c r="AS1519" i="3" s="1"/>
  <c r="AZ1518" i="3"/>
  <c r="M1519" i="3" l="1"/>
  <c r="AX1519" i="3" s="1"/>
  <c r="I1520" i="3" l="1"/>
  <c r="AS1520" i="3" s="1"/>
  <c r="AZ1519" i="3"/>
  <c r="M1520" i="3" l="1"/>
  <c r="AX1520" i="3" s="1"/>
  <c r="I1521" i="3" l="1"/>
  <c r="AS1521" i="3" s="1"/>
  <c r="AZ1520" i="3"/>
  <c r="M1521" i="3" l="1"/>
  <c r="AX1521" i="3" s="1"/>
  <c r="I1522" i="3" l="1"/>
  <c r="AS1522" i="3" s="1"/>
  <c r="AZ1521" i="3"/>
  <c r="M1522" i="3" l="1"/>
  <c r="AX1522" i="3" s="1"/>
  <c r="I1523" i="3" l="1"/>
  <c r="AS1523" i="3" s="1"/>
  <c r="AZ1522" i="3"/>
  <c r="M1523" i="3" l="1"/>
  <c r="AX1523" i="3" s="1"/>
  <c r="I1524" i="3" l="1"/>
  <c r="AS1524" i="3" s="1"/>
  <c r="AZ1523" i="3"/>
  <c r="M1524" i="3" l="1"/>
  <c r="AX1524" i="3" s="1"/>
  <c r="I1525" i="3" l="1"/>
  <c r="AS1525" i="3" s="1"/>
  <c r="AZ1524" i="3"/>
  <c r="M1525" i="3" l="1"/>
  <c r="AX1525" i="3" s="1"/>
  <c r="I1526" i="3" l="1"/>
  <c r="AS1526" i="3" s="1"/>
  <c r="AZ1525" i="3"/>
  <c r="M1526" i="3" l="1"/>
  <c r="AX1526" i="3" s="1"/>
  <c r="I1527" i="3" l="1"/>
  <c r="AS1527" i="3" s="1"/>
  <c r="AZ1526" i="3"/>
  <c r="M1527" i="3" l="1"/>
  <c r="AX1527" i="3" s="1"/>
  <c r="I1528" i="3" l="1"/>
  <c r="AS1528" i="3" s="1"/>
  <c r="AZ1527" i="3"/>
  <c r="M1528" i="3" l="1"/>
  <c r="AX1528" i="3" s="1"/>
  <c r="I1529" i="3" l="1"/>
  <c r="AS1529" i="3" s="1"/>
  <c r="AZ1528" i="3"/>
  <c r="M1529" i="3" l="1"/>
  <c r="AX1529" i="3" s="1"/>
  <c r="I1530" i="3" l="1"/>
  <c r="AS1530" i="3" s="1"/>
  <c r="AZ1529" i="3"/>
  <c r="M1530" i="3" l="1"/>
  <c r="AX1530" i="3" s="1"/>
  <c r="I1531" i="3" l="1"/>
  <c r="AS1531" i="3" s="1"/>
  <c r="AZ1530" i="3"/>
  <c r="M1531" i="3" l="1"/>
  <c r="AX1531" i="3" s="1"/>
  <c r="I1532" i="3" l="1"/>
  <c r="AS1532" i="3" s="1"/>
  <c r="AZ1531" i="3"/>
  <c r="M1532" i="3" l="1"/>
  <c r="AX1532" i="3" s="1"/>
  <c r="I1533" i="3" l="1"/>
  <c r="AS1533" i="3" s="1"/>
  <c r="AZ1532" i="3"/>
  <c r="M1533" i="3" l="1"/>
  <c r="AX1533" i="3" s="1"/>
  <c r="I1534" i="3" l="1"/>
  <c r="AS1534" i="3" s="1"/>
  <c r="AZ1533" i="3"/>
  <c r="M1534" i="3" l="1"/>
  <c r="AX1534" i="3" s="1"/>
  <c r="I1535" i="3" l="1"/>
  <c r="AS1535" i="3" s="1"/>
  <c r="AZ1534" i="3"/>
  <c r="M1535" i="3" l="1"/>
  <c r="AX1535" i="3" s="1"/>
  <c r="I1536" i="3" l="1"/>
  <c r="AS1536" i="3" s="1"/>
  <c r="AZ1535" i="3"/>
  <c r="M1536" i="3" l="1"/>
  <c r="AX1536" i="3" s="1"/>
  <c r="I1537" i="3" l="1"/>
  <c r="AS1537" i="3" s="1"/>
  <c r="AZ1536" i="3"/>
  <c r="M1537" i="3" l="1"/>
  <c r="AX1537" i="3" s="1"/>
  <c r="I1538" i="3" l="1"/>
  <c r="AS1538" i="3" s="1"/>
  <c r="AZ1537" i="3"/>
  <c r="M1538" i="3" l="1"/>
  <c r="AX1538" i="3" s="1"/>
  <c r="I1539" i="3" l="1"/>
  <c r="AS1539" i="3" s="1"/>
  <c r="AZ1538" i="3"/>
  <c r="M1539" i="3" l="1"/>
  <c r="AX1539" i="3" s="1"/>
  <c r="I1540" i="3" l="1"/>
  <c r="AS1540" i="3" s="1"/>
  <c r="AZ1539" i="3"/>
  <c r="M1540" i="3" l="1"/>
  <c r="AX1540" i="3" s="1"/>
  <c r="I1541" i="3" l="1"/>
  <c r="AS1541" i="3" s="1"/>
  <c r="AZ1540" i="3"/>
  <c r="M1541" i="3" l="1"/>
  <c r="AX1541" i="3" s="1"/>
  <c r="I1542" i="3" l="1"/>
  <c r="AS1542" i="3" s="1"/>
  <c r="AZ1541" i="3"/>
  <c r="M1542" i="3" l="1"/>
  <c r="AX1542" i="3" s="1"/>
  <c r="I1543" i="3" l="1"/>
  <c r="AS1543" i="3" s="1"/>
  <c r="AZ1542" i="3"/>
  <c r="M1543" i="3" l="1"/>
  <c r="AX1543" i="3" s="1"/>
  <c r="I1544" i="3" l="1"/>
  <c r="AS1544" i="3" s="1"/>
  <c r="AZ1543" i="3"/>
  <c r="M1544" i="3" l="1"/>
  <c r="AX1544" i="3" s="1"/>
  <c r="I1545" i="3" l="1"/>
  <c r="AS1545" i="3" s="1"/>
  <c r="AZ1544" i="3"/>
  <c r="M1545" i="3" l="1"/>
  <c r="AX1545" i="3" s="1"/>
  <c r="I1546" i="3" l="1"/>
  <c r="AS1546" i="3" s="1"/>
  <c r="AZ1545" i="3"/>
  <c r="M1546" i="3" l="1"/>
  <c r="AX1546" i="3" s="1"/>
  <c r="I1547" i="3" l="1"/>
  <c r="AS1547" i="3" s="1"/>
  <c r="AZ1546" i="3"/>
  <c r="M1547" i="3" l="1"/>
  <c r="AX1547" i="3" s="1"/>
  <c r="I1548" i="3" l="1"/>
  <c r="AS1548" i="3" s="1"/>
  <c r="AZ1547" i="3"/>
  <c r="M1548" i="3" l="1"/>
  <c r="AX1548" i="3" s="1"/>
  <c r="I1549" i="3" l="1"/>
  <c r="AS1549" i="3" s="1"/>
  <c r="AZ1548" i="3"/>
  <c r="M1549" i="3" l="1"/>
  <c r="AX1549" i="3" s="1"/>
  <c r="I1550" i="3" l="1"/>
  <c r="AS1550" i="3" s="1"/>
  <c r="AZ1549" i="3"/>
  <c r="M1550" i="3" l="1"/>
  <c r="AX1550" i="3" s="1"/>
  <c r="I1551" i="3" l="1"/>
  <c r="AS1551" i="3" s="1"/>
  <c r="AZ1550" i="3"/>
  <c r="M1551" i="3" l="1"/>
  <c r="AX1551" i="3" s="1"/>
  <c r="I1552" i="3" l="1"/>
  <c r="AS1552" i="3" s="1"/>
  <c r="AZ1551" i="3"/>
  <c r="M1552" i="3" l="1"/>
  <c r="AX1552" i="3" s="1"/>
  <c r="I1553" i="3" l="1"/>
  <c r="AS1553" i="3" s="1"/>
  <c r="AZ1552" i="3"/>
  <c r="M1553" i="3" l="1"/>
  <c r="AX1553" i="3" s="1"/>
  <c r="I1554" i="3" l="1"/>
  <c r="AS1554" i="3" s="1"/>
  <c r="AZ1553" i="3"/>
  <c r="M1554" i="3" l="1"/>
  <c r="AX1554" i="3" s="1"/>
  <c r="I1555" i="3" l="1"/>
  <c r="AS1555" i="3" s="1"/>
  <c r="AZ1554" i="3"/>
  <c r="M1555" i="3" l="1"/>
  <c r="AX1555" i="3" s="1"/>
  <c r="I1556" i="3" l="1"/>
  <c r="AS1556" i="3" s="1"/>
  <c r="AZ1555" i="3"/>
  <c r="M1556" i="3" l="1"/>
  <c r="AX1556" i="3" s="1"/>
  <c r="I1557" i="3" l="1"/>
  <c r="AS1557" i="3" s="1"/>
  <c r="AZ1556" i="3"/>
  <c r="M1557" i="3" l="1"/>
  <c r="AX1557" i="3" s="1"/>
  <c r="I1558" i="3" l="1"/>
  <c r="AS1558" i="3" s="1"/>
  <c r="AZ1557" i="3"/>
  <c r="M1558" i="3" l="1"/>
  <c r="AX1558" i="3" s="1"/>
  <c r="I1559" i="3" l="1"/>
  <c r="AS1559" i="3" s="1"/>
  <c r="AZ1558" i="3"/>
  <c r="M1559" i="3" l="1"/>
  <c r="AX1559" i="3" s="1"/>
  <c r="I1560" i="3" l="1"/>
  <c r="AS1560" i="3" s="1"/>
  <c r="AZ1559" i="3"/>
  <c r="M1560" i="3" l="1"/>
  <c r="AX1560" i="3" s="1"/>
  <c r="I1561" i="3" l="1"/>
  <c r="AS1561" i="3" s="1"/>
  <c r="AZ1560" i="3"/>
  <c r="M1561" i="3" l="1"/>
  <c r="AX1561" i="3" s="1"/>
  <c r="I1562" i="3" l="1"/>
  <c r="AS1562" i="3" s="1"/>
  <c r="AZ1561" i="3"/>
  <c r="M1562" i="3" l="1"/>
  <c r="AX1562" i="3" s="1"/>
  <c r="I1563" i="3" l="1"/>
  <c r="AS1563" i="3" s="1"/>
  <c r="AZ1562" i="3"/>
  <c r="M1563" i="3" l="1"/>
  <c r="AX1563" i="3" s="1"/>
  <c r="I1564" i="3" l="1"/>
  <c r="AS1564" i="3" s="1"/>
  <c r="AZ1563" i="3"/>
  <c r="M1564" i="3" l="1"/>
  <c r="AX1564" i="3" s="1"/>
  <c r="I1565" i="3" l="1"/>
  <c r="AS1565" i="3" s="1"/>
  <c r="AZ1564" i="3"/>
  <c r="M1565" i="3" l="1"/>
  <c r="AX1565" i="3" s="1"/>
  <c r="I1566" i="3" l="1"/>
  <c r="AS1566" i="3" s="1"/>
  <c r="AZ1565" i="3"/>
  <c r="M1566" i="3" l="1"/>
  <c r="AX1566" i="3" s="1"/>
  <c r="I1567" i="3" l="1"/>
  <c r="AS1567" i="3" s="1"/>
  <c r="AZ1566" i="3"/>
  <c r="M1567" i="3" l="1"/>
  <c r="AX1567" i="3" s="1"/>
  <c r="I1568" i="3" l="1"/>
  <c r="AS1568" i="3" s="1"/>
  <c r="AZ1567" i="3"/>
  <c r="M1568" i="3" l="1"/>
  <c r="AX1568" i="3" s="1"/>
  <c r="I1569" i="3" l="1"/>
  <c r="AS1569" i="3" s="1"/>
  <c r="AZ1568" i="3"/>
  <c r="M1569" i="3" l="1"/>
  <c r="AX1569" i="3" s="1"/>
  <c r="I1570" i="3" l="1"/>
  <c r="AS1570" i="3" s="1"/>
  <c r="AZ1569" i="3"/>
  <c r="M1570" i="3" l="1"/>
  <c r="AX1570" i="3" s="1"/>
  <c r="I1571" i="3" l="1"/>
  <c r="AS1571" i="3" s="1"/>
  <c r="AZ1570" i="3"/>
  <c r="M1571" i="3" l="1"/>
  <c r="AX1571" i="3" s="1"/>
  <c r="I1572" i="3" l="1"/>
  <c r="AS1572" i="3" s="1"/>
  <c r="AZ1571" i="3"/>
  <c r="M1572" i="3" l="1"/>
  <c r="AX1572" i="3" s="1"/>
  <c r="I1573" i="3" l="1"/>
  <c r="AS1573" i="3" s="1"/>
  <c r="AZ1572" i="3"/>
  <c r="M1573" i="3" l="1"/>
  <c r="AX1573" i="3" s="1"/>
  <c r="I1574" i="3" l="1"/>
  <c r="AS1574" i="3" s="1"/>
  <c r="AZ1573" i="3"/>
  <c r="M1574" i="3" l="1"/>
  <c r="AX1574" i="3" s="1"/>
  <c r="I1575" i="3" l="1"/>
  <c r="AS1575" i="3" s="1"/>
  <c r="AZ1574" i="3"/>
  <c r="M1575" i="3" l="1"/>
  <c r="AX1575" i="3" s="1"/>
  <c r="I1576" i="3" l="1"/>
  <c r="AS1576" i="3" s="1"/>
  <c r="AZ1575" i="3"/>
  <c r="M1576" i="3" l="1"/>
  <c r="AX1576" i="3" s="1"/>
  <c r="I1577" i="3" l="1"/>
  <c r="AS1577" i="3" s="1"/>
  <c r="AZ1576" i="3"/>
  <c r="M1577" i="3" l="1"/>
  <c r="AX1577" i="3" s="1"/>
  <c r="I1578" i="3" l="1"/>
  <c r="AS1578" i="3" s="1"/>
  <c r="AZ1577" i="3"/>
  <c r="M1578" i="3" l="1"/>
  <c r="AX1578" i="3" s="1"/>
  <c r="I1579" i="3" l="1"/>
  <c r="AS1579" i="3" s="1"/>
  <c r="AZ1578" i="3"/>
  <c r="M1579" i="3" l="1"/>
  <c r="AX1579" i="3" s="1"/>
  <c r="I1580" i="3" l="1"/>
  <c r="AS1580" i="3" s="1"/>
  <c r="AZ1579" i="3"/>
  <c r="M1580" i="3" l="1"/>
  <c r="AX1580" i="3" s="1"/>
  <c r="I1581" i="3" l="1"/>
  <c r="AS1581" i="3" s="1"/>
  <c r="AZ1580" i="3"/>
  <c r="M1581" i="3" l="1"/>
  <c r="AX1581" i="3" s="1"/>
  <c r="I1582" i="3" l="1"/>
  <c r="AS1582" i="3" s="1"/>
  <c r="AZ1581" i="3"/>
  <c r="M1582" i="3" l="1"/>
  <c r="AX1582" i="3" s="1"/>
  <c r="I1583" i="3" l="1"/>
  <c r="AS1583" i="3" s="1"/>
  <c r="AZ1582" i="3"/>
  <c r="M1583" i="3" l="1"/>
  <c r="AX1583" i="3" s="1"/>
  <c r="I1584" i="3" l="1"/>
  <c r="AS1584" i="3" s="1"/>
  <c r="AZ1583" i="3"/>
  <c r="M1584" i="3" l="1"/>
  <c r="AX1584" i="3" s="1"/>
  <c r="I1585" i="3" l="1"/>
  <c r="AS1585" i="3" s="1"/>
  <c r="AZ1584" i="3"/>
  <c r="M1585" i="3" l="1"/>
  <c r="AX1585" i="3" s="1"/>
  <c r="I1586" i="3" l="1"/>
  <c r="AS1586" i="3" s="1"/>
  <c r="AZ1585" i="3"/>
  <c r="M1586" i="3" l="1"/>
  <c r="AX1586" i="3" s="1"/>
  <c r="I1587" i="3" l="1"/>
  <c r="AS1587" i="3" s="1"/>
  <c r="AZ1586" i="3"/>
  <c r="M1587" i="3" l="1"/>
  <c r="AX1587" i="3" s="1"/>
  <c r="I1588" i="3" l="1"/>
  <c r="AS1588" i="3" s="1"/>
  <c r="AZ1587" i="3"/>
  <c r="M1588" i="3" l="1"/>
  <c r="AX1588" i="3" s="1"/>
  <c r="I1589" i="3" l="1"/>
  <c r="AS1589" i="3" s="1"/>
  <c r="AZ1588" i="3"/>
  <c r="M1589" i="3" l="1"/>
  <c r="AX1589" i="3" s="1"/>
  <c r="I1590" i="3" l="1"/>
  <c r="AS1590" i="3" s="1"/>
  <c r="AZ1589" i="3"/>
  <c r="M1590" i="3" l="1"/>
  <c r="AX1590" i="3" s="1"/>
  <c r="I1591" i="3" l="1"/>
  <c r="AS1591" i="3" s="1"/>
  <c r="AZ1590" i="3"/>
  <c r="M1591" i="3" l="1"/>
  <c r="AX1591" i="3" s="1"/>
  <c r="I1592" i="3" l="1"/>
  <c r="AS1592" i="3" s="1"/>
  <c r="AZ1591" i="3"/>
  <c r="M1592" i="3" l="1"/>
  <c r="AX1592" i="3" s="1"/>
  <c r="I1593" i="3" l="1"/>
  <c r="AS1593" i="3" s="1"/>
  <c r="AZ1592" i="3"/>
  <c r="M1593" i="3" l="1"/>
  <c r="AX1593" i="3" s="1"/>
  <c r="I1594" i="3" l="1"/>
  <c r="AS1594" i="3" s="1"/>
  <c r="AZ1593" i="3"/>
  <c r="M1594" i="3" l="1"/>
  <c r="AX1594" i="3" s="1"/>
  <c r="I1595" i="3" l="1"/>
  <c r="AS1595" i="3" s="1"/>
  <c r="AZ1594" i="3"/>
  <c r="M1595" i="3" l="1"/>
  <c r="AX1595" i="3" s="1"/>
  <c r="I1596" i="3" l="1"/>
  <c r="AS1596" i="3" s="1"/>
  <c r="AZ1595" i="3"/>
  <c r="M1596" i="3" l="1"/>
  <c r="AX1596" i="3" s="1"/>
  <c r="I1597" i="3" l="1"/>
  <c r="AS1597" i="3" s="1"/>
  <c r="AZ1596" i="3"/>
  <c r="M1597" i="3" l="1"/>
  <c r="AX1597" i="3" s="1"/>
  <c r="I1598" i="3" l="1"/>
  <c r="AS1598" i="3" s="1"/>
  <c r="AZ1597" i="3"/>
  <c r="M1598" i="3" l="1"/>
  <c r="AX1598" i="3" s="1"/>
  <c r="I1599" i="3" l="1"/>
  <c r="AS1599" i="3" s="1"/>
  <c r="AZ1598" i="3"/>
  <c r="M1599" i="3" l="1"/>
  <c r="AX1599" i="3" s="1"/>
  <c r="I1600" i="3" l="1"/>
  <c r="AS1600" i="3" s="1"/>
  <c r="AZ1599" i="3"/>
  <c r="M1600" i="3" l="1"/>
  <c r="AX1600" i="3" s="1"/>
  <c r="I1601" i="3" l="1"/>
  <c r="AS1601" i="3" s="1"/>
  <c r="AZ1600" i="3"/>
  <c r="M1601" i="3" l="1"/>
  <c r="AX1601" i="3" s="1"/>
  <c r="I1602" i="3" l="1"/>
  <c r="AS1602" i="3" s="1"/>
  <c r="AZ1601" i="3"/>
  <c r="M1602" i="3" l="1"/>
  <c r="AX1602" i="3" s="1"/>
  <c r="I1603" i="3" l="1"/>
  <c r="AS1603" i="3" s="1"/>
  <c r="AZ1602" i="3"/>
  <c r="M1603" i="3" l="1"/>
  <c r="AX1603" i="3" s="1"/>
  <c r="I1604" i="3" l="1"/>
  <c r="AS1604" i="3" s="1"/>
  <c r="AZ1603" i="3"/>
  <c r="M1604" i="3" l="1"/>
  <c r="AX1604" i="3" s="1"/>
  <c r="I1605" i="3" l="1"/>
  <c r="AS1605" i="3" s="1"/>
  <c r="AZ1604" i="3"/>
  <c r="M1605" i="3" l="1"/>
  <c r="AX1605" i="3" s="1"/>
  <c r="I1606" i="3" l="1"/>
  <c r="AS1606" i="3" s="1"/>
  <c r="AZ1605" i="3"/>
  <c r="M1606" i="3" l="1"/>
  <c r="AX1606" i="3" s="1"/>
  <c r="I1607" i="3" l="1"/>
  <c r="AS1607" i="3" s="1"/>
  <c r="AZ1606" i="3"/>
  <c r="M1607" i="3" l="1"/>
  <c r="AX1607" i="3" s="1"/>
  <c r="I1608" i="3" l="1"/>
  <c r="AS1608" i="3" s="1"/>
  <c r="AZ1607" i="3"/>
  <c r="M1608" i="3" l="1"/>
  <c r="AX1608" i="3" s="1"/>
  <c r="I1609" i="3" l="1"/>
  <c r="AS1609" i="3" s="1"/>
  <c r="AZ1608" i="3"/>
  <c r="M1609" i="3" l="1"/>
  <c r="AX1609" i="3" s="1"/>
  <c r="I1610" i="3" l="1"/>
  <c r="AS1610" i="3" s="1"/>
  <c r="AZ1609" i="3"/>
  <c r="M1610" i="3" l="1"/>
  <c r="AX1610" i="3" s="1"/>
  <c r="I1611" i="3" l="1"/>
  <c r="AS1611" i="3" s="1"/>
  <c r="AZ1610" i="3"/>
  <c r="M1611" i="3" l="1"/>
  <c r="AX1611" i="3" s="1"/>
  <c r="I1612" i="3" l="1"/>
  <c r="AS1612" i="3" s="1"/>
  <c r="AZ1611" i="3"/>
  <c r="M1612" i="3" l="1"/>
  <c r="AX1612" i="3" s="1"/>
  <c r="I1613" i="3" l="1"/>
  <c r="AS1613" i="3" s="1"/>
  <c r="AZ1612" i="3"/>
  <c r="M1613" i="3" l="1"/>
  <c r="AX1613" i="3" s="1"/>
  <c r="I1614" i="3" l="1"/>
  <c r="AS1614" i="3" s="1"/>
  <c r="AZ1613" i="3"/>
  <c r="M1614" i="3" l="1"/>
  <c r="AX1614" i="3" s="1"/>
  <c r="I1615" i="3" l="1"/>
  <c r="AS1615" i="3" s="1"/>
  <c r="AZ1614" i="3"/>
  <c r="M1615" i="3" l="1"/>
  <c r="AX1615" i="3" s="1"/>
  <c r="I1616" i="3" l="1"/>
  <c r="AS1616" i="3" s="1"/>
  <c r="AZ1615" i="3"/>
  <c r="M1616" i="3" l="1"/>
  <c r="AX1616" i="3" s="1"/>
  <c r="I1617" i="3" l="1"/>
  <c r="AS1617" i="3" s="1"/>
  <c r="AZ1616" i="3"/>
  <c r="M1617" i="3" l="1"/>
  <c r="AX1617" i="3" s="1"/>
  <c r="I1618" i="3" l="1"/>
  <c r="AS1618" i="3" s="1"/>
  <c r="AZ1617" i="3"/>
  <c r="M1618" i="3" l="1"/>
  <c r="AX1618" i="3" s="1"/>
  <c r="I1619" i="3" l="1"/>
  <c r="AS1619" i="3" s="1"/>
  <c r="AZ1618" i="3"/>
  <c r="M1619" i="3" l="1"/>
  <c r="AX1619" i="3" s="1"/>
  <c r="I1620" i="3" l="1"/>
  <c r="AS1620" i="3" s="1"/>
  <c r="AZ1619" i="3"/>
  <c r="M1620" i="3" l="1"/>
  <c r="AX1620" i="3" s="1"/>
  <c r="I1621" i="3" l="1"/>
  <c r="AS1621" i="3" s="1"/>
  <c r="AZ1620" i="3"/>
  <c r="M1621" i="3" l="1"/>
  <c r="AX1621" i="3" s="1"/>
  <c r="I1622" i="3" l="1"/>
  <c r="AS1622" i="3" s="1"/>
  <c r="AZ1621" i="3"/>
  <c r="M1622" i="3" l="1"/>
  <c r="AX1622" i="3" s="1"/>
  <c r="I1623" i="3" l="1"/>
  <c r="AS1623" i="3" s="1"/>
  <c r="AZ1622" i="3"/>
  <c r="M1623" i="3" l="1"/>
  <c r="AX1623" i="3" s="1"/>
  <c r="I1624" i="3" l="1"/>
  <c r="AS1624" i="3" s="1"/>
  <c r="AZ1623" i="3"/>
  <c r="M1624" i="3" l="1"/>
  <c r="AX1624" i="3" s="1"/>
  <c r="I1625" i="3" l="1"/>
  <c r="AS1625" i="3" s="1"/>
  <c r="AZ1624" i="3"/>
  <c r="M1625" i="3" l="1"/>
  <c r="AX1625" i="3" s="1"/>
  <c r="I1626" i="3" l="1"/>
  <c r="AS1626" i="3" s="1"/>
  <c r="AZ1625" i="3"/>
  <c r="M1626" i="3" l="1"/>
  <c r="AX1626" i="3" s="1"/>
  <c r="I1627" i="3" l="1"/>
  <c r="AS1627" i="3" s="1"/>
  <c r="AZ1626" i="3"/>
  <c r="M1627" i="3" l="1"/>
  <c r="AX1627" i="3" s="1"/>
  <c r="I1628" i="3" l="1"/>
  <c r="AS1628" i="3" s="1"/>
  <c r="AZ1627" i="3"/>
  <c r="M1628" i="3" l="1"/>
  <c r="AX1628" i="3" s="1"/>
  <c r="I1629" i="3" l="1"/>
  <c r="AS1629" i="3" s="1"/>
  <c r="AZ1628" i="3"/>
  <c r="M1629" i="3" l="1"/>
  <c r="AX1629" i="3" s="1"/>
  <c r="I1630" i="3" l="1"/>
  <c r="AS1630" i="3" s="1"/>
  <c r="AZ1629" i="3"/>
  <c r="M1630" i="3" l="1"/>
  <c r="AX1630" i="3" s="1"/>
  <c r="I1631" i="3" l="1"/>
  <c r="AS1631" i="3" s="1"/>
  <c r="AZ1630" i="3"/>
  <c r="M1631" i="3" l="1"/>
  <c r="AX1631" i="3" s="1"/>
  <c r="I1632" i="3" l="1"/>
  <c r="AS1632" i="3" s="1"/>
  <c r="AZ1631" i="3"/>
  <c r="M1632" i="3" l="1"/>
  <c r="AX1632" i="3" s="1"/>
  <c r="I1633" i="3" l="1"/>
  <c r="AS1633" i="3" s="1"/>
  <c r="AZ1632" i="3"/>
  <c r="M1633" i="3" l="1"/>
  <c r="AX1633" i="3" s="1"/>
  <c r="I1634" i="3" l="1"/>
  <c r="AS1634" i="3" s="1"/>
  <c r="AZ1633" i="3"/>
  <c r="M1634" i="3" l="1"/>
  <c r="AX1634" i="3" l="1"/>
  <c r="AZ163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tc={7220ADC0-1C36-4A10-B448-63C0D22821CC}</author>
  </authors>
  <commentList>
    <comment ref="L194" authorId="0" shapeId="0" xr:uid="{7220ADC0-1C36-4A10-B448-63C0D22821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Devolução de uma pagamento em duplicidade</t>
      </text>
    </comment>
  </commentList>
</comments>
</file>

<file path=xl/sharedStrings.xml><?xml version="1.0" encoding="utf-8"?>
<sst xmlns="http://schemas.openxmlformats.org/spreadsheetml/2006/main" count="270" uniqueCount="175">
  <si>
    <t>BANCO</t>
  </si>
  <si>
    <t>RECEITA COM PRODUTO</t>
  </si>
  <si>
    <t>RECEITA COM SERVIÇO</t>
  </si>
  <si>
    <t>RECEITA NÃO OPERACIONAL</t>
  </si>
  <si>
    <t>DESPESAS OPERACIONAL</t>
  </si>
  <si>
    <t>DESPESAS NÃO OPERACIONAL</t>
  </si>
  <si>
    <t>DESPESAS COM RH</t>
  </si>
  <si>
    <t>IMPOSTOS</t>
  </si>
  <si>
    <t>COD</t>
  </si>
  <si>
    <t>CLASSIFICAÇÃO</t>
  </si>
  <si>
    <t>TIPO</t>
  </si>
  <si>
    <t>RPROD</t>
  </si>
  <si>
    <t>RSERV</t>
  </si>
  <si>
    <t>RNOPE</t>
  </si>
  <si>
    <t>DOPE</t>
  </si>
  <si>
    <t>DNOPE</t>
  </si>
  <si>
    <t>DRH</t>
  </si>
  <si>
    <t>IMP</t>
  </si>
  <si>
    <t>ANP</t>
  </si>
  <si>
    <t>JUROS</t>
  </si>
  <si>
    <t>FACILITIES - FIXO</t>
  </si>
  <si>
    <t xml:space="preserve"> MKT</t>
  </si>
  <si>
    <t>RH - VA/ VR - ALELO</t>
  </si>
  <si>
    <t>ICMS</t>
  </si>
  <si>
    <t>RECEITA</t>
  </si>
  <si>
    <t>BRADESCO</t>
  </si>
  <si>
    <t>Arenas</t>
  </si>
  <si>
    <t>VENDA PRODUTOS</t>
  </si>
  <si>
    <t>REVENDA</t>
  </si>
  <si>
    <t>GESTÃO DE PESSOAS</t>
  </si>
  <si>
    <t>RH - PLANO DE SAÚDE</t>
  </si>
  <si>
    <t>IRRF</t>
  </si>
  <si>
    <t>BB</t>
  </si>
  <si>
    <t>B. GAS</t>
  </si>
  <si>
    <t>SERVIÇOS CONTÁBEIS</t>
  </si>
  <si>
    <t>TARIFA BANCÁRIA</t>
  </si>
  <si>
    <t>RH - TRANSPORTE</t>
  </si>
  <si>
    <t>ISS</t>
  </si>
  <si>
    <t>BB -SP</t>
  </si>
  <si>
    <t>Bradesco</t>
  </si>
  <si>
    <t>APORTE DE CAIXA</t>
  </si>
  <si>
    <t>RH - SALÁRIO</t>
  </si>
  <si>
    <t>IPTU</t>
  </si>
  <si>
    <t>DESPESAS</t>
  </si>
  <si>
    <t>SANTANDER</t>
  </si>
  <si>
    <t>BV Rendimento</t>
  </si>
  <si>
    <t>LICENÇA DE SOFTWARE</t>
  </si>
  <si>
    <t>PAGAMENTO PJ</t>
  </si>
  <si>
    <t>FGTS</t>
  </si>
  <si>
    <t>DESPESAS NÃO OPERACIONAIS</t>
  </si>
  <si>
    <t>ITAU</t>
  </si>
  <si>
    <t>CEABS</t>
  </si>
  <si>
    <t>FACILITIES - VARIÁVEL</t>
  </si>
  <si>
    <t>RH - FÉRIAS</t>
  </si>
  <si>
    <t>PIS</t>
  </si>
  <si>
    <t>DG Cogel</t>
  </si>
  <si>
    <t>RH - DESLIGAMENTO</t>
  </si>
  <si>
    <t>COFINS</t>
  </si>
  <si>
    <t>Ebal</t>
  </si>
  <si>
    <t>RH- BENEFÍCIOS</t>
  </si>
  <si>
    <t>Eletronuclear</t>
  </si>
  <si>
    <t>EMBASA</t>
  </si>
  <si>
    <t>Europ</t>
  </si>
  <si>
    <t>Fapesb</t>
  </si>
  <si>
    <t>Furnas</t>
  </si>
  <si>
    <t>IBAMETRO</t>
  </si>
  <si>
    <t>INEMA</t>
  </si>
  <si>
    <t>IPLAN</t>
  </si>
  <si>
    <t>Irdeb</t>
  </si>
  <si>
    <t>LE BISCUIT</t>
  </si>
  <si>
    <t>MP-BA</t>
  </si>
  <si>
    <t>Nextia</t>
  </si>
  <si>
    <t>OI</t>
  </si>
  <si>
    <t>PETZ</t>
  </si>
  <si>
    <t>Prodeb</t>
  </si>
  <si>
    <t xml:space="preserve">Prodeb </t>
  </si>
  <si>
    <t>ROCKCOMUNICAÇÃO</t>
  </si>
  <si>
    <t>Sabesp</t>
  </si>
  <si>
    <t>Santander</t>
  </si>
  <si>
    <t>Sebrae</t>
  </si>
  <si>
    <t>SEC</t>
  </si>
  <si>
    <t>Sefaz-BA</t>
  </si>
  <si>
    <t>Sefaz-PMS</t>
  </si>
  <si>
    <t>Serasa</t>
  </si>
  <si>
    <t xml:space="preserve">SICOOB </t>
  </si>
  <si>
    <t>SJDHDS</t>
  </si>
  <si>
    <t>TJ-Ba</t>
  </si>
  <si>
    <t>TRF</t>
  </si>
  <si>
    <t>UFBA</t>
  </si>
  <si>
    <t>SALDO</t>
  </si>
  <si>
    <t>Itaú</t>
  </si>
  <si>
    <t>Brasil</t>
  </si>
  <si>
    <t>Safra</t>
  </si>
  <si>
    <t>Brasil SP</t>
  </si>
  <si>
    <t>Saldo Crédito INSS</t>
  </si>
  <si>
    <t>ITAÚ</t>
  </si>
  <si>
    <t>BB - SP</t>
  </si>
  <si>
    <t>SANTANDER SP</t>
  </si>
  <si>
    <t>SAFRA</t>
  </si>
  <si>
    <t>RESUMO</t>
  </si>
  <si>
    <t>Soma de VALOR</t>
  </si>
  <si>
    <t>Rótulos de Coluna</t>
  </si>
  <si>
    <t>DATA</t>
  </si>
  <si>
    <t>BRADESCO - SALDO INÍCIO</t>
  </si>
  <si>
    <t>BRADESCO - RECEBIMENTO</t>
  </si>
  <si>
    <t>BRADESCO - TRANSF ENTRE CONTAS</t>
  </si>
  <si>
    <t>BRADESCO - PAG</t>
  </si>
  <si>
    <t>BRADESCO - SALDO FINAL</t>
  </si>
  <si>
    <t>BRADESCO - LIMITES</t>
  </si>
  <si>
    <t>ITAÚ - SALDO</t>
  </si>
  <si>
    <t>ITAÚ - RECEBIMENTO</t>
  </si>
  <si>
    <t>ITAÚ -TRANSFENTRE CONTAS</t>
  </si>
  <si>
    <t>ITAÚ - PAG</t>
  </si>
  <si>
    <t>ITAÚ - SALDO FINAL</t>
  </si>
  <si>
    <t>ITAÚ- LIMITES</t>
  </si>
  <si>
    <t>BB - SALDO</t>
  </si>
  <si>
    <t>BB- RECEBIMENTO</t>
  </si>
  <si>
    <t>BB - TRANSFENTRE CONTAS</t>
  </si>
  <si>
    <t>BB- PAG</t>
  </si>
  <si>
    <t>BB - SALDO FINAL</t>
  </si>
  <si>
    <t>BB- LIMITES</t>
  </si>
  <si>
    <t>BB -SP - SALDO</t>
  </si>
  <si>
    <t>BB-SP  RECEBIMENTO</t>
  </si>
  <si>
    <t>BB - SP TRANSFENTRE CONTAS</t>
  </si>
  <si>
    <t>BB- SP - PAG</t>
  </si>
  <si>
    <t>BB - SP - SALDO FINAL</t>
  </si>
  <si>
    <t>BB- SP- LIMITES</t>
  </si>
  <si>
    <t>SANTANDER - SALDO</t>
  </si>
  <si>
    <t>SANTANDER - RECEBIMENTO</t>
  </si>
  <si>
    <t>SANTANDER -TRANSFENTRE CONTAS</t>
  </si>
  <si>
    <t>SANTANDER - PAGAMENTO</t>
  </si>
  <si>
    <t>SANTANDER - SALDO FINAL</t>
  </si>
  <si>
    <t>SANTANDER -LIMITES</t>
  </si>
  <si>
    <t>SAFRA - SALDO</t>
  </si>
  <si>
    <t>SAFRA - RECEBIMENTO</t>
  </si>
  <si>
    <t>SAFRA -TRANSFENTRE CONTAS</t>
  </si>
  <si>
    <t>SAFRA - PAGAMENTO</t>
  </si>
  <si>
    <t>SAFRA - SALDO FINAL</t>
  </si>
  <si>
    <t>SAFRA -LIMITES</t>
  </si>
  <si>
    <t>BANCOS -SALDO</t>
  </si>
  <si>
    <t>BANCOS -RECEBIMENTO</t>
  </si>
  <si>
    <t>BANCOS -TRANSFENTRE CONTAS</t>
  </si>
  <si>
    <t>BANCOS -PAGAMENTO</t>
  </si>
  <si>
    <t>APLICAÇÃO</t>
  </si>
  <si>
    <t>BANCOS - SALDO FINAL</t>
  </si>
  <si>
    <t>BANCOS - LIMITES</t>
  </si>
  <si>
    <t>DISPONIVEL PARA PROX</t>
  </si>
  <si>
    <t>Juros Diário</t>
  </si>
  <si>
    <t>Acumulado Mês</t>
  </si>
  <si>
    <t>Saldo médio</t>
  </si>
  <si>
    <t>Rótulos de Linha</t>
  </si>
  <si>
    <t>(vazio)</t>
  </si>
  <si>
    <t>30/nov</t>
  </si>
  <si>
    <t>01/dez</t>
  </si>
  <si>
    <t>Total Geral</t>
  </si>
  <si>
    <t>SALDO INICIAL</t>
  </si>
  <si>
    <t>#N/D</t>
  </si>
  <si>
    <t>Pagamentos em banco</t>
  </si>
  <si>
    <t>Valor</t>
  </si>
  <si>
    <t>Abril</t>
  </si>
  <si>
    <t>Maio</t>
  </si>
  <si>
    <t>Junho</t>
  </si>
  <si>
    <t xml:space="preserve">Total </t>
  </si>
  <si>
    <t>Media</t>
  </si>
  <si>
    <t xml:space="preserve">Saldo inicial </t>
  </si>
  <si>
    <t>Receita</t>
  </si>
  <si>
    <t>Despesas</t>
  </si>
  <si>
    <t>Saldo Final</t>
  </si>
  <si>
    <t>Outubro</t>
  </si>
  <si>
    <t>Novembro</t>
  </si>
  <si>
    <t>Dezembro</t>
  </si>
  <si>
    <t>////</t>
  </si>
  <si>
    <t>SEC - BA</t>
  </si>
  <si>
    <t>FAPESB</t>
  </si>
  <si>
    <t>UNIPAR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</si>
</sst>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[$-416]d\-mmm;@"/>
    <numFmt numFmtId="166" formatCode="_-* #,##0_-;\-* #,##0_-;_-* &quot;-&quot;??_-;_-@_-"/>
    <numFmt numFmtId="167" formatCode="#,##0_ ;[Red]\-#,##0\ "/>
    <numFmt numFmtId="168" formatCode="_(* #,##0_);_(* \(#,##0\);_(* &quot;-&quot;??_);_(@_)"/>
    <numFmt numFmtId="169" formatCode="#,##0.00000;[Red]\-#,##0.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Arial Nova"/>
      <family val="2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Arial Nov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8" tint="-0.499984740745262"/>
      <name val="Calibri"/>
      <family val="2"/>
      <scheme val="minor"/>
    </font>
    <font>
      <sz val="8"/>
      <color rgb="FF000000"/>
      <name val="Tahoma"/>
      <family val="2"/>
    </font>
    <font>
      <sz val="9"/>
      <color theme="1"/>
      <name val="Arial Nova"/>
      <family val="2"/>
    </font>
    <font>
      <sz val="9"/>
      <color theme="0"/>
      <name val="Arial Nova"/>
      <family val="2"/>
    </font>
    <font>
      <sz val="8"/>
      <color theme="1"/>
      <name val="Arial Nova"/>
      <family val="2"/>
    </font>
    <font>
      <sz val="11"/>
      <color theme="1"/>
      <name val="Segoe UI"/>
      <family val="2"/>
    </font>
    <font>
      <b/>
      <sz val="11"/>
      <color theme="1"/>
      <name val="Arial Nova"/>
      <family val="2"/>
    </font>
    <font>
      <sz val="8"/>
      <color rgb="FF000000"/>
      <name val="Arial Nova"/>
      <family val="2"/>
    </font>
    <font>
      <sz val="11"/>
      <color indexed="8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69A68"/>
        <bgColor indexed="64"/>
      </patternFill>
    </fill>
    <fill>
      <patternFill patternType="solid">
        <fgColor rgb="FFFFEFF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0C6D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  <xf numFmtId="0" fontId="7" fillId="21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0" fillId="0" borderId="0"/>
    <xf numFmtId="0" fontId="11" fillId="0" borderId="0"/>
    <xf numFmtId="0" fontId="12" fillId="0" borderId="0"/>
    <xf numFmtId="164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vertical="center"/>
    </xf>
    <xf numFmtId="0" fontId="5" fillId="13" borderId="0" xfId="0" applyFont="1" applyFill="1" applyAlignment="1">
      <alignment vertical="center"/>
    </xf>
    <xf numFmtId="0" fontId="5" fillId="14" borderId="0" xfId="0" applyFont="1" applyFill="1" applyAlignment="1">
      <alignment vertical="center"/>
    </xf>
    <xf numFmtId="0" fontId="5" fillId="4" borderId="0" xfId="4" applyFont="1" applyAlignment="1">
      <alignment vertical="center"/>
    </xf>
    <xf numFmtId="0" fontId="5" fillId="0" borderId="0" xfId="0" applyFont="1" applyAlignment="1">
      <alignment vertical="center"/>
    </xf>
    <xf numFmtId="0" fontId="1" fillId="15" borderId="0" xfId="3" applyFont="1" applyFill="1" applyAlignment="1">
      <alignment vertical="center"/>
    </xf>
    <xf numFmtId="0" fontId="0" fillId="16" borderId="0" xfId="0" applyFill="1" applyAlignment="1">
      <alignment horizontal="left"/>
    </xf>
    <xf numFmtId="0" fontId="4" fillId="6" borderId="0" xfId="6" applyAlignment="1">
      <alignment vertical="center"/>
    </xf>
    <xf numFmtId="0" fontId="1" fillId="0" borderId="0" xfId="10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6" applyFont="1" applyFill="1" applyAlignment="1">
      <alignment vertical="center"/>
    </xf>
    <xf numFmtId="0" fontId="1" fillId="0" borderId="0" xfId="5" applyFill="1" applyAlignment="1">
      <alignment vertical="center"/>
    </xf>
    <xf numFmtId="0" fontId="0" fillId="16" borderId="0" xfId="0" applyFill="1"/>
    <xf numFmtId="38" fontId="4" fillId="6" borderId="4" xfId="6" applyNumberFormat="1" applyBorder="1" applyAlignment="1">
      <alignment horizontal="center" vertical="center" wrapText="1"/>
    </xf>
    <xf numFmtId="38" fontId="0" fillId="0" borderId="0" xfId="0" applyNumberFormat="1" applyAlignment="1">
      <alignment horizontal="center" vertical="center" wrapText="1"/>
    </xf>
    <xf numFmtId="38" fontId="2" fillId="2" borderId="1" xfId="2" applyNumberFormat="1" applyBorder="1" applyAlignment="1">
      <alignment horizontal="center" vertical="center" wrapText="1"/>
    </xf>
    <xf numFmtId="38" fontId="2" fillId="0" borderId="0" xfId="2" applyNumberFormat="1" applyFill="1" applyAlignment="1">
      <alignment horizontal="center" vertical="center" wrapText="1"/>
    </xf>
    <xf numFmtId="38" fontId="0" fillId="0" borderId="0" xfId="0" pivotButton="1" applyNumberFormat="1" applyAlignment="1">
      <alignment horizontal="center" vertical="center" wrapText="1"/>
    </xf>
    <xf numFmtId="38" fontId="4" fillId="6" borderId="6" xfId="6" applyNumberFormat="1" applyBorder="1" applyAlignment="1">
      <alignment horizontal="center" vertical="center" wrapText="1"/>
    </xf>
    <xf numFmtId="38" fontId="4" fillId="6" borderId="7" xfId="6" applyNumberFormat="1" applyBorder="1" applyAlignment="1">
      <alignment horizontal="center" vertical="center" wrapText="1"/>
    </xf>
    <xf numFmtId="38" fontId="4" fillId="6" borderId="2" xfId="6" applyNumberFormat="1" applyBorder="1" applyAlignment="1">
      <alignment horizontal="center" vertical="center" wrapText="1"/>
    </xf>
    <xf numFmtId="38" fontId="4" fillId="7" borderId="2" xfId="7" applyNumberFormat="1" applyBorder="1" applyAlignment="1">
      <alignment horizontal="center" vertical="center" wrapText="1"/>
    </xf>
    <xf numFmtId="38" fontId="4" fillId="8" borderId="1" xfId="8" applyNumberFormat="1" applyBorder="1" applyAlignment="1">
      <alignment horizontal="center" vertical="center" wrapText="1"/>
    </xf>
    <xf numFmtId="38" fontId="4" fillId="9" borderId="1" xfId="9" applyNumberFormat="1" applyBorder="1" applyAlignment="1">
      <alignment horizontal="center" vertical="center" wrapText="1"/>
    </xf>
    <xf numFmtId="38" fontId="4" fillId="11" borderId="1" xfId="11" applyNumberFormat="1" applyBorder="1" applyAlignment="1">
      <alignment horizontal="center" vertical="center" wrapText="1"/>
    </xf>
    <xf numFmtId="38" fontId="0" fillId="17" borderId="0" xfId="0" applyNumberFormat="1" applyFill="1" applyAlignment="1">
      <alignment horizontal="center" vertical="center" wrapText="1"/>
    </xf>
    <xf numFmtId="38" fontId="0" fillId="18" borderId="0" xfId="0" applyNumberFormat="1" applyFill="1" applyAlignment="1">
      <alignment horizontal="center" vertical="center" wrapText="1"/>
    </xf>
    <xf numFmtId="167" fontId="6" fillId="0" borderId="0" xfId="1" applyNumberFormat="1" applyFont="1" applyFill="1" applyAlignment="1"/>
    <xf numFmtId="38" fontId="0" fillId="0" borderId="1" xfId="0" applyNumberFormat="1" applyBorder="1" applyAlignment="1">
      <alignment horizontal="right" vertical="center" wrapText="1"/>
    </xf>
    <xf numFmtId="38" fontId="0" fillId="0" borderId="0" xfId="0" applyNumberFormat="1" applyAlignment="1">
      <alignment horizontal="right" vertical="center" wrapText="1"/>
    </xf>
    <xf numFmtId="165" fontId="4" fillId="0" borderId="0" xfId="4" applyNumberFormat="1" applyFill="1" applyAlignment="1">
      <alignment horizontal="center" vertical="center" wrapText="1"/>
    </xf>
    <xf numFmtId="0" fontId="4" fillId="0" borderId="0" xfId="11" applyFill="1" applyAlignment="1">
      <alignment horizontal="center"/>
    </xf>
    <xf numFmtId="166" fontId="1" fillId="0" borderId="0" xfId="12" applyNumberFormat="1" applyFill="1" applyAlignment="1"/>
    <xf numFmtId="166" fontId="6" fillId="0" borderId="0" xfId="1" applyNumberFormat="1" applyFont="1" applyFill="1" applyAlignment="1"/>
    <xf numFmtId="167" fontId="6" fillId="0" borderId="0" xfId="1" applyNumberFormat="1" applyFont="1" applyFill="1" applyBorder="1" applyAlignment="1"/>
    <xf numFmtId="14" fontId="8" fillId="21" borderId="0" xfId="13" applyNumberFormat="1" applyFont="1" applyAlignment="1">
      <alignment horizontal="center" vertical="center" wrapText="1"/>
    </xf>
    <xf numFmtId="166" fontId="0" fillId="0" borderId="0" xfId="0" applyNumberFormat="1"/>
    <xf numFmtId="40" fontId="0" fillId="0" borderId="1" xfId="0" applyNumberFormat="1" applyBorder="1" applyAlignment="1">
      <alignment horizontal="right" vertical="center" wrapText="1"/>
    </xf>
    <xf numFmtId="40" fontId="0" fillId="0" borderId="0" xfId="0" applyNumberFormat="1" applyAlignment="1">
      <alignment horizontal="center" vertical="center" wrapText="1"/>
    </xf>
    <xf numFmtId="40" fontId="4" fillId="9" borderId="1" xfId="9" applyNumberFormat="1" applyBorder="1" applyAlignment="1">
      <alignment horizontal="center" vertical="center" wrapText="1"/>
    </xf>
    <xf numFmtId="40" fontId="0" fillId="0" borderId="0" xfId="0" applyNumberFormat="1" applyAlignment="1">
      <alignment horizontal="right" vertical="center" wrapText="1"/>
    </xf>
    <xf numFmtId="40" fontId="4" fillId="11" borderId="1" xfId="11" applyNumberFormat="1" applyBorder="1" applyAlignment="1">
      <alignment horizontal="center" vertical="center" wrapText="1"/>
    </xf>
    <xf numFmtId="38" fontId="0" fillId="0" borderId="0" xfId="0" applyNumberFormat="1"/>
    <xf numFmtId="38" fontId="0" fillId="27" borderId="1" xfId="0" applyNumberFormat="1" applyFill="1" applyBorder="1" applyAlignment="1">
      <alignment horizontal="right" vertical="center" wrapText="1"/>
    </xf>
    <xf numFmtId="40" fontId="0" fillId="27" borderId="1" xfId="0" applyNumberFormat="1" applyFill="1" applyBorder="1" applyAlignment="1">
      <alignment horizontal="right" vertical="center" wrapText="1"/>
    </xf>
    <xf numFmtId="38" fontId="0" fillId="28" borderId="1" xfId="0" applyNumberFormat="1" applyFill="1" applyBorder="1" applyAlignment="1">
      <alignment horizontal="right" vertical="center" wrapText="1"/>
    </xf>
    <xf numFmtId="40" fontId="0" fillId="28" borderId="1" xfId="0" applyNumberFormat="1" applyFill="1" applyBorder="1" applyAlignment="1">
      <alignment horizontal="right" vertical="center" wrapText="1"/>
    </xf>
    <xf numFmtId="38" fontId="0" fillId="29" borderId="1" xfId="0" applyNumberFormat="1" applyFill="1" applyBorder="1" applyAlignment="1">
      <alignment horizontal="right" vertical="center" wrapText="1"/>
    </xf>
    <xf numFmtId="38" fontId="0" fillId="23" borderId="1" xfId="0" applyNumberFormat="1" applyFill="1" applyBorder="1" applyAlignment="1">
      <alignment horizontal="right" vertical="center" wrapText="1"/>
    </xf>
    <xf numFmtId="38" fontId="1" fillId="24" borderId="1" xfId="14" applyNumberFormat="1" applyBorder="1" applyAlignment="1">
      <alignment horizontal="right" vertical="center" wrapText="1"/>
    </xf>
    <xf numFmtId="40" fontId="1" fillId="25" borderId="1" xfId="15" applyNumberFormat="1" applyBorder="1" applyAlignment="1">
      <alignment horizontal="right" vertical="center" wrapText="1"/>
    </xf>
    <xf numFmtId="38" fontId="1" fillId="25" borderId="1" xfId="15" applyNumberFormat="1" applyBorder="1" applyAlignment="1">
      <alignment horizontal="right" vertical="center" wrapText="1"/>
    </xf>
    <xf numFmtId="38" fontId="0" fillId="30" borderId="1" xfId="0" applyNumberFormat="1" applyFill="1" applyBorder="1" applyAlignment="1">
      <alignment horizontal="right" vertical="center" wrapText="1"/>
    </xf>
    <xf numFmtId="40" fontId="0" fillId="30" borderId="1" xfId="0" applyNumberFormat="1" applyFill="1" applyBorder="1" applyAlignment="1">
      <alignment horizontal="right" vertical="center" wrapText="1"/>
    </xf>
    <xf numFmtId="40" fontId="0" fillId="29" borderId="1" xfId="0" applyNumberFormat="1" applyFill="1" applyBorder="1" applyAlignment="1">
      <alignment horizontal="right" vertical="center" wrapText="1"/>
    </xf>
    <xf numFmtId="43" fontId="0" fillId="0" borderId="0" xfId="0" applyNumberFormat="1"/>
    <xf numFmtId="167" fontId="0" fillId="0" borderId="0" xfId="0" applyNumberFormat="1"/>
    <xf numFmtId="38" fontId="0" fillId="31" borderId="0" xfId="0" applyNumberFormat="1" applyFill="1" applyAlignment="1">
      <alignment horizontal="center" vertical="center" wrapText="1"/>
    </xf>
    <xf numFmtId="43" fontId="0" fillId="0" borderId="0" xfId="1" applyFont="1"/>
    <xf numFmtId="38" fontId="0" fillId="0" borderId="8" xfId="0" applyNumberFormat="1" applyBorder="1" applyAlignment="1">
      <alignment horizontal="center" vertical="center" wrapText="1"/>
    </xf>
    <xf numFmtId="38" fontId="0" fillId="30" borderId="8" xfId="0" applyNumberFormat="1" applyFill="1" applyBorder="1" applyAlignment="1">
      <alignment horizontal="center" vertical="center" wrapText="1"/>
    </xf>
    <xf numFmtId="38" fontId="4" fillId="32" borderId="8" xfId="0" applyNumberFormat="1" applyFont="1" applyFill="1" applyBorder="1" applyAlignment="1">
      <alignment horizontal="center" vertical="center" wrapText="1"/>
    </xf>
    <xf numFmtId="0" fontId="9" fillId="11" borderId="0" xfId="11" applyFont="1" applyAlignment="1">
      <alignment horizontal="center" vertical="center"/>
    </xf>
    <xf numFmtId="0" fontId="6" fillId="19" borderId="0" xfId="0" applyFont="1" applyFill="1"/>
    <xf numFmtId="38" fontId="6" fillId="0" borderId="0" xfId="0" applyNumberFormat="1" applyFont="1" applyAlignment="1">
      <alignment horizontal="center" vertical="center" wrapText="1"/>
    </xf>
    <xf numFmtId="38" fontId="4" fillId="7" borderId="1" xfId="7" applyNumberFormat="1" applyBorder="1" applyAlignment="1">
      <alignment horizontal="center" vertical="center" wrapText="1"/>
    </xf>
    <xf numFmtId="40" fontId="4" fillId="7" borderId="1" xfId="7" applyNumberFormat="1" applyBorder="1" applyAlignment="1">
      <alignment horizontal="center" vertical="center" wrapText="1"/>
    </xf>
    <xf numFmtId="166" fontId="0" fillId="0" borderId="0" xfId="1" applyNumberFormat="1" applyFont="1"/>
    <xf numFmtId="40" fontId="13" fillId="28" borderId="1" xfId="0" applyNumberFormat="1" applyFont="1" applyFill="1" applyBorder="1" applyAlignment="1">
      <alignment horizontal="right" vertical="center" wrapText="1"/>
    </xf>
    <xf numFmtId="4" fontId="0" fillId="0" borderId="0" xfId="0" applyNumberFormat="1"/>
    <xf numFmtId="0" fontId="14" fillId="0" borderId="0" xfId="0" applyFont="1"/>
    <xf numFmtId="3" fontId="0" fillId="0" borderId="0" xfId="0" applyNumberFormat="1"/>
    <xf numFmtId="40" fontId="1" fillId="24" borderId="1" xfId="14" applyNumberFormat="1" applyBorder="1" applyAlignment="1">
      <alignment horizontal="right" vertical="center" wrapText="1"/>
    </xf>
    <xf numFmtId="16" fontId="16" fillId="22" borderId="0" xfId="0" quotePrefix="1" applyNumberFormat="1" applyFont="1" applyFill="1"/>
    <xf numFmtId="166" fontId="16" fillId="22" borderId="0" xfId="1" applyNumberFormat="1" applyFont="1" applyFill="1" applyAlignment="1"/>
    <xf numFmtId="38" fontId="0" fillId="33" borderId="0" xfId="0" applyNumberFormat="1" applyFill="1" applyAlignment="1">
      <alignment horizontal="center" vertical="center" wrapText="1"/>
    </xf>
    <xf numFmtId="38" fontId="0" fillId="33" borderId="1" xfId="0" applyNumberFormat="1" applyFill="1" applyBorder="1" applyAlignment="1">
      <alignment horizontal="right" vertical="center" wrapText="1"/>
    </xf>
    <xf numFmtId="40" fontId="0" fillId="33" borderId="1" xfId="0" applyNumberFormat="1" applyFill="1" applyBorder="1" applyAlignment="1">
      <alignment horizontal="right" vertical="center" wrapText="1"/>
    </xf>
    <xf numFmtId="40" fontId="1" fillId="33" borderId="1" xfId="15" applyNumberFormat="1" applyFill="1" applyBorder="1" applyAlignment="1">
      <alignment horizontal="right" vertical="center" wrapText="1"/>
    </xf>
    <xf numFmtId="38" fontId="1" fillId="33" borderId="1" xfId="15" applyNumberFormat="1" applyFill="1" applyBorder="1" applyAlignment="1">
      <alignment horizontal="right" vertical="center" wrapText="1"/>
    </xf>
    <xf numFmtId="169" fontId="0" fillId="0" borderId="0" xfId="0" applyNumberFormat="1" applyAlignment="1">
      <alignment horizontal="center" vertical="center" wrapText="1"/>
    </xf>
    <xf numFmtId="38" fontId="0" fillId="20" borderId="0" xfId="0" applyNumberFormat="1" applyFill="1" applyAlignment="1">
      <alignment horizontal="center" vertical="center" wrapText="1"/>
    </xf>
    <xf numFmtId="38" fontId="1" fillId="24" borderId="1" xfId="14" applyNumberFormat="1" applyBorder="1" applyAlignment="1">
      <alignment horizontal="center" vertical="center" wrapText="1"/>
    </xf>
    <xf numFmtId="0" fontId="16" fillId="34" borderId="0" xfId="0" applyFont="1" applyFill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168" fontId="16" fillId="34" borderId="0" xfId="19" applyNumberFormat="1" applyFont="1" applyFill="1" applyBorder="1" applyAlignment="1">
      <alignment horizontal="right" shrinkToFit="1"/>
    </xf>
    <xf numFmtId="38" fontId="0" fillId="0" borderId="0" xfId="0" applyNumberFormat="1" applyAlignment="1">
      <alignment vertical="center" wrapText="1"/>
    </xf>
    <xf numFmtId="0" fontId="17" fillId="19" borderId="0" xfId="0" applyFont="1" applyFill="1" applyAlignment="1">
      <alignment vertical="center"/>
    </xf>
    <xf numFmtId="166" fontId="15" fillId="19" borderId="0" xfId="1" applyNumberFormat="1" applyFont="1" applyFill="1" applyAlignment="1">
      <alignment vertical="center"/>
    </xf>
    <xf numFmtId="16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0" fillId="35" borderId="0" xfId="0" applyFont="1" applyFill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4" fontId="4" fillId="4" borderId="1" xfId="4" applyNumberFormat="1" applyBorder="1" applyAlignment="1">
      <alignment vertical="center" wrapText="1"/>
    </xf>
    <xf numFmtId="14" fontId="4" fillId="4" borderId="1" xfId="4" applyNumberFormat="1" applyBorder="1" applyAlignment="1">
      <alignment horizontal="center" vertical="center" wrapText="1"/>
    </xf>
    <xf numFmtId="14" fontId="0" fillId="26" borderId="1" xfId="0" applyNumberFormat="1" applyFill="1" applyBorder="1" applyAlignment="1">
      <alignment horizontal="center" vertical="center" wrapText="1"/>
    </xf>
    <xf numFmtId="14" fontId="0" fillId="18" borderId="1" xfId="0" applyNumberFormat="1" applyFill="1" applyBorder="1" applyAlignment="1">
      <alignment horizontal="center" vertical="center" wrapText="1"/>
    </xf>
    <xf numFmtId="14" fontId="0" fillId="33" borderId="1" xfId="0" applyNumberFormat="1" applyFill="1" applyBorder="1" applyAlignment="1">
      <alignment horizontal="center" vertical="center" wrapText="1"/>
    </xf>
    <xf numFmtId="166" fontId="15" fillId="17" borderId="0" xfId="1" applyNumberFormat="1" applyFont="1" applyFill="1" applyAlignment="1">
      <alignment horizontal="center" vertical="center"/>
    </xf>
    <xf numFmtId="168" fontId="6" fillId="19" borderId="0" xfId="1" applyNumberFormat="1" applyFont="1" applyFill="1" applyAlignment="1">
      <alignment horizontal="left"/>
    </xf>
    <xf numFmtId="40" fontId="4" fillId="36" borderId="1" xfId="7" applyNumberFormat="1" applyFill="1" applyBorder="1" applyAlignment="1">
      <alignment horizontal="center" vertical="center" wrapText="1"/>
    </xf>
    <xf numFmtId="38" fontId="4" fillId="36" borderId="1" xfId="7" applyNumberFormat="1" applyFill="1" applyBorder="1" applyAlignment="1">
      <alignment horizontal="center" vertical="center" wrapText="1"/>
    </xf>
    <xf numFmtId="165" fontId="6" fillId="20" borderId="0" xfId="0" applyNumberFormat="1" applyFont="1" applyFill="1" applyAlignment="1">
      <alignment horizontal="left"/>
    </xf>
    <xf numFmtId="168" fontId="19" fillId="20" borderId="0" xfId="1" applyNumberFormat="1" applyFont="1" applyFill="1" applyBorder="1" applyAlignment="1"/>
    <xf numFmtId="165" fontId="6" fillId="37" borderId="0" xfId="0" applyNumberFormat="1" applyFont="1" applyFill="1" applyAlignment="1">
      <alignment horizontal="left"/>
    </xf>
    <xf numFmtId="168" fontId="19" fillId="37" borderId="0" xfId="1" applyNumberFormat="1" applyFont="1" applyFill="1" applyBorder="1" applyAlignment="1"/>
    <xf numFmtId="168" fontId="6" fillId="38" borderId="0" xfId="1" applyNumberFormat="1" applyFont="1" applyFill="1" applyAlignment="1">
      <alignment horizontal="left"/>
    </xf>
    <xf numFmtId="0" fontId="6" fillId="38" borderId="0" xfId="12" applyFont="1" applyFill="1" applyBorder="1"/>
    <xf numFmtId="165" fontId="6" fillId="20" borderId="10" xfId="0" applyNumberFormat="1" applyFont="1" applyFill="1" applyBorder="1" applyAlignment="1">
      <alignment horizontal="left"/>
    </xf>
    <xf numFmtId="168" fontId="19" fillId="20" borderId="10" xfId="1" applyNumberFormat="1" applyFont="1" applyFill="1" applyBorder="1" applyAlignment="1"/>
    <xf numFmtId="0" fontId="3" fillId="3" borderId="0" xfId="3" applyAlignment="1">
      <alignment horizontal="center" vertical="center"/>
    </xf>
    <xf numFmtId="38" fontId="4" fillId="7" borderId="1" xfId="7" applyNumberFormat="1" applyBorder="1" applyAlignment="1">
      <alignment horizontal="center" vertical="center" wrapText="1"/>
    </xf>
    <xf numFmtId="38" fontId="2" fillId="2" borderId="6" xfId="2" applyNumberFormat="1" applyBorder="1" applyAlignment="1">
      <alignment horizontal="center" vertical="center" wrapText="1"/>
    </xf>
    <xf numFmtId="38" fontId="2" fillId="2" borderId="9" xfId="2" applyNumberFormat="1" applyBorder="1" applyAlignment="1">
      <alignment horizontal="center" vertical="center" wrapText="1"/>
    </xf>
    <xf numFmtId="38" fontId="4" fillId="6" borderId="3" xfId="6" applyNumberFormat="1" applyBorder="1" applyAlignment="1">
      <alignment horizontal="center" vertical="center" wrapText="1"/>
    </xf>
    <xf numFmtId="38" fontId="4" fillId="6" borderId="5" xfId="6" applyNumberFormat="1" applyBorder="1" applyAlignment="1">
      <alignment horizontal="center" vertical="center" wrapText="1"/>
    </xf>
    <xf numFmtId="38" fontId="4" fillId="7" borderId="3" xfId="7" applyNumberFormat="1" applyBorder="1" applyAlignment="1">
      <alignment horizontal="center" vertical="center" wrapText="1"/>
    </xf>
    <xf numFmtId="38" fontId="4" fillId="8" borderId="1" xfId="8" applyNumberFormat="1" applyBorder="1" applyAlignment="1">
      <alignment horizontal="center" vertical="center" wrapText="1"/>
    </xf>
    <xf numFmtId="38" fontId="4" fillId="11" borderId="1" xfId="11" applyNumberFormat="1" applyBorder="1" applyAlignment="1">
      <alignment horizontal="center" vertical="center" wrapText="1"/>
    </xf>
    <xf numFmtId="38" fontId="4" fillId="9" borderId="1" xfId="9" applyNumberFormat="1" applyBorder="1" applyAlignment="1">
      <alignment horizontal="center" vertical="center" wrapText="1"/>
    </xf>
    <xf numFmtId="38" fontId="4" fillId="36" borderId="6" xfId="7" applyNumberFormat="1" applyFill="1" applyBorder="1" applyAlignment="1">
      <alignment horizontal="center" vertical="center" wrapText="1"/>
    </xf>
    <xf numFmtId="38" fontId="4" fillId="36" borderId="9" xfId="7" applyNumberFormat="1" applyFill="1" applyBorder="1" applyAlignment="1">
      <alignment horizontal="center" vertical="center" wrapText="1"/>
    </xf>
    <xf numFmtId="38" fontId="4" fillId="36" borderId="7" xfId="7" applyNumberFormat="1" applyFill="1" applyBorder="1" applyAlignment="1">
      <alignment horizontal="center" vertical="center" wrapText="1"/>
    </xf>
  </cellXfs>
  <cellStyles count="23">
    <cellStyle name="20% - Ênfase3" xfId="14" builtinId="38"/>
    <cellStyle name="20% - Ênfase5" xfId="15" builtinId="46"/>
    <cellStyle name="40% - Ênfase6" xfId="12" builtinId="51"/>
    <cellStyle name="60% - Ênfase1" xfId="5" builtinId="32"/>
    <cellStyle name="60% - Ênfase5" xfId="10" builtinId="48"/>
    <cellStyle name="Bom" xfId="2" builtinId="26"/>
    <cellStyle name="Ênfase1" xfId="4" builtinId="29"/>
    <cellStyle name="Ênfase2" xfId="6" builtinId="33"/>
    <cellStyle name="Ênfase3" xfId="7" builtinId="37"/>
    <cellStyle name="Ênfase4" xfId="8" builtinId="41"/>
    <cellStyle name="Ênfase5" xfId="9" builtinId="45"/>
    <cellStyle name="Ênfase6" xfId="11" builtinId="49"/>
    <cellStyle name="Neutro" xfId="13" builtinId="28"/>
    <cellStyle name="Normal" xfId="0" builtinId="0"/>
    <cellStyle name="Normal 2" xfId="16" xr:uid="{13E89D79-7194-4D5F-9397-51C7CA3798E7}"/>
    <cellStyle name="Normal 3" xfId="17" xr:uid="{665EC228-B323-45A4-AC05-6365A0C0423E}"/>
    <cellStyle name="Normal 4" xfId="18" xr:uid="{120CB85A-F73E-482C-8BE5-ECB958E93032}"/>
    <cellStyle name="Ruim" xfId="3" builtinId="27"/>
    <cellStyle name="Vírgula" xfId="1" builtinId="3"/>
    <cellStyle name="Vírgula 2 2 2 2" xfId="19" xr:uid="{76D7606C-C995-4544-BD7A-BDDEE64094F4}"/>
    <cellStyle name="Vírgula 3 2" xfId="20" xr:uid="{88537C8F-32C3-400C-8BC5-40EEEF248DC4}"/>
    <cellStyle name="Vírgula 3 2 2" xfId="21" xr:uid="{CCD6DB4A-7ADF-48AC-928B-DCAA8898026B}"/>
    <cellStyle name="Vírgula 9 2 2" xfId="22" xr:uid="{82801342-FDFA-45A0-9972-0F659BD2C9A6}"/>
  </cellStyles>
  <dxfs count="77">
    <dxf>
      <font>
        <color rgb="FFFF0000"/>
      </font>
    </dxf>
    <dxf>
      <font>
        <color rgb="FFFF0000"/>
      </font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numFmt numFmtId="168" formatCode="_(* #,##0_);_(* \(#,##0\);_(* &quot;-&quot;??_);_(@_)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"/>
        <family val="2"/>
        <scheme val="none"/>
      </font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ova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94807"/>
      <color rgb="FFFFD1D1"/>
      <color rgb="FFFFCCCC"/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378</xdr:row>
      <xdr:rowOff>0</xdr:rowOff>
    </xdr:from>
    <xdr:to>
      <xdr:col>6</xdr:col>
      <xdr:colOff>304800</xdr:colOff>
      <xdr:row>379</xdr:row>
      <xdr:rowOff>114299</xdr:rowOff>
    </xdr:to>
    <xdr:sp macro="" textlink="">
      <xdr:nvSpPr>
        <xdr:cNvPr id="1026" name="avatar">
          <a:extLst>
            <a:ext uri="{FF2B5EF4-FFF2-40B4-BE49-F238E27FC236}">
              <a16:creationId xmlns:a16="http://schemas.microsoft.com/office/drawing/2014/main" id="{79AA2F15-B03E-FE08-4869-649271A12AF7}"/>
            </a:ext>
          </a:extLst>
        </xdr:cNvPr>
        <xdr:cNvSpPr>
          <a:spLocks noChangeAspect="1" noChangeArrowheads="1"/>
        </xdr:cNvSpPr>
      </xdr:nvSpPr>
      <xdr:spPr bwMode="auto">
        <a:xfrm>
          <a:off x="5648325" y="709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isele Cerqueira Conceicao" id="{36B68645-B734-44BE-A503-928378ABF5D0}" userId="S::gisele.conceicao@solutis.com.br::a044c758-f0ec-4df5-9aac-2222c5c2f3df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7%2006%202022%20PF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Gisele Cerqueira Conceicao" refreshedDate="44166.731278125" createdVersion="6" refreshedVersion="6" minRefreshableVersion="3" recordCount="31" xr:uid="{BA8CD968-5DBB-41B2-A171-FE0A1DD39720}">
  <cacheSource type="worksheet">
    <worksheetSource name="Tabela1" r:id="rId1"/>
  </cacheSource>
  <cacheFields count="10">
    <cacheField name="DATA DE LANÇAMENTO" numFmtId="0">
      <sharedItems containsNonDate="0" containsDate="1" containsString="0" containsBlank="1" minDate="2020-11-30T00:00:00" maxDate="2020-12-02T00:00:00"/>
    </cacheField>
    <cacheField name="COD." numFmtId="0">
      <sharedItems containsBlank="1"/>
    </cacheField>
    <cacheField name="TIPO" numFmtId="0">
      <sharedItems count="4">
        <s v="SALDO INICIAL"/>
        <s v="RECEITA"/>
        <s v="DESPESAS"/>
        <e v="#N/A"/>
      </sharedItems>
    </cacheField>
    <cacheField name="CLASSIFICAÇÃO" numFmtId="0">
      <sharedItems/>
    </cacheField>
    <cacheField name=" CONTA" numFmtId="0">
      <sharedItems containsBlank="1"/>
    </cacheField>
    <cacheField name="VALOR" numFmtId="43">
      <sharedItems containsString="0" containsBlank="1" containsNumber="1" minValue="-45980.37" maxValue="1655274.86"/>
    </cacheField>
    <cacheField name="DATA DE PAGAMENTO" numFmtId="0">
      <sharedItems containsNonDate="0" containsDate="1" containsString="0" containsBlank="1" minDate="2020-11-30T00:00:00" maxDate="2020-12-02T00:00:00" count="3">
        <d v="2020-11-30T00:00:00"/>
        <d v="2020-12-01T00:00:00"/>
        <m/>
      </sharedItems>
      <fieldGroup par="9" base="6">
        <rangePr groupBy="days" startDate="2020-11-30T00:00:00" endDate="2020-12-02T00:00:00"/>
        <groupItems count="368">
          <s v="(vazio)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0"/>
        </groupItems>
      </fieldGroup>
    </cacheField>
    <cacheField name="BANCO" numFmtId="16">
      <sharedItems containsBlank="1" count="6">
        <s v="BRADESCO"/>
        <s v="ITAU"/>
        <s v="BB"/>
        <s v="SANTANDER"/>
        <s v="BB -SP"/>
        <m/>
      </sharedItems>
    </cacheField>
    <cacheField name="ACUMULADO" numFmtId="0">
      <sharedItems containsNonDate="0" containsString="0" containsBlank="1"/>
    </cacheField>
    <cacheField name="Meses" numFmtId="0" databaseField="0">
      <fieldGroup base="6">
        <rangePr groupBy="months" startDate="2020-11-30T00:00:00" endDate="2020-12-02T00:00:00"/>
        <groupItems count="14">
          <s v="&lt;30/11/2020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E32D0-9A94-426A-9C0F-6BFDDEA1F5F1}" name="Tabela dinâmica4" cacheId="40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BD2:BH24" firstHeaderRow="1" firstDataRow="2" firstDataCol="1"/>
  <pivotFields count="10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sortType="ascending">
      <items count="7">
        <item x="2"/>
        <item x="4"/>
        <item x="0"/>
        <item x="1"/>
        <item x="3"/>
        <item x="5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2"/>
  </rowFields>
  <rowItems count="21">
    <i>
      <x/>
    </i>
    <i r="1">
      <x/>
    </i>
    <i r="1">
      <x v="1"/>
    </i>
    <i r="1">
      <x v="3"/>
    </i>
    <i>
      <x v="1"/>
    </i>
    <i r="1">
      <x v="3"/>
    </i>
    <i>
      <x v="2"/>
    </i>
    <i r="1">
      <x/>
    </i>
    <i r="1">
      <x v="1"/>
    </i>
    <i r="1">
      <x v="3"/>
    </i>
    <i>
      <x v="3"/>
    </i>
    <i r="1">
      <x/>
    </i>
    <i r="1">
      <x v="1"/>
    </i>
    <i r="1">
      <x v="3"/>
    </i>
    <i>
      <x v="4"/>
    </i>
    <i r="1">
      <x/>
    </i>
    <i r="1">
      <x v="3"/>
    </i>
    <i>
      <x v="5"/>
    </i>
    <i r="1">
      <x/>
    </i>
    <i r="1">
      <x v="2"/>
    </i>
    <i t="grand">
      <x/>
    </i>
  </rowItems>
  <colFields count="1">
    <field x="6"/>
  </colFields>
  <colItems count="4">
    <i>
      <x/>
    </i>
    <i>
      <x v="335"/>
    </i>
    <i>
      <x v="336"/>
    </i>
    <i t="grand">
      <x/>
    </i>
  </colItems>
  <dataFields count="1">
    <dataField name="Soma de VALOR" fld="5" baseField="0" baseItem="0" numFmtId="38"/>
  </dataFields>
  <formats count="70">
    <format dxfId="72">
      <pivotArea type="all" dataOnly="0" outline="0" fieldPosition="0"/>
    </format>
    <format dxfId="71">
      <pivotArea dataOnly="0" labelOnly="1" outline="0" axis="axisValues" fieldPosition="0"/>
    </format>
    <format dxfId="70">
      <pivotArea collapsedLevelsAreSubtotals="1" fieldPosition="0">
        <references count="1">
          <reference field="7" count="1">
            <x v="2"/>
          </reference>
        </references>
      </pivotArea>
    </format>
    <format dxfId="69">
      <pivotArea collapsedLevelsAreSubtotals="1" fieldPosition="0">
        <references count="1">
          <reference field="7" count="1">
            <x v="3"/>
          </reference>
        </references>
      </pivotArea>
    </format>
    <format dxfId="68">
      <pivotArea collapsedLevelsAreSubtotals="1" fieldPosition="0">
        <references count="1">
          <reference field="7" count="1">
            <x v="4"/>
          </reference>
        </references>
      </pivotArea>
    </format>
    <format dxfId="67">
      <pivotArea collapsedLevelsAreSubtotals="1" fieldPosition="0">
        <references count="1">
          <reference field="7" count="1">
            <x v="0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6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7" type="button" dataOnly="0" labelOnly="1" outline="0" axis="axisRow" fieldPosition="0"/>
    </format>
    <format dxfId="60">
      <pivotArea dataOnly="0" labelOnly="1" fieldPosition="0">
        <references count="1">
          <reference field="7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0"/>
          </reference>
        </references>
      </pivotArea>
    </format>
    <format dxfId="57">
      <pivotArea dataOnly="0" labelOnly="1" fieldPosition="0">
        <references count="2">
          <reference field="2" count="1">
            <x v="3"/>
          </reference>
          <reference field="7" count="1" selected="0">
            <x v="1"/>
          </reference>
        </references>
      </pivotArea>
    </format>
    <format dxfId="56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2"/>
          </reference>
        </references>
      </pivotArea>
    </format>
    <format dxfId="55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3"/>
          </reference>
        </references>
      </pivotArea>
    </format>
    <format dxfId="54">
      <pivotArea dataOnly="0" labelOnly="1" fieldPosition="0">
        <references count="2">
          <reference field="2" count="2">
            <x v="0"/>
            <x v="3"/>
          </reference>
          <reference field="7" count="1" selected="0">
            <x v="4"/>
          </reference>
        </references>
      </pivotArea>
    </format>
    <format dxfId="53">
      <pivotArea dataOnly="0" labelOnly="1" fieldPosition="0">
        <references count="2">
          <reference field="2" count="2">
            <x v="0"/>
            <x v="2"/>
          </reference>
          <reference field="7" count="1" selected="0">
            <x v="5"/>
          </reference>
        </references>
      </pivotArea>
    </format>
    <format dxfId="52">
      <pivotArea dataOnly="0" labelOnly="1" fieldPosition="0">
        <references count="1">
          <reference field="6" count="3">
            <x v="0"/>
            <x v="335"/>
            <x v="336"/>
          </reference>
        </references>
      </pivotArea>
    </format>
    <format dxfId="51">
      <pivotArea dataOnly="0" labelOnly="1" grandCol="1" outline="0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6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7" type="button" dataOnly="0" labelOnly="1" outline="0" axis="axisRow" fieldPosition="0"/>
    </format>
    <format dxfId="44">
      <pivotArea dataOnly="0" labelOnly="1" fieldPosition="0">
        <references count="1">
          <reference field="7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0"/>
          </reference>
        </references>
      </pivotArea>
    </format>
    <format dxfId="41">
      <pivotArea dataOnly="0" labelOnly="1" fieldPosition="0">
        <references count="2">
          <reference field="2" count="1">
            <x v="3"/>
          </reference>
          <reference field="7" count="1" selected="0">
            <x v="1"/>
          </reference>
        </references>
      </pivotArea>
    </format>
    <format dxfId="40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2"/>
          </reference>
        </references>
      </pivotArea>
    </format>
    <format dxfId="39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3"/>
          </reference>
        </references>
      </pivotArea>
    </format>
    <format dxfId="38">
      <pivotArea dataOnly="0" labelOnly="1" fieldPosition="0">
        <references count="2">
          <reference field="2" count="2">
            <x v="0"/>
            <x v="3"/>
          </reference>
          <reference field="7" count="1" selected="0">
            <x v="4"/>
          </reference>
        </references>
      </pivotArea>
    </format>
    <format dxfId="37">
      <pivotArea dataOnly="0" labelOnly="1" fieldPosition="0">
        <references count="2">
          <reference field="2" count="2">
            <x v="0"/>
            <x v="2"/>
          </reference>
          <reference field="7" count="1" selected="0">
            <x v="5"/>
          </reference>
        </references>
      </pivotArea>
    </format>
    <format dxfId="36">
      <pivotArea dataOnly="0" labelOnly="1" fieldPosition="0">
        <references count="1">
          <reference field="6" count="3">
            <x v="0"/>
            <x v="335"/>
            <x v="336"/>
          </reference>
        </references>
      </pivotArea>
    </format>
    <format dxfId="35">
      <pivotArea dataOnly="0" labelOnly="1" grandCol="1" outline="0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6" type="button" dataOnly="0" labelOnly="1" outline="0" axis="axisCol" fieldPosition="0"/>
    </format>
    <format dxfId="30">
      <pivotArea type="topRight" dataOnly="0" labelOnly="1" outline="0" fieldPosition="0"/>
    </format>
    <format dxfId="29">
      <pivotArea field="7" type="button" dataOnly="0" labelOnly="1" outline="0" axis="axisRow" fieldPosition="0"/>
    </format>
    <format dxfId="28">
      <pivotArea dataOnly="0" labelOnly="1" fieldPosition="0">
        <references count="1">
          <reference field="7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0"/>
          </reference>
        </references>
      </pivotArea>
    </format>
    <format dxfId="25">
      <pivotArea dataOnly="0" labelOnly="1" fieldPosition="0">
        <references count="2">
          <reference field="2" count="1">
            <x v="3"/>
          </reference>
          <reference field="7" count="1" selected="0">
            <x v="1"/>
          </reference>
        </references>
      </pivotArea>
    </format>
    <format dxfId="24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2"/>
          </reference>
        </references>
      </pivotArea>
    </format>
    <format dxfId="23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3"/>
          </reference>
        </references>
      </pivotArea>
    </format>
    <format dxfId="22">
      <pivotArea dataOnly="0" labelOnly="1" fieldPosition="0">
        <references count="2">
          <reference field="2" count="2">
            <x v="0"/>
            <x v="3"/>
          </reference>
          <reference field="7" count="1" selected="0">
            <x v="4"/>
          </reference>
        </references>
      </pivotArea>
    </format>
    <format dxfId="21">
      <pivotArea dataOnly="0" labelOnly="1" fieldPosition="0">
        <references count="2">
          <reference field="2" count="2">
            <x v="0"/>
            <x v="2"/>
          </reference>
          <reference field="7" count="1" selected="0">
            <x v="5"/>
          </reference>
        </references>
      </pivotArea>
    </format>
    <format dxfId="20">
      <pivotArea dataOnly="0" labelOnly="1" fieldPosition="0">
        <references count="1">
          <reference field="6" count="3">
            <x v="0"/>
            <x v="335"/>
            <x v="336"/>
          </reference>
        </references>
      </pivotArea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type="origin" dataOnly="0" labelOnly="1" outline="0" fieldPosition="0"/>
    </format>
    <format dxfId="15">
      <pivotArea field="6" type="button" dataOnly="0" labelOnly="1" outline="0" axis="axisCol" fieldPosition="0"/>
    </format>
    <format dxfId="14">
      <pivotArea type="topRight" dataOnly="0" labelOnly="1" outline="0" fieldPosition="0"/>
    </format>
    <format dxfId="13">
      <pivotArea field="7" type="button" dataOnly="0" labelOnly="1" outline="0" axis="axisRow" fieldPosition="0"/>
    </format>
    <format dxfId="12">
      <pivotArea dataOnly="0" labelOnly="1" fieldPosition="0">
        <references count="1">
          <reference field="7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0"/>
          </reference>
        </references>
      </pivotArea>
    </format>
    <format dxfId="9">
      <pivotArea dataOnly="0" labelOnly="1" fieldPosition="0">
        <references count="2">
          <reference field="2" count="1">
            <x v="3"/>
          </reference>
          <reference field="7" count="1" selected="0">
            <x v="1"/>
          </reference>
        </references>
      </pivotArea>
    </format>
    <format dxfId="8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2"/>
          </reference>
        </references>
      </pivotArea>
    </format>
    <format dxfId="7">
      <pivotArea dataOnly="0" labelOnly="1" fieldPosition="0">
        <references count="2">
          <reference field="2" count="3">
            <x v="0"/>
            <x v="1"/>
            <x v="3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2">
          <reference field="2" count="2">
            <x v="0"/>
            <x v="3"/>
          </reference>
          <reference field="7" count="1" selected="0">
            <x v="4"/>
          </reference>
        </references>
      </pivotArea>
    </format>
    <format dxfId="5">
      <pivotArea dataOnly="0" labelOnly="1" fieldPosition="0">
        <references count="2">
          <reference field="2" count="2">
            <x v="0"/>
            <x v="2"/>
          </reference>
          <reference field="7" count="1" selected="0">
            <x v="5"/>
          </reference>
        </references>
      </pivotArea>
    </format>
    <format dxfId="4">
      <pivotArea dataOnly="0" labelOnly="1" fieldPosition="0">
        <references count="1">
          <reference field="6" count="3">
            <x v="0"/>
            <x v="335"/>
            <x v="336"/>
          </reference>
        </references>
      </pivotArea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93BF2-A1CE-43C1-81E9-FA5CC86EF3BB}" name="Tabela1" displayName="Tabela1" ref="A4:B10" totalsRowShown="0" headerRowDxfId="76" tableBorderDxfId="75" headerRowCellStyle="Ênfase6">
  <autoFilter ref="A4:B10" xr:uid="{A3A93BF2-A1CE-43C1-81E9-FA5CC86EF3BB}"/>
  <sortState xmlns:xlrd2="http://schemas.microsoft.com/office/spreadsheetml/2017/richdata2" ref="A5:B10">
    <sortCondition descending="1" ref="B4:B10"/>
  </sortState>
  <tableColumns count="2">
    <tableColumn id="1" xr3:uid="{FBA99547-C46C-4386-AF6A-1379633BD694}" name="BANCO" dataDxfId="74"/>
    <tableColumn id="2" xr3:uid="{9A30FD84-6FF0-4EEE-925A-8C0F17266CF1}" name="SALDO" dataDxfId="73" dataCellStyle="Vírg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-azulado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94" dT="2021-08-27T12:38:39.93" personId="{36B68645-B734-44BE-A503-928378ABF5D0}" id="{7220ADC0-1C36-4A10-B448-63C0D22821CC}">
    <text>Devolução de uma pagamento em duplicidade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D073-85A5-4EA5-9EC8-EE8E34973E5C}">
  <sheetPr codeName="Planilha1"/>
  <dimension ref="B1:T42"/>
  <sheetViews>
    <sheetView showGridLines="0" workbookViewId="0">
      <selection activeCell="F7" sqref="F7"/>
    </sheetView>
  </sheetViews>
  <sheetFormatPr defaultColWidth="9.109375" defaultRowHeight="14.4" x14ac:dyDescent="0.3"/>
  <cols>
    <col min="1" max="1" width="2.6640625" style="1" customWidth="1"/>
    <col min="2" max="2" width="7.33203125" style="1" bestFit="1" customWidth="1"/>
    <col min="3" max="3" width="28.6640625" style="1" bestFit="1" customWidth="1"/>
    <col min="4" max="4" width="9.6640625" style="1" bestFit="1" customWidth="1"/>
    <col min="5" max="5" width="4.33203125" style="1" customWidth="1"/>
    <col min="6" max="6" width="11.88671875" style="1" bestFit="1" customWidth="1"/>
    <col min="7" max="7" width="4" style="1" customWidth="1"/>
    <col min="8" max="8" width="26.44140625" style="1" bestFit="1" customWidth="1"/>
    <col min="9" max="9" width="2.6640625" style="1" customWidth="1"/>
    <col min="10" max="10" width="26.44140625" style="1" bestFit="1" customWidth="1"/>
    <col min="11" max="11" width="3" style="1" customWidth="1"/>
    <col min="12" max="12" width="42.6640625" style="1" customWidth="1"/>
    <col min="13" max="13" width="2.44140625" style="1" customWidth="1"/>
    <col min="14" max="14" width="30.44140625" style="1" bestFit="1" customWidth="1"/>
    <col min="15" max="15" width="2.88671875" style="1" customWidth="1"/>
    <col min="16" max="16" width="36.5546875" style="1" bestFit="1" customWidth="1"/>
    <col min="17" max="17" width="2.88671875" style="1" customWidth="1"/>
    <col min="18" max="18" width="26.33203125" style="1" customWidth="1"/>
    <col min="19" max="19" width="2.88671875" style="1" customWidth="1"/>
    <col min="20" max="20" width="28.6640625" style="1" bestFit="1" customWidth="1"/>
    <col min="21" max="16384" width="9.109375" style="1"/>
  </cols>
  <sheetData>
    <row r="1" spans="2:20" ht="33" customHeight="1" x14ac:dyDescent="0.3"/>
    <row r="2" spans="2:20" ht="24" customHeight="1" x14ac:dyDescent="0.3">
      <c r="B2" s="2"/>
      <c r="C2" s="2"/>
      <c r="D2" s="2"/>
      <c r="F2" s="114" t="s">
        <v>0</v>
      </c>
      <c r="H2" s="3" t="s">
        <v>1</v>
      </c>
      <c r="J2" s="3" t="s">
        <v>2</v>
      </c>
      <c r="L2" s="3" t="s">
        <v>3</v>
      </c>
      <c r="N2" s="4" t="s">
        <v>4</v>
      </c>
      <c r="P2" s="4" t="s">
        <v>5</v>
      </c>
      <c r="R2" s="4" t="s">
        <v>6</v>
      </c>
      <c r="T2" s="4" t="s">
        <v>7</v>
      </c>
    </row>
    <row r="3" spans="2:20" ht="24" customHeight="1" x14ac:dyDescent="0.3">
      <c r="B3" s="2" t="s">
        <v>8</v>
      </c>
      <c r="C3" s="2" t="s">
        <v>9</v>
      </c>
      <c r="D3" s="2" t="s">
        <v>10</v>
      </c>
      <c r="F3" s="114"/>
      <c r="H3" s="3" t="s">
        <v>11</v>
      </c>
      <c r="J3" s="3" t="s">
        <v>12</v>
      </c>
      <c r="L3" s="3" t="s">
        <v>13</v>
      </c>
      <c r="N3" s="4" t="s">
        <v>14</v>
      </c>
      <c r="P3" s="4" t="s">
        <v>15</v>
      </c>
      <c r="R3" s="4" t="s">
        <v>16</v>
      </c>
      <c r="T3" s="4" t="s">
        <v>17</v>
      </c>
    </row>
    <row r="4" spans="2:20" ht="18" x14ac:dyDescent="0.3">
      <c r="B4" s="5"/>
      <c r="C4" s="5"/>
      <c r="D4" s="5"/>
      <c r="E4" s="5"/>
      <c r="F4" s="6"/>
      <c r="H4" s="7" t="s">
        <v>18</v>
      </c>
      <c r="J4" s="7" t="s">
        <v>18</v>
      </c>
      <c r="L4" s="7" t="s">
        <v>19</v>
      </c>
      <c r="N4" s="8" t="s">
        <v>20</v>
      </c>
      <c r="P4" s="8" t="s">
        <v>21</v>
      </c>
      <c r="R4" s="8" t="s">
        <v>22</v>
      </c>
      <c r="T4" s="8" t="s">
        <v>23</v>
      </c>
    </row>
    <row r="5" spans="2:20" x14ac:dyDescent="0.3">
      <c r="B5" s="1" t="s">
        <v>11</v>
      </c>
      <c r="C5" s="1" t="s">
        <v>1</v>
      </c>
      <c r="D5" s="1" t="s">
        <v>24</v>
      </c>
      <c r="F5" s="6" t="s">
        <v>25</v>
      </c>
      <c r="H5" s="7" t="s">
        <v>26</v>
      </c>
      <c r="J5" s="7" t="s">
        <v>26</v>
      </c>
      <c r="L5" s="7" t="s">
        <v>27</v>
      </c>
      <c r="N5" s="8" t="s">
        <v>28</v>
      </c>
      <c r="P5" s="8" t="s">
        <v>29</v>
      </c>
      <c r="R5" s="8" t="s">
        <v>30</v>
      </c>
      <c r="T5" s="8" t="s">
        <v>31</v>
      </c>
    </row>
    <row r="6" spans="2:20" x14ac:dyDescent="0.3">
      <c r="B6" s="1" t="s">
        <v>12</v>
      </c>
      <c r="C6" s="1" t="s">
        <v>2</v>
      </c>
      <c r="D6" s="1" t="s">
        <v>24</v>
      </c>
      <c r="F6" s="6" t="s">
        <v>32</v>
      </c>
      <c r="H6" s="7" t="s">
        <v>33</v>
      </c>
      <c r="J6" s="7" t="s">
        <v>33</v>
      </c>
      <c r="L6" s="7"/>
      <c r="N6" s="8" t="s">
        <v>34</v>
      </c>
      <c r="P6" s="8" t="s">
        <v>35</v>
      </c>
      <c r="R6" s="8" t="s">
        <v>36</v>
      </c>
      <c r="T6" s="8" t="s">
        <v>37</v>
      </c>
    </row>
    <row r="7" spans="2:20" x14ac:dyDescent="0.3">
      <c r="B7" s="9" t="s">
        <v>13</v>
      </c>
      <c r="C7" s="9" t="s">
        <v>3</v>
      </c>
      <c r="D7" s="9" t="s">
        <v>24</v>
      </c>
      <c r="E7" s="9"/>
      <c r="F7" s="6" t="s">
        <v>38</v>
      </c>
      <c r="H7" s="7" t="s">
        <v>39</v>
      </c>
      <c r="J7" s="7" t="s">
        <v>39</v>
      </c>
      <c r="K7" s="10"/>
      <c r="L7" s="7"/>
      <c r="N7" s="8" t="s">
        <v>40</v>
      </c>
      <c r="P7" s="8"/>
      <c r="R7" s="8" t="s">
        <v>41</v>
      </c>
      <c r="T7" s="8" t="s">
        <v>42</v>
      </c>
    </row>
    <row r="8" spans="2:20" x14ac:dyDescent="0.3">
      <c r="B8" s="11" t="s">
        <v>14</v>
      </c>
      <c r="C8" s="11" t="s">
        <v>4</v>
      </c>
      <c r="D8" s="9" t="s">
        <v>43</v>
      </c>
      <c r="E8" s="11"/>
      <c r="F8" s="6" t="s">
        <v>44</v>
      </c>
      <c r="H8" s="7" t="s">
        <v>45</v>
      </c>
      <c r="J8" s="7" t="s">
        <v>45</v>
      </c>
      <c r="K8" s="10"/>
      <c r="L8" s="7"/>
      <c r="N8" s="8" t="s">
        <v>46</v>
      </c>
      <c r="P8" s="8"/>
      <c r="R8" s="8" t="s">
        <v>47</v>
      </c>
      <c r="T8" s="8" t="s">
        <v>48</v>
      </c>
    </row>
    <row r="9" spans="2:20" x14ac:dyDescent="0.3">
      <c r="B9" s="12" t="s">
        <v>15</v>
      </c>
      <c r="C9" s="12" t="s">
        <v>49</v>
      </c>
      <c r="D9" s="9" t="s">
        <v>43</v>
      </c>
      <c r="E9" s="12"/>
      <c r="F9" s="6" t="s">
        <v>50</v>
      </c>
      <c r="H9" s="7" t="s">
        <v>51</v>
      </c>
      <c r="J9" s="7" t="s">
        <v>51</v>
      </c>
      <c r="K9" s="10"/>
      <c r="L9" s="7"/>
      <c r="N9" s="8" t="s">
        <v>52</v>
      </c>
      <c r="P9" s="8"/>
      <c r="R9" s="8" t="s">
        <v>53</v>
      </c>
      <c r="T9" s="8" t="s">
        <v>54</v>
      </c>
    </row>
    <row r="10" spans="2:20" x14ac:dyDescent="0.3">
      <c r="B10" s="12" t="s">
        <v>16</v>
      </c>
      <c r="C10" s="12" t="s">
        <v>6</v>
      </c>
      <c r="D10" s="9" t="s">
        <v>43</v>
      </c>
      <c r="E10" s="11"/>
      <c r="H10" s="7" t="s">
        <v>55</v>
      </c>
      <c r="J10" s="7" t="s">
        <v>55</v>
      </c>
      <c r="K10" s="10"/>
      <c r="L10" s="7"/>
      <c r="N10" s="8"/>
      <c r="P10" s="8"/>
      <c r="R10" s="8" t="s">
        <v>56</v>
      </c>
      <c r="T10" s="8" t="s">
        <v>57</v>
      </c>
    </row>
    <row r="11" spans="2:20" x14ac:dyDescent="0.3">
      <c r="B11" s="12" t="s">
        <v>17</v>
      </c>
      <c r="C11" s="12" t="s">
        <v>7</v>
      </c>
      <c r="D11" s="9" t="s">
        <v>43</v>
      </c>
      <c r="E11" s="12"/>
      <c r="H11" s="7" t="s">
        <v>58</v>
      </c>
      <c r="J11" s="7" t="s">
        <v>58</v>
      </c>
      <c r="K11" s="10"/>
      <c r="L11" s="7"/>
      <c r="N11" s="8"/>
      <c r="P11" s="8"/>
      <c r="R11" s="8" t="s">
        <v>59</v>
      </c>
      <c r="T11" s="8"/>
    </row>
    <row r="12" spans="2:20" x14ac:dyDescent="0.3">
      <c r="E12" s="11"/>
      <c r="H12" s="7" t="s">
        <v>60</v>
      </c>
      <c r="J12" s="7" t="s">
        <v>60</v>
      </c>
      <c r="K12" s="10"/>
      <c r="L12" s="7"/>
      <c r="N12" s="8"/>
      <c r="P12" s="8"/>
      <c r="R12" s="8"/>
      <c r="T12" s="8"/>
    </row>
    <row r="13" spans="2:20" x14ac:dyDescent="0.3">
      <c r="E13" s="12"/>
      <c r="H13" s="7" t="s">
        <v>61</v>
      </c>
      <c r="J13" s="7" t="s">
        <v>61</v>
      </c>
      <c r="L13" s="7"/>
      <c r="N13" s="8"/>
      <c r="P13" s="8"/>
      <c r="R13" s="8"/>
      <c r="T13" s="8"/>
    </row>
    <row r="14" spans="2:20" x14ac:dyDescent="0.3">
      <c r="C14" s="12" t="s">
        <v>6</v>
      </c>
      <c r="D14" s="12"/>
      <c r="E14" s="12"/>
      <c r="H14" s="7" t="s">
        <v>62</v>
      </c>
      <c r="J14" s="7" t="s">
        <v>62</v>
      </c>
      <c r="L14" s="7"/>
      <c r="N14" s="8"/>
      <c r="P14" s="8"/>
      <c r="R14" s="8"/>
      <c r="T14" s="8"/>
    </row>
    <row r="15" spans="2:20" x14ac:dyDescent="0.3">
      <c r="C15" s="12" t="s">
        <v>49</v>
      </c>
      <c r="D15" s="12"/>
      <c r="H15" s="7" t="s">
        <v>63</v>
      </c>
      <c r="J15" s="7" t="s">
        <v>63</v>
      </c>
      <c r="L15" s="7"/>
    </row>
    <row r="16" spans="2:20" ht="15" customHeight="1" x14ac:dyDescent="0.3">
      <c r="H16" s="7" t="s">
        <v>64</v>
      </c>
      <c r="J16" s="7" t="s">
        <v>64</v>
      </c>
      <c r="L16" s="7"/>
    </row>
    <row r="17" spans="8:12" x14ac:dyDescent="0.3">
      <c r="H17" s="7" t="s">
        <v>65</v>
      </c>
      <c r="J17" s="7" t="s">
        <v>65</v>
      </c>
      <c r="L17" s="7"/>
    </row>
    <row r="18" spans="8:12" x14ac:dyDescent="0.3">
      <c r="H18" s="7" t="s">
        <v>65</v>
      </c>
      <c r="J18" s="7" t="s">
        <v>65</v>
      </c>
      <c r="L18" s="7"/>
    </row>
    <row r="19" spans="8:12" x14ac:dyDescent="0.3">
      <c r="H19" s="13" t="s">
        <v>66</v>
      </c>
      <c r="J19" s="13" t="s">
        <v>66</v>
      </c>
      <c r="L19" s="7"/>
    </row>
    <row r="20" spans="8:12" x14ac:dyDescent="0.3">
      <c r="H20" s="7" t="s">
        <v>66</v>
      </c>
      <c r="J20" s="7" t="s">
        <v>66</v>
      </c>
      <c r="L20" s="7"/>
    </row>
    <row r="21" spans="8:12" x14ac:dyDescent="0.3">
      <c r="H21" s="7" t="s">
        <v>67</v>
      </c>
      <c r="J21" s="7" t="s">
        <v>67</v>
      </c>
      <c r="L21" s="7"/>
    </row>
    <row r="22" spans="8:12" x14ac:dyDescent="0.3">
      <c r="H22" s="7" t="s">
        <v>68</v>
      </c>
      <c r="J22" s="7" t="s">
        <v>68</v>
      </c>
      <c r="L22" s="7"/>
    </row>
    <row r="23" spans="8:12" x14ac:dyDescent="0.3">
      <c r="H23" s="7" t="s">
        <v>69</v>
      </c>
      <c r="J23" s="7" t="s">
        <v>69</v>
      </c>
      <c r="L23" s="7"/>
    </row>
    <row r="24" spans="8:12" x14ac:dyDescent="0.3">
      <c r="H24" s="7" t="s">
        <v>70</v>
      </c>
      <c r="J24" s="7" t="s">
        <v>70</v>
      </c>
      <c r="L24" s="7"/>
    </row>
    <row r="25" spans="8:12" x14ac:dyDescent="0.3">
      <c r="H25" s="7" t="s">
        <v>71</v>
      </c>
      <c r="J25" s="7" t="s">
        <v>71</v>
      </c>
      <c r="L25" s="7"/>
    </row>
    <row r="26" spans="8:12" x14ac:dyDescent="0.3">
      <c r="H26" s="7" t="s">
        <v>72</v>
      </c>
      <c r="J26" s="7" t="s">
        <v>72</v>
      </c>
      <c r="L26" s="7"/>
    </row>
    <row r="27" spans="8:12" x14ac:dyDescent="0.3">
      <c r="H27" s="7" t="s">
        <v>73</v>
      </c>
      <c r="J27" s="7" t="s">
        <v>73</v>
      </c>
      <c r="L27" s="7"/>
    </row>
    <row r="28" spans="8:12" x14ac:dyDescent="0.3">
      <c r="H28" s="7" t="s">
        <v>74</v>
      </c>
      <c r="J28" s="7" t="s">
        <v>74</v>
      </c>
      <c r="L28" s="7"/>
    </row>
    <row r="29" spans="8:12" x14ac:dyDescent="0.3">
      <c r="H29" s="7" t="s">
        <v>75</v>
      </c>
      <c r="J29" s="7" t="s">
        <v>75</v>
      </c>
      <c r="L29" s="7"/>
    </row>
    <row r="30" spans="8:12" x14ac:dyDescent="0.3">
      <c r="H30" s="7" t="s">
        <v>76</v>
      </c>
      <c r="J30" s="7" t="s">
        <v>76</v>
      </c>
      <c r="L30" s="7"/>
    </row>
    <row r="31" spans="8:12" x14ac:dyDescent="0.3">
      <c r="H31" s="7" t="s">
        <v>77</v>
      </c>
      <c r="J31" s="7" t="s">
        <v>77</v>
      </c>
      <c r="L31" s="7"/>
    </row>
    <row r="32" spans="8:12" x14ac:dyDescent="0.3">
      <c r="H32" s="7" t="s">
        <v>78</v>
      </c>
      <c r="J32" s="7" t="s">
        <v>78</v>
      </c>
      <c r="L32" s="7"/>
    </row>
    <row r="33" spans="8:12" x14ac:dyDescent="0.3">
      <c r="H33" s="7" t="s">
        <v>79</v>
      </c>
      <c r="J33" s="7" t="s">
        <v>79</v>
      </c>
      <c r="L33" s="7"/>
    </row>
    <row r="34" spans="8:12" x14ac:dyDescent="0.3">
      <c r="H34" s="7" t="s">
        <v>80</v>
      </c>
      <c r="J34" s="7" t="s">
        <v>80</v>
      </c>
      <c r="L34" s="7"/>
    </row>
    <row r="35" spans="8:12" x14ac:dyDescent="0.3">
      <c r="H35" s="7" t="s">
        <v>81</v>
      </c>
      <c r="J35" s="7" t="s">
        <v>81</v>
      </c>
      <c r="L35" s="7"/>
    </row>
    <row r="36" spans="8:12" x14ac:dyDescent="0.3">
      <c r="H36" s="7" t="s">
        <v>82</v>
      </c>
      <c r="J36" s="7" t="s">
        <v>82</v>
      </c>
      <c r="L36" s="7"/>
    </row>
    <row r="37" spans="8:12" x14ac:dyDescent="0.3">
      <c r="H37" s="7" t="s">
        <v>83</v>
      </c>
      <c r="J37" s="7" t="s">
        <v>83</v>
      </c>
      <c r="L37" s="7"/>
    </row>
    <row r="38" spans="8:12" x14ac:dyDescent="0.3">
      <c r="H38" s="13" t="s">
        <v>84</v>
      </c>
      <c r="J38" s="13" t="s">
        <v>84</v>
      </c>
      <c r="L38" s="7"/>
    </row>
    <row r="39" spans="8:12" x14ac:dyDescent="0.3">
      <c r="H39" s="7" t="s">
        <v>85</v>
      </c>
      <c r="J39" s="7" t="s">
        <v>85</v>
      </c>
      <c r="L39" s="7"/>
    </row>
    <row r="40" spans="8:12" x14ac:dyDescent="0.3">
      <c r="H40" s="7" t="s">
        <v>86</v>
      </c>
      <c r="J40" s="7" t="s">
        <v>86</v>
      </c>
      <c r="L40" s="7"/>
    </row>
    <row r="41" spans="8:12" x14ac:dyDescent="0.3">
      <c r="H41" s="7" t="s">
        <v>87</v>
      </c>
      <c r="J41" s="7" t="s">
        <v>87</v>
      </c>
    </row>
    <row r="42" spans="8:12" x14ac:dyDescent="0.3">
      <c r="H42" s="7" t="s">
        <v>88</v>
      </c>
      <c r="J42" s="7" t="s">
        <v>88</v>
      </c>
    </row>
  </sheetData>
  <mergeCells count="1">
    <mergeCell ref="F2:F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0FC3-89E2-4E57-9482-007B40E0D963}">
  <sheetPr codeName="Planilha3"/>
  <dimension ref="A2:W48"/>
  <sheetViews>
    <sheetView showGridLines="0" tabSelected="1" zoomScaleNormal="100" workbookViewId="0">
      <selection activeCell="B26" sqref="B26"/>
    </sheetView>
  </sheetViews>
  <sheetFormatPr defaultRowHeight="14.4" x14ac:dyDescent="0.3"/>
  <cols>
    <col min="1" max="1" width="31.5546875" bestFit="1" customWidth="1"/>
    <col min="2" max="2" width="15.109375" customWidth="1"/>
    <col min="3" max="3" width="16.44140625" bestFit="1" customWidth="1"/>
    <col min="4" max="4" width="13.88671875" bestFit="1" customWidth="1"/>
    <col min="5" max="5" width="15.109375" bestFit="1" customWidth="1"/>
    <col min="6" max="6" width="29.44140625" customWidth="1"/>
    <col min="7" max="7" width="13.88671875" bestFit="1" customWidth="1"/>
    <col min="8" max="8" width="13.5546875" customWidth="1"/>
    <col min="9" max="9" width="13.88671875" bestFit="1" customWidth="1"/>
    <col min="10" max="10" width="12.44140625" customWidth="1"/>
    <col min="11" max="11" width="33.5546875" bestFit="1" customWidth="1"/>
  </cols>
  <sheetData>
    <row r="2" spans="1:23" x14ac:dyDescent="0.3">
      <c r="A2" s="36">
        <f ca="1">TODAY()</f>
        <v>46219</v>
      </c>
      <c r="B2" s="15"/>
    </row>
    <row r="3" spans="1:23" hidden="1" x14ac:dyDescent="0.3">
      <c r="A3" s="15"/>
      <c r="B3" s="15"/>
    </row>
    <row r="4" spans="1:23" x14ac:dyDescent="0.3">
      <c r="A4" s="63" t="s">
        <v>0</v>
      </c>
      <c r="B4" s="63" t="s">
        <v>89</v>
      </c>
    </row>
    <row r="5" spans="1:23" ht="13.2" customHeight="1" x14ac:dyDescent="0.3">
      <c r="A5" s="111" t="s">
        <v>39</v>
      </c>
      <c r="B5" s="110">
        <f>'Fluxo do Banco'!G1467</f>
        <v>766908.08000000287</v>
      </c>
    </row>
    <row r="6" spans="1:23" x14ac:dyDescent="0.3">
      <c r="A6" s="111" t="s">
        <v>78</v>
      </c>
      <c r="B6" s="110">
        <f>'Fluxo do Banco'!AK1467+'Fluxo do Banco'!AE1467</f>
        <v>18678.119999999755</v>
      </c>
    </row>
    <row r="7" spans="1:23" x14ac:dyDescent="0.3">
      <c r="A7" s="64" t="s">
        <v>92</v>
      </c>
      <c r="B7" s="103">
        <f>'Fluxo do Banco'!AQ1467</f>
        <v>282.6699999999995</v>
      </c>
      <c r="D7" s="68"/>
    </row>
    <row r="8" spans="1:23" x14ac:dyDescent="0.3">
      <c r="A8" s="64" t="s">
        <v>91</v>
      </c>
      <c r="B8" s="103">
        <f>'Fluxo do Banco'!S1467</f>
        <v>267.77999999932945</v>
      </c>
      <c r="D8" s="56"/>
    </row>
    <row r="9" spans="1:23" x14ac:dyDescent="0.3">
      <c r="A9" s="111" t="s">
        <v>93</v>
      </c>
      <c r="B9" s="110">
        <f>'Fluxo do Banco'!Y1467</f>
        <v>58.409999999403965</v>
      </c>
      <c r="D9" s="70"/>
    </row>
    <row r="10" spans="1:23" x14ac:dyDescent="0.3">
      <c r="A10" s="64" t="s">
        <v>90</v>
      </c>
      <c r="B10" s="103">
        <f>'Fluxo do Banco'!M1467</f>
        <v>-2921513.5399999996</v>
      </c>
      <c r="D10" s="72"/>
      <c r="E10" s="72"/>
    </row>
    <row r="11" spans="1:23" x14ac:dyDescent="0.3">
      <c r="A11" s="112" t="str">
        <f ca="1">"Saldo Bancário em " &amp; TEXT(TODAY(),"dd/mm/aaaa")</f>
        <v>Saldo Bancário em 16/07/2026</v>
      </c>
      <c r="B11" s="113">
        <f>SUM(B5:B10)</f>
        <v>-2135318.4799999981</v>
      </c>
      <c r="C11" s="57"/>
      <c r="D11" s="72"/>
      <c r="J11" s="68"/>
    </row>
    <row r="12" spans="1:23" ht="13.95" customHeight="1" x14ac:dyDescent="0.3">
      <c r="A12" s="108" t="s">
        <v>94</v>
      </c>
      <c r="B12" s="109">
        <v>5024000</v>
      </c>
      <c r="D12" s="72"/>
      <c r="E12" s="72"/>
      <c r="F12" s="85"/>
      <c r="G12" s="85"/>
      <c r="J12" s="68"/>
      <c r="W12">
        <v>631770</v>
      </c>
    </row>
    <row r="13" spans="1:23" ht="13.95" customHeight="1" x14ac:dyDescent="0.3">
      <c r="A13" s="106" t="str">
        <f ca="1">"Saldo Operacional em " &amp; TEXT(TODAY(),"dd/mm/aaaa")</f>
        <v>Saldo Operacional em 16/07/2026</v>
      </c>
      <c r="B13" s="107">
        <f>B11-B12</f>
        <v>-7159318.4799999986</v>
      </c>
      <c r="D13" s="72"/>
      <c r="E13" s="72"/>
      <c r="F13" s="85"/>
      <c r="G13" s="85"/>
      <c r="J13" s="68"/>
    </row>
    <row r="14" spans="1:23" ht="13.95" customHeight="1" x14ac:dyDescent="0.3">
      <c r="A14" s="65"/>
      <c r="B14" s="65"/>
      <c r="D14" s="72"/>
      <c r="E14" s="72"/>
      <c r="F14" s="85"/>
      <c r="G14" s="85"/>
      <c r="J14" s="68"/>
    </row>
    <row r="15" spans="1:23" x14ac:dyDescent="0.3">
      <c r="A15" s="74" t="str">
        <f ca="1">"Recebimento " &amp; TEXT(WORKDAY(TODAY(),-1),"dd/mm/aaaa")</f>
        <v>Recebimento 15/07/2026</v>
      </c>
      <c r="B15" s="75">
        <f>SUM(B16:B23)</f>
        <v>1721472.94</v>
      </c>
      <c r="C15" s="43">
        <f>'Fluxo do Banco'!AT1467</f>
        <v>1721472.9400000002</v>
      </c>
      <c r="D15" s="56">
        <f>C15-B15</f>
        <v>0</v>
      </c>
      <c r="E15" s="68"/>
      <c r="F15" s="85"/>
      <c r="G15" s="86"/>
      <c r="J15" s="68"/>
      <c r="W15">
        <v>89032</v>
      </c>
    </row>
    <row r="16" spans="1:23" x14ac:dyDescent="0.3">
      <c r="A16" s="95" t="s">
        <v>172</v>
      </c>
      <c r="B16" s="102">
        <v>1555781.95</v>
      </c>
      <c r="C16" s="43"/>
      <c r="D16" s="56"/>
      <c r="E16" s="68"/>
      <c r="F16" s="85"/>
      <c r="G16" s="86"/>
      <c r="J16" s="68"/>
    </row>
    <row r="17" spans="1:10" ht="16.2" customHeight="1" x14ac:dyDescent="0.3">
      <c r="A17" s="91" t="s">
        <v>173</v>
      </c>
      <c r="B17" s="92">
        <v>80766.17</v>
      </c>
      <c r="C17" s="43"/>
      <c r="D17" s="37"/>
      <c r="E17" s="72"/>
      <c r="H17" s="68"/>
      <c r="J17" s="68"/>
    </row>
    <row r="18" spans="1:10" ht="16.2" customHeight="1" x14ac:dyDescent="0.3">
      <c r="A18" s="95" t="s">
        <v>66</v>
      </c>
      <c r="B18" s="102">
        <v>79968.13</v>
      </c>
      <c r="C18" s="43"/>
      <c r="D18" s="37"/>
      <c r="E18" s="72"/>
      <c r="H18" s="68"/>
      <c r="J18" s="68"/>
    </row>
    <row r="19" spans="1:10" ht="18" customHeight="1" x14ac:dyDescent="0.3">
      <c r="A19" s="91" t="s">
        <v>174</v>
      </c>
      <c r="B19" s="92">
        <v>4956.6899999999996</v>
      </c>
      <c r="C19" s="43"/>
      <c r="D19" s="37"/>
      <c r="E19" s="72"/>
      <c r="H19" s="68"/>
      <c r="J19" s="68"/>
    </row>
    <row r="20" spans="1:10" ht="16.2" hidden="1" customHeight="1" x14ac:dyDescent="0.3">
      <c r="A20" s="91"/>
      <c r="B20" s="92"/>
      <c r="C20" s="43"/>
      <c r="D20" s="37"/>
      <c r="E20" s="70"/>
      <c r="J20" s="68"/>
    </row>
    <row r="21" spans="1:10" ht="16.2" hidden="1" customHeight="1" x14ac:dyDescent="0.3">
      <c r="A21" s="95"/>
      <c r="B21" s="102"/>
      <c r="C21" s="70"/>
      <c r="D21" s="71"/>
      <c r="E21" s="70"/>
    </row>
    <row r="22" spans="1:10" ht="16.2" hidden="1" customHeight="1" x14ac:dyDescent="0.3">
      <c r="A22" s="91"/>
      <c r="B22" s="92"/>
      <c r="E22" s="70"/>
    </row>
    <row r="23" spans="1:10" ht="16.2" hidden="1" customHeight="1" x14ac:dyDescent="0.3">
      <c r="A23" s="95"/>
      <c r="B23" s="102"/>
      <c r="E23" s="70"/>
      <c r="H23" s="59"/>
    </row>
    <row r="24" spans="1:10" ht="14.25" customHeight="1" x14ac:dyDescent="0.3">
      <c r="A24" s="84" t="str">
        <f ca="1">"Pagamento " &amp; TEXT(WORKDAY(TODAY(),-1),"dd/mm/aaaa")</f>
        <v>Pagamento 15/07/2026</v>
      </c>
      <c r="B24" s="89">
        <f>SUM(B25:B37)</f>
        <v>242432.41</v>
      </c>
      <c r="C24" s="43"/>
      <c r="D24" s="56"/>
      <c r="E24" s="68"/>
      <c r="H24" s="59"/>
      <c r="J24" s="37"/>
    </row>
    <row r="25" spans="1:10" ht="14.25" customHeight="1" x14ac:dyDescent="0.3">
      <c r="A25" s="85" t="s">
        <v>166</v>
      </c>
      <c r="B25" s="86">
        <v>242432.41</v>
      </c>
      <c r="H25" s="59"/>
    </row>
    <row r="26" spans="1:10" ht="14.25" customHeight="1" x14ac:dyDescent="0.3">
      <c r="A26" s="85"/>
      <c r="B26" s="86"/>
      <c r="C26" s="37"/>
      <c r="D26" s="37"/>
      <c r="E26" s="37"/>
      <c r="H26" s="59"/>
    </row>
    <row r="27" spans="1:10" ht="14.25" customHeight="1" x14ac:dyDescent="0.3">
      <c r="A27" s="85"/>
      <c r="B27" s="86"/>
      <c r="C27" s="43">
        <f>'Fluxo do Banco'!AV1467</f>
        <v>-242432.41</v>
      </c>
      <c r="D27" s="56">
        <f>C27+B24</f>
        <v>0</v>
      </c>
      <c r="E27" s="85"/>
      <c r="F27" s="85"/>
      <c r="G27" s="85"/>
      <c r="H27" s="59"/>
    </row>
    <row r="28" spans="1:10" ht="14.25" customHeight="1" x14ac:dyDescent="0.3">
      <c r="A28" s="85"/>
      <c r="B28" s="86"/>
      <c r="C28" s="37"/>
      <c r="D28" s="72"/>
      <c r="E28" s="90"/>
      <c r="F28" s="85"/>
      <c r="G28" s="85"/>
      <c r="H28" s="59"/>
    </row>
    <row r="29" spans="1:10" ht="14.25" customHeight="1" x14ac:dyDescent="0.3">
      <c r="A29" s="85"/>
      <c r="B29" s="86"/>
      <c r="E29" s="85"/>
      <c r="F29" s="94"/>
      <c r="G29" s="94"/>
      <c r="H29" s="59"/>
    </row>
    <row r="30" spans="1:10" ht="14.25" customHeight="1" x14ac:dyDescent="0.3">
      <c r="A30" s="85"/>
      <c r="B30" s="86"/>
      <c r="E30" s="85"/>
      <c r="F30" s="93"/>
      <c r="G30" s="85"/>
      <c r="H30" s="59"/>
    </row>
    <row r="31" spans="1:10" ht="14.25" customHeight="1" x14ac:dyDescent="0.3">
      <c r="A31" s="85"/>
      <c r="B31" s="86"/>
      <c r="E31" s="85"/>
      <c r="F31" s="93"/>
      <c r="G31" s="85"/>
      <c r="H31" s="56"/>
    </row>
    <row r="32" spans="1:10" ht="14.25" customHeight="1" x14ac:dyDescent="0.3">
      <c r="A32" s="85"/>
      <c r="B32" s="86"/>
      <c r="E32" s="85"/>
      <c r="F32" s="85"/>
      <c r="G32" s="86"/>
      <c r="H32" s="56"/>
    </row>
    <row r="33" spans="1:8" ht="14.25" customHeight="1" x14ac:dyDescent="0.3">
      <c r="A33" s="85"/>
      <c r="B33" s="85"/>
      <c r="G33" s="85"/>
      <c r="H33" s="59"/>
    </row>
    <row r="34" spans="1:8" ht="14.25" customHeight="1" x14ac:dyDescent="0.3">
      <c r="A34" s="85"/>
      <c r="B34" s="86"/>
      <c r="F34" s="85"/>
      <c r="G34" s="86"/>
      <c r="H34" s="59"/>
    </row>
    <row r="35" spans="1:8" ht="14.25" customHeight="1" x14ac:dyDescent="0.3">
      <c r="A35" s="85"/>
      <c r="B35" s="86"/>
      <c r="F35" s="87"/>
      <c r="G35" s="88"/>
      <c r="H35" s="59"/>
    </row>
    <row r="36" spans="1:8" ht="14.25" customHeight="1" x14ac:dyDescent="0.3">
      <c r="A36" s="85"/>
      <c r="B36" s="86"/>
      <c r="F36" s="87"/>
      <c r="G36" s="88"/>
      <c r="H36" s="59"/>
    </row>
    <row r="37" spans="1:8" ht="16.8" x14ac:dyDescent="0.3">
      <c r="B37" s="34"/>
      <c r="F37" s="87"/>
      <c r="G37" s="88"/>
      <c r="H37" s="59"/>
    </row>
    <row r="38" spans="1:8" x14ac:dyDescent="0.3">
      <c r="B38" s="34"/>
      <c r="H38" s="59"/>
    </row>
    <row r="39" spans="1:8" x14ac:dyDescent="0.3">
      <c r="B39" s="34"/>
      <c r="H39" s="59"/>
    </row>
    <row r="40" spans="1:8" x14ac:dyDescent="0.3">
      <c r="B40" s="34"/>
      <c r="H40" s="59"/>
    </row>
    <row r="41" spans="1:8" x14ac:dyDescent="0.3">
      <c r="B41" s="34"/>
      <c r="H41" s="59"/>
    </row>
    <row r="42" spans="1:8" x14ac:dyDescent="0.3">
      <c r="B42" s="34"/>
      <c r="H42" s="59"/>
    </row>
    <row r="43" spans="1:8" x14ac:dyDescent="0.3">
      <c r="B43" s="34"/>
      <c r="H43" s="59"/>
    </row>
    <row r="44" spans="1:8" x14ac:dyDescent="0.3">
      <c r="B44" s="34"/>
      <c r="H44" s="59"/>
    </row>
    <row r="45" spans="1:8" x14ac:dyDescent="0.3">
      <c r="B45" s="34"/>
      <c r="H45" s="59"/>
    </row>
    <row r="46" spans="1:8" x14ac:dyDescent="0.3">
      <c r="B46" s="34"/>
      <c r="H46" s="56"/>
    </row>
    <row r="47" spans="1:8" x14ac:dyDescent="0.3">
      <c r="B47" s="34"/>
    </row>
    <row r="48" spans="1:8" x14ac:dyDescent="0.3">
      <c r="B48" s="34"/>
    </row>
  </sheetData>
  <sortState xmlns:xlrd2="http://schemas.microsoft.com/office/spreadsheetml/2017/richdata2" ref="A5:B10">
    <sortCondition descending="1" ref="B5:B10"/>
  </sortState>
  <conditionalFormatting sqref="B5:B13">
    <cfRule type="cellIs" dxfId="2" priority="57" operator="lessThan">
      <formula>0</formula>
    </cfRule>
  </conditionalFormatting>
  <conditionalFormatting sqref="B15:B23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3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C373-83F6-489A-A59E-987DBF1C24AA}">
  <sheetPr codeName="Planilha2"/>
  <dimension ref="A1:BH1634"/>
  <sheetViews>
    <sheetView showGridLines="0" zoomScale="120" zoomScaleNormal="120" workbookViewId="0">
      <pane xSplit="2" ySplit="3" topLeftCell="C1453" activePane="bottomRight" state="frozen"/>
      <selection pane="topRight" activeCell="E1" sqref="E1"/>
      <selection pane="bottomLeft" activeCell="A4" sqref="A4"/>
      <selection pane="bottomRight" activeCell="A1467" sqref="A1467:XFD1467"/>
    </sheetView>
  </sheetViews>
  <sheetFormatPr defaultColWidth="18.44140625" defaultRowHeight="14.4" x14ac:dyDescent="0.3"/>
  <cols>
    <col min="1" max="1" width="2.109375" style="15" customWidth="1"/>
    <col min="2" max="2" width="15" style="96" customWidth="1"/>
    <col min="3" max="3" width="16.6640625" style="30" bestFit="1" customWidth="1"/>
    <col min="4" max="4" width="17.109375" style="30" customWidth="1"/>
    <col min="5" max="5" width="20.5546875" style="30" customWidth="1"/>
    <col min="6" max="6" width="22" style="30" customWidth="1"/>
    <col min="7" max="21" width="18.44140625" style="30"/>
    <col min="22" max="25" width="18.44140625" style="41"/>
    <col min="26" max="27" width="18.44140625" style="30"/>
    <col min="28" max="31" width="18.44140625" style="41"/>
    <col min="32" max="33" width="18.44140625" style="30"/>
    <col min="34" max="37" width="18.44140625" style="41"/>
    <col min="38" max="39" width="18.44140625" style="30"/>
    <col min="40" max="43" width="18.44140625" style="41"/>
    <col min="44" max="52" width="18.44140625" style="30"/>
    <col min="53" max="54" width="18.44140625" style="15"/>
    <col min="55" max="55" width="21" style="15" customWidth="1"/>
    <col min="56" max="16384" width="18.44140625" style="15"/>
  </cols>
  <sheetData>
    <row r="1" spans="1:60" x14ac:dyDescent="0.3"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39"/>
      <c r="W1" s="39"/>
      <c r="X1" s="39"/>
      <c r="Y1" s="39"/>
      <c r="Z1" s="15"/>
      <c r="AA1" s="15"/>
      <c r="AB1" s="39"/>
      <c r="AC1" s="39"/>
      <c r="AD1" s="39"/>
      <c r="AE1" s="39"/>
      <c r="AF1" s="15"/>
      <c r="AG1" s="15"/>
      <c r="AH1" s="39"/>
      <c r="AI1" s="39"/>
      <c r="AJ1" s="39"/>
      <c r="AK1" s="39"/>
      <c r="AL1" s="15"/>
      <c r="AM1" s="15"/>
      <c r="AN1" s="39"/>
      <c r="AO1" s="39"/>
      <c r="AP1" s="39"/>
      <c r="AQ1" s="39"/>
      <c r="AR1" s="15"/>
      <c r="AS1" s="15"/>
      <c r="AT1" s="15"/>
      <c r="AU1" s="15"/>
      <c r="AV1" s="15"/>
      <c r="AW1" s="15"/>
      <c r="AX1" s="15"/>
      <c r="AY1" s="15"/>
      <c r="AZ1" s="15"/>
      <c r="BA1" s="81">
        <f>2.5%/30</f>
        <v>8.3333333333333339E-4</v>
      </c>
    </row>
    <row r="2" spans="1:60" x14ac:dyDescent="0.3">
      <c r="A2" s="31"/>
      <c r="B2" s="97"/>
      <c r="C2" s="118" t="s">
        <v>25</v>
      </c>
      <c r="D2" s="118"/>
      <c r="E2" s="118"/>
      <c r="F2" s="118"/>
      <c r="G2" s="119"/>
      <c r="H2" s="14"/>
      <c r="I2" s="120" t="s">
        <v>95</v>
      </c>
      <c r="J2" s="120"/>
      <c r="K2" s="120"/>
      <c r="L2" s="120"/>
      <c r="M2" s="120"/>
      <c r="N2" s="120"/>
      <c r="O2" s="121" t="s">
        <v>32</v>
      </c>
      <c r="P2" s="121"/>
      <c r="Q2" s="121"/>
      <c r="R2" s="121"/>
      <c r="S2" s="121"/>
      <c r="T2" s="121"/>
      <c r="U2" s="123" t="s">
        <v>96</v>
      </c>
      <c r="V2" s="123"/>
      <c r="W2" s="123"/>
      <c r="X2" s="123"/>
      <c r="Y2" s="123"/>
      <c r="Z2" s="123"/>
      <c r="AA2" s="122" t="s">
        <v>44</v>
      </c>
      <c r="AB2" s="122"/>
      <c r="AC2" s="122"/>
      <c r="AD2" s="122"/>
      <c r="AE2" s="122"/>
      <c r="AF2" s="122"/>
      <c r="AG2" s="115" t="s">
        <v>97</v>
      </c>
      <c r="AH2" s="115"/>
      <c r="AI2" s="115"/>
      <c r="AJ2" s="115"/>
      <c r="AK2" s="115"/>
      <c r="AL2" s="115"/>
      <c r="AM2" s="124" t="s">
        <v>98</v>
      </c>
      <c r="AN2" s="125"/>
      <c r="AO2" s="125"/>
      <c r="AP2" s="125"/>
      <c r="AQ2" s="125"/>
      <c r="AR2" s="126"/>
      <c r="AS2" s="116" t="s">
        <v>99</v>
      </c>
      <c r="AT2" s="117"/>
      <c r="AU2" s="117"/>
      <c r="AV2" s="117"/>
      <c r="AW2" s="117"/>
      <c r="AX2" s="117"/>
      <c r="AY2" s="117"/>
      <c r="AZ2" s="117"/>
      <c r="BA2" s="117"/>
      <c r="BB2" s="117"/>
      <c r="BC2" s="17"/>
      <c r="BD2" s="18" t="s">
        <v>100</v>
      </c>
      <c r="BE2" s="18" t="s">
        <v>101</v>
      </c>
    </row>
    <row r="3" spans="1:60" ht="23.25" customHeight="1" x14ac:dyDescent="0.3">
      <c r="A3" s="32"/>
      <c r="B3" s="98" t="s">
        <v>102</v>
      </c>
      <c r="C3" s="19" t="s">
        <v>103</v>
      </c>
      <c r="D3" s="20" t="s">
        <v>104</v>
      </c>
      <c r="E3" s="21" t="s">
        <v>105</v>
      </c>
      <c r="F3" s="21" t="s">
        <v>106</v>
      </c>
      <c r="G3" s="21" t="s">
        <v>107</v>
      </c>
      <c r="H3" s="21" t="s">
        <v>108</v>
      </c>
      <c r="I3" s="22" t="s">
        <v>109</v>
      </c>
      <c r="J3" s="22" t="s">
        <v>110</v>
      </c>
      <c r="K3" s="22" t="s">
        <v>111</v>
      </c>
      <c r="L3" s="22" t="s">
        <v>112</v>
      </c>
      <c r="M3" s="22" t="s">
        <v>113</v>
      </c>
      <c r="N3" s="22" t="s">
        <v>114</v>
      </c>
      <c r="O3" s="23" t="s">
        <v>115</v>
      </c>
      <c r="P3" s="23" t="s">
        <v>116</v>
      </c>
      <c r="Q3" s="23" t="s">
        <v>117</v>
      </c>
      <c r="R3" s="23" t="s">
        <v>118</v>
      </c>
      <c r="S3" s="23" t="s">
        <v>119</v>
      </c>
      <c r="T3" s="23" t="s">
        <v>120</v>
      </c>
      <c r="U3" s="24" t="s">
        <v>121</v>
      </c>
      <c r="V3" s="40" t="s">
        <v>122</v>
      </c>
      <c r="W3" s="40" t="s">
        <v>123</v>
      </c>
      <c r="X3" s="40" t="s">
        <v>124</v>
      </c>
      <c r="Y3" s="40" t="s">
        <v>125</v>
      </c>
      <c r="Z3" s="24" t="s">
        <v>126</v>
      </c>
      <c r="AA3" s="25" t="s">
        <v>127</v>
      </c>
      <c r="AB3" s="42" t="s">
        <v>128</v>
      </c>
      <c r="AC3" s="42" t="s">
        <v>129</v>
      </c>
      <c r="AD3" s="42" t="s">
        <v>130</v>
      </c>
      <c r="AE3" s="42" t="s">
        <v>131</v>
      </c>
      <c r="AF3" s="25" t="s">
        <v>132</v>
      </c>
      <c r="AG3" s="66" t="s">
        <v>127</v>
      </c>
      <c r="AH3" s="67" t="s">
        <v>128</v>
      </c>
      <c r="AI3" s="67" t="s">
        <v>129</v>
      </c>
      <c r="AJ3" s="67" t="s">
        <v>130</v>
      </c>
      <c r="AK3" s="67" t="s">
        <v>131</v>
      </c>
      <c r="AL3" s="66" t="s">
        <v>132</v>
      </c>
      <c r="AM3" s="104" t="s">
        <v>133</v>
      </c>
      <c r="AN3" s="104" t="s">
        <v>134</v>
      </c>
      <c r="AO3" s="104" t="s">
        <v>135</v>
      </c>
      <c r="AP3" s="104" t="s">
        <v>136</v>
      </c>
      <c r="AQ3" s="104" t="s">
        <v>137</v>
      </c>
      <c r="AR3" s="105" t="s">
        <v>138</v>
      </c>
      <c r="AS3" s="16" t="s">
        <v>139</v>
      </c>
      <c r="AT3" s="16" t="s">
        <v>140</v>
      </c>
      <c r="AU3" s="16" t="s">
        <v>141</v>
      </c>
      <c r="AV3" s="16" t="s">
        <v>142</v>
      </c>
      <c r="AW3" s="16" t="s">
        <v>143</v>
      </c>
      <c r="AX3" s="16" t="s">
        <v>144</v>
      </c>
      <c r="AY3" s="16" t="s">
        <v>145</v>
      </c>
      <c r="AZ3" s="16" t="s">
        <v>146</v>
      </c>
      <c r="BA3" s="16" t="s">
        <v>147</v>
      </c>
      <c r="BB3" s="16" t="s">
        <v>148</v>
      </c>
      <c r="BC3" s="16" t="s">
        <v>149</v>
      </c>
      <c r="BD3" s="18" t="s">
        <v>150</v>
      </c>
      <c r="BE3" s="15" t="s">
        <v>151</v>
      </c>
      <c r="BF3" s="15" t="s">
        <v>152</v>
      </c>
      <c r="BG3" s="15" t="s">
        <v>153</v>
      </c>
      <c r="BH3" s="15" t="s">
        <v>154</v>
      </c>
    </row>
    <row r="4" spans="1:60" x14ac:dyDescent="0.3">
      <c r="A4" s="33"/>
      <c r="B4" s="99">
        <v>44165</v>
      </c>
      <c r="C4" s="44">
        <v>1655274.86</v>
      </c>
      <c r="D4" s="45">
        <v>369779.22</v>
      </c>
      <c r="E4" s="45"/>
      <c r="F4" s="45">
        <v>-157086.26</v>
      </c>
      <c r="G4" s="45">
        <f t="shared" ref="G4:G35" si="0">SUM(C4:F4)</f>
        <v>1867967.82</v>
      </c>
      <c r="H4" s="44">
        <v>3800000</v>
      </c>
      <c r="I4" s="46">
        <v>1335209.7599999998</v>
      </c>
      <c r="J4" s="47">
        <v>663301.18999999994</v>
      </c>
      <c r="K4" s="47"/>
      <c r="L4" s="47">
        <v>-11131.65</v>
      </c>
      <c r="M4" s="47">
        <f t="shared" ref="M4:M18" si="1">SUM(I4:L4)</f>
        <v>1987379.2999999998</v>
      </c>
      <c r="N4" s="46">
        <v>2500000</v>
      </c>
      <c r="O4" s="48">
        <v>89001.459999999992</v>
      </c>
      <c r="P4" s="55">
        <v>565656</v>
      </c>
      <c r="Q4" s="55"/>
      <c r="R4" s="55">
        <v>-1654.8</v>
      </c>
      <c r="S4" s="55">
        <f t="shared" ref="S4:S18" si="2">SUM(O4:R4)</f>
        <v>653002.65999999992</v>
      </c>
      <c r="T4" s="48"/>
      <c r="U4" s="49">
        <v>915.96999999993716</v>
      </c>
      <c r="V4" s="51"/>
      <c r="W4" s="51"/>
      <c r="X4" s="51"/>
      <c r="Y4" s="51">
        <f t="shared" ref="Y4:Y18" si="3">SUM(U4:X4)</f>
        <v>915.96999999993716</v>
      </c>
      <c r="Z4" s="52"/>
      <c r="AA4" s="53">
        <v>7904.200000000058</v>
      </c>
      <c r="AB4" s="54"/>
      <c r="AC4" s="54"/>
      <c r="AD4" s="54">
        <v>-1094.4000000000001</v>
      </c>
      <c r="AE4" s="54">
        <f t="shared" ref="AE4:AE18" si="4">SUM(AA4:AD4)</f>
        <v>6809.8000000000575</v>
      </c>
      <c r="AF4" s="53"/>
      <c r="AG4" s="53"/>
      <c r="AH4" s="54"/>
      <c r="AI4" s="54"/>
      <c r="AJ4" s="54"/>
      <c r="AK4" s="54"/>
      <c r="AL4" s="53"/>
      <c r="AM4" s="53"/>
      <c r="AN4" s="54"/>
      <c r="AO4" s="54"/>
      <c r="AP4" s="54"/>
      <c r="AQ4" s="54"/>
      <c r="AR4" s="53"/>
      <c r="AS4" s="50">
        <f t="shared" ref="AS4:AS35" si="5">SUM(C4,I4,O4,U4,AA4,)</f>
        <v>3088306.25</v>
      </c>
      <c r="AT4" s="50">
        <f t="shared" ref="AT4:AT35" si="6">SUM(D4,J4,P4,V4,AB4,)</f>
        <v>1598736.41</v>
      </c>
      <c r="AU4" s="50">
        <f t="shared" ref="AU4:AU35" si="7">SUM(E4,K4,Q4,W4,AC4,)</f>
        <v>0</v>
      </c>
      <c r="AV4" s="50">
        <f t="shared" ref="AV4:AV35" si="8">SUM(F4,L4,R4,X4,AD4,)</f>
        <v>-170967.11</v>
      </c>
      <c r="AW4" s="50"/>
      <c r="AX4" s="50">
        <f t="shared" ref="AX4" si="9">SUM(G4,M4,S4,Y4,AE4,)</f>
        <v>4516075.55</v>
      </c>
      <c r="AY4" s="50">
        <f t="shared" ref="AY4:AY35" si="10">SUM(H4,N4,T4,Z4,AF4,)</f>
        <v>6300000</v>
      </c>
      <c r="AZ4" s="50">
        <f t="shared" ref="AZ4:AZ35" si="11">AX4+AY4</f>
        <v>10816075.550000001</v>
      </c>
      <c r="BD4" s="15" t="s">
        <v>32</v>
      </c>
      <c r="BE4" s="26"/>
      <c r="BF4" s="26">
        <v>653482.8899999999</v>
      </c>
      <c r="BG4" s="26"/>
      <c r="BH4" s="26">
        <v>653482.8899999999</v>
      </c>
    </row>
    <row r="5" spans="1:60" x14ac:dyDescent="0.25">
      <c r="A5" s="34"/>
      <c r="B5" s="99">
        <v>44166</v>
      </c>
      <c r="C5" s="44">
        <f>G4</f>
        <v>1867967.82</v>
      </c>
      <c r="D5" s="45"/>
      <c r="E5" s="45"/>
      <c r="F5" s="45">
        <v>-1126468</v>
      </c>
      <c r="G5" s="45">
        <f t="shared" si="0"/>
        <v>741499.82000000007</v>
      </c>
      <c r="H5" s="44">
        <v>3800000</v>
      </c>
      <c r="I5" s="46">
        <f>M4</f>
        <v>1987379.2999999998</v>
      </c>
      <c r="J5" s="47">
        <v>3.99</v>
      </c>
      <c r="K5" s="47"/>
      <c r="L5" s="47">
        <v>-1814471.87</v>
      </c>
      <c r="M5" s="47">
        <f t="shared" si="1"/>
        <v>172911.41999999969</v>
      </c>
      <c r="N5" s="46">
        <v>2500000</v>
      </c>
      <c r="O5" s="48">
        <f>S4</f>
        <v>653002.65999999992</v>
      </c>
      <c r="P5" s="55"/>
      <c r="Q5" s="55"/>
      <c r="R5" s="55">
        <v>-4579.5099999998902</v>
      </c>
      <c r="S5" s="55">
        <f t="shared" si="2"/>
        <v>648423.15</v>
      </c>
      <c r="T5" s="48"/>
      <c r="U5" s="49">
        <f>Y4</f>
        <v>915.96999999993716</v>
      </c>
      <c r="V5" s="51">
        <v>401723.05</v>
      </c>
      <c r="W5" s="51"/>
      <c r="X5" s="51"/>
      <c r="Y5" s="51">
        <f t="shared" si="3"/>
        <v>402639.0199999999</v>
      </c>
      <c r="Z5" s="52"/>
      <c r="AA5" s="53">
        <f>AE4</f>
        <v>6809.8000000000575</v>
      </c>
      <c r="AB5" s="54"/>
      <c r="AC5" s="54"/>
      <c r="AD5" s="54"/>
      <c r="AE5" s="54">
        <f t="shared" si="4"/>
        <v>6809.8000000000575</v>
      </c>
      <c r="AF5" s="53"/>
      <c r="AG5" s="53"/>
      <c r="AH5" s="54"/>
      <c r="AI5" s="54"/>
      <c r="AJ5" s="54"/>
      <c r="AK5" s="54"/>
      <c r="AL5" s="53"/>
      <c r="AM5" s="53"/>
      <c r="AN5" s="54"/>
      <c r="AO5" s="54"/>
      <c r="AP5" s="54"/>
      <c r="AQ5" s="54"/>
      <c r="AR5" s="53"/>
      <c r="AS5" s="50">
        <f t="shared" si="5"/>
        <v>4516075.55</v>
      </c>
      <c r="AT5" s="50">
        <f t="shared" si="6"/>
        <v>401727.04</v>
      </c>
      <c r="AU5" s="50">
        <f t="shared" si="7"/>
        <v>0</v>
      </c>
      <c r="AV5" s="50">
        <f t="shared" si="8"/>
        <v>-2945519.38</v>
      </c>
      <c r="AW5" s="50"/>
      <c r="AX5" s="50">
        <f>SUM(G5,M5,S5,Y5,AE5,)</f>
        <v>1972283.2099999997</v>
      </c>
      <c r="AY5" s="50">
        <f t="shared" si="10"/>
        <v>6300000</v>
      </c>
      <c r="AZ5" s="50">
        <f t="shared" si="11"/>
        <v>8272283.21</v>
      </c>
      <c r="BD5" s="15" t="s">
        <v>43</v>
      </c>
      <c r="BF5" s="15">
        <v>-1167.8</v>
      </c>
      <c r="BH5" s="15">
        <v>-1167.8</v>
      </c>
    </row>
    <row r="6" spans="1:60" x14ac:dyDescent="0.3">
      <c r="A6" s="33"/>
      <c r="B6" s="99">
        <f>B5+1</f>
        <v>44167</v>
      </c>
      <c r="C6" s="44">
        <f t="shared" ref="C6:C18" si="12">G5</f>
        <v>741499.82000000007</v>
      </c>
      <c r="D6" s="45">
        <v>387668.08</v>
      </c>
      <c r="E6" s="45">
        <v>450000</v>
      </c>
      <c r="F6" s="45">
        <v>-126941.67</v>
      </c>
      <c r="G6" s="45">
        <f t="shared" si="0"/>
        <v>1452226.2300000002</v>
      </c>
      <c r="H6" s="44">
        <v>3800000</v>
      </c>
      <c r="I6" s="46">
        <f t="shared" ref="I6:I18" si="13">M5</f>
        <v>172911.41999999969</v>
      </c>
      <c r="J6" s="47">
        <v>50542.57</v>
      </c>
      <c r="K6" s="47">
        <v>500000</v>
      </c>
      <c r="L6" s="47">
        <v>-242377.01</v>
      </c>
      <c r="M6" s="47">
        <f t="shared" si="1"/>
        <v>481076.97999999975</v>
      </c>
      <c r="N6" s="46">
        <v>2500000</v>
      </c>
      <c r="O6" s="48">
        <f t="shared" ref="O6:O18" si="14">S5</f>
        <v>648423.15</v>
      </c>
      <c r="P6" s="55"/>
      <c r="Q6" s="55">
        <v>-600000</v>
      </c>
      <c r="R6" s="55">
        <v>-21264.63</v>
      </c>
      <c r="S6" s="55">
        <f t="shared" si="2"/>
        <v>27158.520000000022</v>
      </c>
      <c r="T6" s="48"/>
      <c r="U6" s="49">
        <f t="shared" ref="U6:U18" si="15">Y5</f>
        <v>402639.0199999999</v>
      </c>
      <c r="V6" s="51"/>
      <c r="W6" s="51">
        <v>-400000</v>
      </c>
      <c r="X6" s="51">
        <v>-54.95</v>
      </c>
      <c r="Y6" s="51">
        <f t="shared" si="3"/>
        <v>2584.0699999999024</v>
      </c>
      <c r="Z6" s="52"/>
      <c r="AA6" s="53">
        <f t="shared" ref="AA6:AA18" si="16">AE5</f>
        <v>6809.8000000000575</v>
      </c>
      <c r="AB6" s="54"/>
      <c r="AC6" s="54">
        <v>50000</v>
      </c>
      <c r="AD6" s="54">
        <v>-40790.980000000098</v>
      </c>
      <c r="AE6" s="54">
        <f t="shared" si="4"/>
        <v>16018.819999999963</v>
      </c>
      <c r="AF6" s="53"/>
      <c r="AG6" s="53"/>
      <c r="AH6" s="54"/>
      <c r="AI6" s="54"/>
      <c r="AJ6" s="54"/>
      <c r="AK6" s="54"/>
      <c r="AL6" s="53"/>
      <c r="AM6" s="53"/>
      <c r="AN6" s="54"/>
      <c r="AO6" s="54"/>
      <c r="AP6" s="54"/>
      <c r="AQ6" s="54"/>
      <c r="AR6" s="53"/>
      <c r="AS6" s="50">
        <f t="shared" si="5"/>
        <v>1972283.2099999997</v>
      </c>
      <c r="AT6" s="50">
        <f t="shared" si="6"/>
        <v>438210.65</v>
      </c>
      <c r="AU6" s="50">
        <f t="shared" si="7"/>
        <v>0</v>
      </c>
      <c r="AV6" s="50">
        <f t="shared" si="8"/>
        <v>-431429.24000000011</v>
      </c>
      <c r="AW6" s="50"/>
      <c r="AX6" s="50">
        <f t="shared" ref="AX6:AX28" si="17">SUM(G6,M6,S6,Y6,AE6,)</f>
        <v>1979064.6199999999</v>
      </c>
      <c r="AY6" s="50">
        <f t="shared" si="10"/>
        <v>6300000</v>
      </c>
      <c r="AZ6" s="50">
        <f t="shared" si="11"/>
        <v>8279064.6200000001</v>
      </c>
      <c r="BD6" s="15" t="s">
        <v>24</v>
      </c>
      <c r="BF6" s="15">
        <v>565649.23</v>
      </c>
      <c r="BH6" s="15">
        <v>565649.23</v>
      </c>
    </row>
    <row r="7" spans="1:60" x14ac:dyDescent="0.25">
      <c r="A7" s="34"/>
      <c r="B7" s="99">
        <f>B6+1</f>
        <v>44168</v>
      </c>
      <c r="C7" s="44">
        <f t="shared" si="12"/>
        <v>1452226.2300000002</v>
      </c>
      <c r="D7" s="45">
        <v>275383.59000000003</v>
      </c>
      <c r="E7" s="45"/>
      <c r="F7" s="45">
        <v>-88369.160000000396</v>
      </c>
      <c r="G7" s="45">
        <f t="shared" si="0"/>
        <v>1639240.66</v>
      </c>
      <c r="H7" s="44">
        <v>3800000</v>
      </c>
      <c r="I7" s="46">
        <f t="shared" si="13"/>
        <v>481076.97999999975</v>
      </c>
      <c r="J7" s="47">
        <v>198.54</v>
      </c>
      <c r="K7" s="47"/>
      <c r="L7" s="47">
        <v>-104507.89</v>
      </c>
      <c r="M7" s="47">
        <f t="shared" si="1"/>
        <v>376767.62999999971</v>
      </c>
      <c r="N7" s="46">
        <v>2500000</v>
      </c>
      <c r="O7" s="48">
        <f t="shared" si="14"/>
        <v>27158.520000000022</v>
      </c>
      <c r="P7" s="55"/>
      <c r="Q7" s="55"/>
      <c r="R7" s="55"/>
      <c r="S7" s="55">
        <f t="shared" si="2"/>
        <v>27158.520000000022</v>
      </c>
      <c r="T7" s="48"/>
      <c r="U7" s="49">
        <f t="shared" si="15"/>
        <v>2584.0699999999024</v>
      </c>
      <c r="V7" s="51"/>
      <c r="W7" s="51"/>
      <c r="X7" s="51">
        <v>-1.2</v>
      </c>
      <c r="Y7" s="51">
        <f t="shared" si="3"/>
        <v>2582.8699999999026</v>
      </c>
      <c r="Z7" s="52"/>
      <c r="AA7" s="53">
        <f t="shared" si="16"/>
        <v>16018.819999999963</v>
      </c>
      <c r="AB7" s="54">
        <v>35890.9</v>
      </c>
      <c r="AC7" s="54"/>
      <c r="AD7" s="54"/>
      <c r="AE7" s="54">
        <f t="shared" si="4"/>
        <v>51909.719999999965</v>
      </c>
      <c r="AF7" s="53"/>
      <c r="AG7" s="53"/>
      <c r="AH7" s="54"/>
      <c r="AI7" s="54"/>
      <c r="AJ7" s="54"/>
      <c r="AK7" s="54"/>
      <c r="AL7" s="53"/>
      <c r="AM7" s="53"/>
      <c r="AN7" s="54"/>
      <c r="AO7" s="54"/>
      <c r="AP7" s="54"/>
      <c r="AQ7" s="54"/>
      <c r="AR7" s="53"/>
      <c r="AS7" s="50">
        <f t="shared" si="5"/>
        <v>1979064.6199999999</v>
      </c>
      <c r="AT7" s="50">
        <f t="shared" si="6"/>
        <v>311473.03000000003</v>
      </c>
      <c r="AU7" s="50">
        <f t="shared" si="7"/>
        <v>0</v>
      </c>
      <c r="AV7" s="50">
        <f t="shared" si="8"/>
        <v>-192878.25000000041</v>
      </c>
      <c r="AW7" s="50"/>
      <c r="AX7" s="50">
        <f t="shared" si="17"/>
        <v>2097659.3999999994</v>
      </c>
      <c r="AY7" s="50">
        <f t="shared" si="10"/>
        <v>6300000</v>
      </c>
      <c r="AZ7" s="50">
        <f t="shared" si="11"/>
        <v>8397659.3999999985</v>
      </c>
      <c r="BD7" s="15" t="s">
        <v>155</v>
      </c>
      <c r="BF7" s="15">
        <v>89001.46</v>
      </c>
      <c r="BH7" s="15">
        <v>89001.46</v>
      </c>
    </row>
    <row r="8" spans="1:60" x14ac:dyDescent="0.3">
      <c r="A8" s="33"/>
      <c r="B8" s="99">
        <f>B7+1</f>
        <v>44169</v>
      </c>
      <c r="C8" s="44">
        <f t="shared" si="12"/>
        <v>1639240.66</v>
      </c>
      <c r="D8" s="45">
        <v>3.7</v>
      </c>
      <c r="E8" s="45"/>
      <c r="F8" s="45">
        <v>-10400</v>
      </c>
      <c r="G8" s="45">
        <f t="shared" si="0"/>
        <v>1628844.3599999999</v>
      </c>
      <c r="H8" s="44">
        <v>3800000</v>
      </c>
      <c r="I8" s="46">
        <f t="shared" si="13"/>
        <v>376767.62999999971</v>
      </c>
      <c r="J8" s="47">
        <v>533835.99</v>
      </c>
      <c r="K8" s="47"/>
      <c r="L8" s="47">
        <v>-537</v>
      </c>
      <c r="M8" s="47">
        <f t="shared" si="1"/>
        <v>910066.61999999965</v>
      </c>
      <c r="N8" s="46">
        <v>2500000</v>
      </c>
      <c r="O8" s="48">
        <f t="shared" si="14"/>
        <v>27158.520000000022</v>
      </c>
      <c r="P8" s="55">
        <v>174.42</v>
      </c>
      <c r="Q8" s="55"/>
      <c r="R8" s="55"/>
      <c r="S8" s="55">
        <f t="shared" si="2"/>
        <v>27332.940000000021</v>
      </c>
      <c r="T8" s="48"/>
      <c r="U8" s="49">
        <f t="shared" si="15"/>
        <v>2582.8699999999026</v>
      </c>
      <c r="V8" s="51">
        <v>2760.29</v>
      </c>
      <c r="W8" s="51"/>
      <c r="X8" s="51"/>
      <c r="Y8" s="51">
        <f t="shared" si="3"/>
        <v>5343.1599999999025</v>
      </c>
      <c r="Z8" s="52"/>
      <c r="AA8" s="53">
        <f t="shared" si="16"/>
        <v>51909.719999999965</v>
      </c>
      <c r="AB8" s="54"/>
      <c r="AC8" s="54"/>
      <c r="AD8" s="54"/>
      <c r="AE8" s="54">
        <f t="shared" si="4"/>
        <v>51909.719999999965</v>
      </c>
      <c r="AF8" s="53"/>
      <c r="AG8" s="53"/>
      <c r="AH8" s="54"/>
      <c r="AI8" s="54"/>
      <c r="AJ8" s="54"/>
      <c r="AK8" s="54"/>
      <c r="AL8" s="53"/>
      <c r="AM8" s="53"/>
      <c r="AN8" s="54"/>
      <c r="AO8" s="54"/>
      <c r="AP8" s="54"/>
      <c r="AQ8" s="54"/>
      <c r="AR8" s="53"/>
      <c r="AS8" s="50">
        <f t="shared" si="5"/>
        <v>2097659.3999999994</v>
      </c>
      <c r="AT8" s="50">
        <f t="shared" si="6"/>
        <v>536774.40000000002</v>
      </c>
      <c r="AU8" s="50">
        <f t="shared" si="7"/>
        <v>0</v>
      </c>
      <c r="AV8" s="50">
        <f t="shared" si="8"/>
        <v>-10937</v>
      </c>
      <c r="AW8" s="50"/>
      <c r="AX8" s="50">
        <f t="shared" si="17"/>
        <v>2623496.7999999989</v>
      </c>
      <c r="AY8" s="50">
        <f t="shared" si="10"/>
        <v>6300000</v>
      </c>
      <c r="AZ8" s="50">
        <f t="shared" si="11"/>
        <v>8923496.7999999989</v>
      </c>
      <c r="BD8" s="15" t="s">
        <v>38</v>
      </c>
      <c r="BF8" s="15">
        <v>915.97</v>
      </c>
      <c r="BH8" s="15">
        <v>915.97</v>
      </c>
    </row>
    <row r="9" spans="1:60" x14ac:dyDescent="0.25">
      <c r="A9" s="28"/>
      <c r="B9" s="99">
        <f>B8+3</f>
        <v>44172</v>
      </c>
      <c r="C9" s="44">
        <f t="shared" si="12"/>
        <v>1628844.3599999999</v>
      </c>
      <c r="D9" s="45"/>
      <c r="E9" s="45"/>
      <c r="F9" s="45">
        <v>-747261.36</v>
      </c>
      <c r="G9" s="45">
        <f t="shared" si="0"/>
        <v>881582.99999999988</v>
      </c>
      <c r="H9" s="44">
        <v>3800000</v>
      </c>
      <c r="I9" s="46">
        <f t="shared" si="13"/>
        <v>910066.61999999965</v>
      </c>
      <c r="J9" s="47">
        <v>193376.16</v>
      </c>
      <c r="K9" s="47"/>
      <c r="L9" s="47">
        <v>-35486.68</v>
      </c>
      <c r="M9" s="47">
        <f t="shared" si="1"/>
        <v>1067956.0999999996</v>
      </c>
      <c r="N9" s="46">
        <v>2500000</v>
      </c>
      <c r="O9" s="48">
        <f t="shared" si="14"/>
        <v>27332.940000000021</v>
      </c>
      <c r="P9" s="55">
        <v>399.32</v>
      </c>
      <c r="Q9" s="55">
        <v>46000</v>
      </c>
      <c r="R9" s="55"/>
      <c r="S9" s="55">
        <f t="shared" si="2"/>
        <v>73732.260000000024</v>
      </c>
      <c r="T9" s="48"/>
      <c r="U9" s="49">
        <f t="shared" si="15"/>
        <v>5343.1599999999025</v>
      </c>
      <c r="V9" s="51">
        <v>40993.68</v>
      </c>
      <c r="W9" s="51">
        <v>-46000</v>
      </c>
      <c r="X9" s="51"/>
      <c r="Y9" s="51">
        <f t="shared" si="3"/>
        <v>336.83999999990192</v>
      </c>
      <c r="Z9" s="52"/>
      <c r="AA9" s="53">
        <f t="shared" si="16"/>
        <v>51909.719999999965</v>
      </c>
      <c r="AB9" s="54"/>
      <c r="AC9" s="54"/>
      <c r="AD9" s="54"/>
      <c r="AE9" s="54">
        <f t="shared" si="4"/>
        <v>51909.719999999965</v>
      </c>
      <c r="AF9" s="53"/>
      <c r="AG9" s="53"/>
      <c r="AH9" s="54"/>
      <c r="AI9" s="54"/>
      <c r="AJ9" s="54"/>
      <c r="AK9" s="54"/>
      <c r="AL9" s="53"/>
      <c r="AM9" s="53"/>
      <c r="AN9" s="54"/>
      <c r="AO9" s="54"/>
      <c r="AP9" s="54"/>
      <c r="AQ9" s="54"/>
      <c r="AR9" s="53"/>
      <c r="AS9" s="50">
        <f t="shared" si="5"/>
        <v>2623496.7999999989</v>
      </c>
      <c r="AT9" s="50">
        <f t="shared" si="6"/>
        <v>234769.16</v>
      </c>
      <c r="AU9" s="50">
        <f t="shared" si="7"/>
        <v>0</v>
      </c>
      <c r="AV9" s="50">
        <f t="shared" si="8"/>
        <v>-782748.04</v>
      </c>
      <c r="AW9" s="50"/>
      <c r="AX9" s="50">
        <f t="shared" si="17"/>
        <v>2075517.9199999995</v>
      </c>
      <c r="AY9" s="50">
        <f t="shared" si="10"/>
        <v>6300000</v>
      </c>
      <c r="AZ9" s="50">
        <f t="shared" si="11"/>
        <v>8375517.9199999999</v>
      </c>
      <c r="BD9" s="15" t="s">
        <v>155</v>
      </c>
      <c r="BF9" s="15">
        <v>915.97</v>
      </c>
      <c r="BH9" s="15">
        <v>915.97</v>
      </c>
    </row>
    <row r="10" spans="1:60" x14ac:dyDescent="0.25">
      <c r="A10" s="35"/>
      <c r="B10" s="99">
        <f>B9+1</f>
        <v>44173</v>
      </c>
      <c r="C10" s="44">
        <f t="shared" si="12"/>
        <v>881582.99999999988</v>
      </c>
      <c r="D10" s="45">
        <v>131444</v>
      </c>
      <c r="E10" s="45"/>
      <c r="F10" s="45">
        <v>-93006.459999999992</v>
      </c>
      <c r="G10" s="45">
        <f t="shared" si="0"/>
        <v>920020.53999999992</v>
      </c>
      <c r="H10" s="44">
        <v>3800000</v>
      </c>
      <c r="I10" s="46">
        <f t="shared" si="13"/>
        <v>1067956.0999999996</v>
      </c>
      <c r="J10" s="47"/>
      <c r="K10" s="47"/>
      <c r="L10" s="47">
        <v>-20112.330000000002</v>
      </c>
      <c r="M10" s="47">
        <f t="shared" si="1"/>
        <v>1047843.7699999997</v>
      </c>
      <c r="N10" s="46">
        <v>2500000</v>
      </c>
      <c r="O10" s="48">
        <f t="shared" si="14"/>
        <v>73732.260000000024</v>
      </c>
      <c r="P10" s="55"/>
      <c r="Q10" s="55"/>
      <c r="R10" s="55"/>
      <c r="S10" s="55">
        <f t="shared" si="2"/>
        <v>73732.260000000024</v>
      </c>
      <c r="T10" s="48"/>
      <c r="U10" s="49">
        <f t="shared" si="15"/>
        <v>336.83999999990192</v>
      </c>
      <c r="V10" s="51"/>
      <c r="W10" s="51"/>
      <c r="X10" s="51">
        <v>-1.2</v>
      </c>
      <c r="Y10" s="51">
        <f t="shared" si="3"/>
        <v>335.63999999990193</v>
      </c>
      <c r="Z10" s="52"/>
      <c r="AA10" s="53">
        <f t="shared" si="16"/>
        <v>51909.719999999965</v>
      </c>
      <c r="AB10" s="54"/>
      <c r="AC10" s="54"/>
      <c r="AD10" s="54"/>
      <c r="AE10" s="54">
        <f t="shared" si="4"/>
        <v>51909.719999999965</v>
      </c>
      <c r="AF10" s="53"/>
      <c r="AG10" s="53"/>
      <c r="AH10" s="54"/>
      <c r="AI10" s="54"/>
      <c r="AJ10" s="54"/>
      <c r="AK10" s="54"/>
      <c r="AL10" s="53"/>
      <c r="AM10" s="53"/>
      <c r="AN10" s="54"/>
      <c r="AO10" s="54"/>
      <c r="AP10" s="54"/>
      <c r="AQ10" s="54"/>
      <c r="AR10" s="53"/>
      <c r="AS10" s="50">
        <f t="shared" si="5"/>
        <v>2075517.9199999995</v>
      </c>
      <c r="AT10" s="50">
        <f t="shared" si="6"/>
        <v>131444</v>
      </c>
      <c r="AU10" s="50">
        <f t="shared" si="7"/>
        <v>0</v>
      </c>
      <c r="AV10" s="50">
        <f t="shared" si="8"/>
        <v>-113119.98999999999</v>
      </c>
      <c r="AW10" s="50"/>
      <c r="AX10" s="50">
        <f t="shared" si="17"/>
        <v>2093841.9299999995</v>
      </c>
      <c r="AY10" s="50">
        <f t="shared" si="10"/>
        <v>6300000</v>
      </c>
      <c r="AZ10" s="50">
        <f t="shared" si="11"/>
        <v>8393841.9299999997</v>
      </c>
      <c r="BD10" s="15" t="s">
        <v>25</v>
      </c>
      <c r="BE10" s="26"/>
      <c r="BF10" s="26">
        <v>1892167.6</v>
      </c>
      <c r="BG10" s="26"/>
      <c r="BH10" s="26">
        <v>1892167.6</v>
      </c>
    </row>
    <row r="11" spans="1:60" x14ac:dyDescent="0.3">
      <c r="B11" s="99">
        <f>B10+1</f>
        <v>44174</v>
      </c>
      <c r="C11" s="44">
        <f t="shared" si="12"/>
        <v>920020.53999999992</v>
      </c>
      <c r="D11" s="45">
        <v>45287.3</v>
      </c>
      <c r="E11" s="45"/>
      <c r="F11" s="45">
        <v>-26944.479999999901</v>
      </c>
      <c r="G11" s="45">
        <f t="shared" si="0"/>
        <v>938363.3600000001</v>
      </c>
      <c r="H11" s="44">
        <v>3800000</v>
      </c>
      <c r="I11" s="46">
        <f t="shared" si="13"/>
        <v>1047843.7699999997</v>
      </c>
      <c r="J11" s="47"/>
      <c r="K11" s="47"/>
      <c r="L11" s="47">
        <v>-58597.599999999598</v>
      </c>
      <c r="M11" s="47">
        <f t="shared" si="1"/>
        <v>989246.17</v>
      </c>
      <c r="N11" s="46">
        <v>2500000</v>
      </c>
      <c r="O11" s="48">
        <f t="shared" si="14"/>
        <v>73732.260000000024</v>
      </c>
      <c r="P11" s="55"/>
      <c r="Q11" s="55"/>
      <c r="R11" s="55">
        <v>-2062.9000000000101</v>
      </c>
      <c r="S11" s="55">
        <f t="shared" si="2"/>
        <v>71669.360000000015</v>
      </c>
      <c r="T11" s="48"/>
      <c r="U11" s="49">
        <f t="shared" si="15"/>
        <v>335.63999999990193</v>
      </c>
      <c r="V11" s="51"/>
      <c r="W11" s="51"/>
      <c r="X11" s="51"/>
      <c r="Y11" s="51">
        <f t="shared" si="3"/>
        <v>335.63999999990193</v>
      </c>
      <c r="Z11" s="52"/>
      <c r="AA11" s="53">
        <f t="shared" si="16"/>
        <v>51909.719999999965</v>
      </c>
      <c r="AB11" s="54"/>
      <c r="AC11" s="54"/>
      <c r="AD11" s="54"/>
      <c r="AE11" s="54">
        <f t="shared" si="4"/>
        <v>51909.719999999965</v>
      </c>
      <c r="AF11" s="53"/>
      <c r="AG11" s="53"/>
      <c r="AH11" s="54"/>
      <c r="AI11" s="54"/>
      <c r="AJ11" s="54"/>
      <c r="AK11" s="54"/>
      <c r="AL11" s="53"/>
      <c r="AM11" s="53"/>
      <c r="AN11" s="54"/>
      <c r="AO11" s="54"/>
      <c r="AP11" s="54"/>
      <c r="AQ11" s="54"/>
      <c r="AR11" s="53"/>
      <c r="AS11" s="50">
        <f t="shared" si="5"/>
        <v>2093841.9299999995</v>
      </c>
      <c r="AT11" s="50">
        <f t="shared" si="6"/>
        <v>45287.3</v>
      </c>
      <c r="AU11" s="50">
        <f t="shared" si="7"/>
        <v>0</v>
      </c>
      <c r="AV11" s="50">
        <f t="shared" si="8"/>
        <v>-87604.979999999501</v>
      </c>
      <c r="AW11" s="50"/>
      <c r="AX11" s="50">
        <f t="shared" si="17"/>
        <v>2051524.2500000002</v>
      </c>
      <c r="AY11" s="50">
        <f t="shared" si="10"/>
        <v>6300000</v>
      </c>
      <c r="AZ11" s="50">
        <f t="shared" si="11"/>
        <v>8351524.25</v>
      </c>
      <c r="BD11" s="15" t="s">
        <v>43</v>
      </c>
      <c r="BF11" s="15">
        <v>-132886.48000000001</v>
      </c>
      <c r="BH11" s="15">
        <v>-132886.48000000001</v>
      </c>
    </row>
    <row r="12" spans="1:60" x14ac:dyDescent="0.3">
      <c r="B12" s="99">
        <f>B11+1</f>
        <v>44175</v>
      </c>
      <c r="C12" s="44">
        <f t="shared" si="12"/>
        <v>938363.3600000001</v>
      </c>
      <c r="D12" s="45">
        <v>478312.63</v>
      </c>
      <c r="E12" s="45"/>
      <c r="F12" s="45">
        <v>-178349.06</v>
      </c>
      <c r="G12" s="45">
        <f t="shared" si="0"/>
        <v>1238326.9300000002</v>
      </c>
      <c r="H12" s="44">
        <v>3800000</v>
      </c>
      <c r="I12" s="46">
        <f t="shared" si="13"/>
        <v>989246.17</v>
      </c>
      <c r="J12" s="47"/>
      <c r="K12" s="47"/>
      <c r="L12" s="47">
        <v>-182658.69</v>
      </c>
      <c r="M12" s="47">
        <f t="shared" si="1"/>
        <v>806587.48</v>
      </c>
      <c r="N12" s="46">
        <v>2500000</v>
      </c>
      <c r="O12" s="48">
        <f t="shared" si="14"/>
        <v>71669.360000000015</v>
      </c>
      <c r="P12" s="55">
        <v>30325.1</v>
      </c>
      <c r="Q12" s="55"/>
      <c r="R12" s="55">
        <v>-4001.94</v>
      </c>
      <c r="S12" s="55">
        <f t="shared" si="2"/>
        <v>97992.520000000019</v>
      </c>
      <c r="T12" s="48"/>
      <c r="U12" s="49">
        <f t="shared" si="15"/>
        <v>335.63999999990193</v>
      </c>
      <c r="V12" s="51"/>
      <c r="W12" s="51"/>
      <c r="X12" s="51"/>
      <c r="Y12" s="51">
        <f t="shared" si="3"/>
        <v>335.63999999990193</v>
      </c>
      <c r="Z12" s="52"/>
      <c r="AA12" s="53">
        <f t="shared" si="16"/>
        <v>51909.719999999965</v>
      </c>
      <c r="AB12" s="54"/>
      <c r="AC12" s="54"/>
      <c r="AD12" s="54">
        <v>-221.25</v>
      </c>
      <c r="AE12" s="54">
        <f t="shared" si="4"/>
        <v>51688.469999999965</v>
      </c>
      <c r="AF12" s="53"/>
      <c r="AG12" s="53"/>
      <c r="AH12" s="54"/>
      <c r="AI12" s="54"/>
      <c r="AJ12" s="54"/>
      <c r="AK12" s="54"/>
      <c r="AL12" s="53"/>
      <c r="AM12" s="53"/>
      <c r="AN12" s="54"/>
      <c r="AO12" s="54"/>
      <c r="AP12" s="54"/>
      <c r="AQ12" s="54"/>
      <c r="AR12" s="53"/>
      <c r="AS12" s="50">
        <f t="shared" si="5"/>
        <v>2051524.2500000002</v>
      </c>
      <c r="AT12" s="50">
        <f t="shared" si="6"/>
        <v>508637.73</v>
      </c>
      <c r="AU12" s="50">
        <f t="shared" si="7"/>
        <v>0</v>
      </c>
      <c r="AV12" s="50">
        <f t="shared" si="8"/>
        <v>-365230.94</v>
      </c>
      <c r="AW12" s="50"/>
      <c r="AX12" s="50">
        <f t="shared" si="17"/>
        <v>2194931.04</v>
      </c>
      <c r="AY12" s="50">
        <f t="shared" si="10"/>
        <v>6300000</v>
      </c>
      <c r="AZ12" s="50">
        <f t="shared" si="11"/>
        <v>8494931.0399999991</v>
      </c>
      <c r="BD12" s="15" t="s">
        <v>24</v>
      </c>
      <c r="BF12" s="15">
        <v>369779.22</v>
      </c>
      <c r="BH12" s="15">
        <v>369779.22</v>
      </c>
    </row>
    <row r="13" spans="1:60" x14ac:dyDescent="0.3">
      <c r="B13" s="99">
        <f>B12+1</f>
        <v>44176</v>
      </c>
      <c r="C13" s="44">
        <f t="shared" si="12"/>
        <v>1238326.9300000002</v>
      </c>
      <c r="D13" s="45"/>
      <c r="E13" s="45"/>
      <c r="F13" s="45">
        <v>-10703.71</v>
      </c>
      <c r="G13" s="45">
        <f t="shared" si="0"/>
        <v>1227623.2200000002</v>
      </c>
      <c r="H13" s="44">
        <v>3800000</v>
      </c>
      <c r="I13" s="46">
        <f t="shared" si="13"/>
        <v>806587.48</v>
      </c>
      <c r="J13" s="47"/>
      <c r="K13" s="47"/>
      <c r="L13" s="47"/>
      <c r="M13" s="47">
        <f t="shared" si="1"/>
        <v>806587.48</v>
      </c>
      <c r="N13" s="46">
        <v>2500000</v>
      </c>
      <c r="O13" s="48">
        <f t="shared" si="14"/>
        <v>97992.520000000019</v>
      </c>
      <c r="P13" s="55"/>
      <c r="Q13" s="55"/>
      <c r="R13" s="55"/>
      <c r="S13" s="55">
        <f t="shared" si="2"/>
        <v>97992.520000000019</v>
      </c>
      <c r="T13" s="48"/>
      <c r="U13" s="49">
        <f t="shared" si="15"/>
        <v>335.63999999990193</v>
      </c>
      <c r="V13" s="51"/>
      <c r="W13" s="51"/>
      <c r="X13" s="51"/>
      <c r="Y13" s="51">
        <f t="shared" si="3"/>
        <v>335.63999999990193</v>
      </c>
      <c r="Z13" s="52"/>
      <c r="AA13" s="53">
        <f t="shared" si="16"/>
        <v>51688.469999999965</v>
      </c>
      <c r="AB13" s="54"/>
      <c r="AC13" s="54"/>
      <c r="AD13" s="54"/>
      <c r="AE13" s="54">
        <f t="shared" si="4"/>
        <v>51688.469999999965</v>
      </c>
      <c r="AF13" s="53"/>
      <c r="AG13" s="53"/>
      <c r="AH13" s="54"/>
      <c r="AI13" s="54"/>
      <c r="AJ13" s="54"/>
      <c r="AK13" s="54"/>
      <c r="AL13" s="53"/>
      <c r="AM13" s="53"/>
      <c r="AN13" s="54"/>
      <c r="AO13" s="54"/>
      <c r="AP13" s="54"/>
      <c r="AQ13" s="54"/>
      <c r="AR13" s="53"/>
      <c r="AS13" s="50">
        <f t="shared" si="5"/>
        <v>2194931.04</v>
      </c>
      <c r="AT13" s="50">
        <f t="shared" si="6"/>
        <v>0</v>
      </c>
      <c r="AU13" s="50">
        <f t="shared" si="7"/>
        <v>0</v>
      </c>
      <c r="AV13" s="50">
        <f t="shared" si="8"/>
        <v>-10703.71</v>
      </c>
      <c r="AW13" s="50"/>
      <c r="AX13" s="50">
        <f t="shared" si="17"/>
        <v>2184227.33</v>
      </c>
      <c r="AY13" s="50">
        <f t="shared" si="10"/>
        <v>6300000</v>
      </c>
      <c r="AZ13" s="50">
        <f t="shared" si="11"/>
        <v>8484227.3300000001</v>
      </c>
      <c r="BD13" s="15" t="s">
        <v>155</v>
      </c>
      <c r="BF13" s="15">
        <v>1655274.86</v>
      </c>
      <c r="BH13" s="15">
        <v>1655274.86</v>
      </c>
    </row>
    <row r="14" spans="1:60" x14ac:dyDescent="0.3">
      <c r="B14" s="99">
        <f>B13+3</f>
        <v>44179</v>
      </c>
      <c r="C14" s="44">
        <f t="shared" si="12"/>
        <v>1227623.2200000002</v>
      </c>
      <c r="D14" s="45">
        <v>50628</v>
      </c>
      <c r="E14" s="45"/>
      <c r="F14" s="45">
        <v>-39041.4800000002</v>
      </c>
      <c r="G14" s="45">
        <f t="shared" si="0"/>
        <v>1239209.74</v>
      </c>
      <c r="H14" s="44">
        <v>3800000</v>
      </c>
      <c r="I14" s="46">
        <f t="shared" si="13"/>
        <v>806587.48</v>
      </c>
      <c r="J14" s="47">
        <v>1718696.34</v>
      </c>
      <c r="K14" s="47"/>
      <c r="L14" s="47">
        <v>-77055.599999999991</v>
      </c>
      <c r="M14" s="47">
        <f t="shared" si="1"/>
        <v>2448228.2200000002</v>
      </c>
      <c r="N14" s="46">
        <v>2500000</v>
      </c>
      <c r="O14" s="48">
        <f t="shared" si="14"/>
        <v>97992.520000000019</v>
      </c>
      <c r="P14" s="55"/>
      <c r="Q14" s="55"/>
      <c r="R14" s="55">
        <v>-4703.8099999999995</v>
      </c>
      <c r="S14" s="55">
        <f t="shared" si="2"/>
        <v>93288.710000000021</v>
      </c>
      <c r="T14" s="48"/>
      <c r="U14" s="49">
        <f t="shared" si="15"/>
        <v>335.63999999990193</v>
      </c>
      <c r="V14" s="51"/>
      <c r="W14" s="51"/>
      <c r="X14" s="51"/>
      <c r="Y14" s="51">
        <f t="shared" si="3"/>
        <v>335.63999999990193</v>
      </c>
      <c r="Z14" s="52"/>
      <c r="AA14" s="53">
        <f t="shared" si="16"/>
        <v>51688.469999999965</v>
      </c>
      <c r="AB14" s="54"/>
      <c r="AC14" s="54"/>
      <c r="AD14" s="54"/>
      <c r="AE14" s="54">
        <f t="shared" si="4"/>
        <v>51688.469999999965</v>
      </c>
      <c r="AF14" s="53"/>
      <c r="AG14" s="53"/>
      <c r="AH14" s="54"/>
      <c r="AI14" s="54"/>
      <c r="AJ14" s="54"/>
      <c r="AK14" s="54"/>
      <c r="AL14" s="53"/>
      <c r="AM14" s="53"/>
      <c r="AN14" s="54"/>
      <c r="AO14" s="54"/>
      <c r="AP14" s="54"/>
      <c r="AQ14" s="54"/>
      <c r="AR14" s="53"/>
      <c r="AS14" s="50">
        <f t="shared" si="5"/>
        <v>2184227.33</v>
      </c>
      <c r="AT14" s="50">
        <f t="shared" si="6"/>
        <v>1769324.34</v>
      </c>
      <c r="AU14" s="50">
        <f t="shared" si="7"/>
        <v>0</v>
      </c>
      <c r="AV14" s="50">
        <f t="shared" si="8"/>
        <v>-120800.89000000019</v>
      </c>
      <c r="AW14" s="50"/>
      <c r="AX14" s="50">
        <f t="shared" si="17"/>
        <v>3832750.78</v>
      </c>
      <c r="AY14" s="50">
        <f t="shared" si="10"/>
        <v>6300000</v>
      </c>
      <c r="AZ14" s="50">
        <f t="shared" si="11"/>
        <v>10132750.779999999</v>
      </c>
      <c r="BD14" s="15" t="s">
        <v>50</v>
      </c>
      <c r="BE14" s="26"/>
      <c r="BF14" s="26">
        <v>1988314.2999999998</v>
      </c>
      <c r="BG14" s="26"/>
      <c r="BH14" s="26">
        <v>1988314.2999999998</v>
      </c>
    </row>
    <row r="15" spans="1:60" x14ac:dyDescent="0.3">
      <c r="B15" s="99">
        <f>B14+1</f>
        <v>44180</v>
      </c>
      <c r="C15" s="44">
        <f t="shared" si="12"/>
        <v>1239209.74</v>
      </c>
      <c r="D15" s="45">
        <v>10251.030000000001</v>
      </c>
      <c r="E15" s="45"/>
      <c r="F15" s="45">
        <v>-11250.049999999799</v>
      </c>
      <c r="G15" s="45">
        <f t="shared" si="0"/>
        <v>1238210.7200000002</v>
      </c>
      <c r="H15" s="44">
        <v>3800000</v>
      </c>
      <c r="I15" s="46">
        <f t="shared" si="13"/>
        <v>2448228.2200000002</v>
      </c>
      <c r="J15" s="47"/>
      <c r="K15" s="47"/>
      <c r="L15" s="47">
        <v>-308622.69</v>
      </c>
      <c r="M15" s="47">
        <f t="shared" si="1"/>
        <v>2139605.5300000003</v>
      </c>
      <c r="N15" s="46">
        <v>2500000</v>
      </c>
      <c r="O15" s="48">
        <f t="shared" si="14"/>
        <v>93288.710000000021</v>
      </c>
      <c r="P15" s="55"/>
      <c r="Q15" s="55"/>
      <c r="R15" s="55">
        <v>-704.60000000000605</v>
      </c>
      <c r="S15" s="55">
        <f t="shared" si="2"/>
        <v>92584.110000000015</v>
      </c>
      <c r="T15" s="48"/>
      <c r="U15" s="49">
        <f t="shared" si="15"/>
        <v>335.63999999990193</v>
      </c>
      <c r="V15" s="51"/>
      <c r="W15" s="51"/>
      <c r="X15" s="51"/>
      <c r="Y15" s="51">
        <f t="shared" si="3"/>
        <v>335.63999999990193</v>
      </c>
      <c r="Z15" s="52"/>
      <c r="AA15" s="53">
        <f t="shared" si="16"/>
        <v>51688.469999999965</v>
      </c>
      <c r="AB15" s="54"/>
      <c r="AC15" s="54"/>
      <c r="AD15" s="54"/>
      <c r="AE15" s="54">
        <f t="shared" si="4"/>
        <v>51688.469999999965</v>
      </c>
      <c r="AF15" s="53"/>
      <c r="AG15" s="53"/>
      <c r="AH15" s="54"/>
      <c r="AI15" s="54"/>
      <c r="AJ15" s="54"/>
      <c r="AK15" s="54"/>
      <c r="AL15" s="53"/>
      <c r="AM15" s="53"/>
      <c r="AN15" s="54"/>
      <c r="AO15" s="54"/>
      <c r="AP15" s="54"/>
      <c r="AQ15" s="54"/>
      <c r="AR15" s="53"/>
      <c r="AS15" s="50">
        <f t="shared" si="5"/>
        <v>3832750.78</v>
      </c>
      <c r="AT15" s="50">
        <f t="shared" si="6"/>
        <v>10251.030000000001</v>
      </c>
      <c r="AU15" s="50">
        <f t="shared" si="7"/>
        <v>0</v>
      </c>
      <c r="AV15" s="50">
        <f t="shared" si="8"/>
        <v>-320577.33999999985</v>
      </c>
      <c r="AW15" s="50"/>
      <c r="AX15" s="50">
        <f t="shared" si="17"/>
        <v>3522424.47</v>
      </c>
      <c r="AY15" s="50">
        <f t="shared" si="10"/>
        <v>6300000</v>
      </c>
      <c r="AZ15" s="50">
        <f t="shared" si="11"/>
        <v>9822424.4700000007</v>
      </c>
      <c r="BD15" s="15" t="s">
        <v>43</v>
      </c>
      <c r="BF15" s="15">
        <v>-10196.65</v>
      </c>
      <c r="BH15" s="15">
        <v>-10196.65</v>
      </c>
    </row>
    <row r="16" spans="1:60" x14ac:dyDescent="0.3">
      <c r="B16" s="99">
        <f>B15+1</f>
        <v>44181</v>
      </c>
      <c r="C16" s="44">
        <f t="shared" si="12"/>
        <v>1238210.7200000002</v>
      </c>
      <c r="D16" s="45"/>
      <c r="E16" s="45"/>
      <c r="F16" s="45">
        <v>-1187301.71</v>
      </c>
      <c r="G16" s="45">
        <f t="shared" si="0"/>
        <v>50909.010000000242</v>
      </c>
      <c r="H16" s="44">
        <v>3800000</v>
      </c>
      <c r="I16" s="46">
        <f t="shared" si="13"/>
        <v>2139605.5300000003</v>
      </c>
      <c r="J16" s="47">
        <v>53228.4</v>
      </c>
      <c r="K16" s="47"/>
      <c r="L16" s="47">
        <v>-6202.9900000002199</v>
      </c>
      <c r="M16" s="47">
        <f t="shared" si="1"/>
        <v>2186630.94</v>
      </c>
      <c r="N16" s="46">
        <v>2500000</v>
      </c>
      <c r="O16" s="48">
        <f t="shared" si="14"/>
        <v>92584.110000000015</v>
      </c>
      <c r="P16" s="55"/>
      <c r="Q16" s="55"/>
      <c r="R16" s="55"/>
      <c r="S16" s="55">
        <f t="shared" si="2"/>
        <v>92584.110000000015</v>
      </c>
      <c r="T16" s="48"/>
      <c r="U16" s="49">
        <f t="shared" si="15"/>
        <v>335.63999999990193</v>
      </c>
      <c r="V16" s="51"/>
      <c r="W16" s="51"/>
      <c r="X16" s="51"/>
      <c r="Y16" s="51">
        <f t="shared" si="3"/>
        <v>335.63999999990193</v>
      </c>
      <c r="Z16" s="52"/>
      <c r="AA16" s="53">
        <f t="shared" si="16"/>
        <v>51688.469999999965</v>
      </c>
      <c r="AB16" s="54"/>
      <c r="AC16" s="54"/>
      <c r="AD16" s="54">
        <v>-8755.4</v>
      </c>
      <c r="AE16" s="54">
        <f t="shared" si="4"/>
        <v>42933.069999999963</v>
      </c>
      <c r="AF16" s="53"/>
      <c r="AG16" s="53"/>
      <c r="AH16" s="54"/>
      <c r="AI16" s="54"/>
      <c r="AJ16" s="54"/>
      <c r="AK16" s="54"/>
      <c r="AL16" s="53"/>
      <c r="AM16" s="53"/>
      <c r="AN16" s="54"/>
      <c r="AO16" s="54"/>
      <c r="AP16" s="54"/>
      <c r="AQ16" s="54"/>
      <c r="AR16" s="53"/>
      <c r="AS16" s="50">
        <f t="shared" si="5"/>
        <v>3522424.47</v>
      </c>
      <c r="AT16" s="50">
        <f t="shared" si="6"/>
        <v>53228.4</v>
      </c>
      <c r="AU16" s="50">
        <f t="shared" si="7"/>
        <v>0</v>
      </c>
      <c r="AV16" s="50">
        <f t="shared" si="8"/>
        <v>-1202260.1000000001</v>
      </c>
      <c r="AW16" s="50"/>
      <c r="AX16" s="50">
        <f t="shared" si="17"/>
        <v>2373392.77</v>
      </c>
      <c r="AY16" s="50">
        <f t="shared" si="10"/>
        <v>6300000</v>
      </c>
      <c r="AZ16" s="50">
        <f t="shared" si="11"/>
        <v>8673392.7699999996</v>
      </c>
      <c r="BD16" s="15" t="s">
        <v>24</v>
      </c>
      <c r="BF16" s="15">
        <v>663301.18999999994</v>
      </c>
      <c r="BH16" s="15">
        <v>663301.18999999994</v>
      </c>
    </row>
    <row r="17" spans="2:60" x14ac:dyDescent="0.3">
      <c r="B17" s="99">
        <f>B16+1</f>
        <v>44182</v>
      </c>
      <c r="C17" s="44">
        <f t="shared" si="12"/>
        <v>50909.010000000242</v>
      </c>
      <c r="D17" s="45">
        <v>4478.2299999999996</v>
      </c>
      <c r="E17" s="45"/>
      <c r="F17" s="45">
        <v>-76441.37</v>
      </c>
      <c r="G17" s="45">
        <f t="shared" si="0"/>
        <v>-21054.129999999757</v>
      </c>
      <c r="H17" s="44">
        <v>3800000</v>
      </c>
      <c r="I17" s="46">
        <f t="shared" si="13"/>
        <v>2186630.94</v>
      </c>
      <c r="J17" s="47">
        <v>884193.57</v>
      </c>
      <c r="K17" s="47"/>
      <c r="L17" s="47">
        <v>-893162.29</v>
      </c>
      <c r="M17" s="47">
        <f t="shared" si="1"/>
        <v>2177662.2199999997</v>
      </c>
      <c r="N17" s="46">
        <v>2500000</v>
      </c>
      <c r="O17" s="48">
        <f t="shared" si="14"/>
        <v>92584.110000000015</v>
      </c>
      <c r="P17" s="55"/>
      <c r="Q17" s="55"/>
      <c r="R17" s="55">
        <v>-80000</v>
      </c>
      <c r="S17" s="55">
        <f t="shared" si="2"/>
        <v>12584.110000000015</v>
      </c>
      <c r="T17" s="48"/>
      <c r="U17" s="49">
        <f t="shared" si="15"/>
        <v>335.63999999990193</v>
      </c>
      <c r="V17" s="51"/>
      <c r="W17" s="51"/>
      <c r="X17" s="51"/>
      <c r="Y17" s="51">
        <f t="shared" si="3"/>
        <v>335.63999999990193</v>
      </c>
      <c r="Z17" s="52"/>
      <c r="AA17" s="53">
        <f t="shared" si="16"/>
        <v>42933.069999999963</v>
      </c>
      <c r="AB17" s="54"/>
      <c r="AC17" s="54"/>
      <c r="AD17" s="54"/>
      <c r="AE17" s="54">
        <f t="shared" si="4"/>
        <v>42933.069999999963</v>
      </c>
      <c r="AF17" s="53"/>
      <c r="AG17" s="53"/>
      <c r="AH17" s="54"/>
      <c r="AI17" s="54"/>
      <c r="AJ17" s="54"/>
      <c r="AK17" s="54"/>
      <c r="AL17" s="53"/>
      <c r="AM17" s="53"/>
      <c r="AN17" s="54"/>
      <c r="AO17" s="54"/>
      <c r="AP17" s="54"/>
      <c r="AQ17" s="54"/>
      <c r="AR17" s="53"/>
      <c r="AS17" s="50">
        <f t="shared" si="5"/>
        <v>2373392.77</v>
      </c>
      <c r="AT17" s="50">
        <f t="shared" si="6"/>
        <v>888671.79999999993</v>
      </c>
      <c r="AU17" s="50">
        <f t="shared" si="7"/>
        <v>0</v>
      </c>
      <c r="AV17" s="50">
        <f t="shared" si="8"/>
        <v>-1049603.6600000001</v>
      </c>
      <c r="AW17" s="50"/>
      <c r="AX17" s="50">
        <f t="shared" si="17"/>
        <v>2212460.9099999997</v>
      </c>
      <c r="AY17" s="50">
        <f t="shared" si="10"/>
        <v>6300000</v>
      </c>
      <c r="AZ17" s="50">
        <f t="shared" si="11"/>
        <v>8512460.9100000001</v>
      </c>
      <c r="BD17" s="15" t="s">
        <v>155</v>
      </c>
      <c r="BF17" s="15">
        <v>1335209.76</v>
      </c>
      <c r="BH17" s="15">
        <v>1335209.76</v>
      </c>
    </row>
    <row r="18" spans="2:60" x14ac:dyDescent="0.3">
      <c r="B18" s="99">
        <f>B17+1</f>
        <v>44183</v>
      </c>
      <c r="C18" s="44">
        <f t="shared" si="12"/>
        <v>-21054.129999999757</v>
      </c>
      <c r="D18" s="45">
        <v>188826.81</v>
      </c>
      <c r="E18" s="45"/>
      <c r="F18" s="45">
        <v>-663193.59999999998</v>
      </c>
      <c r="G18" s="45">
        <f t="shared" si="0"/>
        <v>-495420.91999999975</v>
      </c>
      <c r="H18" s="44">
        <v>3800000</v>
      </c>
      <c r="I18" s="46">
        <f t="shared" si="13"/>
        <v>2177662.2199999997</v>
      </c>
      <c r="J18" s="47">
        <v>814753.14</v>
      </c>
      <c r="K18" s="47"/>
      <c r="L18" s="47">
        <v>-78572.960000000006</v>
      </c>
      <c r="M18" s="47">
        <f t="shared" si="1"/>
        <v>2913842.4</v>
      </c>
      <c r="N18" s="46">
        <v>2500000</v>
      </c>
      <c r="O18" s="48">
        <f t="shared" si="14"/>
        <v>12584.110000000015</v>
      </c>
      <c r="P18" s="55"/>
      <c r="Q18" s="55"/>
      <c r="R18" s="55"/>
      <c r="S18" s="55">
        <f t="shared" si="2"/>
        <v>12584.110000000015</v>
      </c>
      <c r="T18" s="48"/>
      <c r="U18" s="49">
        <f t="shared" si="15"/>
        <v>335.63999999990193</v>
      </c>
      <c r="V18" s="51"/>
      <c r="W18" s="51"/>
      <c r="X18" s="51"/>
      <c r="Y18" s="51">
        <f t="shared" si="3"/>
        <v>335.63999999990193</v>
      </c>
      <c r="Z18" s="52"/>
      <c r="AA18" s="53">
        <f t="shared" si="16"/>
        <v>42933.069999999963</v>
      </c>
      <c r="AB18" s="54"/>
      <c r="AC18" s="54"/>
      <c r="AD18" s="54"/>
      <c r="AE18" s="54">
        <f t="shared" si="4"/>
        <v>42933.069999999963</v>
      </c>
      <c r="AF18" s="53"/>
      <c r="AG18" s="53"/>
      <c r="AH18" s="54"/>
      <c r="AI18" s="54"/>
      <c r="AJ18" s="54"/>
      <c r="AK18" s="54"/>
      <c r="AL18" s="53"/>
      <c r="AM18" s="53"/>
      <c r="AN18" s="54"/>
      <c r="AO18" s="54"/>
      <c r="AP18" s="54"/>
      <c r="AQ18" s="54"/>
      <c r="AR18" s="53"/>
      <c r="AS18" s="50">
        <f t="shared" si="5"/>
        <v>2212460.9099999997</v>
      </c>
      <c r="AT18" s="50">
        <f t="shared" si="6"/>
        <v>1003579.95</v>
      </c>
      <c r="AU18" s="50">
        <f t="shared" si="7"/>
        <v>0</v>
      </c>
      <c r="AV18" s="50">
        <f t="shared" si="8"/>
        <v>-741766.55999999994</v>
      </c>
      <c r="AW18" s="50"/>
      <c r="AX18" s="50">
        <f t="shared" si="17"/>
        <v>2474274.2999999998</v>
      </c>
      <c r="AY18" s="50">
        <f t="shared" si="10"/>
        <v>6300000</v>
      </c>
      <c r="AZ18" s="50">
        <f t="shared" si="11"/>
        <v>8774274.3000000007</v>
      </c>
      <c r="BD18" s="15" t="s">
        <v>44</v>
      </c>
      <c r="BE18" s="27"/>
      <c r="BF18" s="27">
        <v>6809.7999999999993</v>
      </c>
      <c r="BG18" s="27"/>
      <c r="BH18" s="27">
        <v>6809.7999999999993</v>
      </c>
    </row>
    <row r="19" spans="2:60" x14ac:dyDescent="0.3">
      <c r="B19" s="99">
        <f>B18+3</f>
        <v>44186</v>
      </c>
      <c r="C19" s="44">
        <f t="shared" ref="C19:C32" si="18">G18</f>
        <v>-495420.91999999975</v>
      </c>
      <c r="D19" s="45">
        <v>527175.93000000005</v>
      </c>
      <c r="E19" s="45">
        <v>740000</v>
      </c>
      <c r="F19" s="45">
        <v>-478547.62</v>
      </c>
      <c r="G19" s="45">
        <f t="shared" si="0"/>
        <v>293207.39000000025</v>
      </c>
      <c r="H19" s="44">
        <v>3800000</v>
      </c>
      <c r="I19" s="46">
        <f t="shared" ref="I19:I31" si="19">M18</f>
        <v>2913842.4</v>
      </c>
      <c r="J19" s="47">
        <v>553750.69999999995</v>
      </c>
      <c r="K19" s="47">
        <v>-1000000</v>
      </c>
      <c r="L19" s="47">
        <v>-88946.659999999698</v>
      </c>
      <c r="M19" s="47">
        <f t="shared" ref="M19:M31" si="20">SUM(I19:L19)</f>
        <v>2378646.44</v>
      </c>
      <c r="N19" s="46">
        <v>2500000</v>
      </c>
      <c r="O19" s="48">
        <f t="shared" ref="O19:O32" si="21">S18</f>
        <v>12584.110000000015</v>
      </c>
      <c r="P19" s="55">
        <v>95189.739999999991</v>
      </c>
      <c r="Q19" s="55"/>
      <c r="R19" s="55">
        <v>-4467.8599999999897</v>
      </c>
      <c r="S19" s="55">
        <f t="shared" ref="S19:S32" si="22">SUM(O19:R19)</f>
        <v>103305.99000000002</v>
      </c>
      <c r="T19" s="48"/>
      <c r="U19" s="49">
        <f t="shared" ref="U19:U32" si="23">Y18</f>
        <v>335.63999999990193</v>
      </c>
      <c r="V19" s="51"/>
      <c r="W19" s="51"/>
      <c r="X19" s="51"/>
      <c r="Y19" s="51">
        <f t="shared" ref="Y19:Y49" si="24">SUM(U19:X19)</f>
        <v>335.63999999990193</v>
      </c>
      <c r="Z19" s="52"/>
      <c r="AA19" s="53">
        <f t="shared" ref="AA19:AA32" si="25">AE18</f>
        <v>42933.069999999963</v>
      </c>
      <c r="AB19" s="54"/>
      <c r="AC19" s="54">
        <v>260000</v>
      </c>
      <c r="AD19" s="54"/>
      <c r="AE19" s="54">
        <f t="shared" ref="AE19:AE32" si="26">SUM(AA19:AD19)</f>
        <v>302933.06999999995</v>
      </c>
      <c r="AF19" s="53"/>
      <c r="AG19" s="53"/>
      <c r="AH19" s="54"/>
      <c r="AI19" s="54"/>
      <c r="AJ19" s="54"/>
      <c r="AK19" s="54"/>
      <c r="AL19" s="53"/>
      <c r="AM19" s="53"/>
      <c r="AN19" s="54"/>
      <c r="AO19" s="54"/>
      <c r="AP19" s="54"/>
      <c r="AQ19" s="54"/>
      <c r="AR19" s="53"/>
      <c r="AS19" s="50">
        <f t="shared" si="5"/>
        <v>2474274.2999999998</v>
      </c>
      <c r="AT19" s="50">
        <f t="shared" si="6"/>
        <v>1176116.3699999999</v>
      </c>
      <c r="AU19" s="50">
        <f t="shared" si="7"/>
        <v>0</v>
      </c>
      <c r="AV19" s="50">
        <f t="shared" si="8"/>
        <v>-571962.13999999966</v>
      </c>
      <c r="AW19" s="50"/>
      <c r="AX19" s="50">
        <f t="shared" si="17"/>
        <v>3078428.5300000003</v>
      </c>
      <c r="AY19" s="50">
        <f t="shared" si="10"/>
        <v>6300000</v>
      </c>
      <c r="AZ19" s="50">
        <f t="shared" si="11"/>
        <v>9378428.5300000012</v>
      </c>
      <c r="BD19" s="15" t="s">
        <v>43</v>
      </c>
      <c r="BF19" s="15">
        <v>-1094.4000000000001</v>
      </c>
      <c r="BH19" s="15">
        <v>-1094.4000000000001</v>
      </c>
    </row>
    <row r="20" spans="2:60" x14ac:dyDescent="0.3">
      <c r="B20" s="99">
        <f>B19+1</f>
        <v>44187</v>
      </c>
      <c r="C20" s="44">
        <f t="shared" si="18"/>
        <v>293207.39000000025</v>
      </c>
      <c r="D20" s="45">
        <v>350141.95</v>
      </c>
      <c r="E20" s="45"/>
      <c r="F20" s="45">
        <v>-55721.490000000202</v>
      </c>
      <c r="G20" s="45">
        <f t="shared" si="0"/>
        <v>587627.85000000009</v>
      </c>
      <c r="H20" s="44">
        <v>3800000</v>
      </c>
      <c r="I20" s="46">
        <f t="shared" si="19"/>
        <v>2378646.44</v>
      </c>
      <c r="J20" s="47">
        <v>33267.86</v>
      </c>
      <c r="K20" s="47"/>
      <c r="L20" s="47">
        <v>-18470.889999999599</v>
      </c>
      <c r="M20" s="47">
        <f t="shared" si="20"/>
        <v>2393443.41</v>
      </c>
      <c r="N20" s="46">
        <v>2500000</v>
      </c>
      <c r="O20" s="48">
        <f t="shared" si="21"/>
        <v>103305.99000000002</v>
      </c>
      <c r="P20" s="55"/>
      <c r="Q20" s="55"/>
      <c r="R20" s="55">
        <v>-3590.98</v>
      </c>
      <c r="S20" s="55">
        <f t="shared" si="22"/>
        <v>99715.010000000024</v>
      </c>
      <c r="T20" s="48"/>
      <c r="U20" s="49">
        <f t="shared" si="23"/>
        <v>335.63999999990193</v>
      </c>
      <c r="V20" s="51"/>
      <c r="W20" s="51"/>
      <c r="X20" s="51"/>
      <c r="Y20" s="51">
        <f t="shared" si="24"/>
        <v>335.63999999990193</v>
      </c>
      <c r="Z20" s="52"/>
      <c r="AA20" s="53">
        <f t="shared" si="25"/>
        <v>302933.06999999995</v>
      </c>
      <c r="AB20" s="54">
        <v>43696.53</v>
      </c>
      <c r="AC20" s="54"/>
      <c r="AD20" s="54">
        <v>-260364.98</v>
      </c>
      <c r="AE20" s="54">
        <f t="shared" si="26"/>
        <v>86264.619999999966</v>
      </c>
      <c r="AF20" s="53"/>
      <c r="AG20" s="53"/>
      <c r="AH20" s="54"/>
      <c r="AI20" s="54"/>
      <c r="AJ20" s="54"/>
      <c r="AK20" s="54"/>
      <c r="AL20" s="53"/>
      <c r="AM20" s="53"/>
      <c r="AN20" s="54"/>
      <c r="AO20" s="54"/>
      <c r="AP20" s="54"/>
      <c r="AQ20" s="54"/>
      <c r="AR20" s="53"/>
      <c r="AS20" s="50">
        <f t="shared" si="5"/>
        <v>3078428.5300000003</v>
      </c>
      <c r="AT20" s="50">
        <f t="shared" si="6"/>
        <v>427106.33999999997</v>
      </c>
      <c r="AU20" s="50">
        <f t="shared" si="7"/>
        <v>0</v>
      </c>
      <c r="AV20" s="50">
        <f t="shared" si="8"/>
        <v>-338148.33999999979</v>
      </c>
      <c r="AW20" s="50"/>
      <c r="AX20" s="50">
        <f t="shared" si="17"/>
        <v>3167386.5300000007</v>
      </c>
      <c r="AY20" s="50">
        <f t="shared" si="10"/>
        <v>6300000</v>
      </c>
      <c r="AZ20" s="50">
        <f t="shared" si="11"/>
        <v>9467386.5300000012</v>
      </c>
      <c r="BD20" s="15" t="s">
        <v>155</v>
      </c>
      <c r="BF20" s="15">
        <v>7904.2</v>
      </c>
      <c r="BH20" s="15">
        <v>7904.2</v>
      </c>
    </row>
    <row r="21" spans="2:60" x14ac:dyDescent="0.3">
      <c r="B21" s="99">
        <f>B20+1</f>
        <v>44188</v>
      </c>
      <c r="C21" s="44">
        <f t="shared" si="18"/>
        <v>587627.85000000009</v>
      </c>
      <c r="D21" s="45">
        <v>41783.760000000002</v>
      </c>
      <c r="E21" s="45"/>
      <c r="F21" s="45">
        <v>-138.719999999972</v>
      </c>
      <c r="G21" s="45">
        <f t="shared" si="0"/>
        <v>629272.89000000013</v>
      </c>
      <c r="H21" s="44">
        <v>3800000</v>
      </c>
      <c r="I21" s="46">
        <f t="shared" si="19"/>
        <v>2393443.41</v>
      </c>
      <c r="J21" s="47">
        <v>212577.98</v>
      </c>
      <c r="K21" s="47"/>
      <c r="L21" s="47"/>
      <c r="M21" s="47">
        <f t="shared" si="20"/>
        <v>2606021.39</v>
      </c>
      <c r="N21" s="46">
        <v>2500000</v>
      </c>
      <c r="O21" s="48">
        <f t="shared" si="21"/>
        <v>99715.010000000024</v>
      </c>
      <c r="P21" s="55">
        <v>81.92</v>
      </c>
      <c r="Q21" s="55"/>
      <c r="R21" s="55"/>
      <c r="S21" s="55">
        <f t="shared" si="22"/>
        <v>99796.930000000022</v>
      </c>
      <c r="T21" s="48"/>
      <c r="U21" s="49">
        <f t="shared" si="23"/>
        <v>335.63999999990193</v>
      </c>
      <c r="V21" s="51"/>
      <c r="W21" s="51"/>
      <c r="X21" s="51"/>
      <c r="Y21" s="51">
        <f t="shared" si="24"/>
        <v>335.63999999990193</v>
      </c>
      <c r="Z21" s="52"/>
      <c r="AA21" s="53">
        <f t="shared" si="25"/>
        <v>86264.619999999966</v>
      </c>
      <c r="AB21" s="54"/>
      <c r="AC21" s="54"/>
      <c r="AD21" s="54"/>
      <c r="AE21" s="54">
        <f t="shared" si="26"/>
        <v>86264.619999999966</v>
      </c>
      <c r="AF21" s="53"/>
      <c r="AG21" s="53"/>
      <c r="AH21" s="54"/>
      <c r="AI21" s="54"/>
      <c r="AJ21" s="54"/>
      <c r="AK21" s="54"/>
      <c r="AL21" s="53"/>
      <c r="AM21" s="53"/>
      <c r="AN21" s="54"/>
      <c r="AO21" s="54"/>
      <c r="AP21" s="54"/>
      <c r="AQ21" s="54"/>
      <c r="AR21" s="53"/>
      <c r="AS21" s="50">
        <f t="shared" si="5"/>
        <v>3167386.5300000007</v>
      </c>
      <c r="AT21" s="50">
        <f t="shared" si="6"/>
        <v>254443.66000000003</v>
      </c>
      <c r="AU21" s="50">
        <f t="shared" si="7"/>
        <v>0</v>
      </c>
      <c r="AV21" s="50">
        <f t="shared" si="8"/>
        <v>-138.719999999972</v>
      </c>
      <c r="AW21" s="50"/>
      <c r="AX21" s="50">
        <f t="shared" si="17"/>
        <v>3421691.4700000007</v>
      </c>
      <c r="AY21" s="50">
        <f t="shared" si="10"/>
        <v>6300000</v>
      </c>
      <c r="AZ21" s="50">
        <f t="shared" si="11"/>
        <v>9721691.4700000007</v>
      </c>
      <c r="BD21" s="15" t="s">
        <v>151</v>
      </c>
    </row>
    <row r="22" spans="2:60" x14ac:dyDescent="0.3">
      <c r="B22" s="99">
        <f>B21+1</f>
        <v>44189</v>
      </c>
      <c r="C22" s="44">
        <f t="shared" si="18"/>
        <v>629272.89000000013</v>
      </c>
      <c r="D22" s="45">
        <v>324875.07</v>
      </c>
      <c r="E22" s="45"/>
      <c r="F22" s="45">
        <v>-60000</v>
      </c>
      <c r="G22" s="45">
        <f t="shared" si="0"/>
        <v>894147.9600000002</v>
      </c>
      <c r="H22" s="44">
        <v>3800000</v>
      </c>
      <c r="I22" s="46">
        <f t="shared" si="19"/>
        <v>2606021.39</v>
      </c>
      <c r="J22" s="47"/>
      <c r="K22" s="47"/>
      <c r="L22" s="47"/>
      <c r="M22" s="47">
        <f t="shared" si="20"/>
        <v>2606021.39</v>
      </c>
      <c r="N22" s="46">
        <v>2500000</v>
      </c>
      <c r="O22" s="48">
        <f t="shared" si="21"/>
        <v>99796.930000000022</v>
      </c>
      <c r="P22" s="55">
        <v>81.92</v>
      </c>
      <c r="Q22" s="55"/>
      <c r="R22" s="55"/>
      <c r="S22" s="55">
        <f t="shared" si="22"/>
        <v>99878.85000000002</v>
      </c>
      <c r="T22" s="48"/>
      <c r="U22" s="49">
        <f t="shared" si="23"/>
        <v>335.63999999990193</v>
      </c>
      <c r="V22" s="51"/>
      <c r="W22" s="51"/>
      <c r="X22" s="51"/>
      <c r="Y22" s="51">
        <f t="shared" si="24"/>
        <v>335.63999999990193</v>
      </c>
      <c r="Z22" s="52"/>
      <c r="AA22" s="53">
        <f t="shared" si="25"/>
        <v>86264.619999999966</v>
      </c>
      <c r="AB22" s="54"/>
      <c r="AC22" s="54"/>
      <c r="AD22" s="54"/>
      <c r="AE22" s="54">
        <f t="shared" si="26"/>
        <v>86264.619999999966</v>
      </c>
      <c r="AF22" s="53"/>
      <c r="AG22" s="53"/>
      <c r="AH22" s="54"/>
      <c r="AI22" s="54"/>
      <c r="AJ22" s="54"/>
      <c r="AK22" s="54"/>
      <c r="AL22" s="53"/>
      <c r="AM22" s="53"/>
      <c r="AN22" s="54"/>
      <c r="AO22" s="54"/>
      <c r="AP22" s="54"/>
      <c r="AQ22" s="54"/>
      <c r="AR22" s="53"/>
      <c r="AS22" s="50">
        <f t="shared" si="5"/>
        <v>3421691.4700000007</v>
      </c>
      <c r="AT22" s="50">
        <f t="shared" si="6"/>
        <v>324956.99</v>
      </c>
      <c r="AU22" s="50">
        <f t="shared" si="7"/>
        <v>0</v>
      </c>
      <c r="AV22" s="50">
        <f t="shared" si="8"/>
        <v>-60000</v>
      </c>
      <c r="AW22" s="50"/>
      <c r="AX22" s="50">
        <f t="shared" si="17"/>
        <v>3686648.4600000009</v>
      </c>
      <c r="AY22" s="50">
        <f t="shared" si="10"/>
        <v>6300000</v>
      </c>
      <c r="AZ22" s="50">
        <f t="shared" si="11"/>
        <v>9986648.4600000009</v>
      </c>
      <c r="BD22" s="15" t="s">
        <v>43</v>
      </c>
    </row>
    <row r="23" spans="2:60" x14ac:dyDescent="0.3">
      <c r="B23" s="99">
        <f>B22+4</f>
        <v>44193</v>
      </c>
      <c r="C23" s="44">
        <f t="shared" si="18"/>
        <v>894147.9600000002</v>
      </c>
      <c r="D23" s="45">
        <v>462678.1</v>
      </c>
      <c r="E23" s="45"/>
      <c r="F23" s="45">
        <v>-246712.73</v>
      </c>
      <c r="G23" s="45">
        <f t="shared" si="0"/>
        <v>1110113.33</v>
      </c>
      <c r="H23" s="44">
        <v>3800000</v>
      </c>
      <c r="I23" s="46">
        <f t="shared" si="19"/>
        <v>2606021.39</v>
      </c>
      <c r="J23" s="47"/>
      <c r="K23" s="47"/>
      <c r="L23" s="47">
        <v>-243988.47</v>
      </c>
      <c r="M23" s="47">
        <f t="shared" si="20"/>
        <v>2362032.92</v>
      </c>
      <c r="N23" s="46">
        <v>2500000</v>
      </c>
      <c r="O23" s="48">
        <f t="shared" si="21"/>
        <v>99878.85000000002</v>
      </c>
      <c r="P23" s="55"/>
      <c r="Q23" s="55"/>
      <c r="R23" s="55">
        <v>-3428.0900000000302</v>
      </c>
      <c r="S23" s="55">
        <f t="shared" si="22"/>
        <v>96450.76</v>
      </c>
      <c r="T23" s="48"/>
      <c r="U23" s="49">
        <f t="shared" si="23"/>
        <v>335.63999999990193</v>
      </c>
      <c r="V23" s="51"/>
      <c r="W23" s="51"/>
      <c r="X23" s="51"/>
      <c r="Y23" s="51">
        <f t="shared" si="24"/>
        <v>335.63999999990193</v>
      </c>
      <c r="Z23" s="52"/>
      <c r="AA23" s="53">
        <f t="shared" si="25"/>
        <v>86264.619999999966</v>
      </c>
      <c r="AB23" s="54"/>
      <c r="AC23" s="54"/>
      <c r="AD23" s="54">
        <v>-9133.24</v>
      </c>
      <c r="AE23" s="54">
        <f t="shared" si="26"/>
        <v>77131.379999999961</v>
      </c>
      <c r="AF23" s="53"/>
      <c r="AG23" s="53"/>
      <c r="AH23" s="54"/>
      <c r="AI23" s="54"/>
      <c r="AJ23" s="54"/>
      <c r="AK23" s="54"/>
      <c r="AL23" s="53"/>
      <c r="AM23" s="53"/>
      <c r="AN23" s="54"/>
      <c r="AO23" s="54"/>
      <c r="AP23" s="54"/>
      <c r="AQ23" s="54"/>
      <c r="AR23" s="53"/>
      <c r="AS23" s="50">
        <f t="shared" si="5"/>
        <v>3686648.4600000009</v>
      </c>
      <c r="AT23" s="50">
        <f t="shared" si="6"/>
        <v>462678.1</v>
      </c>
      <c r="AU23" s="50">
        <f t="shared" si="7"/>
        <v>0</v>
      </c>
      <c r="AV23" s="50">
        <f t="shared" si="8"/>
        <v>-503262.53</v>
      </c>
      <c r="AW23" s="50"/>
      <c r="AX23" s="50">
        <f t="shared" si="17"/>
        <v>3646064.03</v>
      </c>
      <c r="AY23" s="50">
        <f t="shared" si="10"/>
        <v>6300000</v>
      </c>
      <c r="AZ23" s="50">
        <f t="shared" si="11"/>
        <v>9946064.0299999993</v>
      </c>
      <c r="BD23" s="15" t="s">
        <v>156</v>
      </c>
    </row>
    <row r="24" spans="2:60" x14ac:dyDescent="0.3">
      <c r="B24" s="99">
        <f>B23+1</f>
        <v>44194</v>
      </c>
      <c r="C24" s="44">
        <f t="shared" si="18"/>
        <v>1110113.33</v>
      </c>
      <c r="D24" s="45">
        <v>45385.529999999897</v>
      </c>
      <c r="E24" s="45"/>
      <c r="F24" s="45">
        <v>-149121.85</v>
      </c>
      <c r="G24" s="45">
        <f t="shared" si="0"/>
        <v>1006377.0099999999</v>
      </c>
      <c r="H24" s="44">
        <v>3800000</v>
      </c>
      <c r="I24" s="46">
        <f t="shared" si="19"/>
        <v>2362032.92</v>
      </c>
      <c r="J24" s="47"/>
      <c r="K24" s="47"/>
      <c r="L24" s="47">
        <v>-165</v>
      </c>
      <c r="M24" s="47">
        <f t="shared" si="20"/>
        <v>2361867.92</v>
      </c>
      <c r="N24" s="46">
        <v>2500000</v>
      </c>
      <c r="O24" s="48">
        <f t="shared" si="21"/>
        <v>96450.76</v>
      </c>
      <c r="P24" s="55"/>
      <c r="Q24" s="55"/>
      <c r="R24" s="55"/>
      <c r="S24" s="55">
        <f t="shared" si="22"/>
        <v>96450.76</v>
      </c>
      <c r="T24" s="48"/>
      <c r="U24" s="49">
        <f t="shared" si="23"/>
        <v>335.63999999990193</v>
      </c>
      <c r="V24" s="51"/>
      <c r="W24" s="51"/>
      <c r="X24" s="51"/>
      <c r="Y24" s="51">
        <f t="shared" si="24"/>
        <v>335.63999999990193</v>
      </c>
      <c r="Z24" s="52"/>
      <c r="AA24" s="53">
        <f t="shared" si="25"/>
        <v>77131.379999999961</v>
      </c>
      <c r="AB24" s="54"/>
      <c r="AC24" s="54"/>
      <c r="AD24" s="54"/>
      <c r="AE24" s="54">
        <f t="shared" si="26"/>
        <v>77131.379999999961</v>
      </c>
      <c r="AF24" s="53"/>
      <c r="AG24" s="53"/>
      <c r="AH24" s="54"/>
      <c r="AI24" s="54"/>
      <c r="AJ24" s="54"/>
      <c r="AK24" s="54"/>
      <c r="AL24" s="53"/>
      <c r="AM24" s="53"/>
      <c r="AN24" s="54"/>
      <c r="AO24" s="54"/>
      <c r="AP24" s="54"/>
      <c r="AQ24" s="54"/>
      <c r="AR24" s="53"/>
      <c r="AS24" s="50">
        <f t="shared" si="5"/>
        <v>3646064.03</v>
      </c>
      <c r="AT24" s="50">
        <f t="shared" si="6"/>
        <v>45385.529999999897</v>
      </c>
      <c r="AU24" s="50">
        <f t="shared" si="7"/>
        <v>0</v>
      </c>
      <c r="AV24" s="50">
        <f t="shared" si="8"/>
        <v>-149286.85</v>
      </c>
      <c r="AW24" s="50"/>
      <c r="AX24" s="50">
        <f t="shared" si="17"/>
        <v>3542162.7099999995</v>
      </c>
      <c r="AY24" s="50">
        <f t="shared" si="10"/>
        <v>6300000</v>
      </c>
      <c r="AZ24" s="50">
        <f t="shared" si="11"/>
        <v>9842162.709999999</v>
      </c>
      <c r="BD24" s="15" t="s">
        <v>154</v>
      </c>
      <c r="BF24" s="15">
        <v>4541690.5599999996</v>
      </c>
      <c r="BH24" s="15">
        <v>4541690.5599999996</v>
      </c>
    </row>
    <row r="25" spans="2:60" x14ac:dyDescent="0.3">
      <c r="B25" s="99">
        <f>B24+1</f>
        <v>44195</v>
      </c>
      <c r="C25" s="44">
        <f t="shared" si="18"/>
        <v>1006377.0099999999</v>
      </c>
      <c r="D25" s="45">
        <v>37433.690000000097</v>
      </c>
      <c r="E25" s="45"/>
      <c r="F25" s="45">
        <v>-35336.74</v>
      </c>
      <c r="G25" s="45">
        <f t="shared" si="0"/>
        <v>1008473.96</v>
      </c>
      <c r="H25" s="44">
        <v>3800000</v>
      </c>
      <c r="I25" s="46">
        <f t="shared" si="19"/>
        <v>2361867.92</v>
      </c>
      <c r="J25" s="47">
        <v>330127.77</v>
      </c>
      <c r="K25" s="47"/>
      <c r="L25" s="47">
        <v>-360077.33</v>
      </c>
      <c r="M25" s="47">
        <f t="shared" si="20"/>
        <v>2331918.36</v>
      </c>
      <c r="N25" s="46">
        <v>2500000</v>
      </c>
      <c r="O25" s="48">
        <f t="shared" si="21"/>
        <v>96450.76</v>
      </c>
      <c r="P25" s="55">
        <v>240834.73</v>
      </c>
      <c r="Q25" s="55"/>
      <c r="R25" s="55"/>
      <c r="S25" s="55">
        <f t="shared" si="22"/>
        <v>337285.49</v>
      </c>
      <c r="T25" s="48"/>
      <c r="U25" s="49">
        <f t="shared" si="23"/>
        <v>335.63999999990193</v>
      </c>
      <c r="V25" s="51"/>
      <c r="W25" s="51"/>
      <c r="X25" s="51"/>
      <c r="Y25" s="51">
        <f t="shared" si="24"/>
        <v>335.63999999990193</v>
      </c>
      <c r="Z25" s="52"/>
      <c r="AA25" s="53">
        <f t="shared" si="25"/>
        <v>77131.379999999961</v>
      </c>
      <c r="AB25" s="54"/>
      <c r="AC25" s="54"/>
      <c r="AD25" s="54"/>
      <c r="AE25" s="54">
        <f t="shared" si="26"/>
        <v>77131.379999999961</v>
      </c>
      <c r="AF25" s="53"/>
      <c r="AG25" s="53"/>
      <c r="AH25" s="54"/>
      <c r="AI25" s="54"/>
      <c r="AJ25" s="54"/>
      <c r="AK25" s="54"/>
      <c r="AL25" s="53"/>
      <c r="AM25" s="53"/>
      <c r="AN25" s="54"/>
      <c r="AO25" s="54"/>
      <c r="AP25" s="54"/>
      <c r="AQ25" s="54"/>
      <c r="AR25" s="53"/>
      <c r="AS25" s="50">
        <f t="shared" si="5"/>
        <v>3542162.7099999995</v>
      </c>
      <c r="AT25" s="50">
        <f t="shared" si="6"/>
        <v>608396.19000000018</v>
      </c>
      <c r="AU25" s="50">
        <f t="shared" si="7"/>
        <v>0</v>
      </c>
      <c r="AV25" s="50">
        <f t="shared" si="8"/>
        <v>-395414.07</v>
      </c>
      <c r="AW25" s="50"/>
      <c r="AX25" s="50">
        <f t="shared" si="17"/>
        <v>3755144.8299999996</v>
      </c>
      <c r="AY25" s="50">
        <f t="shared" si="10"/>
        <v>6300000</v>
      </c>
      <c r="AZ25" s="50">
        <f t="shared" si="11"/>
        <v>10055144.83</v>
      </c>
    </row>
    <row r="26" spans="2:60" x14ac:dyDescent="0.3">
      <c r="B26" s="99">
        <f>B25+1</f>
        <v>44196</v>
      </c>
      <c r="C26" s="44">
        <f t="shared" si="18"/>
        <v>1008473.96</v>
      </c>
      <c r="D26" s="45"/>
      <c r="E26" s="45"/>
      <c r="F26" s="45"/>
      <c r="G26" s="45">
        <f t="shared" si="0"/>
        <v>1008473.96</v>
      </c>
      <c r="H26" s="44">
        <v>3800000</v>
      </c>
      <c r="I26" s="46">
        <f t="shared" si="19"/>
        <v>2331918.36</v>
      </c>
      <c r="J26" s="47">
        <f>106756.36+107508.93</f>
        <v>214265.28999999998</v>
      </c>
      <c r="K26" s="47"/>
      <c r="L26" s="47"/>
      <c r="M26" s="47">
        <f t="shared" si="20"/>
        <v>2546183.65</v>
      </c>
      <c r="N26" s="46">
        <v>2500000</v>
      </c>
      <c r="O26" s="48">
        <f t="shared" si="21"/>
        <v>337285.49</v>
      </c>
      <c r="P26" s="55"/>
      <c r="Q26" s="55"/>
      <c r="R26" s="55"/>
      <c r="S26" s="55">
        <f t="shared" si="22"/>
        <v>337285.49</v>
      </c>
      <c r="T26" s="48"/>
      <c r="U26" s="49">
        <f t="shared" si="23"/>
        <v>335.63999999990193</v>
      </c>
      <c r="V26" s="51"/>
      <c r="W26" s="51"/>
      <c r="X26" s="51"/>
      <c r="Y26" s="51">
        <f t="shared" si="24"/>
        <v>335.63999999990193</v>
      </c>
      <c r="Z26" s="52"/>
      <c r="AA26" s="53">
        <f t="shared" si="25"/>
        <v>77131.379999999961</v>
      </c>
      <c r="AB26" s="54"/>
      <c r="AC26" s="54"/>
      <c r="AD26" s="54"/>
      <c r="AE26" s="54">
        <f t="shared" si="26"/>
        <v>77131.379999999961</v>
      </c>
      <c r="AF26" s="53"/>
      <c r="AG26" s="53"/>
      <c r="AH26" s="54"/>
      <c r="AI26" s="54"/>
      <c r="AJ26" s="54"/>
      <c r="AK26" s="54"/>
      <c r="AL26" s="53"/>
      <c r="AM26" s="53"/>
      <c r="AN26" s="54"/>
      <c r="AO26" s="54"/>
      <c r="AP26" s="54"/>
      <c r="AQ26" s="54"/>
      <c r="AR26" s="53"/>
      <c r="AS26" s="50">
        <f t="shared" si="5"/>
        <v>3755144.8299999996</v>
      </c>
      <c r="AT26" s="50">
        <f t="shared" si="6"/>
        <v>214265.28999999998</v>
      </c>
      <c r="AU26" s="50">
        <f t="shared" si="7"/>
        <v>0</v>
      </c>
      <c r="AV26" s="50">
        <f t="shared" si="8"/>
        <v>0</v>
      </c>
      <c r="AW26" s="50"/>
      <c r="AX26" s="50">
        <f t="shared" si="17"/>
        <v>3969410.1199999996</v>
      </c>
      <c r="AY26" s="50">
        <f t="shared" si="10"/>
        <v>6300000</v>
      </c>
      <c r="AZ26" s="50">
        <f t="shared" si="11"/>
        <v>10269410.119999999</v>
      </c>
    </row>
    <row r="27" spans="2:60" x14ac:dyDescent="0.3">
      <c r="B27" s="99">
        <f>B26+4</f>
        <v>44200</v>
      </c>
      <c r="C27" s="44">
        <f t="shared" si="18"/>
        <v>1008473.96</v>
      </c>
      <c r="D27" s="45">
        <v>217048.98</v>
      </c>
      <c r="E27" s="45"/>
      <c r="F27" s="45">
        <v>-237325.38</v>
      </c>
      <c r="G27" s="45">
        <f t="shared" si="0"/>
        <v>988197.55999999994</v>
      </c>
      <c r="H27" s="44">
        <v>3800000</v>
      </c>
      <c r="I27" s="46">
        <f t="shared" si="19"/>
        <v>2546183.65</v>
      </c>
      <c r="J27" s="47">
        <v>389097.89999999997</v>
      </c>
      <c r="K27" s="47"/>
      <c r="L27" s="47">
        <v>-1779947.44</v>
      </c>
      <c r="M27" s="47">
        <f t="shared" si="20"/>
        <v>1155334.1099999999</v>
      </c>
      <c r="N27" s="46">
        <v>2500000</v>
      </c>
      <c r="O27" s="48">
        <f t="shared" si="21"/>
        <v>337285.49</v>
      </c>
      <c r="P27" s="55">
        <v>26162.55</v>
      </c>
      <c r="Q27" s="55"/>
      <c r="R27" s="55">
        <v>-2600</v>
      </c>
      <c r="S27" s="55">
        <f t="shared" si="22"/>
        <v>360848.04</v>
      </c>
      <c r="T27" s="48"/>
      <c r="U27" s="49">
        <f t="shared" si="23"/>
        <v>335.63999999990193</v>
      </c>
      <c r="V27" s="51">
        <v>458774.3</v>
      </c>
      <c r="W27" s="51"/>
      <c r="X27" s="51"/>
      <c r="Y27" s="51">
        <f t="shared" si="24"/>
        <v>459109.93999999989</v>
      </c>
      <c r="Z27" s="52"/>
      <c r="AA27" s="53">
        <f t="shared" si="25"/>
        <v>77131.379999999961</v>
      </c>
      <c r="AB27" s="54">
        <v>0.6</v>
      </c>
      <c r="AC27" s="54"/>
      <c r="AD27" s="54"/>
      <c r="AE27" s="54">
        <f t="shared" si="26"/>
        <v>77131.979999999967</v>
      </c>
      <c r="AF27" s="53"/>
      <c r="AG27" s="53"/>
      <c r="AH27" s="54"/>
      <c r="AI27" s="54"/>
      <c r="AJ27" s="54"/>
      <c r="AK27" s="54"/>
      <c r="AL27" s="53"/>
      <c r="AM27" s="53"/>
      <c r="AN27" s="54"/>
      <c r="AO27" s="54"/>
      <c r="AP27" s="54"/>
      <c r="AQ27" s="54"/>
      <c r="AR27" s="53"/>
      <c r="AS27" s="50">
        <f t="shared" si="5"/>
        <v>3969410.1199999996</v>
      </c>
      <c r="AT27" s="50">
        <f t="shared" si="6"/>
        <v>1091084.33</v>
      </c>
      <c r="AU27" s="50">
        <f t="shared" si="7"/>
        <v>0</v>
      </c>
      <c r="AV27" s="50">
        <f t="shared" si="8"/>
        <v>-2019872.8199999998</v>
      </c>
      <c r="AW27" s="50"/>
      <c r="AX27" s="50">
        <f t="shared" si="17"/>
        <v>3040621.63</v>
      </c>
      <c r="AY27" s="50">
        <f t="shared" si="10"/>
        <v>6300000</v>
      </c>
      <c r="AZ27" s="50">
        <f t="shared" si="11"/>
        <v>9340621.629999999</v>
      </c>
    </row>
    <row r="28" spans="2:60" x14ac:dyDescent="0.3">
      <c r="B28" s="99">
        <f>B27+1</f>
        <v>44201</v>
      </c>
      <c r="C28" s="44">
        <f t="shared" si="18"/>
        <v>988197.55999999994</v>
      </c>
      <c r="D28" s="45">
        <v>1351.1</v>
      </c>
      <c r="E28" s="45"/>
      <c r="F28" s="45">
        <v>-759334.44</v>
      </c>
      <c r="G28" s="45">
        <f t="shared" si="0"/>
        <v>230214.21999999997</v>
      </c>
      <c r="H28" s="44">
        <v>3800000</v>
      </c>
      <c r="I28" s="46">
        <f t="shared" si="19"/>
        <v>1155334.1099999999</v>
      </c>
      <c r="J28" s="47"/>
      <c r="K28" s="47"/>
      <c r="L28" s="47">
        <v>-214032.36</v>
      </c>
      <c r="M28" s="47">
        <f t="shared" si="20"/>
        <v>941301.74999999988</v>
      </c>
      <c r="N28" s="46">
        <v>2500000</v>
      </c>
      <c r="O28" s="48">
        <f t="shared" si="21"/>
        <v>360848.04</v>
      </c>
      <c r="P28" s="55"/>
      <c r="Q28" s="55"/>
      <c r="R28" s="55"/>
      <c r="S28" s="55">
        <f t="shared" si="22"/>
        <v>360848.04</v>
      </c>
      <c r="T28" s="48"/>
      <c r="U28" s="49">
        <f t="shared" si="23"/>
        <v>459109.93999999989</v>
      </c>
      <c r="V28" s="51"/>
      <c r="W28" s="51"/>
      <c r="X28" s="51">
        <v>-54.95</v>
      </c>
      <c r="Y28" s="51">
        <f t="shared" si="24"/>
        <v>459054.98999999987</v>
      </c>
      <c r="Z28" s="52"/>
      <c r="AA28" s="53">
        <f t="shared" si="25"/>
        <v>77131.979999999967</v>
      </c>
      <c r="AB28" s="54"/>
      <c r="AC28" s="54"/>
      <c r="AD28" s="54"/>
      <c r="AE28" s="54">
        <f t="shared" si="26"/>
        <v>77131.979999999967</v>
      </c>
      <c r="AF28" s="53"/>
      <c r="AG28" s="53"/>
      <c r="AH28" s="54"/>
      <c r="AI28" s="54"/>
      <c r="AJ28" s="54"/>
      <c r="AK28" s="54"/>
      <c r="AL28" s="53"/>
      <c r="AM28" s="53"/>
      <c r="AN28" s="54"/>
      <c r="AO28" s="54"/>
      <c r="AP28" s="54"/>
      <c r="AQ28" s="54"/>
      <c r="AR28" s="53"/>
      <c r="AS28" s="50">
        <f t="shared" si="5"/>
        <v>3040621.63</v>
      </c>
      <c r="AT28" s="50">
        <f t="shared" si="6"/>
        <v>1351.1</v>
      </c>
      <c r="AU28" s="50">
        <f t="shared" si="7"/>
        <v>0</v>
      </c>
      <c r="AV28" s="50">
        <f t="shared" si="8"/>
        <v>-973421.74999999988</v>
      </c>
      <c r="AW28" s="50"/>
      <c r="AX28" s="50">
        <f t="shared" si="17"/>
        <v>2068550.9799999995</v>
      </c>
      <c r="AY28" s="50">
        <f t="shared" si="10"/>
        <v>6300000</v>
      </c>
      <c r="AZ28" s="50">
        <f t="shared" si="11"/>
        <v>8368550.9799999995</v>
      </c>
    </row>
    <row r="29" spans="2:60" x14ac:dyDescent="0.3">
      <c r="B29" s="99">
        <f>B28+1</f>
        <v>44202</v>
      </c>
      <c r="C29" s="44">
        <f t="shared" si="18"/>
        <v>230214.21999999997</v>
      </c>
      <c r="D29" s="45">
        <f>119338.75+163732.17</f>
        <v>283070.92000000004</v>
      </c>
      <c r="E29" s="45"/>
      <c r="F29" s="45">
        <v>-58313.83</v>
      </c>
      <c r="G29" s="45">
        <f t="shared" si="0"/>
        <v>454971.31</v>
      </c>
      <c r="H29" s="44">
        <v>3800000</v>
      </c>
      <c r="I29" s="46">
        <f t="shared" si="19"/>
        <v>941301.74999999988</v>
      </c>
      <c r="J29" s="47"/>
      <c r="K29" s="47"/>
      <c r="L29" s="47">
        <v>-52555.569999999803</v>
      </c>
      <c r="M29" s="47">
        <f t="shared" si="20"/>
        <v>888746.18</v>
      </c>
      <c r="N29" s="46">
        <v>2500000</v>
      </c>
      <c r="O29" s="48">
        <f t="shared" si="21"/>
        <v>360848.04</v>
      </c>
      <c r="P29" s="55"/>
      <c r="Q29" s="55"/>
      <c r="R29" s="55">
        <v>-522.5</v>
      </c>
      <c r="S29" s="55">
        <f t="shared" si="22"/>
        <v>360325.54</v>
      </c>
      <c r="T29" s="48"/>
      <c r="U29" s="49">
        <f t="shared" si="23"/>
        <v>459054.98999999987</v>
      </c>
      <c r="V29" s="51"/>
      <c r="W29" s="51"/>
      <c r="X29" s="51"/>
      <c r="Y29" s="51">
        <f t="shared" si="24"/>
        <v>459054.98999999987</v>
      </c>
      <c r="Z29" s="52"/>
      <c r="AA29" s="53">
        <f t="shared" si="25"/>
        <v>77131.979999999967</v>
      </c>
      <c r="AB29" s="54"/>
      <c r="AC29" s="54"/>
      <c r="AD29" s="54"/>
      <c r="AE29" s="54">
        <f t="shared" si="26"/>
        <v>77131.979999999967</v>
      </c>
      <c r="AF29" s="53"/>
      <c r="AG29" s="53"/>
      <c r="AH29" s="54"/>
      <c r="AI29" s="54"/>
      <c r="AJ29" s="54"/>
      <c r="AK29" s="54"/>
      <c r="AL29" s="53"/>
      <c r="AM29" s="53"/>
      <c r="AN29" s="54"/>
      <c r="AO29" s="54"/>
      <c r="AP29" s="54"/>
      <c r="AQ29" s="54"/>
      <c r="AR29" s="53"/>
      <c r="AS29" s="50">
        <f t="shared" si="5"/>
        <v>2068550.9799999995</v>
      </c>
      <c r="AT29" s="50">
        <f t="shared" si="6"/>
        <v>283070.92000000004</v>
      </c>
      <c r="AU29" s="50">
        <f t="shared" si="7"/>
        <v>0</v>
      </c>
      <c r="AV29" s="50">
        <f t="shared" si="8"/>
        <v>-111391.89999999981</v>
      </c>
      <c r="AW29" s="50"/>
      <c r="AX29" s="50">
        <f t="shared" ref="AX29:AX51" si="27">SUM(G29,M29,S29,Y29,AE29,)</f>
        <v>2240230</v>
      </c>
      <c r="AY29" s="50">
        <f t="shared" si="10"/>
        <v>6300000</v>
      </c>
      <c r="AZ29" s="50">
        <f t="shared" si="11"/>
        <v>8540230</v>
      </c>
    </row>
    <row r="30" spans="2:60" x14ac:dyDescent="0.3">
      <c r="B30" s="99">
        <f>B29+1</f>
        <v>44203</v>
      </c>
      <c r="C30" s="44">
        <f t="shared" si="18"/>
        <v>454971.31</v>
      </c>
      <c r="D30" s="45">
        <v>322579.03999999998</v>
      </c>
      <c r="E30" s="45"/>
      <c r="F30" s="45"/>
      <c r="G30" s="45">
        <f t="shared" si="0"/>
        <v>777550.35</v>
      </c>
      <c r="H30" s="44">
        <v>3800000</v>
      </c>
      <c r="I30" s="46">
        <f t="shared" si="19"/>
        <v>888746.18</v>
      </c>
      <c r="J30" s="47"/>
      <c r="K30" s="47"/>
      <c r="L30" s="47">
        <v>-412305.85</v>
      </c>
      <c r="M30" s="47">
        <f t="shared" si="20"/>
        <v>476440.33000000007</v>
      </c>
      <c r="N30" s="46">
        <v>2500000</v>
      </c>
      <c r="O30" s="48">
        <f t="shared" si="21"/>
        <v>360325.54</v>
      </c>
      <c r="P30" s="55"/>
      <c r="Q30" s="55"/>
      <c r="R30" s="55"/>
      <c r="S30" s="55">
        <f t="shared" si="22"/>
        <v>360325.54</v>
      </c>
      <c r="T30" s="48"/>
      <c r="U30" s="49">
        <f t="shared" si="23"/>
        <v>459054.98999999987</v>
      </c>
      <c r="V30" s="51"/>
      <c r="W30" s="51"/>
      <c r="X30" s="51"/>
      <c r="Y30" s="51">
        <f t="shared" si="24"/>
        <v>459054.98999999987</v>
      </c>
      <c r="Z30" s="52"/>
      <c r="AA30" s="53">
        <f t="shared" si="25"/>
        <v>77131.979999999967</v>
      </c>
      <c r="AB30" s="54"/>
      <c r="AC30" s="54"/>
      <c r="AD30" s="54"/>
      <c r="AE30" s="54">
        <f t="shared" si="26"/>
        <v>77131.979999999967</v>
      </c>
      <c r="AF30" s="53"/>
      <c r="AG30" s="53"/>
      <c r="AH30" s="54"/>
      <c r="AI30" s="54"/>
      <c r="AJ30" s="54"/>
      <c r="AK30" s="54"/>
      <c r="AL30" s="53"/>
      <c r="AM30" s="53"/>
      <c r="AN30" s="54"/>
      <c r="AO30" s="54"/>
      <c r="AP30" s="54"/>
      <c r="AQ30" s="54"/>
      <c r="AR30" s="53"/>
      <c r="AS30" s="50">
        <f t="shared" si="5"/>
        <v>2240230</v>
      </c>
      <c r="AT30" s="50">
        <f t="shared" si="6"/>
        <v>322579.03999999998</v>
      </c>
      <c r="AU30" s="50">
        <f t="shared" si="7"/>
        <v>0</v>
      </c>
      <c r="AV30" s="50">
        <f t="shared" si="8"/>
        <v>-412305.85</v>
      </c>
      <c r="AW30" s="50"/>
      <c r="AX30" s="50">
        <f t="shared" si="27"/>
        <v>2150503.19</v>
      </c>
      <c r="AY30" s="50">
        <f t="shared" si="10"/>
        <v>6300000</v>
      </c>
      <c r="AZ30" s="50">
        <f t="shared" si="11"/>
        <v>8450503.1899999995</v>
      </c>
    </row>
    <row r="31" spans="2:60" x14ac:dyDescent="0.3">
      <c r="B31" s="99">
        <f>B30+1</f>
        <v>44204</v>
      </c>
      <c r="C31" s="44">
        <f t="shared" si="18"/>
        <v>777550.35</v>
      </c>
      <c r="D31" s="45">
        <v>50372.93</v>
      </c>
      <c r="E31" s="45"/>
      <c r="F31" s="45">
        <v>-5552.87</v>
      </c>
      <c r="G31" s="45">
        <f t="shared" si="0"/>
        <v>822370.41</v>
      </c>
      <c r="H31" s="44">
        <v>3800000</v>
      </c>
      <c r="I31" s="46">
        <f t="shared" si="19"/>
        <v>476440.33000000007</v>
      </c>
      <c r="J31" s="47">
        <v>136082.5</v>
      </c>
      <c r="K31" s="47"/>
      <c r="L31" s="47"/>
      <c r="M31" s="47">
        <f t="shared" si="20"/>
        <v>612522.83000000007</v>
      </c>
      <c r="N31" s="46">
        <v>2500000</v>
      </c>
      <c r="O31" s="48">
        <f t="shared" si="21"/>
        <v>360325.54</v>
      </c>
      <c r="P31" s="55"/>
      <c r="Q31" s="55"/>
      <c r="R31" s="55"/>
      <c r="S31" s="55">
        <f t="shared" si="22"/>
        <v>360325.54</v>
      </c>
      <c r="T31" s="48"/>
      <c r="U31" s="49">
        <f t="shared" si="23"/>
        <v>459054.98999999987</v>
      </c>
      <c r="V31" s="51"/>
      <c r="W31" s="51"/>
      <c r="X31" s="51"/>
      <c r="Y31" s="51">
        <f t="shared" si="24"/>
        <v>459054.98999999987</v>
      </c>
      <c r="Z31" s="52"/>
      <c r="AA31" s="53">
        <f t="shared" si="25"/>
        <v>77131.979999999967</v>
      </c>
      <c r="AB31" s="54"/>
      <c r="AC31" s="54"/>
      <c r="AD31" s="54"/>
      <c r="AE31" s="54">
        <f t="shared" si="26"/>
        <v>77131.979999999967</v>
      </c>
      <c r="AF31" s="53"/>
      <c r="AG31" s="53"/>
      <c r="AH31" s="54"/>
      <c r="AI31" s="54"/>
      <c r="AJ31" s="54"/>
      <c r="AK31" s="54"/>
      <c r="AL31" s="53"/>
      <c r="AM31" s="53"/>
      <c r="AN31" s="54"/>
      <c r="AO31" s="54"/>
      <c r="AP31" s="54"/>
      <c r="AQ31" s="54"/>
      <c r="AR31" s="53"/>
      <c r="AS31" s="50">
        <f t="shared" si="5"/>
        <v>2150503.19</v>
      </c>
      <c r="AT31" s="50">
        <f t="shared" si="6"/>
        <v>186455.43</v>
      </c>
      <c r="AU31" s="50">
        <f t="shared" si="7"/>
        <v>0</v>
      </c>
      <c r="AV31" s="50">
        <f t="shared" si="8"/>
        <v>-5552.87</v>
      </c>
      <c r="AW31" s="50"/>
      <c r="AX31" s="50">
        <f t="shared" si="27"/>
        <v>2331405.75</v>
      </c>
      <c r="AY31" s="50">
        <f t="shared" si="10"/>
        <v>6300000</v>
      </c>
      <c r="AZ31" s="50">
        <f t="shared" si="11"/>
        <v>8631405.75</v>
      </c>
    </row>
    <row r="32" spans="2:60" x14ac:dyDescent="0.3">
      <c r="B32" s="99">
        <f>B31+3</f>
        <v>44207</v>
      </c>
      <c r="C32" s="44">
        <f t="shared" si="18"/>
        <v>822370.41</v>
      </c>
      <c r="D32" s="45">
        <v>461960.48</v>
      </c>
      <c r="E32" s="45"/>
      <c r="F32" s="45">
        <v>-299985.12</v>
      </c>
      <c r="G32" s="45">
        <f t="shared" si="0"/>
        <v>984345.77000000014</v>
      </c>
      <c r="H32" s="44">
        <v>3800000</v>
      </c>
      <c r="I32" s="46">
        <f t="shared" ref="I32:I51" si="28">M31</f>
        <v>612522.83000000007</v>
      </c>
      <c r="J32" s="47"/>
      <c r="K32" s="47"/>
      <c r="L32" s="47">
        <v>-82130.02</v>
      </c>
      <c r="M32" s="47">
        <f t="shared" ref="M32:M51" si="29">SUM(I32:L32)</f>
        <v>530392.81000000006</v>
      </c>
      <c r="N32" s="46">
        <v>2500000</v>
      </c>
      <c r="O32" s="48">
        <f t="shared" si="21"/>
        <v>360325.54</v>
      </c>
      <c r="P32" s="55"/>
      <c r="Q32" s="55"/>
      <c r="R32" s="55">
        <v>-1440</v>
      </c>
      <c r="S32" s="55">
        <f t="shared" si="22"/>
        <v>358885.54</v>
      </c>
      <c r="T32" s="48"/>
      <c r="U32" s="49">
        <f t="shared" si="23"/>
        <v>459054.98999999987</v>
      </c>
      <c r="V32" s="51">
        <v>57042.31</v>
      </c>
      <c r="W32" s="51"/>
      <c r="X32" s="51"/>
      <c r="Y32" s="51">
        <f t="shared" si="24"/>
        <v>516097.29999999987</v>
      </c>
      <c r="Z32" s="52"/>
      <c r="AA32" s="53">
        <f t="shared" si="25"/>
        <v>77131.979999999967</v>
      </c>
      <c r="AB32" s="54"/>
      <c r="AC32" s="54"/>
      <c r="AD32" s="54">
        <v>-8531.5300000000007</v>
      </c>
      <c r="AE32" s="54">
        <f t="shared" si="26"/>
        <v>68600.449999999968</v>
      </c>
      <c r="AF32" s="53"/>
      <c r="AG32" s="53"/>
      <c r="AH32" s="54"/>
      <c r="AI32" s="54"/>
      <c r="AJ32" s="54"/>
      <c r="AK32" s="54"/>
      <c r="AL32" s="53"/>
      <c r="AM32" s="53"/>
      <c r="AN32" s="54"/>
      <c r="AO32" s="54"/>
      <c r="AP32" s="54"/>
      <c r="AQ32" s="54"/>
      <c r="AR32" s="53"/>
      <c r="AS32" s="50">
        <f t="shared" si="5"/>
        <v>2331405.75</v>
      </c>
      <c r="AT32" s="50">
        <f t="shared" si="6"/>
        <v>519002.79</v>
      </c>
      <c r="AU32" s="50">
        <f t="shared" si="7"/>
        <v>0</v>
      </c>
      <c r="AV32" s="50">
        <f t="shared" si="8"/>
        <v>-392086.67000000004</v>
      </c>
      <c r="AW32" s="50"/>
      <c r="AX32" s="50">
        <f t="shared" si="27"/>
        <v>2458321.87</v>
      </c>
      <c r="AY32" s="50">
        <f t="shared" si="10"/>
        <v>6300000</v>
      </c>
      <c r="AZ32" s="50">
        <f t="shared" si="11"/>
        <v>8758321.870000001</v>
      </c>
    </row>
    <row r="33" spans="2:52" x14ac:dyDescent="0.3">
      <c r="B33" s="99">
        <f>B32+1</f>
        <v>44208</v>
      </c>
      <c r="C33" s="44">
        <f t="shared" ref="C33:C51" si="30">G32</f>
        <v>984345.77000000014</v>
      </c>
      <c r="D33" s="45">
        <v>244010</v>
      </c>
      <c r="E33" s="45"/>
      <c r="F33" s="45">
        <v>-46159.839999999997</v>
      </c>
      <c r="G33" s="45">
        <f t="shared" si="0"/>
        <v>1182195.93</v>
      </c>
      <c r="H33" s="44">
        <v>3800000</v>
      </c>
      <c r="I33" s="46">
        <f t="shared" si="28"/>
        <v>530392.81000000006</v>
      </c>
      <c r="J33" s="47">
        <v>94050.03</v>
      </c>
      <c r="K33" s="47"/>
      <c r="L33" s="47">
        <v>-60294.29</v>
      </c>
      <c r="M33" s="47">
        <f t="shared" si="29"/>
        <v>564148.55000000005</v>
      </c>
      <c r="N33" s="46">
        <v>2500000</v>
      </c>
      <c r="O33" s="48">
        <f t="shared" ref="O33:O51" si="31">S32</f>
        <v>358885.54</v>
      </c>
      <c r="P33" s="55"/>
      <c r="Q33" s="55">
        <v>516000</v>
      </c>
      <c r="R33" s="55"/>
      <c r="S33" s="55">
        <f t="shared" ref="S33:S51" si="32">SUM(O33:R33)</f>
        <v>874885.54</v>
      </c>
      <c r="T33" s="48"/>
      <c r="U33" s="49">
        <f t="shared" ref="U33:U49" si="33">Y32</f>
        <v>516097.29999999987</v>
      </c>
      <c r="V33" s="51"/>
      <c r="W33" s="51">
        <v>-516000</v>
      </c>
      <c r="X33" s="51"/>
      <c r="Y33" s="51">
        <f t="shared" si="24"/>
        <v>97.299999999871943</v>
      </c>
      <c r="Z33" s="52"/>
      <c r="AA33" s="53">
        <f t="shared" ref="AA33:AA51" si="34">AE32</f>
        <v>68600.449999999968</v>
      </c>
      <c r="AB33" s="54"/>
      <c r="AC33" s="54"/>
      <c r="AD33" s="54">
        <v>-7566.4299999999703</v>
      </c>
      <c r="AE33" s="54">
        <f t="shared" ref="AE33:AE51" si="35">SUM(AA33:AD33)</f>
        <v>61034.02</v>
      </c>
      <c r="AF33" s="53"/>
      <c r="AG33" s="53"/>
      <c r="AH33" s="54"/>
      <c r="AI33" s="54"/>
      <c r="AJ33" s="54"/>
      <c r="AK33" s="54"/>
      <c r="AL33" s="53"/>
      <c r="AM33" s="53"/>
      <c r="AN33" s="54"/>
      <c r="AO33" s="54"/>
      <c r="AP33" s="54"/>
      <c r="AQ33" s="54"/>
      <c r="AR33" s="53"/>
      <c r="AS33" s="50">
        <f t="shared" si="5"/>
        <v>2458321.87</v>
      </c>
      <c r="AT33" s="50">
        <f t="shared" si="6"/>
        <v>338060.03</v>
      </c>
      <c r="AU33" s="50">
        <f t="shared" si="7"/>
        <v>0</v>
      </c>
      <c r="AV33" s="50">
        <f t="shared" si="8"/>
        <v>-114020.55999999997</v>
      </c>
      <c r="AW33" s="50"/>
      <c r="AX33" s="50">
        <f t="shared" si="27"/>
        <v>2682361.34</v>
      </c>
      <c r="AY33" s="50">
        <f t="shared" si="10"/>
        <v>6300000</v>
      </c>
      <c r="AZ33" s="50">
        <f t="shared" si="11"/>
        <v>8982361.3399999999</v>
      </c>
    </row>
    <row r="34" spans="2:52" x14ac:dyDescent="0.3">
      <c r="B34" s="99">
        <f>B33+1</f>
        <v>44209</v>
      </c>
      <c r="C34" s="44">
        <f t="shared" si="30"/>
        <v>1182195.93</v>
      </c>
      <c r="D34" s="45">
        <v>142960.28</v>
      </c>
      <c r="E34" s="45">
        <f>800000-300000</f>
        <v>500000</v>
      </c>
      <c r="F34" s="45">
        <v>-2692.5899999998501</v>
      </c>
      <c r="G34" s="45">
        <f t="shared" si="0"/>
        <v>1822463.62</v>
      </c>
      <c r="H34" s="44">
        <v>3800000</v>
      </c>
      <c r="I34" s="46">
        <f t="shared" si="28"/>
        <v>564148.55000000005</v>
      </c>
      <c r="J34" s="47"/>
      <c r="K34" s="47"/>
      <c r="L34" s="47">
        <v>-4559.3500000000004</v>
      </c>
      <c r="M34" s="47">
        <f t="shared" si="29"/>
        <v>559589.20000000007</v>
      </c>
      <c r="N34" s="46">
        <v>2500000</v>
      </c>
      <c r="O34" s="48">
        <f t="shared" si="31"/>
        <v>874885.54</v>
      </c>
      <c r="P34" s="55"/>
      <c r="Q34" s="55">
        <v>-800000</v>
      </c>
      <c r="R34" s="55"/>
      <c r="S34" s="55">
        <f t="shared" si="32"/>
        <v>74885.540000000037</v>
      </c>
      <c r="T34" s="48"/>
      <c r="U34" s="49">
        <f t="shared" si="33"/>
        <v>97.299999999871943</v>
      </c>
      <c r="V34" s="51"/>
      <c r="W34" s="51"/>
      <c r="X34" s="51"/>
      <c r="Y34" s="51">
        <f t="shared" si="24"/>
        <v>97.299999999871943</v>
      </c>
      <c r="Z34" s="52"/>
      <c r="AA34" s="53">
        <f t="shared" si="34"/>
        <v>61034.02</v>
      </c>
      <c r="AB34" s="54"/>
      <c r="AC34" s="54">
        <v>300000</v>
      </c>
      <c r="AD34" s="54">
        <v>-435</v>
      </c>
      <c r="AE34" s="54">
        <f t="shared" si="35"/>
        <v>360599.02</v>
      </c>
      <c r="AF34" s="53"/>
      <c r="AG34" s="53"/>
      <c r="AH34" s="54"/>
      <c r="AI34" s="54"/>
      <c r="AJ34" s="54"/>
      <c r="AK34" s="54"/>
      <c r="AL34" s="53"/>
      <c r="AM34" s="53"/>
      <c r="AN34" s="54"/>
      <c r="AO34" s="54"/>
      <c r="AP34" s="54"/>
      <c r="AQ34" s="54"/>
      <c r="AR34" s="53"/>
      <c r="AS34" s="50">
        <f t="shared" si="5"/>
        <v>2682361.34</v>
      </c>
      <c r="AT34" s="50">
        <f t="shared" si="6"/>
        <v>142960.28</v>
      </c>
      <c r="AU34" s="50">
        <f t="shared" si="7"/>
        <v>0</v>
      </c>
      <c r="AV34" s="50">
        <f t="shared" si="8"/>
        <v>-7686.9399999998504</v>
      </c>
      <c r="AW34" s="50"/>
      <c r="AX34" s="50">
        <f t="shared" si="27"/>
        <v>2817634.68</v>
      </c>
      <c r="AY34" s="50">
        <f t="shared" si="10"/>
        <v>6300000</v>
      </c>
      <c r="AZ34" s="50">
        <f t="shared" si="11"/>
        <v>9117634.6799999997</v>
      </c>
    </row>
    <row r="35" spans="2:52" x14ac:dyDescent="0.3">
      <c r="B35" s="99">
        <f>B34+1</f>
        <v>44210</v>
      </c>
      <c r="C35" s="44">
        <f t="shared" si="30"/>
        <v>1822463.62</v>
      </c>
      <c r="D35" s="45">
        <v>2406759.36</v>
      </c>
      <c r="E35" s="45"/>
      <c r="F35" s="45">
        <v>-5057.3100000005197</v>
      </c>
      <c r="G35" s="45">
        <f t="shared" si="0"/>
        <v>4224165.67</v>
      </c>
      <c r="H35" s="44">
        <v>3800000</v>
      </c>
      <c r="I35" s="46">
        <f t="shared" si="28"/>
        <v>559589.20000000007</v>
      </c>
      <c r="J35" s="47">
        <v>375.68</v>
      </c>
      <c r="K35" s="47"/>
      <c r="L35" s="47">
        <v>-58718.610000000102</v>
      </c>
      <c r="M35" s="47">
        <f t="shared" si="29"/>
        <v>501246.27</v>
      </c>
      <c r="N35" s="46">
        <v>2500000</v>
      </c>
      <c r="O35" s="48">
        <f t="shared" si="31"/>
        <v>74885.540000000037</v>
      </c>
      <c r="P35" s="55">
        <f>188.16*2</f>
        <v>376.32</v>
      </c>
      <c r="Q35" s="55"/>
      <c r="R35" s="55"/>
      <c r="S35" s="55">
        <f t="shared" si="32"/>
        <v>75261.860000000044</v>
      </c>
      <c r="T35" s="48"/>
      <c r="U35" s="49">
        <f t="shared" si="33"/>
        <v>97.299999999871943</v>
      </c>
      <c r="V35" s="51"/>
      <c r="W35" s="51"/>
      <c r="X35" s="51"/>
      <c r="Y35" s="51">
        <f t="shared" si="24"/>
        <v>97.299999999871943</v>
      </c>
      <c r="Z35" s="52"/>
      <c r="AA35" s="53">
        <f t="shared" si="34"/>
        <v>360599.02</v>
      </c>
      <c r="AB35" s="54"/>
      <c r="AC35" s="54"/>
      <c r="AD35" s="54"/>
      <c r="AE35" s="54">
        <f t="shared" si="35"/>
        <v>360599.02</v>
      </c>
      <c r="AF35" s="53"/>
      <c r="AG35" s="53"/>
      <c r="AH35" s="54"/>
      <c r="AI35" s="54"/>
      <c r="AJ35" s="54"/>
      <c r="AK35" s="54"/>
      <c r="AL35" s="53"/>
      <c r="AM35" s="53"/>
      <c r="AN35" s="54"/>
      <c r="AO35" s="54"/>
      <c r="AP35" s="54"/>
      <c r="AQ35" s="54"/>
      <c r="AR35" s="53"/>
      <c r="AS35" s="50">
        <f t="shared" si="5"/>
        <v>2817634.68</v>
      </c>
      <c r="AT35" s="50">
        <f t="shared" si="6"/>
        <v>2407511.36</v>
      </c>
      <c r="AU35" s="50">
        <f t="shared" si="7"/>
        <v>0</v>
      </c>
      <c r="AV35" s="50">
        <f t="shared" si="8"/>
        <v>-63775.920000000624</v>
      </c>
      <c r="AW35" s="50"/>
      <c r="AX35" s="50">
        <f t="shared" si="27"/>
        <v>5161370.1199999992</v>
      </c>
      <c r="AY35" s="50">
        <f t="shared" si="10"/>
        <v>6300000</v>
      </c>
      <c r="AZ35" s="50">
        <f t="shared" si="11"/>
        <v>11461370.119999999</v>
      </c>
    </row>
    <row r="36" spans="2:52" ht="23.25" customHeight="1" x14ac:dyDescent="0.3">
      <c r="B36" s="99">
        <f>B35+1</f>
        <v>44211</v>
      </c>
      <c r="C36" s="44">
        <f t="shared" si="30"/>
        <v>4224165.67</v>
      </c>
      <c r="D36" s="45">
        <f>2858.78</f>
        <v>2858.78</v>
      </c>
      <c r="E36" s="45"/>
      <c r="F36" s="45">
        <v>-3825.9900000002199</v>
      </c>
      <c r="G36" s="45">
        <f t="shared" ref="G36:G67" si="36">SUM(C36:F36)</f>
        <v>4223198.46</v>
      </c>
      <c r="H36" s="44">
        <v>3800000</v>
      </c>
      <c r="I36" s="46">
        <f t="shared" si="28"/>
        <v>501246.27</v>
      </c>
      <c r="J36" s="47"/>
      <c r="K36" s="47"/>
      <c r="L36" s="47">
        <v>-265899.15999999997</v>
      </c>
      <c r="M36" s="47">
        <f t="shared" si="29"/>
        <v>235347.11000000004</v>
      </c>
      <c r="N36" s="46">
        <v>2500000</v>
      </c>
      <c r="O36" s="48">
        <f t="shared" si="31"/>
        <v>75261.860000000044</v>
      </c>
      <c r="P36" s="55"/>
      <c r="Q36" s="55"/>
      <c r="R36" s="55"/>
      <c r="S36" s="55">
        <f t="shared" si="32"/>
        <v>75261.860000000044</v>
      </c>
      <c r="T36" s="48"/>
      <c r="U36" s="49">
        <f t="shared" si="33"/>
        <v>97.299999999871943</v>
      </c>
      <c r="V36" s="51"/>
      <c r="W36" s="51"/>
      <c r="X36" s="51"/>
      <c r="Y36" s="51">
        <f t="shared" si="24"/>
        <v>97.299999999871943</v>
      </c>
      <c r="Z36" s="52"/>
      <c r="AA36" s="53">
        <f t="shared" si="34"/>
        <v>360599.02</v>
      </c>
      <c r="AB36" s="54"/>
      <c r="AC36" s="54"/>
      <c r="AD36" s="54"/>
      <c r="AE36" s="54">
        <f t="shared" si="35"/>
        <v>360599.02</v>
      </c>
      <c r="AF36" s="53"/>
      <c r="AG36" s="53"/>
      <c r="AH36" s="54"/>
      <c r="AI36" s="54"/>
      <c r="AJ36" s="54"/>
      <c r="AK36" s="54"/>
      <c r="AL36" s="53"/>
      <c r="AM36" s="53"/>
      <c r="AN36" s="54"/>
      <c r="AO36" s="54"/>
      <c r="AP36" s="54"/>
      <c r="AQ36" s="54"/>
      <c r="AR36" s="53"/>
      <c r="AS36" s="50">
        <f t="shared" ref="AS36:AS67" si="37">SUM(C36,I36,O36,U36,AA36,)</f>
        <v>5161370.1199999992</v>
      </c>
      <c r="AT36" s="50">
        <f t="shared" ref="AT36:AT67" si="38">SUM(D36,J36,P36,V36,AB36,)</f>
        <v>2858.78</v>
      </c>
      <c r="AU36" s="50">
        <f t="shared" ref="AU36:AU67" si="39">SUM(E36,K36,Q36,W36,AC36,)</f>
        <v>0</v>
      </c>
      <c r="AV36" s="50">
        <f t="shared" ref="AV36:AV67" si="40">SUM(F36,L36,R36,X36,AD36,)</f>
        <v>-269725.1500000002</v>
      </c>
      <c r="AW36" s="50"/>
      <c r="AX36" s="50">
        <f t="shared" si="27"/>
        <v>4894503.75</v>
      </c>
      <c r="AY36" s="50">
        <f t="shared" ref="AY36:AY67" si="41">SUM(H36,N36,T36,Z36,AF36,)</f>
        <v>6300000</v>
      </c>
      <c r="AZ36" s="50">
        <f t="shared" ref="AZ36:AZ67" si="42">AX36+AY36</f>
        <v>11194503.75</v>
      </c>
    </row>
    <row r="37" spans="2:52" x14ac:dyDescent="0.3">
      <c r="B37" s="99">
        <f>B36+3</f>
        <v>44214</v>
      </c>
      <c r="C37" s="44">
        <f t="shared" si="30"/>
        <v>4223198.46</v>
      </c>
      <c r="D37" s="45">
        <f>44963.89+8658.6+11580.8</f>
        <v>65203.289999999994</v>
      </c>
      <c r="E37" s="45"/>
      <c r="F37" s="45">
        <v>-13956.5999999996</v>
      </c>
      <c r="G37" s="45">
        <f t="shared" si="36"/>
        <v>4274445.1500000004</v>
      </c>
      <c r="H37" s="44">
        <v>3800000</v>
      </c>
      <c r="I37" s="46">
        <f t="shared" si="28"/>
        <v>235347.11000000004</v>
      </c>
      <c r="J37" s="47"/>
      <c r="K37" s="47"/>
      <c r="L37" s="47">
        <v>-79739.64</v>
      </c>
      <c r="M37" s="47">
        <f t="shared" si="29"/>
        <v>155607.47000000003</v>
      </c>
      <c r="N37" s="46">
        <v>2500000</v>
      </c>
      <c r="O37" s="48">
        <f t="shared" si="31"/>
        <v>75261.860000000044</v>
      </c>
      <c r="P37" s="55"/>
      <c r="Q37" s="55"/>
      <c r="R37" s="55"/>
      <c r="S37" s="55">
        <f t="shared" si="32"/>
        <v>75261.860000000044</v>
      </c>
      <c r="T37" s="48"/>
      <c r="U37" s="49">
        <f t="shared" si="33"/>
        <v>97.299999999871943</v>
      </c>
      <c r="V37" s="51"/>
      <c r="W37" s="51"/>
      <c r="X37" s="51"/>
      <c r="Y37" s="51">
        <f t="shared" si="24"/>
        <v>97.299999999871943</v>
      </c>
      <c r="Z37" s="52"/>
      <c r="AA37" s="53">
        <f t="shared" si="34"/>
        <v>360599.02</v>
      </c>
      <c r="AB37" s="54"/>
      <c r="AC37" s="54"/>
      <c r="AD37" s="54">
        <v>-158.36000000000001</v>
      </c>
      <c r="AE37" s="54">
        <f t="shared" si="35"/>
        <v>360440.66000000003</v>
      </c>
      <c r="AF37" s="53"/>
      <c r="AG37" s="53"/>
      <c r="AH37" s="54"/>
      <c r="AI37" s="54"/>
      <c r="AJ37" s="54"/>
      <c r="AK37" s="54"/>
      <c r="AL37" s="53"/>
      <c r="AM37" s="53"/>
      <c r="AN37" s="54"/>
      <c r="AO37" s="54"/>
      <c r="AP37" s="54"/>
      <c r="AQ37" s="54"/>
      <c r="AR37" s="53"/>
      <c r="AS37" s="50">
        <f t="shared" si="37"/>
        <v>4894503.75</v>
      </c>
      <c r="AT37" s="50">
        <f t="shared" si="38"/>
        <v>65203.289999999994</v>
      </c>
      <c r="AU37" s="50">
        <f t="shared" si="39"/>
        <v>0</v>
      </c>
      <c r="AV37" s="50">
        <f t="shared" si="40"/>
        <v>-93854.599999999598</v>
      </c>
      <c r="AW37" s="50"/>
      <c r="AX37" s="50">
        <f t="shared" si="27"/>
        <v>4865852.4400000004</v>
      </c>
      <c r="AY37" s="50">
        <f t="shared" si="41"/>
        <v>6300000</v>
      </c>
      <c r="AZ37" s="50">
        <f t="shared" si="42"/>
        <v>11165852.440000001</v>
      </c>
    </row>
    <row r="38" spans="2:52" x14ac:dyDescent="0.3">
      <c r="B38" s="99">
        <f>B37+1</f>
        <v>44215</v>
      </c>
      <c r="C38" s="44">
        <f t="shared" si="30"/>
        <v>4274445.1500000004</v>
      </c>
      <c r="D38" s="45">
        <v>35990.839999999997</v>
      </c>
      <c r="E38" s="45"/>
      <c r="F38" s="45">
        <v>-490613.49</v>
      </c>
      <c r="G38" s="45">
        <f t="shared" si="36"/>
        <v>3819822.5</v>
      </c>
      <c r="H38" s="44">
        <v>3800000</v>
      </c>
      <c r="I38" s="46">
        <f t="shared" si="28"/>
        <v>155607.47000000003</v>
      </c>
      <c r="J38" s="47"/>
      <c r="K38" s="47"/>
      <c r="L38" s="47">
        <v>-32668.15</v>
      </c>
      <c r="M38" s="47">
        <f t="shared" si="29"/>
        <v>122939.32000000004</v>
      </c>
      <c r="N38" s="46">
        <v>2500000</v>
      </c>
      <c r="O38" s="48">
        <f t="shared" si="31"/>
        <v>75261.860000000044</v>
      </c>
      <c r="P38" s="55"/>
      <c r="Q38" s="55"/>
      <c r="R38" s="55">
        <f>-632.4-348</f>
        <v>-980.4</v>
      </c>
      <c r="S38" s="55">
        <f t="shared" si="32"/>
        <v>74281.46000000005</v>
      </c>
      <c r="T38" s="48"/>
      <c r="U38" s="49">
        <f t="shared" si="33"/>
        <v>97.299999999871943</v>
      </c>
      <c r="V38" s="51"/>
      <c r="W38" s="51"/>
      <c r="X38" s="51"/>
      <c r="Y38" s="51">
        <f t="shared" si="24"/>
        <v>97.299999999871943</v>
      </c>
      <c r="Z38" s="52"/>
      <c r="AA38" s="53">
        <f t="shared" si="34"/>
        <v>360440.66000000003</v>
      </c>
      <c r="AB38" s="54"/>
      <c r="AC38" s="54"/>
      <c r="AD38" s="54">
        <v>-12797.53</v>
      </c>
      <c r="AE38" s="54">
        <f t="shared" si="35"/>
        <v>347643.13</v>
      </c>
      <c r="AF38" s="53"/>
      <c r="AG38" s="53"/>
      <c r="AH38" s="54"/>
      <c r="AI38" s="54"/>
      <c r="AJ38" s="54"/>
      <c r="AK38" s="54"/>
      <c r="AL38" s="53"/>
      <c r="AM38" s="53"/>
      <c r="AN38" s="54"/>
      <c r="AO38" s="54"/>
      <c r="AP38" s="54"/>
      <c r="AQ38" s="54"/>
      <c r="AR38" s="53"/>
      <c r="AS38" s="50">
        <f t="shared" si="37"/>
        <v>4865852.4400000004</v>
      </c>
      <c r="AT38" s="50">
        <f t="shared" si="38"/>
        <v>35990.839999999997</v>
      </c>
      <c r="AU38" s="50">
        <f t="shared" si="39"/>
        <v>0</v>
      </c>
      <c r="AV38" s="50">
        <f t="shared" si="40"/>
        <v>-537059.57000000007</v>
      </c>
      <c r="AW38" s="50"/>
      <c r="AX38" s="50">
        <f t="shared" si="27"/>
        <v>4364783.71</v>
      </c>
      <c r="AY38" s="50">
        <f t="shared" si="41"/>
        <v>6300000</v>
      </c>
      <c r="AZ38" s="50">
        <f t="shared" si="42"/>
        <v>10664783.710000001</v>
      </c>
    </row>
    <row r="39" spans="2:52" x14ac:dyDescent="0.3">
      <c r="B39" s="99">
        <f>B38+1</f>
        <v>44216</v>
      </c>
      <c r="C39" s="44">
        <f t="shared" si="30"/>
        <v>3819822.5</v>
      </c>
      <c r="D39" s="45"/>
      <c r="E39" s="45"/>
      <c r="F39" s="45">
        <v>-994587.75</v>
      </c>
      <c r="G39" s="45">
        <f t="shared" si="36"/>
        <v>2825234.75</v>
      </c>
      <c r="H39" s="44">
        <v>3800000</v>
      </c>
      <c r="I39" s="46">
        <f t="shared" si="28"/>
        <v>122939.32000000004</v>
      </c>
      <c r="J39" s="47"/>
      <c r="K39" s="47"/>
      <c r="L39" s="47">
        <v>-2694.5300000000402</v>
      </c>
      <c r="M39" s="47">
        <f t="shared" si="29"/>
        <v>120244.79</v>
      </c>
      <c r="N39" s="46">
        <v>2500000</v>
      </c>
      <c r="O39" s="48">
        <f t="shared" si="31"/>
        <v>74281.46000000005</v>
      </c>
      <c r="P39" s="55"/>
      <c r="Q39" s="55"/>
      <c r="R39" s="55"/>
      <c r="S39" s="55">
        <f t="shared" si="32"/>
        <v>74281.46000000005</v>
      </c>
      <c r="T39" s="48"/>
      <c r="U39" s="49">
        <f t="shared" si="33"/>
        <v>97.299999999871943</v>
      </c>
      <c r="V39" s="51"/>
      <c r="W39" s="51"/>
      <c r="X39" s="51"/>
      <c r="Y39" s="51">
        <f t="shared" si="24"/>
        <v>97.299999999871943</v>
      </c>
      <c r="Z39" s="52"/>
      <c r="AA39" s="53">
        <f t="shared" si="34"/>
        <v>347643.13</v>
      </c>
      <c r="AB39" s="54"/>
      <c r="AC39" s="54"/>
      <c r="AD39" s="54">
        <v>-20374.2</v>
      </c>
      <c r="AE39" s="54">
        <f t="shared" si="35"/>
        <v>327268.93</v>
      </c>
      <c r="AF39" s="53"/>
      <c r="AG39" s="53"/>
      <c r="AH39" s="54"/>
      <c r="AI39" s="54"/>
      <c r="AJ39" s="54"/>
      <c r="AK39" s="54"/>
      <c r="AL39" s="53"/>
      <c r="AM39" s="53"/>
      <c r="AN39" s="54"/>
      <c r="AO39" s="54"/>
      <c r="AP39" s="54"/>
      <c r="AQ39" s="54"/>
      <c r="AR39" s="53"/>
      <c r="AS39" s="50">
        <f t="shared" si="37"/>
        <v>4364783.71</v>
      </c>
      <c r="AT39" s="50">
        <f t="shared" si="38"/>
        <v>0</v>
      </c>
      <c r="AU39" s="50">
        <f t="shared" si="39"/>
        <v>0</v>
      </c>
      <c r="AV39" s="50">
        <f t="shared" si="40"/>
        <v>-1017656.48</v>
      </c>
      <c r="AW39" s="50"/>
      <c r="AX39" s="50">
        <f t="shared" si="27"/>
        <v>3347127.23</v>
      </c>
      <c r="AY39" s="50">
        <f t="shared" si="41"/>
        <v>6300000</v>
      </c>
      <c r="AZ39" s="50">
        <f t="shared" si="42"/>
        <v>9647127.2300000004</v>
      </c>
    </row>
    <row r="40" spans="2:52" x14ac:dyDescent="0.3">
      <c r="B40" s="99">
        <f>B39+1</f>
        <v>44217</v>
      </c>
      <c r="C40" s="44">
        <f t="shared" si="30"/>
        <v>2825234.75</v>
      </c>
      <c r="D40" s="45">
        <f>22692.82*2+84283.33</f>
        <v>129668.97</v>
      </c>
      <c r="E40" s="45"/>
      <c r="F40" s="45">
        <v>-204.25</v>
      </c>
      <c r="G40" s="45">
        <f t="shared" si="36"/>
        <v>2954699.47</v>
      </c>
      <c r="H40" s="44">
        <v>3800000</v>
      </c>
      <c r="I40" s="46">
        <f t="shared" si="28"/>
        <v>120244.79</v>
      </c>
      <c r="J40" s="47"/>
      <c r="K40" s="47"/>
      <c r="L40" s="47">
        <v>-23095.26</v>
      </c>
      <c r="M40" s="47">
        <f t="shared" si="29"/>
        <v>97149.53</v>
      </c>
      <c r="N40" s="46">
        <v>2500000</v>
      </c>
      <c r="O40" s="48">
        <f t="shared" si="31"/>
        <v>74281.46000000005</v>
      </c>
      <c r="P40" s="55"/>
      <c r="Q40" s="55"/>
      <c r="R40" s="55"/>
      <c r="S40" s="55">
        <f t="shared" si="32"/>
        <v>74281.46000000005</v>
      </c>
      <c r="T40" s="48"/>
      <c r="U40" s="49">
        <f t="shared" si="33"/>
        <v>97.299999999871943</v>
      </c>
      <c r="V40" s="51"/>
      <c r="W40" s="51"/>
      <c r="X40" s="51"/>
      <c r="Y40" s="51">
        <f t="shared" si="24"/>
        <v>97.299999999871943</v>
      </c>
      <c r="Z40" s="52"/>
      <c r="AA40" s="53">
        <f t="shared" si="34"/>
        <v>327268.93</v>
      </c>
      <c r="AB40" s="54"/>
      <c r="AC40" s="54"/>
      <c r="AD40" s="54">
        <v>-257401.79</v>
      </c>
      <c r="AE40" s="54">
        <f t="shared" si="35"/>
        <v>69867.139999999985</v>
      </c>
      <c r="AF40" s="53"/>
      <c r="AG40" s="53"/>
      <c r="AH40" s="54"/>
      <c r="AI40" s="54"/>
      <c r="AJ40" s="54"/>
      <c r="AK40" s="54"/>
      <c r="AL40" s="53"/>
      <c r="AM40" s="53"/>
      <c r="AN40" s="54"/>
      <c r="AO40" s="54"/>
      <c r="AP40" s="54"/>
      <c r="AQ40" s="54"/>
      <c r="AR40" s="53"/>
      <c r="AS40" s="50">
        <f t="shared" si="37"/>
        <v>3347127.23</v>
      </c>
      <c r="AT40" s="50">
        <f t="shared" si="38"/>
        <v>129668.97</v>
      </c>
      <c r="AU40" s="50">
        <f t="shared" si="39"/>
        <v>0</v>
      </c>
      <c r="AV40" s="50">
        <f t="shared" si="40"/>
        <v>-280701.3</v>
      </c>
      <c r="AW40" s="50"/>
      <c r="AX40" s="50">
        <f t="shared" si="27"/>
        <v>3196094.9</v>
      </c>
      <c r="AY40" s="50">
        <f t="shared" si="41"/>
        <v>6300000</v>
      </c>
      <c r="AZ40" s="50">
        <f t="shared" si="42"/>
        <v>9496094.9000000004</v>
      </c>
    </row>
    <row r="41" spans="2:52" x14ac:dyDescent="0.3">
      <c r="B41" s="99">
        <f>B40+1</f>
        <v>44218</v>
      </c>
      <c r="C41" s="44">
        <f t="shared" si="30"/>
        <v>2954699.47</v>
      </c>
      <c r="D41" s="45">
        <v>129429.97</v>
      </c>
      <c r="E41" s="45"/>
      <c r="F41" s="45">
        <v>-83051.900000000402</v>
      </c>
      <c r="G41" s="45">
        <f t="shared" si="36"/>
        <v>3001077.54</v>
      </c>
      <c r="H41" s="44">
        <v>3800000</v>
      </c>
      <c r="I41" s="46">
        <f t="shared" si="28"/>
        <v>97149.53</v>
      </c>
      <c r="J41" s="47">
        <v>32810.620000000003</v>
      </c>
      <c r="K41" s="47"/>
      <c r="L41" s="47"/>
      <c r="M41" s="47">
        <f t="shared" si="29"/>
        <v>129960.15</v>
      </c>
      <c r="N41" s="46">
        <v>2500000</v>
      </c>
      <c r="O41" s="48">
        <f t="shared" si="31"/>
        <v>74281.46000000005</v>
      </c>
      <c r="P41" s="55"/>
      <c r="Q41" s="55"/>
      <c r="R41" s="55"/>
      <c r="S41" s="55">
        <f t="shared" si="32"/>
        <v>74281.46000000005</v>
      </c>
      <c r="T41" s="48"/>
      <c r="U41" s="49">
        <f t="shared" si="33"/>
        <v>97.299999999871943</v>
      </c>
      <c r="V41" s="51"/>
      <c r="W41" s="51"/>
      <c r="X41" s="51"/>
      <c r="Y41" s="51">
        <f t="shared" si="24"/>
        <v>97.299999999871943</v>
      </c>
      <c r="Z41" s="52"/>
      <c r="AA41" s="53">
        <f t="shared" si="34"/>
        <v>69867.139999999985</v>
      </c>
      <c r="AB41" s="54"/>
      <c r="AC41" s="54"/>
      <c r="AD41" s="54"/>
      <c r="AE41" s="54">
        <f t="shared" si="35"/>
        <v>69867.139999999985</v>
      </c>
      <c r="AF41" s="53"/>
      <c r="AG41" s="53"/>
      <c r="AH41" s="54"/>
      <c r="AI41" s="54"/>
      <c r="AJ41" s="54"/>
      <c r="AK41" s="54"/>
      <c r="AL41" s="53"/>
      <c r="AM41" s="53"/>
      <c r="AN41" s="54"/>
      <c r="AO41" s="54"/>
      <c r="AP41" s="54"/>
      <c r="AQ41" s="54"/>
      <c r="AR41" s="53"/>
      <c r="AS41" s="50">
        <f t="shared" si="37"/>
        <v>3196094.9</v>
      </c>
      <c r="AT41" s="50">
        <f t="shared" si="38"/>
        <v>162240.59</v>
      </c>
      <c r="AU41" s="50">
        <f t="shared" si="39"/>
        <v>0</v>
      </c>
      <c r="AV41" s="50">
        <f t="shared" si="40"/>
        <v>-83051.900000000402</v>
      </c>
      <c r="AW41" s="50"/>
      <c r="AX41" s="50">
        <f t="shared" si="27"/>
        <v>3275283.59</v>
      </c>
      <c r="AY41" s="50">
        <f t="shared" si="41"/>
        <v>6300000</v>
      </c>
      <c r="AZ41" s="50">
        <f t="shared" si="42"/>
        <v>9575283.5899999999</v>
      </c>
    </row>
    <row r="42" spans="2:52" x14ac:dyDescent="0.3">
      <c r="B42" s="99">
        <f>B41+3</f>
        <v>44221</v>
      </c>
      <c r="C42" s="44">
        <f t="shared" si="30"/>
        <v>3001077.54</v>
      </c>
      <c r="D42" s="45"/>
      <c r="E42" s="45"/>
      <c r="F42" s="45">
        <v>-385062.3</v>
      </c>
      <c r="G42" s="45">
        <f t="shared" si="36"/>
        <v>2616015.2400000002</v>
      </c>
      <c r="H42" s="44">
        <v>3800000</v>
      </c>
      <c r="I42" s="46">
        <f t="shared" si="28"/>
        <v>129960.15</v>
      </c>
      <c r="J42" s="47"/>
      <c r="K42" s="47"/>
      <c r="L42" s="47">
        <v>-41119.32</v>
      </c>
      <c r="M42" s="47">
        <f t="shared" si="29"/>
        <v>88840.829999999987</v>
      </c>
      <c r="N42" s="46">
        <v>2500000</v>
      </c>
      <c r="O42" s="48">
        <f t="shared" si="31"/>
        <v>74281.46000000005</v>
      </c>
      <c r="P42" s="55"/>
      <c r="Q42" s="55"/>
      <c r="R42" s="55">
        <v>-84</v>
      </c>
      <c r="S42" s="55">
        <f t="shared" si="32"/>
        <v>74197.46000000005</v>
      </c>
      <c r="T42" s="48"/>
      <c r="U42" s="49">
        <f t="shared" si="33"/>
        <v>97.299999999871943</v>
      </c>
      <c r="V42" s="51"/>
      <c r="W42" s="51"/>
      <c r="X42" s="51"/>
      <c r="Y42" s="51">
        <f t="shared" si="24"/>
        <v>97.299999999871943</v>
      </c>
      <c r="Z42" s="52"/>
      <c r="AA42" s="53">
        <f t="shared" si="34"/>
        <v>69867.139999999985</v>
      </c>
      <c r="AB42" s="54"/>
      <c r="AC42" s="54"/>
      <c r="AD42" s="54">
        <v>-97.909999999988898</v>
      </c>
      <c r="AE42" s="54">
        <f t="shared" si="35"/>
        <v>69769.23</v>
      </c>
      <c r="AF42" s="53"/>
      <c r="AG42" s="53"/>
      <c r="AH42" s="54"/>
      <c r="AI42" s="54"/>
      <c r="AJ42" s="54"/>
      <c r="AK42" s="54"/>
      <c r="AL42" s="53"/>
      <c r="AM42" s="53"/>
      <c r="AN42" s="54"/>
      <c r="AO42" s="54"/>
      <c r="AP42" s="54"/>
      <c r="AQ42" s="54"/>
      <c r="AR42" s="53"/>
      <c r="AS42" s="50">
        <f t="shared" si="37"/>
        <v>3275283.59</v>
      </c>
      <c r="AT42" s="50">
        <f t="shared" si="38"/>
        <v>0</v>
      </c>
      <c r="AU42" s="50">
        <f t="shared" si="39"/>
        <v>0</v>
      </c>
      <c r="AV42" s="50">
        <f t="shared" si="40"/>
        <v>-426363.52999999997</v>
      </c>
      <c r="AW42" s="50"/>
      <c r="AX42" s="50">
        <f t="shared" si="27"/>
        <v>2848920.06</v>
      </c>
      <c r="AY42" s="50">
        <f t="shared" si="41"/>
        <v>6300000</v>
      </c>
      <c r="AZ42" s="50">
        <f t="shared" si="42"/>
        <v>9148920.0600000005</v>
      </c>
    </row>
    <row r="43" spans="2:52" x14ac:dyDescent="0.3">
      <c r="B43" s="99">
        <f>B42+1</f>
        <v>44222</v>
      </c>
      <c r="C43" s="44">
        <f t="shared" si="30"/>
        <v>2616015.2400000002</v>
      </c>
      <c r="D43" s="45"/>
      <c r="E43" s="45"/>
      <c r="F43" s="45">
        <v>-500487.56</v>
      </c>
      <c r="G43" s="45">
        <f t="shared" si="36"/>
        <v>2115527.6800000002</v>
      </c>
      <c r="H43" s="44">
        <v>3800000</v>
      </c>
      <c r="I43" s="46">
        <f t="shared" si="28"/>
        <v>88840.829999999987</v>
      </c>
      <c r="J43" s="47"/>
      <c r="K43" s="47"/>
      <c r="L43" s="47">
        <v>-14033.65</v>
      </c>
      <c r="M43" s="47">
        <f t="shared" si="29"/>
        <v>74807.179999999993</v>
      </c>
      <c r="N43" s="46">
        <v>2500000</v>
      </c>
      <c r="O43" s="48">
        <f t="shared" si="31"/>
        <v>74197.46000000005</v>
      </c>
      <c r="P43" s="55"/>
      <c r="Q43" s="55"/>
      <c r="R43" s="55">
        <v>-2000</v>
      </c>
      <c r="S43" s="55">
        <f t="shared" si="32"/>
        <v>72197.46000000005</v>
      </c>
      <c r="T43" s="48"/>
      <c r="U43" s="49">
        <f t="shared" si="33"/>
        <v>97.299999999871943</v>
      </c>
      <c r="V43" s="51"/>
      <c r="W43" s="51"/>
      <c r="X43" s="51"/>
      <c r="Y43" s="51">
        <f t="shared" si="24"/>
        <v>97.299999999871943</v>
      </c>
      <c r="Z43" s="52"/>
      <c r="AA43" s="53">
        <f t="shared" si="34"/>
        <v>69769.23</v>
      </c>
      <c r="AB43" s="54"/>
      <c r="AC43" s="54"/>
      <c r="AD43" s="54">
        <v>-795.84999999999104</v>
      </c>
      <c r="AE43" s="54">
        <f t="shared" si="35"/>
        <v>68973.38</v>
      </c>
      <c r="AF43" s="53"/>
      <c r="AG43" s="53"/>
      <c r="AH43" s="54"/>
      <c r="AI43" s="54"/>
      <c r="AJ43" s="54"/>
      <c r="AK43" s="54"/>
      <c r="AL43" s="53"/>
      <c r="AM43" s="53"/>
      <c r="AN43" s="54"/>
      <c r="AO43" s="54"/>
      <c r="AP43" s="54"/>
      <c r="AQ43" s="54"/>
      <c r="AR43" s="53"/>
      <c r="AS43" s="50">
        <f t="shared" si="37"/>
        <v>2848920.06</v>
      </c>
      <c r="AT43" s="50">
        <f t="shared" si="38"/>
        <v>0</v>
      </c>
      <c r="AU43" s="50">
        <f t="shared" si="39"/>
        <v>0</v>
      </c>
      <c r="AV43" s="50">
        <f t="shared" si="40"/>
        <v>-517317.06</v>
      </c>
      <c r="AW43" s="50"/>
      <c r="AX43" s="50">
        <f t="shared" si="27"/>
        <v>2331603</v>
      </c>
      <c r="AY43" s="50">
        <f t="shared" si="41"/>
        <v>6300000</v>
      </c>
      <c r="AZ43" s="50">
        <f t="shared" si="42"/>
        <v>8631603</v>
      </c>
    </row>
    <row r="44" spans="2:52" x14ac:dyDescent="0.3">
      <c r="B44" s="99">
        <f>B43+1</f>
        <v>44223</v>
      </c>
      <c r="C44" s="44">
        <f t="shared" si="30"/>
        <v>2115527.6800000002</v>
      </c>
      <c r="D44" s="45">
        <v>6627.6599999996797</v>
      </c>
      <c r="E44" s="45"/>
      <c r="F44" s="45"/>
      <c r="G44" s="45">
        <f t="shared" si="36"/>
        <v>2122155.34</v>
      </c>
      <c r="H44" s="44">
        <v>3800000</v>
      </c>
      <c r="I44" s="46">
        <f t="shared" si="28"/>
        <v>74807.179999999993</v>
      </c>
      <c r="J44" s="47"/>
      <c r="K44" s="47"/>
      <c r="L44" s="47">
        <v>-165</v>
      </c>
      <c r="M44" s="47">
        <f t="shared" si="29"/>
        <v>74642.179999999993</v>
      </c>
      <c r="N44" s="46">
        <v>2500000</v>
      </c>
      <c r="O44" s="48">
        <f t="shared" si="31"/>
        <v>72197.46000000005</v>
      </c>
      <c r="P44" s="55"/>
      <c r="Q44" s="55"/>
      <c r="R44" s="55">
        <v>-3875.75000000004</v>
      </c>
      <c r="S44" s="55">
        <f t="shared" si="32"/>
        <v>68321.710000000006</v>
      </c>
      <c r="T44" s="48"/>
      <c r="U44" s="49">
        <f t="shared" si="33"/>
        <v>97.299999999871943</v>
      </c>
      <c r="V44" s="51"/>
      <c r="W44" s="51"/>
      <c r="X44" s="51"/>
      <c r="Y44" s="51">
        <f t="shared" si="24"/>
        <v>97.299999999871943</v>
      </c>
      <c r="Z44" s="52"/>
      <c r="AA44" s="53">
        <f t="shared" si="34"/>
        <v>68973.38</v>
      </c>
      <c r="AB44" s="54">
        <v>0.72</v>
      </c>
      <c r="AC44" s="54"/>
      <c r="AD44" s="54"/>
      <c r="AE44" s="54">
        <f t="shared" si="35"/>
        <v>68974.100000000006</v>
      </c>
      <c r="AF44" s="53"/>
      <c r="AG44" s="53"/>
      <c r="AH44" s="54"/>
      <c r="AI44" s="54"/>
      <c r="AJ44" s="54"/>
      <c r="AK44" s="54"/>
      <c r="AL44" s="53"/>
      <c r="AM44" s="53"/>
      <c r="AN44" s="54"/>
      <c r="AO44" s="54"/>
      <c r="AP44" s="54"/>
      <c r="AQ44" s="54"/>
      <c r="AR44" s="53"/>
      <c r="AS44" s="50">
        <f t="shared" si="37"/>
        <v>2331603</v>
      </c>
      <c r="AT44" s="50">
        <f t="shared" si="38"/>
        <v>6628.37999999968</v>
      </c>
      <c r="AU44" s="50">
        <f t="shared" si="39"/>
        <v>0</v>
      </c>
      <c r="AV44" s="50">
        <f t="shared" si="40"/>
        <v>-4040.75000000004</v>
      </c>
      <c r="AW44" s="50"/>
      <c r="AX44" s="50">
        <f t="shared" si="27"/>
        <v>2334190.63</v>
      </c>
      <c r="AY44" s="50">
        <f t="shared" si="41"/>
        <v>6300000</v>
      </c>
      <c r="AZ44" s="50">
        <f t="shared" si="42"/>
        <v>8634190.629999999</v>
      </c>
    </row>
    <row r="45" spans="2:52" x14ac:dyDescent="0.3">
      <c r="B45" s="99">
        <f>B44+1</f>
        <v>44224</v>
      </c>
      <c r="C45" s="44">
        <f t="shared" si="30"/>
        <v>2122155.34</v>
      </c>
      <c r="D45" s="45">
        <v>5.6800000001676301</v>
      </c>
      <c r="E45" s="45"/>
      <c r="F45" s="45"/>
      <c r="G45" s="45">
        <f t="shared" si="36"/>
        <v>2122161.02</v>
      </c>
      <c r="H45" s="44">
        <v>3800000</v>
      </c>
      <c r="I45" s="46">
        <f t="shared" si="28"/>
        <v>74642.179999999993</v>
      </c>
      <c r="J45" s="47"/>
      <c r="K45" s="47"/>
      <c r="L45" s="47">
        <v>-56695.58</v>
      </c>
      <c r="M45" s="47">
        <f t="shared" si="29"/>
        <v>17946.599999999991</v>
      </c>
      <c r="N45" s="46">
        <v>2500000</v>
      </c>
      <c r="O45" s="48">
        <f t="shared" si="31"/>
        <v>68321.710000000006</v>
      </c>
      <c r="P45" s="55"/>
      <c r="Q45" s="55"/>
      <c r="R45" s="55"/>
      <c r="S45" s="55">
        <f t="shared" si="32"/>
        <v>68321.710000000006</v>
      </c>
      <c r="T45" s="48"/>
      <c r="U45" s="49">
        <f t="shared" si="33"/>
        <v>97.299999999871943</v>
      </c>
      <c r="V45" s="51"/>
      <c r="W45" s="51"/>
      <c r="X45" s="51"/>
      <c r="Y45" s="51">
        <f t="shared" si="24"/>
        <v>97.299999999871943</v>
      </c>
      <c r="Z45" s="52"/>
      <c r="AA45" s="53">
        <f t="shared" si="34"/>
        <v>68974.100000000006</v>
      </c>
      <c r="AB45" s="54"/>
      <c r="AC45" s="54"/>
      <c r="AD45" s="54"/>
      <c r="AE45" s="54">
        <f t="shared" si="35"/>
        <v>68974.100000000006</v>
      </c>
      <c r="AF45" s="53"/>
      <c r="AG45" s="53"/>
      <c r="AH45" s="54"/>
      <c r="AI45" s="54"/>
      <c r="AJ45" s="54"/>
      <c r="AK45" s="54"/>
      <c r="AL45" s="53"/>
      <c r="AM45" s="53"/>
      <c r="AN45" s="54"/>
      <c r="AO45" s="54"/>
      <c r="AP45" s="54"/>
      <c r="AQ45" s="54"/>
      <c r="AR45" s="53"/>
      <c r="AS45" s="50">
        <f t="shared" si="37"/>
        <v>2334190.63</v>
      </c>
      <c r="AT45" s="50">
        <f t="shared" si="38"/>
        <v>5.6800000001676301</v>
      </c>
      <c r="AU45" s="50">
        <f t="shared" si="39"/>
        <v>0</v>
      </c>
      <c r="AV45" s="50">
        <f t="shared" si="40"/>
        <v>-56695.58</v>
      </c>
      <c r="AW45" s="50"/>
      <c r="AX45" s="50">
        <f t="shared" si="27"/>
        <v>2277500.73</v>
      </c>
      <c r="AY45" s="50">
        <f t="shared" si="41"/>
        <v>6300000</v>
      </c>
      <c r="AZ45" s="50">
        <f t="shared" si="42"/>
        <v>8577500.7300000004</v>
      </c>
    </row>
    <row r="46" spans="2:52" x14ac:dyDescent="0.3">
      <c r="B46" s="99">
        <f>B45+1</f>
        <v>44225</v>
      </c>
      <c r="C46" s="44">
        <f t="shared" si="30"/>
        <v>2122161.02</v>
      </c>
      <c r="D46" s="45">
        <v>27759.97</v>
      </c>
      <c r="E46" s="45"/>
      <c r="F46" s="45">
        <v>-16683</v>
      </c>
      <c r="G46" s="45">
        <f t="shared" si="36"/>
        <v>2133237.9900000002</v>
      </c>
      <c r="H46" s="44">
        <v>3800000</v>
      </c>
      <c r="I46" s="46">
        <f t="shared" si="28"/>
        <v>17946.599999999991</v>
      </c>
      <c r="J46" s="47">
        <v>445819.75</v>
      </c>
      <c r="K46" s="47"/>
      <c r="L46" s="47">
        <v>-15000</v>
      </c>
      <c r="M46" s="47">
        <f t="shared" si="29"/>
        <v>448766.35</v>
      </c>
      <c r="N46" s="46">
        <v>2500000</v>
      </c>
      <c r="O46" s="48">
        <f t="shared" si="31"/>
        <v>68321.710000000006</v>
      </c>
      <c r="P46" s="55"/>
      <c r="Q46" s="55"/>
      <c r="R46" s="55"/>
      <c r="S46" s="55">
        <f t="shared" si="32"/>
        <v>68321.710000000006</v>
      </c>
      <c r="T46" s="48"/>
      <c r="U46" s="49">
        <f t="shared" si="33"/>
        <v>97.299999999871943</v>
      </c>
      <c r="V46" s="51">
        <v>22646.46</v>
      </c>
      <c r="W46" s="51"/>
      <c r="X46" s="51"/>
      <c r="Y46" s="51">
        <f t="shared" si="24"/>
        <v>22743.759999999871</v>
      </c>
      <c r="Z46" s="52"/>
      <c r="AA46" s="53">
        <f t="shared" si="34"/>
        <v>68974.100000000006</v>
      </c>
      <c r="AB46" s="54"/>
      <c r="AC46" s="54"/>
      <c r="AD46" s="54"/>
      <c r="AE46" s="54">
        <f t="shared" si="35"/>
        <v>68974.100000000006</v>
      </c>
      <c r="AF46" s="53"/>
      <c r="AG46" s="53"/>
      <c r="AH46" s="54"/>
      <c r="AI46" s="54"/>
      <c r="AJ46" s="54"/>
      <c r="AK46" s="54"/>
      <c r="AL46" s="53"/>
      <c r="AM46" s="53"/>
      <c r="AN46" s="54"/>
      <c r="AO46" s="54"/>
      <c r="AP46" s="54"/>
      <c r="AQ46" s="54"/>
      <c r="AR46" s="53"/>
      <c r="AS46" s="50">
        <f t="shared" si="37"/>
        <v>2277500.73</v>
      </c>
      <c r="AT46" s="50">
        <f t="shared" si="38"/>
        <v>496226.18</v>
      </c>
      <c r="AU46" s="50">
        <f t="shared" si="39"/>
        <v>0</v>
      </c>
      <c r="AV46" s="50">
        <f t="shared" si="40"/>
        <v>-31683</v>
      </c>
      <c r="AW46" s="50"/>
      <c r="AX46" s="50">
        <f t="shared" si="27"/>
        <v>2742043.91</v>
      </c>
      <c r="AY46" s="50">
        <f t="shared" si="41"/>
        <v>6300000</v>
      </c>
      <c r="AZ46" s="50">
        <f t="shared" si="42"/>
        <v>9042043.9100000001</v>
      </c>
    </row>
    <row r="47" spans="2:52" x14ac:dyDescent="0.3">
      <c r="B47" s="99">
        <f>B46+3</f>
        <v>44228</v>
      </c>
      <c r="C47" s="44">
        <f t="shared" si="30"/>
        <v>2133237.9900000002</v>
      </c>
      <c r="D47" s="45">
        <v>79324</v>
      </c>
      <c r="E47" s="45">
        <v>-1840000</v>
      </c>
      <c r="F47" s="45">
        <v>-138245.03</v>
      </c>
      <c r="G47" s="45">
        <f t="shared" si="36"/>
        <v>234316.96000000022</v>
      </c>
      <c r="H47" s="44">
        <v>3800000</v>
      </c>
      <c r="I47" s="46">
        <f t="shared" si="28"/>
        <v>448766.35</v>
      </c>
      <c r="J47" s="47">
        <v>68805.48</v>
      </c>
      <c r="K47" s="47">
        <v>1840000</v>
      </c>
      <c r="L47" s="47">
        <v>-2325008.36</v>
      </c>
      <c r="M47" s="47">
        <f t="shared" si="29"/>
        <v>32563.470000000205</v>
      </c>
      <c r="N47" s="46">
        <v>2500000</v>
      </c>
      <c r="O47" s="48">
        <f t="shared" si="31"/>
        <v>68321.710000000006</v>
      </c>
      <c r="P47" s="55">
        <v>23427.69</v>
      </c>
      <c r="Q47" s="55"/>
      <c r="R47" s="55">
        <v>-7167.9900000000098</v>
      </c>
      <c r="S47" s="55">
        <f t="shared" si="32"/>
        <v>84581.41</v>
      </c>
      <c r="T47" s="48"/>
      <c r="U47" s="49">
        <f t="shared" si="33"/>
        <v>22743.759999999871</v>
      </c>
      <c r="V47" s="51">
        <v>384519.4</v>
      </c>
      <c r="W47" s="51"/>
      <c r="X47" s="51"/>
      <c r="Y47" s="51">
        <f t="shared" si="24"/>
        <v>407263.15999999992</v>
      </c>
      <c r="Z47" s="52"/>
      <c r="AA47" s="53">
        <f t="shared" si="34"/>
        <v>68974.100000000006</v>
      </c>
      <c r="AB47" s="54"/>
      <c r="AC47" s="54"/>
      <c r="AD47" s="54"/>
      <c r="AE47" s="54">
        <f t="shared" si="35"/>
        <v>68974.100000000006</v>
      </c>
      <c r="AF47" s="53"/>
      <c r="AG47" s="53"/>
      <c r="AH47" s="54"/>
      <c r="AI47" s="54"/>
      <c r="AJ47" s="54"/>
      <c r="AK47" s="54"/>
      <c r="AL47" s="53"/>
      <c r="AM47" s="53"/>
      <c r="AN47" s="54"/>
      <c r="AO47" s="54"/>
      <c r="AP47" s="54"/>
      <c r="AQ47" s="54"/>
      <c r="AR47" s="53"/>
      <c r="AS47" s="50">
        <f t="shared" si="37"/>
        <v>2742043.91</v>
      </c>
      <c r="AT47" s="50">
        <f t="shared" si="38"/>
        <v>556076.57000000007</v>
      </c>
      <c r="AU47" s="50">
        <f t="shared" si="39"/>
        <v>0</v>
      </c>
      <c r="AV47" s="50">
        <f t="shared" si="40"/>
        <v>-2470421.38</v>
      </c>
      <c r="AW47" s="50"/>
      <c r="AX47" s="50">
        <f t="shared" si="27"/>
        <v>827699.10000000033</v>
      </c>
      <c r="AY47" s="50">
        <f t="shared" si="41"/>
        <v>6300000</v>
      </c>
      <c r="AZ47" s="50">
        <f t="shared" si="42"/>
        <v>7127699.1000000006</v>
      </c>
    </row>
    <row r="48" spans="2:52" x14ac:dyDescent="0.3">
      <c r="B48" s="99">
        <f>B47+1</f>
        <v>44229</v>
      </c>
      <c r="C48" s="44">
        <f t="shared" si="30"/>
        <v>234316.96000000022</v>
      </c>
      <c r="D48" s="45"/>
      <c r="E48" s="45">
        <f>460000-230000</f>
        <v>230000</v>
      </c>
      <c r="F48" s="45">
        <v>-104466.66</v>
      </c>
      <c r="G48" s="45">
        <f t="shared" si="36"/>
        <v>359850.30000000016</v>
      </c>
      <c r="H48" s="44">
        <v>3800000</v>
      </c>
      <c r="I48" s="46">
        <f t="shared" si="28"/>
        <v>32563.470000000205</v>
      </c>
      <c r="J48" s="47">
        <v>103.01</v>
      </c>
      <c r="K48" s="47">
        <v>230000</v>
      </c>
      <c r="L48" s="47">
        <v>-260291.31</v>
      </c>
      <c r="M48" s="47">
        <f t="shared" si="29"/>
        <v>2375.1700000002165</v>
      </c>
      <c r="N48" s="46">
        <v>2500000</v>
      </c>
      <c r="O48" s="48">
        <f t="shared" si="31"/>
        <v>84581.41</v>
      </c>
      <c r="P48" s="55"/>
      <c r="Q48" s="55">
        <f>407000-460000</f>
        <v>-53000</v>
      </c>
      <c r="R48" s="55">
        <v>-24075.53</v>
      </c>
      <c r="S48" s="55">
        <f t="shared" si="32"/>
        <v>7505.8800000000047</v>
      </c>
      <c r="T48" s="48"/>
      <c r="U48" s="49">
        <f t="shared" si="33"/>
        <v>407263.15999999992</v>
      </c>
      <c r="V48" s="51"/>
      <c r="W48" s="51">
        <v>-407000</v>
      </c>
      <c r="X48" s="51">
        <v>-54.95</v>
      </c>
      <c r="Y48" s="51">
        <f t="shared" si="24"/>
        <v>208.20999999991619</v>
      </c>
      <c r="Z48" s="52"/>
      <c r="AA48" s="53">
        <f t="shared" si="34"/>
        <v>68974.100000000006</v>
      </c>
      <c r="AB48" s="54"/>
      <c r="AC48" s="54"/>
      <c r="AD48" s="54">
        <v>-39063.980000000003</v>
      </c>
      <c r="AE48" s="54">
        <f t="shared" si="35"/>
        <v>29910.120000000003</v>
      </c>
      <c r="AF48" s="53"/>
      <c r="AG48" s="53"/>
      <c r="AH48" s="54"/>
      <c r="AI48" s="54"/>
      <c r="AJ48" s="54"/>
      <c r="AK48" s="54"/>
      <c r="AL48" s="53"/>
      <c r="AM48" s="53"/>
      <c r="AN48" s="54"/>
      <c r="AO48" s="54"/>
      <c r="AP48" s="54"/>
      <c r="AQ48" s="54"/>
      <c r="AR48" s="53"/>
      <c r="AS48" s="50">
        <f t="shared" si="37"/>
        <v>827699.10000000033</v>
      </c>
      <c r="AT48" s="50">
        <f t="shared" si="38"/>
        <v>103.01</v>
      </c>
      <c r="AU48" s="50">
        <f t="shared" si="39"/>
        <v>0</v>
      </c>
      <c r="AV48" s="50">
        <f t="shared" si="40"/>
        <v>-427952.43</v>
      </c>
      <c r="AW48" s="50"/>
      <c r="AX48" s="50">
        <f t="shared" si="27"/>
        <v>399849.68000000028</v>
      </c>
      <c r="AY48" s="50">
        <f t="shared" si="41"/>
        <v>6300000</v>
      </c>
      <c r="AZ48" s="50">
        <f t="shared" si="42"/>
        <v>6699849.6800000006</v>
      </c>
    </row>
    <row r="49" spans="2:52" x14ac:dyDescent="0.3">
      <c r="B49" s="99">
        <f>B48+1</f>
        <v>44230</v>
      </c>
      <c r="C49" s="44">
        <f t="shared" si="30"/>
        <v>359850.30000000016</v>
      </c>
      <c r="D49" s="45">
        <v>237406.72</v>
      </c>
      <c r="E49" s="45"/>
      <c r="F49" s="45"/>
      <c r="G49" s="45">
        <f t="shared" si="36"/>
        <v>597257.02000000014</v>
      </c>
      <c r="H49" s="44">
        <v>3800000</v>
      </c>
      <c r="I49" s="46">
        <f t="shared" si="28"/>
        <v>2375.1700000002165</v>
      </c>
      <c r="J49" s="47">
        <v>47155.87</v>
      </c>
      <c r="K49" s="47"/>
      <c r="L49" s="47"/>
      <c r="M49" s="47">
        <f t="shared" si="29"/>
        <v>49531.040000000219</v>
      </c>
      <c r="N49" s="46">
        <v>2500000</v>
      </c>
      <c r="O49" s="48">
        <f t="shared" si="31"/>
        <v>7505.8800000000047</v>
      </c>
      <c r="P49" s="55">
        <v>220674.3</v>
      </c>
      <c r="Q49" s="55"/>
      <c r="R49" s="55"/>
      <c r="S49" s="55">
        <f t="shared" si="32"/>
        <v>228180.18</v>
      </c>
      <c r="T49" s="48"/>
      <c r="U49" s="49">
        <f t="shared" si="33"/>
        <v>208.20999999991619</v>
      </c>
      <c r="V49" s="51"/>
      <c r="W49" s="51"/>
      <c r="X49" s="51">
        <v>-1.2</v>
      </c>
      <c r="Y49" s="51">
        <f t="shared" si="24"/>
        <v>207.0099999999162</v>
      </c>
      <c r="Z49" s="52"/>
      <c r="AA49" s="53">
        <f t="shared" si="34"/>
        <v>29910.120000000003</v>
      </c>
      <c r="AB49" s="54"/>
      <c r="AC49" s="54"/>
      <c r="AD49" s="54"/>
      <c r="AE49" s="54">
        <f t="shared" si="35"/>
        <v>29910.120000000003</v>
      </c>
      <c r="AF49" s="53"/>
      <c r="AG49" s="53"/>
      <c r="AH49" s="54"/>
      <c r="AI49" s="54"/>
      <c r="AJ49" s="54"/>
      <c r="AK49" s="54"/>
      <c r="AL49" s="53"/>
      <c r="AM49" s="53"/>
      <c r="AN49" s="54"/>
      <c r="AO49" s="54"/>
      <c r="AP49" s="54"/>
      <c r="AQ49" s="54"/>
      <c r="AR49" s="53"/>
      <c r="AS49" s="50">
        <f t="shared" si="37"/>
        <v>399849.68000000028</v>
      </c>
      <c r="AT49" s="50">
        <f t="shared" si="38"/>
        <v>505236.89</v>
      </c>
      <c r="AU49" s="50">
        <f t="shared" si="39"/>
        <v>0</v>
      </c>
      <c r="AV49" s="50">
        <f t="shared" si="40"/>
        <v>-1.2</v>
      </c>
      <c r="AW49" s="50"/>
      <c r="AX49" s="50">
        <f t="shared" si="27"/>
        <v>905085.37000000034</v>
      </c>
      <c r="AY49" s="50">
        <f t="shared" si="41"/>
        <v>6300000</v>
      </c>
      <c r="AZ49" s="50">
        <f t="shared" si="42"/>
        <v>7205085.3700000001</v>
      </c>
    </row>
    <row r="50" spans="2:52" x14ac:dyDescent="0.3">
      <c r="B50" s="99">
        <f>B49+1</f>
        <v>44231</v>
      </c>
      <c r="C50" s="44">
        <f t="shared" si="30"/>
        <v>597257.02000000014</v>
      </c>
      <c r="D50" s="45">
        <v>61364.69</v>
      </c>
      <c r="E50" s="45"/>
      <c r="F50" s="45">
        <v>-16253.0600000002</v>
      </c>
      <c r="G50" s="45">
        <f t="shared" si="36"/>
        <v>642368.65</v>
      </c>
      <c r="H50" s="44">
        <v>3800000</v>
      </c>
      <c r="I50" s="46">
        <f t="shared" si="28"/>
        <v>49531.040000000219</v>
      </c>
      <c r="J50" s="47"/>
      <c r="K50" s="47"/>
      <c r="L50" s="47">
        <v>-19201.990000000202</v>
      </c>
      <c r="M50" s="47">
        <f t="shared" si="29"/>
        <v>30329.050000000017</v>
      </c>
      <c r="N50" s="46">
        <v>2500000</v>
      </c>
      <c r="O50" s="48">
        <f t="shared" si="31"/>
        <v>228180.18</v>
      </c>
      <c r="P50" s="55"/>
      <c r="Q50" s="55"/>
      <c r="R50" s="55"/>
      <c r="S50" s="55">
        <f t="shared" si="32"/>
        <v>228180.18</v>
      </c>
      <c r="T50" s="48"/>
      <c r="U50" s="49">
        <f t="shared" ref="U50:U51" si="43">Y49</f>
        <v>207.0099999999162</v>
      </c>
      <c r="V50" s="51"/>
      <c r="W50" s="51"/>
      <c r="X50" s="51"/>
      <c r="Y50" s="51">
        <f t="shared" ref="Y50:Y51" si="44">SUM(U50:X50)</f>
        <v>207.0099999999162</v>
      </c>
      <c r="Z50" s="52"/>
      <c r="AA50" s="53">
        <f t="shared" si="34"/>
        <v>29910.120000000003</v>
      </c>
      <c r="AB50" s="54"/>
      <c r="AC50" s="54"/>
      <c r="AD50" s="54"/>
      <c r="AE50" s="54">
        <f t="shared" si="35"/>
        <v>29910.120000000003</v>
      </c>
      <c r="AF50" s="53"/>
      <c r="AG50" s="53"/>
      <c r="AH50" s="54"/>
      <c r="AI50" s="54"/>
      <c r="AJ50" s="54"/>
      <c r="AK50" s="54"/>
      <c r="AL50" s="53"/>
      <c r="AM50" s="53"/>
      <c r="AN50" s="54"/>
      <c r="AO50" s="54"/>
      <c r="AP50" s="54"/>
      <c r="AQ50" s="54"/>
      <c r="AR50" s="53"/>
      <c r="AS50" s="50">
        <f t="shared" si="37"/>
        <v>905085.37000000034</v>
      </c>
      <c r="AT50" s="50">
        <f t="shared" si="38"/>
        <v>61364.69</v>
      </c>
      <c r="AU50" s="50">
        <f t="shared" si="39"/>
        <v>0</v>
      </c>
      <c r="AV50" s="50">
        <f t="shared" si="40"/>
        <v>-35455.050000000403</v>
      </c>
      <c r="AW50" s="50"/>
      <c r="AX50" s="50">
        <f t="shared" si="27"/>
        <v>930995.01</v>
      </c>
      <c r="AY50" s="50">
        <f t="shared" si="41"/>
        <v>6300000</v>
      </c>
      <c r="AZ50" s="50">
        <f t="shared" si="42"/>
        <v>7230995.0099999998</v>
      </c>
    </row>
    <row r="51" spans="2:52" x14ac:dyDescent="0.3">
      <c r="B51" s="99">
        <f>B50+1</f>
        <v>44232</v>
      </c>
      <c r="C51" s="44">
        <f t="shared" si="30"/>
        <v>642368.65</v>
      </c>
      <c r="D51" s="45"/>
      <c r="E51" s="45">
        <v>220000</v>
      </c>
      <c r="F51" s="45">
        <v>-298604.46000000002</v>
      </c>
      <c r="G51" s="45">
        <f t="shared" si="36"/>
        <v>563764.18999999994</v>
      </c>
      <c r="H51" s="44">
        <v>3800000</v>
      </c>
      <c r="I51" s="46">
        <f t="shared" si="28"/>
        <v>30329.050000000017</v>
      </c>
      <c r="J51" s="47">
        <v>38956</v>
      </c>
      <c r="K51" s="47"/>
      <c r="L51" s="47">
        <v>-7308.3600000000197</v>
      </c>
      <c r="M51" s="47">
        <f t="shared" si="29"/>
        <v>61976.689999999995</v>
      </c>
      <c r="N51" s="46">
        <v>2500000</v>
      </c>
      <c r="O51" s="48">
        <f t="shared" si="31"/>
        <v>228180.18</v>
      </c>
      <c r="P51" s="55"/>
      <c r="Q51" s="55">
        <v>-220000</v>
      </c>
      <c r="R51" s="55">
        <f>-10.45-27</f>
        <v>-37.450000000000003</v>
      </c>
      <c r="S51" s="55">
        <f t="shared" si="32"/>
        <v>8142.7299999999932</v>
      </c>
      <c r="T51" s="48"/>
      <c r="U51" s="49">
        <f t="shared" si="43"/>
        <v>207.0099999999162</v>
      </c>
      <c r="V51" s="51"/>
      <c r="W51" s="51"/>
      <c r="X51" s="51"/>
      <c r="Y51" s="51">
        <f t="shared" si="44"/>
        <v>207.0099999999162</v>
      </c>
      <c r="Z51" s="52"/>
      <c r="AA51" s="53">
        <f t="shared" si="34"/>
        <v>29910.120000000003</v>
      </c>
      <c r="AB51" s="54"/>
      <c r="AC51" s="54"/>
      <c r="AD51" s="54"/>
      <c r="AE51" s="54">
        <f t="shared" si="35"/>
        <v>29910.120000000003</v>
      </c>
      <c r="AF51" s="53"/>
      <c r="AG51" s="53"/>
      <c r="AH51" s="54"/>
      <c r="AI51" s="54"/>
      <c r="AJ51" s="54"/>
      <c r="AK51" s="54"/>
      <c r="AL51" s="53"/>
      <c r="AM51" s="53"/>
      <c r="AN51" s="54"/>
      <c r="AO51" s="54"/>
      <c r="AP51" s="54"/>
      <c r="AQ51" s="54"/>
      <c r="AR51" s="53"/>
      <c r="AS51" s="50">
        <f t="shared" si="37"/>
        <v>930995.01</v>
      </c>
      <c r="AT51" s="50">
        <f t="shared" si="38"/>
        <v>38956</v>
      </c>
      <c r="AU51" s="50">
        <f t="shared" si="39"/>
        <v>0</v>
      </c>
      <c r="AV51" s="50">
        <f t="shared" si="40"/>
        <v>-305950.27000000008</v>
      </c>
      <c r="AW51" s="50"/>
      <c r="AX51" s="50">
        <f t="shared" si="27"/>
        <v>664000.73999999976</v>
      </c>
      <c r="AY51" s="50">
        <f t="shared" si="41"/>
        <v>6300000</v>
      </c>
      <c r="AZ51" s="50">
        <f t="shared" si="42"/>
        <v>6964000.7400000002</v>
      </c>
    </row>
    <row r="52" spans="2:52" x14ac:dyDescent="0.3">
      <c r="B52" s="99">
        <f>B51+3</f>
        <v>44235</v>
      </c>
      <c r="C52" s="44">
        <f t="shared" ref="C52:C69" si="45">G51</f>
        <v>563764.18999999994</v>
      </c>
      <c r="D52" s="45">
        <v>8894.5400000000009</v>
      </c>
      <c r="E52" s="45"/>
      <c r="F52" s="45">
        <v>-366045.06</v>
      </c>
      <c r="G52" s="45">
        <f t="shared" si="36"/>
        <v>206613.66999999998</v>
      </c>
      <c r="H52" s="44">
        <v>3800000</v>
      </c>
      <c r="I52" s="46">
        <f t="shared" ref="I52:I69" si="46">M51</f>
        <v>61976.689999999995</v>
      </c>
      <c r="J52" s="47"/>
      <c r="K52" s="47"/>
      <c r="L52" s="47">
        <v>-47501.51</v>
      </c>
      <c r="M52" s="47">
        <f t="shared" ref="M52:M69" si="47">SUM(I52:L52)</f>
        <v>14475.179999999993</v>
      </c>
      <c r="N52" s="46">
        <v>2500000</v>
      </c>
      <c r="O52" s="48">
        <f t="shared" ref="O52:O69" si="48">S51</f>
        <v>8142.7299999999932</v>
      </c>
      <c r="P52" s="55"/>
      <c r="Q52" s="55">
        <v>43000</v>
      </c>
      <c r="R52" s="55"/>
      <c r="S52" s="55">
        <f t="shared" ref="S52:S69" si="49">SUM(O52:R52)</f>
        <v>51142.729999999996</v>
      </c>
      <c r="T52" s="48"/>
      <c r="U52" s="49">
        <f t="shared" ref="U52:U69" si="50">Y51</f>
        <v>207.0099999999162</v>
      </c>
      <c r="V52" s="51">
        <v>43103.43</v>
      </c>
      <c r="W52" s="51">
        <v>-43000</v>
      </c>
      <c r="X52" s="51"/>
      <c r="Y52" s="51">
        <f t="shared" ref="Y52:Y69" si="51">SUM(U52:X52)</f>
        <v>310.43999999991502</v>
      </c>
      <c r="Z52" s="52"/>
      <c r="AA52" s="53">
        <f t="shared" ref="AA52:AA69" si="52">AE51</f>
        <v>29910.120000000003</v>
      </c>
      <c r="AB52" s="54"/>
      <c r="AC52" s="54"/>
      <c r="AD52" s="54"/>
      <c r="AE52" s="54">
        <f t="shared" ref="AE52:AE69" si="53">SUM(AA52:AD52)</f>
        <v>29910.120000000003</v>
      </c>
      <c r="AF52" s="53"/>
      <c r="AG52" s="53"/>
      <c r="AH52" s="54"/>
      <c r="AI52" s="54"/>
      <c r="AJ52" s="54"/>
      <c r="AK52" s="54"/>
      <c r="AL52" s="53"/>
      <c r="AM52" s="53"/>
      <c r="AN52" s="54"/>
      <c r="AO52" s="54"/>
      <c r="AP52" s="54"/>
      <c r="AQ52" s="54"/>
      <c r="AR52" s="53"/>
      <c r="AS52" s="50">
        <f t="shared" si="37"/>
        <v>664000.73999999976</v>
      </c>
      <c r="AT52" s="50">
        <f t="shared" si="38"/>
        <v>51997.97</v>
      </c>
      <c r="AU52" s="50">
        <f t="shared" si="39"/>
        <v>0</v>
      </c>
      <c r="AV52" s="50">
        <f t="shared" si="40"/>
        <v>-413546.57</v>
      </c>
      <c r="AW52" s="50"/>
      <c r="AX52" s="50">
        <f t="shared" ref="AX52:AX69" si="54">SUM(G52,M52,S52,Y52,AE52,)</f>
        <v>302452.1399999999</v>
      </c>
      <c r="AY52" s="50">
        <f t="shared" si="41"/>
        <v>6300000</v>
      </c>
      <c r="AZ52" s="50">
        <f t="shared" si="42"/>
        <v>6602452.1399999997</v>
      </c>
    </row>
    <row r="53" spans="2:52" x14ac:dyDescent="0.3">
      <c r="B53" s="99">
        <f t="shared" ref="B53:B117" si="55">B52+1</f>
        <v>44236</v>
      </c>
      <c r="C53" s="44">
        <f t="shared" si="45"/>
        <v>206613.66999999998</v>
      </c>
      <c r="D53" s="45">
        <v>208003.41</v>
      </c>
      <c r="E53" s="45">
        <v>-100000</v>
      </c>
      <c r="F53" s="45">
        <f>-108002.75+55467.2</f>
        <v>-52535.55</v>
      </c>
      <c r="G53" s="45">
        <f t="shared" si="36"/>
        <v>262081.52999999997</v>
      </c>
      <c r="H53" s="44">
        <v>3800000</v>
      </c>
      <c r="I53" s="46">
        <f t="shared" si="46"/>
        <v>14475.179999999993</v>
      </c>
      <c r="J53" s="47">
        <v>375</v>
      </c>
      <c r="K53" s="47">
        <v>100000</v>
      </c>
      <c r="L53" s="47">
        <v>-88510.34</v>
      </c>
      <c r="M53" s="47">
        <f t="shared" si="47"/>
        <v>26339.839999999997</v>
      </c>
      <c r="N53" s="46">
        <v>2500000</v>
      </c>
      <c r="O53" s="48">
        <f t="shared" si="48"/>
        <v>51142.729999999996</v>
      </c>
      <c r="P53" s="55"/>
      <c r="Q53" s="55"/>
      <c r="R53" s="55">
        <v>-15130.02</v>
      </c>
      <c r="S53" s="55">
        <f t="shared" si="49"/>
        <v>36012.709999999992</v>
      </c>
      <c r="T53" s="48"/>
      <c r="U53" s="49">
        <f t="shared" si="50"/>
        <v>310.43999999991502</v>
      </c>
      <c r="V53" s="51"/>
      <c r="W53" s="51"/>
      <c r="X53" s="51">
        <v>-1.2</v>
      </c>
      <c r="Y53" s="51">
        <f t="shared" si="51"/>
        <v>309.23999999991503</v>
      </c>
      <c r="Z53" s="52"/>
      <c r="AA53" s="53">
        <f t="shared" si="52"/>
        <v>29910.120000000003</v>
      </c>
      <c r="AB53" s="54"/>
      <c r="AC53" s="54"/>
      <c r="AD53" s="54">
        <v>-1976.1</v>
      </c>
      <c r="AE53" s="54">
        <f t="shared" si="53"/>
        <v>27934.020000000004</v>
      </c>
      <c r="AF53" s="53"/>
      <c r="AG53" s="53"/>
      <c r="AH53" s="54"/>
      <c r="AI53" s="54"/>
      <c r="AJ53" s="54"/>
      <c r="AK53" s="54"/>
      <c r="AL53" s="53"/>
      <c r="AM53" s="53"/>
      <c r="AN53" s="54"/>
      <c r="AO53" s="54"/>
      <c r="AP53" s="54"/>
      <c r="AQ53" s="54"/>
      <c r="AR53" s="53"/>
      <c r="AS53" s="50">
        <f t="shared" si="37"/>
        <v>302452.1399999999</v>
      </c>
      <c r="AT53" s="50">
        <f t="shared" si="38"/>
        <v>208378.41</v>
      </c>
      <c r="AU53" s="50">
        <f t="shared" si="39"/>
        <v>0</v>
      </c>
      <c r="AV53" s="50">
        <f t="shared" si="40"/>
        <v>-158153.21000000002</v>
      </c>
      <c r="AW53" s="50"/>
      <c r="AX53" s="50">
        <f t="shared" si="54"/>
        <v>352677.33999999991</v>
      </c>
      <c r="AY53" s="50">
        <f t="shared" si="41"/>
        <v>6300000</v>
      </c>
      <c r="AZ53" s="50">
        <f t="shared" si="42"/>
        <v>6652677.3399999999</v>
      </c>
    </row>
    <row r="54" spans="2:52" x14ac:dyDescent="0.3">
      <c r="B54" s="99">
        <f t="shared" si="55"/>
        <v>44237</v>
      </c>
      <c r="C54" s="44">
        <f t="shared" si="45"/>
        <v>262081.52999999997</v>
      </c>
      <c r="D54" s="45">
        <v>699965.96</v>
      </c>
      <c r="E54" s="45"/>
      <c r="F54" s="45">
        <v>-44281.209999999897</v>
      </c>
      <c r="G54" s="45">
        <f t="shared" si="36"/>
        <v>917766.28000000014</v>
      </c>
      <c r="H54" s="44">
        <v>3800000</v>
      </c>
      <c r="I54" s="46">
        <f t="shared" si="46"/>
        <v>26339.839999999997</v>
      </c>
      <c r="J54" s="47">
        <v>557.32000000000005</v>
      </c>
      <c r="K54" s="47"/>
      <c r="L54" s="47"/>
      <c r="M54" s="47">
        <f t="shared" si="47"/>
        <v>26897.159999999996</v>
      </c>
      <c r="N54" s="46">
        <v>2500000</v>
      </c>
      <c r="O54" s="48">
        <f t="shared" si="48"/>
        <v>36012.709999999992</v>
      </c>
      <c r="P54" s="55">
        <v>65.06</v>
      </c>
      <c r="Q54" s="55"/>
      <c r="R54" s="55"/>
      <c r="S54" s="55">
        <f t="shared" si="49"/>
        <v>36077.76999999999</v>
      </c>
      <c r="T54" s="48"/>
      <c r="U54" s="49">
        <f t="shared" si="50"/>
        <v>309.23999999991503</v>
      </c>
      <c r="V54" s="51"/>
      <c r="W54" s="51"/>
      <c r="X54" s="51"/>
      <c r="Y54" s="51">
        <f t="shared" si="51"/>
        <v>309.23999999991503</v>
      </c>
      <c r="Z54" s="52"/>
      <c r="AA54" s="53">
        <f t="shared" si="52"/>
        <v>27934.020000000004</v>
      </c>
      <c r="AB54" s="54"/>
      <c r="AC54" s="54"/>
      <c r="AD54" s="54">
        <v>-293.85000000000599</v>
      </c>
      <c r="AE54" s="54">
        <f t="shared" si="53"/>
        <v>27640.17</v>
      </c>
      <c r="AF54" s="53"/>
      <c r="AG54" s="53"/>
      <c r="AH54" s="54"/>
      <c r="AI54" s="54"/>
      <c r="AJ54" s="54"/>
      <c r="AK54" s="54"/>
      <c r="AL54" s="53"/>
      <c r="AM54" s="53"/>
      <c r="AN54" s="54"/>
      <c r="AO54" s="54"/>
      <c r="AP54" s="54"/>
      <c r="AQ54" s="54"/>
      <c r="AR54" s="53"/>
      <c r="AS54" s="50">
        <f t="shared" si="37"/>
        <v>352677.33999999991</v>
      </c>
      <c r="AT54" s="50">
        <f t="shared" si="38"/>
        <v>700588.34</v>
      </c>
      <c r="AU54" s="50">
        <f t="shared" si="39"/>
        <v>0</v>
      </c>
      <c r="AV54" s="50">
        <f t="shared" si="40"/>
        <v>-44575.059999999903</v>
      </c>
      <c r="AW54" s="50"/>
      <c r="AX54" s="50">
        <f t="shared" si="54"/>
        <v>1008690.6200000001</v>
      </c>
      <c r="AY54" s="50">
        <f t="shared" si="41"/>
        <v>6300000</v>
      </c>
      <c r="AZ54" s="50">
        <f t="shared" si="42"/>
        <v>7308690.6200000001</v>
      </c>
    </row>
    <row r="55" spans="2:52" x14ac:dyDescent="0.3">
      <c r="B55" s="99">
        <f t="shared" si="55"/>
        <v>44238</v>
      </c>
      <c r="C55" s="44">
        <f t="shared" si="45"/>
        <v>917766.28000000014</v>
      </c>
      <c r="D55" s="45">
        <v>2093799.71</v>
      </c>
      <c r="E55" s="45">
        <v>-100000</v>
      </c>
      <c r="F55" s="45">
        <v>-4025.52</v>
      </c>
      <c r="G55" s="45">
        <f t="shared" si="36"/>
        <v>2907540.47</v>
      </c>
      <c r="H55" s="44">
        <v>3800000</v>
      </c>
      <c r="I55" s="46">
        <f t="shared" si="46"/>
        <v>26897.159999999996</v>
      </c>
      <c r="J55" s="47"/>
      <c r="K55" s="47">
        <v>100000</v>
      </c>
      <c r="L55" s="47">
        <v>-24914.89</v>
      </c>
      <c r="M55" s="47">
        <f t="shared" si="47"/>
        <v>101982.27</v>
      </c>
      <c r="N55" s="46">
        <v>2500000</v>
      </c>
      <c r="O55" s="48">
        <f t="shared" si="48"/>
        <v>36077.76999999999</v>
      </c>
      <c r="P55" s="55"/>
      <c r="Q55" s="55"/>
      <c r="R55" s="55"/>
      <c r="S55" s="55">
        <f t="shared" si="49"/>
        <v>36077.76999999999</v>
      </c>
      <c r="T55" s="48"/>
      <c r="U55" s="49">
        <f t="shared" si="50"/>
        <v>309.23999999991503</v>
      </c>
      <c r="V55" s="51"/>
      <c r="W55" s="51"/>
      <c r="X55" s="51"/>
      <c r="Y55" s="51">
        <f t="shared" si="51"/>
        <v>309.23999999991503</v>
      </c>
      <c r="Z55" s="52"/>
      <c r="AA55" s="53">
        <f t="shared" si="52"/>
        <v>27640.17</v>
      </c>
      <c r="AB55" s="54"/>
      <c r="AC55" s="54"/>
      <c r="AD55" s="54"/>
      <c r="AE55" s="54">
        <f t="shared" si="53"/>
        <v>27640.17</v>
      </c>
      <c r="AF55" s="53"/>
      <c r="AG55" s="53"/>
      <c r="AH55" s="54"/>
      <c r="AI55" s="54"/>
      <c r="AJ55" s="54"/>
      <c r="AK55" s="54"/>
      <c r="AL55" s="53"/>
      <c r="AM55" s="53"/>
      <c r="AN55" s="54"/>
      <c r="AO55" s="54"/>
      <c r="AP55" s="54"/>
      <c r="AQ55" s="54"/>
      <c r="AR55" s="53"/>
      <c r="AS55" s="50">
        <f t="shared" si="37"/>
        <v>1008690.6200000001</v>
      </c>
      <c r="AT55" s="50">
        <f t="shared" si="38"/>
        <v>2093799.71</v>
      </c>
      <c r="AU55" s="50">
        <f t="shared" si="39"/>
        <v>0</v>
      </c>
      <c r="AV55" s="50">
        <f t="shared" si="40"/>
        <v>-28940.41</v>
      </c>
      <c r="AW55" s="50"/>
      <c r="AX55" s="50">
        <f t="shared" si="54"/>
        <v>3073549.92</v>
      </c>
      <c r="AY55" s="50">
        <f t="shared" si="41"/>
        <v>6300000</v>
      </c>
      <c r="AZ55" s="50">
        <f t="shared" si="42"/>
        <v>9373549.9199999999</v>
      </c>
    </row>
    <row r="56" spans="2:52" x14ac:dyDescent="0.3">
      <c r="B56" s="99">
        <f t="shared" si="55"/>
        <v>44239</v>
      </c>
      <c r="C56" s="44">
        <f t="shared" si="45"/>
        <v>2907540.47</v>
      </c>
      <c r="D56" s="45"/>
      <c r="E56" s="45">
        <v>-250000</v>
      </c>
      <c r="F56" s="45">
        <v>-20507.8200000002</v>
      </c>
      <c r="G56" s="45">
        <f t="shared" si="36"/>
        <v>2637032.65</v>
      </c>
      <c r="H56" s="44">
        <v>3800000</v>
      </c>
      <c r="I56" s="46">
        <f t="shared" si="46"/>
        <v>101982.27</v>
      </c>
      <c r="J56" s="47"/>
      <c r="K56" s="47">
        <v>250000</v>
      </c>
      <c r="L56" s="47">
        <v>-303399.09000000003</v>
      </c>
      <c r="M56" s="47">
        <f t="shared" si="47"/>
        <v>48583.179999999993</v>
      </c>
      <c r="N56" s="46">
        <v>2500000</v>
      </c>
      <c r="O56" s="48">
        <f t="shared" si="48"/>
        <v>36077.76999999999</v>
      </c>
      <c r="P56" s="55">
        <v>1027.00000000001</v>
      </c>
      <c r="Q56" s="55"/>
      <c r="R56" s="55"/>
      <c r="S56" s="55">
        <f t="shared" si="49"/>
        <v>37104.769999999997</v>
      </c>
      <c r="T56" s="48"/>
      <c r="U56" s="49">
        <f t="shared" si="50"/>
        <v>309.23999999991503</v>
      </c>
      <c r="V56" s="51"/>
      <c r="W56" s="51"/>
      <c r="X56" s="51"/>
      <c r="Y56" s="51">
        <f t="shared" si="51"/>
        <v>309.23999999991503</v>
      </c>
      <c r="Z56" s="52"/>
      <c r="AA56" s="53">
        <f t="shared" si="52"/>
        <v>27640.17</v>
      </c>
      <c r="AB56" s="54"/>
      <c r="AC56" s="54"/>
      <c r="AD56" s="54">
        <v>-680</v>
      </c>
      <c r="AE56" s="54">
        <f t="shared" si="53"/>
        <v>26960.17</v>
      </c>
      <c r="AF56" s="53"/>
      <c r="AG56" s="53"/>
      <c r="AH56" s="54"/>
      <c r="AI56" s="54"/>
      <c r="AJ56" s="54"/>
      <c r="AK56" s="54"/>
      <c r="AL56" s="53"/>
      <c r="AM56" s="53"/>
      <c r="AN56" s="54"/>
      <c r="AO56" s="54"/>
      <c r="AP56" s="54"/>
      <c r="AQ56" s="54"/>
      <c r="AR56" s="53"/>
      <c r="AS56" s="50">
        <f t="shared" si="37"/>
        <v>3073549.92</v>
      </c>
      <c r="AT56" s="50">
        <f t="shared" si="38"/>
        <v>1027.00000000001</v>
      </c>
      <c r="AU56" s="50">
        <f t="shared" si="39"/>
        <v>0</v>
      </c>
      <c r="AV56" s="50">
        <f t="shared" si="40"/>
        <v>-324586.91000000021</v>
      </c>
      <c r="AW56" s="50"/>
      <c r="AX56" s="50">
        <f t="shared" si="54"/>
        <v>2749990.01</v>
      </c>
      <c r="AY56" s="50">
        <f t="shared" si="41"/>
        <v>6300000</v>
      </c>
      <c r="AZ56" s="50">
        <f t="shared" si="42"/>
        <v>9049990.0099999998</v>
      </c>
    </row>
    <row r="57" spans="2:52" x14ac:dyDescent="0.3">
      <c r="B57" s="99">
        <f>B56+3</f>
        <v>44242</v>
      </c>
      <c r="C57" s="44">
        <f t="shared" si="45"/>
        <v>2637032.65</v>
      </c>
      <c r="D57" s="45"/>
      <c r="E57" s="45"/>
      <c r="F57" s="45"/>
      <c r="G57" s="45">
        <f t="shared" si="36"/>
        <v>2637032.65</v>
      </c>
      <c r="H57" s="44">
        <v>3800000</v>
      </c>
      <c r="I57" s="46">
        <f t="shared" si="46"/>
        <v>48583.179999999993</v>
      </c>
      <c r="J57" s="47"/>
      <c r="K57" s="47"/>
      <c r="L57" s="47"/>
      <c r="M57" s="47">
        <f t="shared" si="47"/>
        <v>48583.179999999993</v>
      </c>
      <c r="N57" s="46">
        <v>2500000</v>
      </c>
      <c r="O57" s="48">
        <f t="shared" si="48"/>
        <v>37104.769999999997</v>
      </c>
      <c r="P57" s="55"/>
      <c r="Q57" s="55"/>
      <c r="R57" s="55"/>
      <c r="S57" s="55">
        <f t="shared" si="49"/>
        <v>37104.769999999997</v>
      </c>
      <c r="T57" s="48"/>
      <c r="U57" s="49">
        <f t="shared" si="50"/>
        <v>309.23999999991503</v>
      </c>
      <c r="V57" s="51"/>
      <c r="W57" s="51"/>
      <c r="X57" s="51"/>
      <c r="Y57" s="51">
        <f t="shared" si="51"/>
        <v>309.23999999991503</v>
      </c>
      <c r="Z57" s="52"/>
      <c r="AA57" s="53">
        <f t="shared" si="52"/>
        <v>26960.17</v>
      </c>
      <c r="AB57" s="54"/>
      <c r="AC57" s="54"/>
      <c r="AD57" s="54"/>
      <c r="AE57" s="54">
        <f t="shared" si="53"/>
        <v>26960.17</v>
      </c>
      <c r="AF57" s="53"/>
      <c r="AG57" s="53"/>
      <c r="AH57" s="54"/>
      <c r="AI57" s="54"/>
      <c r="AJ57" s="54"/>
      <c r="AK57" s="54"/>
      <c r="AL57" s="53"/>
      <c r="AM57" s="53"/>
      <c r="AN57" s="54"/>
      <c r="AO57" s="54"/>
      <c r="AP57" s="54"/>
      <c r="AQ57" s="54"/>
      <c r="AR57" s="53"/>
      <c r="AS57" s="50">
        <f t="shared" si="37"/>
        <v>2749990.01</v>
      </c>
      <c r="AT57" s="50">
        <f t="shared" si="38"/>
        <v>0</v>
      </c>
      <c r="AU57" s="50">
        <f t="shared" si="39"/>
        <v>0</v>
      </c>
      <c r="AV57" s="50">
        <f t="shared" si="40"/>
        <v>0</v>
      </c>
      <c r="AW57" s="50"/>
      <c r="AX57" s="50">
        <f t="shared" si="54"/>
        <v>2749990.01</v>
      </c>
      <c r="AY57" s="50">
        <f t="shared" si="41"/>
        <v>6300000</v>
      </c>
      <c r="AZ57" s="50">
        <f t="shared" si="42"/>
        <v>9049990.0099999998</v>
      </c>
    </row>
    <row r="58" spans="2:52" x14ac:dyDescent="0.3">
      <c r="B58" s="99">
        <f t="shared" si="55"/>
        <v>44243</v>
      </c>
      <c r="C58" s="44">
        <f t="shared" si="45"/>
        <v>2637032.65</v>
      </c>
      <c r="D58" s="45"/>
      <c r="E58" s="45"/>
      <c r="F58" s="45"/>
      <c r="G58" s="45">
        <f t="shared" si="36"/>
        <v>2637032.65</v>
      </c>
      <c r="H58" s="44">
        <v>3800000</v>
      </c>
      <c r="I58" s="46">
        <f t="shared" si="46"/>
        <v>48583.179999999993</v>
      </c>
      <c r="J58" s="47"/>
      <c r="K58" s="47"/>
      <c r="L58" s="47"/>
      <c r="M58" s="47">
        <f t="shared" si="47"/>
        <v>48583.179999999993</v>
      </c>
      <c r="N58" s="46">
        <v>2500000</v>
      </c>
      <c r="O58" s="48">
        <f t="shared" si="48"/>
        <v>37104.769999999997</v>
      </c>
      <c r="P58" s="55"/>
      <c r="Q58" s="55"/>
      <c r="R58" s="55">
        <v>-4942.37</v>
      </c>
      <c r="S58" s="55">
        <f t="shared" si="49"/>
        <v>32162.399999999998</v>
      </c>
      <c r="T58" s="48"/>
      <c r="U58" s="49">
        <f t="shared" si="50"/>
        <v>309.23999999991503</v>
      </c>
      <c r="V58" s="51"/>
      <c r="W58" s="51"/>
      <c r="X58" s="51"/>
      <c r="Y58" s="51">
        <f t="shared" si="51"/>
        <v>309.23999999991503</v>
      </c>
      <c r="Z58" s="52"/>
      <c r="AA58" s="53">
        <f t="shared" si="52"/>
        <v>26960.17</v>
      </c>
      <c r="AB58" s="54"/>
      <c r="AC58" s="54"/>
      <c r="AD58" s="54"/>
      <c r="AE58" s="54">
        <f t="shared" si="53"/>
        <v>26960.17</v>
      </c>
      <c r="AF58" s="53"/>
      <c r="AG58" s="53"/>
      <c r="AH58" s="54"/>
      <c r="AI58" s="54"/>
      <c r="AJ58" s="54"/>
      <c r="AK58" s="54"/>
      <c r="AL58" s="53"/>
      <c r="AM58" s="53"/>
      <c r="AN58" s="54"/>
      <c r="AO58" s="54"/>
      <c r="AP58" s="54"/>
      <c r="AQ58" s="54"/>
      <c r="AR58" s="53"/>
      <c r="AS58" s="50">
        <f t="shared" si="37"/>
        <v>2749990.01</v>
      </c>
      <c r="AT58" s="50">
        <f t="shared" si="38"/>
        <v>0</v>
      </c>
      <c r="AU58" s="50">
        <f t="shared" si="39"/>
        <v>0</v>
      </c>
      <c r="AV58" s="50">
        <f t="shared" si="40"/>
        <v>-4942.37</v>
      </c>
      <c r="AW58" s="50"/>
      <c r="AX58" s="50">
        <f t="shared" si="54"/>
        <v>2745047.6399999997</v>
      </c>
      <c r="AY58" s="50">
        <f t="shared" si="41"/>
        <v>6300000</v>
      </c>
      <c r="AZ58" s="50">
        <f t="shared" si="42"/>
        <v>9045047.6400000006</v>
      </c>
    </row>
    <row r="59" spans="2:52" x14ac:dyDescent="0.3">
      <c r="B59" s="99">
        <f t="shared" si="55"/>
        <v>44244</v>
      </c>
      <c r="C59" s="44">
        <f t="shared" si="45"/>
        <v>2637032.65</v>
      </c>
      <c r="D59" s="45">
        <f>35990.84+96121.46</f>
        <v>132112.29999999999</v>
      </c>
      <c r="E59" s="45">
        <v>-280000</v>
      </c>
      <c r="F59" s="45">
        <f>-320470.23+280000</f>
        <v>-40470.229999999981</v>
      </c>
      <c r="G59" s="45">
        <f t="shared" si="36"/>
        <v>2448674.7199999997</v>
      </c>
      <c r="H59" s="44">
        <v>3800000</v>
      </c>
      <c r="I59" s="46">
        <f t="shared" si="46"/>
        <v>48583.179999999993</v>
      </c>
      <c r="J59" s="47"/>
      <c r="K59" s="47">
        <v>280000</v>
      </c>
      <c r="L59" s="47">
        <v>-319403.28999999998</v>
      </c>
      <c r="M59" s="47">
        <f t="shared" si="47"/>
        <v>9179.890000000014</v>
      </c>
      <c r="N59" s="46">
        <v>2500000</v>
      </c>
      <c r="O59" s="48">
        <f t="shared" si="48"/>
        <v>32162.399999999998</v>
      </c>
      <c r="P59" s="55">
        <f>2122.44</f>
        <v>2122.44</v>
      </c>
      <c r="Q59" s="55"/>
      <c r="R59" s="55">
        <f>-7784.74+1233.04</f>
        <v>-6551.7</v>
      </c>
      <c r="S59" s="55">
        <f t="shared" si="49"/>
        <v>27733.139999999996</v>
      </c>
      <c r="T59" s="48"/>
      <c r="U59" s="49">
        <f t="shared" si="50"/>
        <v>309.23999999991503</v>
      </c>
      <c r="V59" s="51"/>
      <c r="W59" s="51"/>
      <c r="X59" s="51"/>
      <c r="Y59" s="51">
        <f t="shared" si="51"/>
        <v>309.23999999991503</v>
      </c>
      <c r="Z59" s="52"/>
      <c r="AA59" s="53">
        <f t="shared" si="52"/>
        <v>26960.17</v>
      </c>
      <c r="AB59" s="54"/>
      <c r="AC59" s="54"/>
      <c r="AD59" s="54">
        <v>-393.20999999999901</v>
      </c>
      <c r="AE59" s="54">
        <f t="shared" si="53"/>
        <v>26566.959999999999</v>
      </c>
      <c r="AF59" s="53"/>
      <c r="AG59" s="53"/>
      <c r="AH59" s="54"/>
      <c r="AI59" s="54"/>
      <c r="AJ59" s="54"/>
      <c r="AK59" s="54"/>
      <c r="AL59" s="53"/>
      <c r="AM59" s="53"/>
      <c r="AN59" s="54"/>
      <c r="AO59" s="54"/>
      <c r="AP59" s="54"/>
      <c r="AQ59" s="54"/>
      <c r="AR59" s="53"/>
      <c r="AS59" s="50">
        <f t="shared" si="37"/>
        <v>2745047.6399999997</v>
      </c>
      <c r="AT59" s="50">
        <f t="shared" si="38"/>
        <v>134234.74</v>
      </c>
      <c r="AU59" s="50">
        <f t="shared" si="39"/>
        <v>0</v>
      </c>
      <c r="AV59" s="50">
        <f t="shared" si="40"/>
        <v>-366818.43</v>
      </c>
      <c r="AW59" s="50"/>
      <c r="AX59" s="50">
        <f t="shared" si="54"/>
        <v>2512463.9499999997</v>
      </c>
      <c r="AY59" s="50">
        <f t="shared" si="41"/>
        <v>6300000</v>
      </c>
      <c r="AZ59" s="50">
        <f t="shared" si="42"/>
        <v>8812463.9499999993</v>
      </c>
    </row>
    <row r="60" spans="2:52" x14ac:dyDescent="0.3">
      <c r="B60" s="99">
        <f t="shared" si="55"/>
        <v>44245</v>
      </c>
      <c r="C60" s="44">
        <f t="shared" si="45"/>
        <v>2448674.7199999997</v>
      </c>
      <c r="D60" s="45"/>
      <c r="E60" s="45"/>
      <c r="F60" s="45">
        <v>-16460.95</v>
      </c>
      <c r="G60" s="45">
        <f t="shared" si="36"/>
        <v>2432213.7699999996</v>
      </c>
      <c r="H60" s="44">
        <v>3800000</v>
      </c>
      <c r="I60" s="46">
        <f t="shared" si="46"/>
        <v>9179.890000000014</v>
      </c>
      <c r="J60" s="47">
        <v>242903.51</v>
      </c>
      <c r="K60" s="47"/>
      <c r="L60" s="47">
        <v>-11589.74</v>
      </c>
      <c r="M60" s="47">
        <f t="shared" si="47"/>
        <v>240493.66000000003</v>
      </c>
      <c r="N60" s="46">
        <v>2500000</v>
      </c>
      <c r="O60" s="48">
        <f t="shared" si="48"/>
        <v>27733.139999999996</v>
      </c>
      <c r="P60" s="55"/>
      <c r="Q60" s="55"/>
      <c r="R60" s="55"/>
      <c r="S60" s="55">
        <f t="shared" si="49"/>
        <v>27733.139999999996</v>
      </c>
      <c r="T60" s="48"/>
      <c r="U60" s="49">
        <f t="shared" si="50"/>
        <v>309.23999999991503</v>
      </c>
      <c r="V60" s="51"/>
      <c r="W60" s="51"/>
      <c r="X60" s="51"/>
      <c r="Y60" s="51">
        <f t="shared" si="51"/>
        <v>309.23999999991503</v>
      </c>
      <c r="Z60" s="52"/>
      <c r="AA60" s="53">
        <f t="shared" si="52"/>
        <v>26566.959999999999</v>
      </c>
      <c r="AB60" s="54"/>
      <c r="AC60" s="54"/>
      <c r="AD60" s="54"/>
      <c r="AE60" s="54">
        <f t="shared" si="53"/>
        <v>26566.959999999999</v>
      </c>
      <c r="AF60" s="53"/>
      <c r="AG60" s="53"/>
      <c r="AH60" s="54"/>
      <c r="AI60" s="54"/>
      <c r="AJ60" s="54"/>
      <c r="AK60" s="54"/>
      <c r="AL60" s="53"/>
      <c r="AM60" s="53"/>
      <c r="AN60" s="54"/>
      <c r="AO60" s="54"/>
      <c r="AP60" s="54"/>
      <c r="AQ60" s="54"/>
      <c r="AR60" s="53"/>
      <c r="AS60" s="50">
        <f t="shared" si="37"/>
        <v>2512463.9499999997</v>
      </c>
      <c r="AT60" s="50">
        <f t="shared" si="38"/>
        <v>242903.51</v>
      </c>
      <c r="AU60" s="50">
        <f t="shared" si="39"/>
        <v>0</v>
      </c>
      <c r="AV60" s="50">
        <f t="shared" si="40"/>
        <v>-28050.690000000002</v>
      </c>
      <c r="AW60" s="50"/>
      <c r="AX60" s="50">
        <f t="shared" si="54"/>
        <v>2727316.7699999996</v>
      </c>
      <c r="AY60" s="50">
        <f t="shared" si="41"/>
        <v>6300000</v>
      </c>
      <c r="AZ60" s="50">
        <f t="shared" si="42"/>
        <v>9027316.7699999996</v>
      </c>
    </row>
    <row r="61" spans="2:52" x14ac:dyDescent="0.3">
      <c r="B61" s="99">
        <f t="shared" si="55"/>
        <v>44246</v>
      </c>
      <c r="C61" s="44">
        <f t="shared" si="45"/>
        <v>2432213.7699999996</v>
      </c>
      <c r="D61" s="45">
        <v>117730.02</v>
      </c>
      <c r="E61" s="45">
        <v>-250000</v>
      </c>
      <c r="F61" s="45">
        <v>-742881.34</v>
      </c>
      <c r="G61" s="45">
        <f t="shared" si="36"/>
        <v>1557062.4499999997</v>
      </c>
      <c r="H61" s="44">
        <v>3800000</v>
      </c>
      <c r="I61" s="46">
        <f t="shared" si="46"/>
        <v>240493.66000000003</v>
      </c>
      <c r="J61" s="47"/>
      <c r="K61" s="47"/>
      <c r="L61" s="47">
        <v>-10231.799999999999</v>
      </c>
      <c r="M61" s="47">
        <f t="shared" si="47"/>
        <v>230261.86000000004</v>
      </c>
      <c r="N61" s="46">
        <v>2500000</v>
      </c>
      <c r="O61" s="48">
        <f t="shared" si="48"/>
        <v>27733.139999999996</v>
      </c>
      <c r="P61" s="55">
        <v>30642.58</v>
      </c>
      <c r="Q61" s="55"/>
      <c r="R61" s="55"/>
      <c r="S61" s="55">
        <f t="shared" si="49"/>
        <v>58375.72</v>
      </c>
      <c r="T61" s="48"/>
      <c r="U61" s="49">
        <f t="shared" si="50"/>
        <v>309.23999999991503</v>
      </c>
      <c r="V61" s="51"/>
      <c r="W61" s="51"/>
      <c r="X61" s="51"/>
      <c r="Y61" s="51">
        <f t="shared" si="51"/>
        <v>309.23999999991503</v>
      </c>
      <c r="Z61" s="52"/>
      <c r="AA61" s="53">
        <f t="shared" si="52"/>
        <v>26566.959999999999</v>
      </c>
      <c r="AB61" s="54"/>
      <c r="AC61" s="54">
        <v>250000.23</v>
      </c>
      <c r="AD61" s="54"/>
      <c r="AE61" s="54">
        <f t="shared" si="53"/>
        <v>276567.19</v>
      </c>
      <c r="AF61" s="53"/>
      <c r="AG61" s="53"/>
      <c r="AH61" s="54"/>
      <c r="AI61" s="54"/>
      <c r="AJ61" s="54"/>
      <c r="AK61" s="54"/>
      <c r="AL61" s="53"/>
      <c r="AM61" s="53"/>
      <c r="AN61" s="54"/>
      <c r="AO61" s="54"/>
      <c r="AP61" s="54"/>
      <c r="AQ61" s="54"/>
      <c r="AR61" s="53"/>
      <c r="AS61" s="50">
        <f t="shared" si="37"/>
        <v>2727316.7699999996</v>
      </c>
      <c r="AT61" s="50">
        <f t="shared" si="38"/>
        <v>148372.6</v>
      </c>
      <c r="AU61" s="50">
        <f t="shared" si="39"/>
        <v>0.23000000001047738</v>
      </c>
      <c r="AV61" s="50">
        <f t="shared" si="40"/>
        <v>-753113.14</v>
      </c>
      <c r="AW61" s="50"/>
      <c r="AX61" s="50">
        <f t="shared" si="54"/>
        <v>2122576.46</v>
      </c>
      <c r="AY61" s="50">
        <f t="shared" si="41"/>
        <v>6300000</v>
      </c>
      <c r="AZ61" s="50">
        <f t="shared" si="42"/>
        <v>8422576.4600000009</v>
      </c>
    </row>
    <row r="62" spans="2:52" x14ac:dyDescent="0.3">
      <c r="B62" s="99">
        <f>B61+3</f>
        <v>44249</v>
      </c>
      <c r="C62" s="44">
        <f t="shared" si="45"/>
        <v>1557062.4499999997</v>
      </c>
      <c r="D62" s="45">
        <v>112133.82</v>
      </c>
      <c r="E62" s="45"/>
      <c r="F62" s="45">
        <v>-1290053.48</v>
      </c>
      <c r="G62" s="45">
        <f t="shared" si="36"/>
        <v>379142.7899999998</v>
      </c>
      <c r="H62" s="44">
        <v>3800000</v>
      </c>
      <c r="I62" s="46">
        <f t="shared" si="46"/>
        <v>230261.86000000004</v>
      </c>
      <c r="J62" s="47"/>
      <c r="K62" s="47"/>
      <c r="L62" s="47">
        <v>-41286.31</v>
      </c>
      <c r="M62" s="47">
        <f t="shared" si="47"/>
        <v>188975.55000000005</v>
      </c>
      <c r="N62" s="46">
        <v>2500000</v>
      </c>
      <c r="O62" s="48">
        <f t="shared" si="48"/>
        <v>58375.72</v>
      </c>
      <c r="P62" s="55">
        <v>1982.51</v>
      </c>
      <c r="Q62" s="55"/>
      <c r="R62" s="55"/>
      <c r="S62" s="55">
        <f t="shared" si="49"/>
        <v>60358.23</v>
      </c>
      <c r="T62" s="48"/>
      <c r="U62" s="49">
        <f t="shared" si="50"/>
        <v>309.23999999991503</v>
      </c>
      <c r="V62" s="51"/>
      <c r="W62" s="51"/>
      <c r="X62" s="51"/>
      <c r="Y62" s="51">
        <f t="shared" si="51"/>
        <v>309.23999999991503</v>
      </c>
      <c r="Z62" s="52"/>
      <c r="AA62" s="53">
        <f t="shared" si="52"/>
        <v>276567.19</v>
      </c>
      <c r="AB62" s="54"/>
      <c r="AC62" s="54"/>
      <c r="AD62" s="54">
        <v>-254934.89</v>
      </c>
      <c r="AE62" s="54">
        <f t="shared" si="53"/>
        <v>21632.299999999988</v>
      </c>
      <c r="AF62" s="53"/>
      <c r="AG62" s="53"/>
      <c r="AH62" s="54"/>
      <c r="AI62" s="54"/>
      <c r="AJ62" s="54"/>
      <c r="AK62" s="54"/>
      <c r="AL62" s="53"/>
      <c r="AM62" s="53"/>
      <c r="AN62" s="54"/>
      <c r="AO62" s="54"/>
      <c r="AP62" s="54"/>
      <c r="AQ62" s="54"/>
      <c r="AR62" s="53"/>
      <c r="AS62" s="50">
        <f t="shared" si="37"/>
        <v>2122576.46</v>
      </c>
      <c r="AT62" s="50">
        <f t="shared" si="38"/>
        <v>114116.33</v>
      </c>
      <c r="AU62" s="50">
        <f t="shared" si="39"/>
        <v>0</v>
      </c>
      <c r="AV62" s="50">
        <f t="shared" si="40"/>
        <v>-1586274.6800000002</v>
      </c>
      <c r="AW62" s="50"/>
      <c r="AX62" s="50">
        <f t="shared" si="54"/>
        <v>650418.10999999964</v>
      </c>
      <c r="AY62" s="50">
        <f t="shared" si="41"/>
        <v>6300000</v>
      </c>
      <c r="AZ62" s="50">
        <f t="shared" si="42"/>
        <v>6950418.1099999994</v>
      </c>
    </row>
    <row r="63" spans="2:52" x14ac:dyDescent="0.3">
      <c r="B63" s="99">
        <f t="shared" si="55"/>
        <v>44250</v>
      </c>
      <c r="C63" s="44">
        <f t="shared" si="45"/>
        <v>379142.7899999998</v>
      </c>
      <c r="D63" s="45">
        <f>59494.01+67808.64</f>
        <v>127302.65</v>
      </c>
      <c r="E63" s="45"/>
      <c r="F63" s="45">
        <v>-537891.26</v>
      </c>
      <c r="G63" s="45">
        <f t="shared" si="36"/>
        <v>-31445.820000000182</v>
      </c>
      <c r="H63" s="44">
        <v>3800000</v>
      </c>
      <c r="I63" s="46">
        <f t="shared" si="46"/>
        <v>188975.55000000005</v>
      </c>
      <c r="J63" s="47"/>
      <c r="K63" s="47"/>
      <c r="L63" s="47">
        <v>-3772.50000000006</v>
      </c>
      <c r="M63" s="47">
        <f t="shared" si="47"/>
        <v>185203.05</v>
      </c>
      <c r="N63" s="46">
        <v>2500000</v>
      </c>
      <c r="O63" s="48">
        <f t="shared" si="48"/>
        <v>60358.23</v>
      </c>
      <c r="P63" s="55"/>
      <c r="Q63" s="55"/>
      <c r="R63" s="55">
        <v>-35</v>
      </c>
      <c r="S63" s="55">
        <f t="shared" si="49"/>
        <v>60323.23</v>
      </c>
      <c r="T63" s="48"/>
      <c r="U63" s="49">
        <f t="shared" si="50"/>
        <v>309.23999999991503</v>
      </c>
      <c r="V63" s="51"/>
      <c r="W63" s="51"/>
      <c r="X63" s="51"/>
      <c r="Y63" s="51">
        <f t="shared" si="51"/>
        <v>309.23999999991503</v>
      </c>
      <c r="Z63" s="52"/>
      <c r="AA63" s="53">
        <f t="shared" si="52"/>
        <v>21632.299999999988</v>
      </c>
      <c r="AB63" s="54"/>
      <c r="AC63" s="54"/>
      <c r="AD63" s="54"/>
      <c r="AE63" s="54">
        <f t="shared" si="53"/>
        <v>21632.299999999988</v>
      </c>
      <c r="AF63" s="53"/>
      <c r="AG63" s="53"/>
      <c r="AH63" s="54"/>
      <c r="AI63" s="54"/>
      <c r="AJ63" s="54"/>
      <c r="AK63" s="54"/>
      <c r="AL63" s="53"/>
      <c r="AM63" s="53"/>
      <c r="AN63" s="54"/>
      <c r="AO63" s="54"/>
      <c r="AP63" s="54"/>
      <c r="AQ63" s="54"/>
      <c r="AR63" s="53"/>
      <c r="AS63" s="50">
        <f t="shared" si="37"/>
        <v>650418.10999999964</v>
      </c>
      <c r="AT63" s="50">
        <f t="shared" si="38"/>
        <v>127302.65</v>
      </c>
      <c r="AU63" s="50">
        <f t="shared" si="39"/>
        <v>0</v>
      </c>
      <c r="AV63" s="50">
        <f t="shared" si="40"/>
        <v>-541698.76000000013</v>
      </c>
      <c r="AW63" s="50"/>
      <c r="AX63" s="50">
        <f t="shared" si="54"/>
        <v>236021.99999999971</v>
      </c>
      <c r="AY63" s="50">
        <f t="shared" si="41"/>
        <v>6300000</v>
      </c>
      <c r="AZ63" s="50">
        <f t="shared" si="42"/>
        <v>6536022</v>
      </c>
    </row>
    <row r="64" spans="2:52" x14ac:dyDescent="0.3">
      <c r="B64" s="99">
        <f t="shared" si="55"/>
        <v>44251</v>
      </c>
      <c r="C64" s="44">
        <f t="shared" si="45"/>
        <v>-31445.820000000182</v>
      </c>
      <c r="D64" s="45">
        <v>61751.79</v>
      </c>
      <c r="E64" s="45">
        <v>200000</v>
      </c>
      <c r="F64" s="45">
        <v>-81130.889999999796</v>
      </c>
      <c r="G64" s="45">
        <f t="shared" si="36"/>
        <v>149175.08000000002</v>
      </c>
      <c r="H64" s="44">
        <v>3800000</v>
      </c>
      <c r="I64" s="46">
        <f t="shared" si="46"/>
        <v>185203.05</v>
      </c>
      <c r="J64" s="47">
        <v>1073980.74</v>
      </c>
      <c r="K64" s="47">
        <v>-200000</v>
      </c>
      <c r="L64" s="47">
        <f>-23056.13-6.87</f>
        <v>-23063</v>
      </c>
      <c r="M64" s="47">
        <f t="shared" si="47"/>
        <v>1036120.79</v>
      </c>
      <c r="N64" s="46">
        <v>2500000</v>
      </c>
      <c r="O64" s="48">
        <f t="shared" si="48"/>
        <v>60323.23</v>
      </c>
      <c r="P64" s="55"/>
      <c r="Q64" s="55"/>
      <c r="R64" s="55">
        <v>-14296.27</v>
      </c>
      <c r="S64" s="55">
        <f t="shared" si="49"/>
        <v>46026.960000000006</v>
      </c>
      <c r="T64" s="48"/>
      <c r="U64" s="49">
        <f t="shared" si="50"/>
        <v>309.23999999991503</v>
      </c>
      <c r="V64" s="51"/>
      <c r="W64" s="51"/>
      <c r="X64" s="51"/>
      <c r="Y64" s="51">
        <f t="shared" si="51"/>
        <v>309.23999999991503</v>
      </c>
      <c r="Z64" s="52"/>
      <c r="AA64" s="53">
        <f t="shared" si="52"/>
        <v>21632.299999999988</v>
      </c>
      <c r="AB64" s="54"/>
      <c r="AC64" s="54"/>
      <c r="AD64" s="54"/>
      <c r="AE64" s="54">
        <f t="shared" si="53"/>
        <v>21632.299999999988</v>
      </c>
      <c r="AF64" s="53"/>
      <c r="AG64" s="53"/>
      <c r="AH64" s="54"/>
      <c r="AI64" s="54"/>
      <c r="AJ64" s="54"/>
      <c r="AK64" s="54"/>
      <c r="AL64" s="53"/>
      <c r="AM64" s="53"/>
      <c r="AN64" s="54"/>
      <c r="AO64" s="54"/>
      <c r="AP64" s="54"/>
      <c r="AQ64" s="54"/>
      <c r="AR64" s="53"/>
      <c r="AS64" s="50">
        <f t="shared" si="37"/>
        <v>236021.99999999971</v>
      </c>
      <c r="AT64" s="50">
        <f t="shared" si="38"/>
        <v>1135732.53</v>
      </c>
      <c r="AU64" s="50">
        <f t="shared" si="39"/>
        <v>0</v>
      </c>
      <c r="AV64" s="50">
        <f t="shared" si="40"/>
        <v>-118490.1599999998</v>
      </c>
      <c r="AW64" s="50"/>
      <c r="AX64" s="50">
        <f t="shared" si="54"/>
        <v>1253264.3700000001</v>
      </c>
      <c r="AY64" s="50">
        <f t="shared" si="41"/>
        <v>6300000</v>
      </c>
      <c r="AZ64" s="50">
        <f t="shared" si="42"/>
        <v>7553264.3700000001</v>
      </c>
    </row>
    <row r="65" spans="2:52" x14ac:dyDescent="0.3">
      <c r="B65" s="99">
        <f t="shared" si="55"/>
        <v>44252</v>
      </c>
      <c r="C65" s="44">
        <f t="shared" si="45"/>
        <v>149175.08000000002</v>
      </c>
      <c r="D65" s="45">
        <v>236468.33</v>
      </c>
      <c r="E65" s="45"/>
      <c r="F65" s="45">
        <v>-39955.71</v>
      </c>
      <c r="G65" s="45">
        <f t="shared" si="36"/>
        <v>345687.7</v>
      </c>
      <c r="H65" s="44">
        <v>3800000</v>
      </c>
      <c r="I65" s="46">
        <f t="shared" si="46"/>
        <v>1036120.79</v>
      </c>
      <c r="J65" s="47"/>
      <c r="K65" s="47"/>
      <c r="L65" s="47">
        <v>-60110.27</v>
      </c>
      <c r="M65" s="47">
        <f t="shared" si="47"/>
        <v>976010.52</v>
      </c>
      <c r="N65" s="46">
        <v>2500000</v>
      </c>
      <c r="O65" s="48">
        <f t="shared" si="48"/>
        <v>46026.960000000006</v>
      </c>
      <c r="P65" s="55">
        <v>880.1</v>
      </c>
      <c r="Q65" s="55"/>
      <c r="R65" s="55">
        <v>-136.35000000000599</v>
      </c>
      <c r="S65" s="55">
        <f t="shared" si="49"/>
        <v>46770.71</v>
      </c>
      <c r="T65" s="48"/>
      <c r="U65" s="49">
        <f t="shared" si="50"/>
        <v>309.23999999991503</v>
      </c>
      <c r="V65" s="51"/>
      <c r="W65" s="51"/>
      <c r="X65" s="51"/>
      <c r="Y65" s="51">
        <f t="shared" si="51"/>
        <v>309.23999999991503</v>
      </c>
      <c r="Z65" s="52"/>
      <c r="AA65" s="53">
        <f t="shared" si="52"/>
        <v>21632.299999999988</v>
      </c>
      <c r="AB65" s="54"/>
      <c r="AC65" s="54"/>
      <c r="AD65" s="54"/>
      <c r="AE65" s="54">
        <f t="shared" si="53"/>
        <v>21632.299999999988</v>
      </c>
      <c r="AF65" s="53"/>
      <c r="AG65" s="53"/>
      <c r="AH65" s="54"/>
      <c r="AI65" s="54"/>
      <c r="AJ65" s="54"/>
      <c r="AK65" s="54"/>
      <c r="AL65" s="53"/>
      <c r="AM65" s="53"/>
      <c r="AN65" s="54"/>
      <c r="AO65" s="54"/>
      <c r="AP65" s="54"/>
      <c r="AQ65" s="54"/>
      <c r="AR65" s="53"/>
      <c r="AS65" s="50">
        <f t="shared" si="37"/>
        <v>1253264.3700000001</v>
      </c>
      <c r="AT65" s="50">
        <f t="shared" si="38"/>
        <v>237348.43</v>
      </c>
      <c r="AU65" s="50">
        <f t="shared" si="39"/>
        <v>0</v>
      </c>
      <c r="AV65" s="50">
        <f t="shared" si="40"/>
        <v>-100202.33</v>
      </c>
      <c r="AW65" s="50"/>
      <c r="AX65" s="50">
        <f t="shared" si="54"/>
        <v>1390410.47</v>
      </c>
      <c r="AY65" s="50">
        <f t="shared" si="41"/>
        <v>6300000</v>
      </c>
      <c r="AZ65" s="50">
        <f t="shared" si="42"/>
        <v>7690410.4699999997</v>
      </c>
    </row>
    <row r="66" spans="2:52" x14ac:dyDescent="0.3">
      <c r="B66" s="99">
        <f t="shared" si="55"/>
        <v>44253</v>
      </c>
      <c r="C66" s="44">
        <f t="shared" si="45"/>
        <v>345687.7</v>
      </c>
      <c r="D66" s="45"/>
      <c r="E66" s="45"/>
      <c r="F66" s="45">
        <v>-61346.01</v>
      </c>
      <c r="G66" s="45">
        <f t="shared" si="36"/>
        <v>284341.69</v>
      </c>
      <c r="H66" s="44">
        <v>3800000</v>
      </c>
      <c r="I66" s="46">
        <f t="shared" si="46"/>
        <v>976010.52</v>
      </c>
      <c r="J66" s="47">
        <v>427343.52</v>
      </c>
      <c r="K66" s="47"/>
      <c r="L66" s="47">
        <v>-13909.42</v>
      </c>
      <c r="M66" s="47">
        <f t="shared" si="47"/>
        <v>1389444.62</v>
      </c>
      <c r="N66" s="46">
        <v>2500000</v>
      </c>
      <c r="O66" s="48">
        <f t="shared" si="48"/>
        <v>46770.71</v>
      </c>
      <c r="P66" s="55">
        <v>2074.44</v>
      </c>
      <c r="Q66" s="55">
        <v>100</v>
      </c>
      <c r="R66" s="55"/>
      <c r="S66" s="55">
        <f t="shared" si="49"/>
        <v>48945.15</v>
      </c>
      <c r="T66" s="48"/>
      <c r="U66" s="49">
        <f t="shared" si="50"/>
        <v>309.23999999991503</v>
      </c>
      <c r="V66" s="51"/>
      <c r="W66" s="51"/>
      <c r="X66" s="51">
        <v>-100</v>
      </c>
      <c r="Y66" s="51">
        <f t="shared" si="51"/>
        <v>209.23999999991503</v>
      </c>
      <c r="Z66" s="52"/>
      <c r="AA66" s="53">
        <f t="shared" si="52"/>
        <v>21632.299999999988</v>
      </c>
      <c r="AB66" s="54"/>
      <c r="AC66" s="54"/>
      <c r="AD66" s="54"/>
      <c r="AE66" s="54">
        <f t="shared" si="53"/>
        <v>21632.299999999988</v>
      </c>
      <c r="AF66" s="53"/>
      <c r="AG66" s="53"/>
      <c r="AH66" s="54"/>
      <c r="AI66" s="54"/>
      <c r="AJ66" s="54"/>
      <c r="AK66" s="54"/>
      <c r="AL66" s="53"/>
      <c r="AM66" s="53"/>
      <c r="AN66" s="54"/>
      <c r="AO66" s="54"/>
      <c r="AP66" s="54"/>
      <c r="AQ66" s="54"/>
      <c r="AR66" s="53"/>
      <c r="AS66" s="50">
        <f t="shared" si="37"/>
        <v>1390410.47</v>
      </c>
      <c r="AT66" s="50">
        <f t="shared" si="38"/>
        <v>429417.96</v>
      </c>
      <c r="AU66" s="50">
        <f t="shared" si="39"/>
        <v>100</v>
      </c>
      <c r="AV66" s="50">
        <f t="shared" si="40"/>
        <v>-75355.430000000008</v>
      </c>
      <c r="AW66" s="50"/>
      <c r="AX66" s="50">
        <f t="shared" si="54"/>
        <v>1744573</v>
      </c>
      <c r="AY66" s="50">
        <f t="shared" si="41"/>
        <v>6300000</v>
      </c>
      <c r="AZ66" s="50">
        <f t="shared" si="42"/>
        <v>8044573</v>
      </c>
    </row>
    <row r="67" spans="2:52" x14ac:dyDescent="0.3">
      <c r="B67" s="99">
        <f>B66+3</f>
        <v>44256</v>
      </c>
      <c r="C67" s="44">
        <f t="shared" si="45"/>
        <v>284341.69</v>
      </c>
      <c r="D67" s="45">
        <v>204099.89</v>
      </c>
      <c r="E67" s="45">
        <v>-500000</v>
      </c>
      <c r="F67" s="45">
        <v>-178389.12</v>
      </c>
      <c r="G67" s="45">
        <f t="shared" si="36"/>
        <v>-189947.53999999998</v>
      </c>
      <c r="H67" s="44">
        <v>4300000</v>
      </c>
      <c r="I67" s="46">
        <f t="shared" si="46"/>
        <v>1389444.62</v>
      </c>
      <c r="J67" s="47">
        <v>258.35000000000002</v>
      </c>
      <c r="K67" s="47">
        <v>500000</v>
      </c>
      <c r="L67" s="47">
        <v>-1785113.19</v>
      </c>
      <c r="M67" s="47">
        <f t="shared" si="47"/>
        <v>104589.78000000026</v>
      </c>
      <c r="N67" s="46">
        <v>4000000</v>
      </c>
      <c r="O67" s="48">
        <f t="shared" si="48"/>
        <v>48945.15</v>
      </c>
      <c r="P67" s="55">
        <v>3838.06</v>
      </c>
      <c r="Q67" s="55"/>
      <c r="R67" s="55"/>
      <c r="S67" s="55">
        <f t="shared" si="49"/>
        <v>52783.21</v>
      </c>
      <c r="T67" s="48"/>
      <c r="U67" s="49">
        <f t="shared" si="50"/>
        <v>209.23999999991503</v>
      </c>
      <c r="V67" s="51"/>
      <c r="W67" s="51"/>
      <c r="X67" s="51">
        <v>-1.2</v>
      </c>
      <c r="Y67" s="51">
        <f t="shared" si="51"/>
        <v>208.03999999991504</v>
      </c>
      <c r="Z67" s="52"/>
      <c r="AA67" s="53">
        <f t="shared" si="52"/>
        <v>21632.299999999988</v>
      </c>
      <c r="AB67" s="54"/>
      <c r="AC67" s="54"/>
      <c r="AD67" s="54"/>
      <c r="AE67" s="54">
        <f t="shared" si="53"/>
        <v>21632.299999999988</v>
      </c>
      <c r="AF67" s="53"/>
      <c r="AG67" s="53"/>
      <c r="AH67" s="54"/>
      <c r="AI67" s="54"/>
      <c r="AJ67" s="54"/>
      <c r="AK67" s="54"/>
      <c r="AL67" s="53"/>
      <c r="AM67" s="53"/>
      <c r="AN67" s="54"/>
      <c r="AO67" s="54"/>
      <c r="AP67" s="54"/>
      <c r="AQ67" s="54"/>
      <c r="AR67" s="53"/>
      <c r="AS67" s="50">
        <f t="shared" si="37"/>
        <v>1744573</v>
      </c>
      <c r="AT67" s="50">
        <f t="shared" si="38"/>
        <v>208196.30000000002</v>
      </c>
      <c r="AU67" s="50">
        <f t="shared" si="39"/>
        <v>0</v>
      </c>
      <c r="AV67" s="50">
        <f t="shared" si="40"/>
        <v>-1963503.51</v>
      </c>
      <c r="AW67" s="50"/>
      <c r="AX67" s="50">
        <f t="shared" si="54"/>
        <v>-10734.209999999817</v>
      </c>
      <c r="AY67" s="50">
        <f t="shared" si="41"/>
        <v>8300000</v>
      </c>
      <c r="AZ67" s="50">
        <f t="shared" si="42"/>
        <v>8289265.79</v>
      </c>
    </row>
    <row r="68" spans="2:52" x14ac:dyDescent="0.3">
      <c r="B68" s="99">
        <f t="shared" si="55"/>
        <v>44257</v>
      </c>
      <c r="C68" s="44">
        <f t="shared" si="45"/>
        <v>-189947.53999999998</v>
      </c>
      <c r="D68" s="45">
        <v>100928.36</v>
      </c>
      <c r="E68" s="45">
        <f>50000-300000</f>
        <v>-250000</v>
      </c>
      <c r="F68" s="45">
        <v>-187916.96</v>
      </c>
      <c r="G68" s="45">
        <f t="shared" ref="G68:G83" si="56">SUM(C68:F68)</f>
        <v>-526936.14</v>
      </c>
      <c r="H68" s="44">
        <v>4300000</v>
      </c>
      <c r="I68" s="46">
        <f t="shared" si="46"/>
        <v>104589.78000000026</v>
      </c>
      <c r="J68" s="47"/>
      <c r="K68" s="47">
        <v>300000</v>
      </c>
      <c r="L68" s="47">
        <v>-251156.47</v>
      </c>
      <c r="M68" s="47">
        <f t="shared" si="47"/>
        <v>153433.31000000026</v>
      </c>
      <c r="N68" s="46">
        <v>4000000</v>
      </c>
      <c r="O68" s="48">
        <f t="shared" si="48"/>
        <v>52783.21</v>
      </c>
      <c r="P68" s="55">
        <v>128740.06</v>
      </c>
      <c r="Q68" s="55">
        <v>-50000</v>
      </c>
      <c r="R68" s="55"/>
      <c r="S68" s="55">
        <f t="shared" si="49"/>
        <v>131523.26999999999</v>
      </c>
      <c r="T68" s="48"/>
      <c r="U68" s="49">
        <f t="shared" si="50"/>
        <v>208.03999999991504</v>
      </c>
      <c r="V68" s="51"/>
      <c r="W68" s="51"/>
      <c r="X68" s="51">
        <v>-54.949999999915001</v>
      </c>
      <c r="Y68" s="51">
        <f t="shared" si="51"/>
        <v>153.09000000000003</v>
      </c>
      <c r="Z68" s="52"/>
      <c r="AA68" s="53">
        <f t="shared" si="52"/>
        <v>21632.299999999988</v>
      </c>
      <c r="AB68" s="54"/>
      <c r="AC68" s="54"/>
      <c r="AD68" s="54"/>
      <c r="AE68" s="54">
        <f t="shared" si="53"/>
        <v>21632.299999999988</v>
      </c>
      <c r="AF68" s="53"/>
      <c r="AG68" s="53"/>
      <c r="AH68" s="54"/>
      <c r="AI68" s="54"/>
      <c r="AJ68" s="54"/>
      <c r="AK68" s="54"/>
      <c r="AL68" s="53"/>
      <c r="AM68" s="53"/>
      <c r="AN68" s="54"/>
      <c r="AO68" s="54"/>
      <c r="AP68" s="54"/>
      <c r="AQ68" s="54"/>
      <c r="AR68" s="53"/>
      <c r="AS68" s="50">
        <f t="shared" ref="AS68:AS83" si="57">SUM(C68,I68,O68,U68,AA68,)</f>
        <v>-10734.209999999817</v>
      </c>
      <c r="AT68" s="50">
        <f t="shared" ref="AT68:AT83" si="58">SUM(D68,J68,P68,V68,AB68,)</f>
        <v>229668.41999999998</v>
      </c>
      <c r="AU68" s="50">
        <f t="shared" ref="AU68:AU83" si="59">SUM(E68,K68,Q68,W68,AC68,)</f>
        <v>0</v>
      </c>
      <c r="AV68" s="50">
        <f t="shared" ref="AV68:AV83" si="60">SUM(F68,L68,R68,X68,AD68,)</f>
        <v>-439128.37999999989</v>
      </c>
      <c r="AW68" s="50"/>
      <c r="AX68" s="50">
        <f t="shared" si="54"/>
        <v>-220194.16999999975</v>
      </c>
      <c r="AY68" s="50">
        <f t="shared" ref="AY68:AY83" si="61">SUM(H68,N68,T68,Z68,AF68,)</f>
        <v>8300000</v>
      </c>
      <c r="AZ68" s="50">
        <f t="shared" ref="AZ68:AZ83" si="62">AX68+AY68</f>
        <v>8079805.8300000001</v>
      </c>
    </row>
    <row r="69" spans="2:52" x14ac:dyDescent="0.3">
      <c r="B69" s="99">
        <f t="shared" si="55"/>
        <v>44258</v>
      </c>
      <c r="C69" s="44">
        <f t="shared" si="45"/>
        <v>-526936.14</v>
      </c>
      <c r="D69" s="45">
        <v>95602.04</v>
      </c>
      <c r="E69" s="45">
        <v>130000</v>
      </c>
      <c r="F69" s="45">
        <v>-39789.78</v>
      </c>
      <c r="G69" s="45">
        <f t="shared" si="56"/>
        <v>-341123.88</v>
      </c>
      <c r="H69" s="44">
        <v>4300000</v>
      </c>
      <c r="I69" s="46">
        <f t="shared" si="46"/>
        <v>153433.31000000026</v>
      </c>
      <c r="J69" s="47">
        <v>46922.51</v>
      </c>
      <c r="K69" s="47"/>
      <c r="L69" s="47">
        <v>-66125.03</v>
      </c>
      <c r="M69" s="47">
        <f t="shared" si="47"/>
        <v>134230.79000000027</v>
      </c>
      <c r="N69" s="46">
        <v>4000000</v>
      </c>
      <c r="O69" s="48">
        <f t="shared" si="48"/>
        <v>131523.26999999999</v>
      </c>
      <c r="P69" s="55"/>
      <c r="Q69" s="55">
        <v>-130000</v>
      </c>
      <c r="R69" s="55">
        <v>-444.37</v>
      </c>
      <c r="S69" s="55">
        <f t="shared" si="49"/>
        <v>1078.8999999999896</v>
      </c>
      <c r="T69" s="48"/>
      <c r="U69" s="49">
        <f t="shared" si="50"/>
        <v>153.09000000000003</v>
      </c>
      <c r="V69" s="51"/>
      <c r="W69" s="51"/>
      <c r="X69" s="51"/>
      <c r="Y69" s="51">
        <f t="shared" si="51"/>
        <v>153.09000000000003</v>
      </c>
      <c r="Z69" s="52"/>
      <c r="AA69" s="53">
        <f t="shared" si="52"/>
        <v>21632.299999999988</v>
      </c>
      <c r="AB69" s="54"/>
      <c r="AC69" s="54"/>
      <c r="AD69" s="54">
        <v>-3684.1899999999901</v>
      </c>
      <c r="AE69" s="54">
        <f t="shared" si="53"/>
        <v>17948.109999999997</v>
      </c>
      <c r="AF69" s="53"/>
      <c r="AG69" s="53"/>
      <c r="AH69" s="54"/>
      <c r="AI69" s="54"/>
      <c r="AJ69" s="54"/>
      <c r="AK69" s="54"/>
      <c r="AL69" s="53"/>
      <c r="AM69" s="53"/>
      <c r="AN69" s="54"/>
      <c r="AO69" s="54"/>
      <c r="AP69" s="54"/>
      <c r="AQ69" s="54"/>
      <c r="AR69" s="53"/>
      <c r="AS69" s="50">
        <f t="shared" si="57"/>
        <v>-220194.16999999975</v>
      </c>
      <c r="AT69" s="50">
        <f t="shared" si="58"/>
        <v>142524.54999999999</v>
      </c>
      <c r="AU69" s="50">
        <f t="shared" si="59"/>
        <v>0</v>
      </c>
      <c r="AV69" s="50">
        <f t="shared" si="60"/>
        <v>-110043.36999999998</v>
      </c>
      <c r="AW69" s="50"/>
      <c r="AX69" s="50">
        <f t="shared" si="54"/>
        <v>-187712.98999999976</v>
      </c>
      <c r="AY69" s="50">
        <f t="shared" si="61"/>
        <v>8300000</v>
      </c>
      <c r="AZ69" s="50">
        <f t="shared" si="62"/>
        <v>8112287.0099999998</v>
      </c>
    </row>
    <row r="70" spans="2:52" x14ac:dyDescent="0.3">
      <c r="B70" s="99">
        <f t="shared" si="55"/>
        <v>44259</v>
      </c>
      <c r="C70" s="44">
        <f>G69</f>
        <v>-341123.88</v>
      </c>
      <c r="D70" s="45">
        <v>216.51</v>
      </c>
      <c r="E70" s="45"/>
      <c r="F70" s="45">
        <v>-565315.43999999994</v>
      </c>
      <c r="G70" s="45">
        <f t="shared" si="56"/>
        <v>-906222.80999999994</v>
      </c>
      <c r="H70" s="44">
        <v>4300000</v>
      </c>
      <c r="I70" s="46">
        <f t="shared" ref="I70:I122" si="63">M69</f>
        <v>134230.79000000027</v>
      </c>
      <c r="J70" s="47"/>
      <c r="K70" s="47"/>
      <c r="L70" s="47">
        <v>-18057.1000000003</v>
      </c>
      <c r="M70" s="47">
        <f t="shared" ref="M70:M122" si="64">SUM(I70:L70)</f>
        <v>116173.68999999997</v>
      </c>
      <c r="N70" s="46">
        <v>4000000</v>
      </c>
      <c r="O70" s="48">
        <f t="shared" ref="O70:O122" si="65">S69</f>
        <v>1078.8999999999896</v>
      </c>
      <c r="P70" s="55">
        <v>120.23</v>
      </c>
      <c r="Q70" s="55"/>
      <c r="R70" s="55"/>
      <c r="S70" s="55">
        <f t="shared" ref="S70:S122" si="66">SUM(O70:R70)</f>
        <v>1199.1299999999896</v>
      </c>
      <c r="T70" s="48"/>
      <c r="U70" s="49">
        <f t="shared" ref="U70:U122" si="67">Y69</f>
        <v>153.09000000000003</v>
      </c>
      <c r="V70" s="51"/>
      <c r="W70" s="51"/>
      <c r="X70" s="51"/>
      <c r="Y70" s="51">
        <f t="shared" ref="Y70:Y122" si="68">SUM(U70:X70)</f>
        <v>153.09000000000003</v>
      </c>
      <c r="Z70" s="52"/>
      <c r="AA70" s="53">
        <f t="shared" ref="AA70:AA122" si="69">AE69</f>
        <v>17948.109999999997</v>
      </c>
      <c r="AB70" s="54"/>
      <c r="AC70" s="54"/>
      <c r="AD70" s="54"/>
      <c r="AE70" s="54">
        <f t="shared" ref="AE70:AE122" si="70">SUM(AA70:AD70)</f>
        <v>17948.109999999997</v>
      </c>
      <c r="AF70" s="53"/>
      <c r="AG70" s="53"/>
      <c r="AH70" s="54"/>
      <c r="AI70" s="54"/>
      <c r="AJ70" s="54"/>
      <c r="AK70" s="54"/>
      <c r="AL70" s="53"/>
      <c r="AM70" s="53"/>
      <c r="AN70" s="54"/>
      <c r="AO70" s="54"/>
      <c r="AP70" s="54"/>
      <c r="AQ70" s="54"/>
      <c r="AR70" s="53"/>
      <c r="AS70" s="50">
        <f t="shared" si="57"/>
        <v>-187712.98999999976</v>
      </c>
      <c r="AT70" s="50">
        <f t="shared" si="58"/>
        <v>336.74</v>
      </c>
      <c r="AU70" s="50">
        <f t="shared" si="59"/>
        <v>0</v>
      </c>
      <c r="AV70" s="50">
        <f t="shared" si="60"/>
        <v>-583372.54000000027</v>
      </c>
      <c r="AW70" s="50"/>
      <c r="AX70" s="50">
        <f t="shared" ref="AX70:AX122" si="71">SUM(G70,M70,S70,Y70,AE70,)</f>
        <v>-770748.79</v>
      </c>
      <c r="AY70" s="50">
        <f t="shared" si="61"/>
        <v>8300000</v>
      </c>
      <c r="AZ70" s="50">
        <f t="shared" si="62"/>
        <v>7529251.21</v>
      </c>
    </row>
    <row r="71" spans="2:52" x14ac:dyDescent="0.3">
      <c r="B71" s="99">
        <f t="shared" si="55"/>
        <v>44260</v>
      </c>
      <c r="C71" s="44">
        <f>G70</f>
        <v>-906222.80999999994</v>
      </c>
      <c r="D71" s="45">
        <v>59880.22</v>
      </c>
      <c r="E71" s="45"/>
      <c r="F71" s="45">
        <v>-826159.98</v>
      </c>
      <c r="G71" s="45">
        <f t="shared" si="56"/>
        <v>-1672502.5699999998</v>
      </c>
      <c r="H71" s="44">
        <v>4300000</v>
      </c>
      <c r="I71" s="46">
        <f t="shared" si="63"/>
        <v>116173.68999999997</v>
      </c>
      <c r="J71" s="47">
        <v>32106.86</v>
      </c>
      <c r="K71" s="47"/>
      <c r="L71" s="47">
        <v>-19967.63</v>
      </c>
      <c r="M71" s="47">
        <f t="shared" si="64"/>
        <v>128312.91999999998</v>
      </c>
      <c r="N71" s="46">
        <v>4000000</v>
      </c>
      <c r="O71" s="48">
        <f t="shared" si="65"/>
        <v>1199.1299999999896</v>
      </c>
      <c r="P71" s="55"/>
      <c r="Q71" s="55"/>
      <c r="R71" s="55"/>
      <c r="S71" s="55">
        <f t="shared" si="66"/>
        <v>1199.1299999999896</v>
      </c>
      <c r="T71" s="48"/>
      <c r="U71" s="49">
        <f t="shared" si="67"/>
        <v>153.09000000000003</v>
      </c>
      <c r="V71" s="51"/>
      <c r="W71" s="51"/>
      <c r="X71" s="51"/>
      <c r="Y71" s="51">
        <f t="shared" si="68"/>
        <v>153.09000000000003</v>
      </c>
      <c r="Z71" s="52"/>
      <c r="AA71" s="53">
        <f t="shared" si="69"/>
        <v>17948.109999999997</v>
      </c>
      <c r="AB71" s="54"/>
      <c r="AC71" s="54"/>
      <c r="AD71" s="54"/>
      <c r="AE71" s="54">
        <f t="shared" si="70"/>
        <v>17948.109999999997</v>
      </c>
      <c r="AF71" s="53"/>
      <c r="AG71" s="53"/>
      <c r="AH71" s="54"/>
      <c r="AI71" s="54"/>
      <c r="AJ71" s="54"/>
      <c r="AK71" s="54"/>
      <c r="AL71" s="53"/>
      <c r="AM71" s="53"/>
      <c r="AN71" s="54"/>
      <c r="AO71" s="54"/>
      <c r="AP71" s="54"/>
      <c r="AQ71" s="54"/>
      <c r="AR71" s="53"/>
      <c r="AS71" s="50">
        <f t="shared" si="57"/>
        <v>-770748.79</v>
      </c>
      <c r="AT71" s="50">
        <f t="shared" si="58"/>
        <v>91987.08</v>
      </c>
      <c r="AU71" s="50">
        <f t="shared" si="59"/>
        <v>0</v>
      </c>
      <c r="AV71" s="50">
        <f t="shared" si="60"/>
        <v>-846127.61</v>
      </c>
      <c r="AW71" s="50"/>
      <c r="AX71" s="50">
        <f t="shared" si="71"/>
        <v>-1524889.3199999998</v>
      </c>
      <c r="AY71" s="50">
        <f t="shared" si="61"/>
        <v>8300000</v>
      </c>
      <c r="AZ71" s="50">
        <f t="shared" si="62"/>
        <v>6775110.6799999997</v>
      </c>
    </row>
    <row r="72" spans="2:52" x14ac:dyDescent="0.3">
      <c r="B72" s="99">
        <f>B71+3</f>
        <v>44263</v>
      </c>
      <c r="C72" s="44">
        <f t="shared" ref="C72:C122" si="72">G71</f>
        <v>-1672502.5699999998</v>
      </c>
      <c r="D72" s="45"/>
      <c r="E72" s="45">
        <v>-235000</v>
      </c>
      <c r="F72" s="45">
        <f>-346393.57+200000+35000</f>
        <v>-111393.57</v>
      </c>
      <c r="G72" s="45">
        <f t="shared" si="56"/>
        <v>-2018896.14</v>
      </c>
      <c r="H72" s="44">
        <v>4300000</v>
      </c>
      <c r="I72" s="46">
        <f t="shared" si="63"/>
        <v>128312.91999999998</v>
      </c>
      <c r="J72" s="47">
        <v>242903.54</v>
      </c>
      <c r="K72" s="47">
        <v>200000</v>
      </c>
      <c r="L72" s="47">
        <v>-581659.80000000005</v>
      </c>
      <c r="M72" s="47">
        <f t="shared" si="64"/>
        <v>-10443.340000000084</v>
      </c>
      <c r="N72" s="46">
        <v>4000000</v>
      </c>
      <c r="O72" s="48">
        <f t="shared" si="65"/>
        <v>1199.1299999999896</v>
      </c>
      <c r="P72" s="55">
        <v>346.02</v>
      </c>
      <c r="Q72" s="55">
        <v>35000</v>
      </c>
      <c r="R72" s="55">
        <v>-10292</v>
      </c>
      <c r="S72" s="55">
        <f t="shared" si="66"/>
        <v>26253.149999999987</v>
      </c>
      <c r="T72" s="48"/>
      <c r="U72" s="49">
        <f t="shared" si="67"/>
        <v>153.09000000000003</v>
      </c>
      <c r="V72" s="51"/>
      <c r="W72" s="51"/>
      <c r="X72" s="51"/>
      <c r="Y72" s="51">
        <f t="shared" si="68"/>
        <v>153.09000000000003</v>
      </c>
      <c r="Z72" s="52"/>
      <c r="AA72" s="53">
        <f t="shared" si="69"/>
        <v>17948.109999999997</v>
      </c>
      <c r="AB72" s="54"/>
      <c r="AC72" s="54"/>
      <c r="AD72" s="54"/>
      <c r="AE72" s="54">
        <f t="shared" si="70"/>
        <v>17948.109999999997</v>
      </c>
      <c r="AF72" s="53"/>
      <c r="AG72" s="53"/>
      <c r="AH72" s="54"/>
      <c r="AI72" s="54"/>
      <c r="AJ72" s="54"/>
      <c r="AK72" s="54"/>
      <c r="AL72" s="53"/>
      <c r="AM72" s="53"/>
      <c r="AN72" s="54"/>
      <c r="AO72" s="54"/>
      <c r="AP72" s="54"/>
      <c r="AQ72" s="54"/>
      <c r="AR72" s="53"/>
      <c r="AS72" s="50">
        <f t="shared" si="57"/>
        <v>-1524889.3199999998</v>
      </c>
      <c r="AT72" s="50">
        <f t="shared" si="58"/>
        <v>243249.56</v>
      </c>
      <c r="AU72" s="50">
        <f t="shared" si="59"/>
        <v>0</v>
      </c>
      <c r="AV72" s="50">
        <f t="shared" si="60"/>
        <v>-703345.37000000011</v>
      </c>
      <c r="AW72" s="50"/>
      <c r="AX72" s="50">
        <f t="shared" si="71"/>
        <v>-1984985.13</v>
      </c>
      <c r="AY72" s="50">
        <f t="shared" si="61"/>
        <v>8300000</v>
      </c>
      <c r="AZ72" s="50">
        <f t="shared" si="62"/>
        <v>6315014.8700000001</v>
      </c>
    </row>
    <row r="73" spans="2:52" x14ac:dyDescent="0.3">
      <c r="B73" s="99">
        <f t="shared" si="55"/>
        <v>44264</v>
      </c>
      <c r="C73" s="44">
        <f t="shared" si="72"/>
        <v>-2018896.14</v>
      </c>
      <c r="D73" s="45">
        <f>116386.27+14548.28</f>
        <v>130934.55</v>
      </c>
      <c r="E73" s="45">
        <v>-90000</v>
      </c>
      <c r="F73" s="45">
        <f>-243592.26+90000</f>
        <v>-153592.26</v>
      </c>
      <c r="G73" s="45">
        <f t="shared" si="56"/>
        <v>-2131553.8499999996</v>
      </c>
      <c r="H73" s="44">
        <v>4300000</v>
      </c>
      <c r="I73" s="46">
        <f t="shared" si="63"/>
        <v>-10443.340000000084</v>
      </c>
      <c r="J73" s="47"/>
      <c r="K73" s="47">
        <v>90000</v>
      </c>
      <c r="L73" s="47">
        <v>-71457.389999999898</v>
      </c>
      <c r="M73" s="47">
        <f t="shared" si="64"/>
        <v>8099.2700000000186</v>
      </c>
      <c r="N73" s="46">
        <v>4000000</v>
      </c>
      <c r="O73" s="48">
        <f t="shared" si="65"/>
        <v>26253.149999999987</v>
      </c>
      <c r="P73" s="55"/>
      <c r="Q73" s="55"/>
      <c r="R73" s="55"/>
      <c r="S73" s="55">
        <f t="shared" si="66"/>
        <v>26253.149999999987</v>
      </c>
      <c r="T73" s="48"/>
      <c r="U73" s="49">
        <f t="shared" si="67"/>
        <v>153.09000000000003</v>
      </c>
      <c r="V73" s="51"/>
      <c r="W73" s="51"/>
      <c r="X73" s="51"/>
      <c r="Y73" s="51">
        <f t="shared" si="68"/>
        <v>153.09000000000003</v>
      </c>
      <c r="Z73" s="52"/>
      <c r="AA73" s="53">
        <f t="shared" si="69"/>
        <v>17948.109999999997</v>
      </c>
      <c r="AB73" s="54"/>
      <c r="AC73" s="54"/>
      <c r="AD73" s="54"/>
      <c r="AE73" s="54">
        <f t="shared" si="70"/>
        <v>17948.109999999997</v>
      </c>
      <c r="AF73" s="53"/>
      <c r="AG73" s="53"/>
      <c r="AH73" s="54"/>
      <c r="AI73" s="54"/>
      <c r="AJ73" s="54"/>
      <c r="AK73" s="54"/>
      <c r="AL73" s="53"/>
      <c r="AM73" s="53"/>
      <c r="AN73" s="54"/>
      <c r="AO73" s="54"/>
      <c r="AP73" s="54"/>
      <c r="AQ73" s="54"/>
      <c r="AR73" s="53"/>
      <c r="AS73" s="50">
        <f t="shared" si="57"/>
        <v>-1984985.13</v>
      </c>
      <c r="AT73" s="50">
        <f t="shared" si="58"/>
        <v>130934.55</v>
      </c>
      <c r="AU73" s="50">
        <f t="shared" si="59"/>
        <v>0</v>
      </c>
      <c r="AV73" s="50">
        <f t="shared" si="60"/>
        <v>-225049.64999999991</v>
      </c>
      <c r="AW73" s="50"/>
      <c r="AX73" s="50">
        <f t="shared" si="71"/>
        <v>-2079100.2299999995</v>
      </c>
      <c r="AY73" s="50">
        <f t="shared" si="61"/>
        <v>8300000</v>
      </c>
      <c r="AZ73" s="50">
        <f t="shared" si="62"/>
        <v>6220899.7700000005</v>
      </c>
    </row>
    <row r="74" spans="2:52" x14ac:dyDescent="0.3">
      <c r="B74" s="99">
        <f t="shared" si="55"/>
        <v>44265</v>
      </c>
      <c r="C74" s="44">
        <f t="shared" si="72"/>
        <v>-2131553.8499999996</v>
      </c>
      <c r="D74" s="45">
        <v>134509.42000000001</v>
      </c>
      <c r="E74" s="45"/>
      <c r="F74" s="45"/>
      <c r="G74" s="45">
        <f t="shared" si="56"/>
        <v>-1997044.4299999997</v>
      </c>
      <c r="H74" s="44">
        <v>4300000</v>
      </c>
      <c r="I74" s="46">
        <f t="shared" si="63"/>
        <v>8099.2700000000186</v>
      </c>
      <c r="J74" s="47">
        <v>375</v>
      </c>
      <c r="K74" s="47"/>
      <c r="L74" s="47"/>
      <c r="M74" s="47">
        <f t="shared" si="64"/>
        <v>8474.2700000000186</v>
      </c>
      <c r="N74" s="46">
        <v>4000000</v>
      </c>
      <c r="O74" s="48">
        <f t="shared" si="65"/>
        <v>26253.149999999987</v>
      </c>
      <c r="P74" s="55"/>
      <c r="Q74" s="55"/>
      <c r="R74" s="55"/>
      <c r="S74" s="55">
        <f t="shared" si="66"/>
        <v>26253.149999999987</v>
      </c>
      <c r="T74" s="48"/>
      <c r="U74" s="49">
        <f t="shared" si="67"/>
        <v>153.09000000000003</v>
      </c>
      <c r="V74" s="51"/>
      <c r="W74" s="51"/>
      <c r="X74" s="51"/>
      <c r="Y74" s="51">
        <f t="shared" si="68"/>
        <v>153.09000000000003</v>
      </c>
      <c r="Z74" s="52"/>
      <c r="AA74" s="53">
        <f t="shared" si="69"/>
        <v>17948.109999999997</v>
      </c>
      <c r="AB74" s="54"/>
      <c r="AC74" s="54"/>
      <c r="AD74" s="54">
        <v>-220.95999999999501</v>
      </c>
      <c r="AE74" s="54">
        <f t="shared" si="70"/>
        <v>17727.150000000001</v>
      </c>
      <c r="AF74" s="53"/>
      <c r="AG74" s="53"/>
      <c r="AH74" s="54"/>
      <c r="AI74" s="54"/>
      <c r="AJ74" s="54"/>
      <c r="AK74" s="54"/>
      <c r="AL74" s="53"/>
      <c r="AM74" s="53"/>
      <c r="AN74" s="54"/>
      <c r="AO74" s="54"/>
      <c r="AP74" s="54"/>
      <c r="AQ74" s="54"/>
      <c r="AR74" s="53"/>
      <c r="AS74" s="50">
        <f t="shared" si="57"/>
        <v>-2079100.2299999995</v>
      </c>
      <c r="AT74" s="50">
        <f t="shared" si="58"/>
        <v>134884.42000000001</v>
      </c>
      <c r="AU74" s="50">
        <f t="shared" si="59"/>
        <v>0</v>
      </c>
      <c r="AV74" s="50">
        <f t="shared" si="60"/>
        <v>-220.95999999999501</v>
      </c>
      <c r="AW74" s="50"/>
      <c r="AX74" s="50">
        <f t="shared" si="71"/>
        <v>-1944436.7699999998</v>
      </c>
      <c r="AY74" s="50">
        <f t="shared" si="61"/>
        <v>8300000</v>
      </c>
      <c r="AZ74" s="50">
        <f t="shared" si="62"/>
        <v>6355563.2300000004</v>
      </c>
    </row>
    <row r="75" spans="2:52" x14ac:dyDescent="0.3">
      <c r="B75" s="99">
        <f t="shared" si="55"/>
        <v>44266</v>
      </c>
      <c r="C75" s="44">
        <f t="shared" si="72"/>
        <v>-1997044.4299999997</v>
      </c>
      <c r="D75" s="45">
        <v>194220.75</v>
      </c>
      <c r="E75" s="45">
        <v>-910000</v>
      </c>
      <c r="F75" s="45">
        <v>-2.16</v>
      </c>
      <c r="G75" s="45">
        <f t="shared" si="56"/>
        <v>-2712825.84</v>
      </c>
      <c r="H75" s="44">
        <v>4300000</v>
      </c>
      <c r="I75" s="46">
        <f t="shared" si="63"/>
        <v>8474.2700000000186</v>
      </c>
      <c r="J75" s="47"/>
      <c r="K75" s="47">
        <v>910000</v>
      </c>
      <c r="L75" s="47">
        <v>-905326.07999999996</v>
      </c>
      <c r="M75" s="47">
        <f t="shared" si="64"/>
        <v>13148.190000000061</v>
      </c>
      <c r="N75" s="46">
        <v>4000000</v>
      </c>
      <c r="O75" s="48">
        <f t="shared" si="65"/>
        <v>26253.149999999987</v>
      </c>
      <c r="P75" s="55"/>
      <c r="Q75" s="55"/>
      <c r="R75" s="55"/>
      <c r="S75" s="55">
        <f t="shared" si="66"/>
        <v>26253.149999999987</v>
      </c>
      <c r="T75" s="48"/>
      <c r="U75" s="49">
        <f t="shared" si="67"/>
        <v>153.09000000000003</v>
      </c>
      <c r="V75" s="51"/>
      <c r="W75" s="51"/>
      <c r="X75" s="51"/>
      <c r="Y75" s="51">
        <f t="shared" si="68"/>
        <v>153.09000000000003</v>
      </c>
      <c r="Z75" s="52"/>
      <c r="AA75" s="53">
        <f t="shared" si="69"/>
        <v>17727.150000000001</v>
      </c>
      <c r="AB75" s="54"/>
      <c r="AC75" s="54"/>
      <c r="AD75" s="54"/>
      <c r="AE75" s="54">
        <f t="shared" si="70"/>
        <v>17727.150000000001</v>
      </c>
      <c r="AF75" s="53"/>
      <c r="AG75" s="53"/>
      <c r="AH75" s="54"/>
      <c r="AI75" s="54"/>
      <c r="AJ75" s="54"/>
      <c r="AK75" s="54"/>
      <c r="AL75" s="53"/>
      <c r="AM75" s="53"/>
      <c r="AN75" s="54"/>
      <c r="AO75" s="54"/>
      <c r="AP75" s="54"/>
      <c r="AQ75" s="54"/>
      <c r="AR75" s="53"/>
      <c r="AS75" s="50">
        <f t="shared" si="57"/>
        <v>-1944436.7699999998</v>
      </c>
      <c r="AT75" s="50">
        <f t="shared" si="58"/>
        <v>194220.75</v>
      </c>
      <c r="AU75" s="50">
        <f t="shared" si="59"/>
        <v>0</v>
      </c>
      <c r="AV75" s="50">
        <f t="shared" si="60"/>
        <v>-905328.24</v>
      </c>
      <c r="AW75" s="50"/>
      <c r="AX75" s="50">
        <f t="shared" si="71"/>
        <v>-2655544.2600000002</v>
      </c>
      <c r="AY75" s="50">
        <f t="shared" si="61"/>
        <v>8300000</v>
      </c>
      <c r="AZ75" s="50">
        <f t="shared" si="62"/>
        <v>5644455.7400000002</v>
      </c>
    </row>
    <row r="76" spans="2:52" x14ac:dyDescent="0.3">
      <c r="B76" s="99">
        <f t="shared" si="55"/>
        <v>44267</v>
      </c>
      <c r="C76" s="44">
        <f t="shared" si="72"/>
        <v>-2712825.84</v>
      </c>
      <c r="D76" s="45">
        <v>147370.98000000001</v>
      </c>
      <c r="E76" s="45"/>
      <c r="F76" s="45">
        <v>-56953.620000000097</v>
      </c>
      <c r="G76" s="45">
        <f t="shared" si="56"/>
        <v>-2622408.48</v>
      </c>
      <c r="H76" s="44">
        <v>4300000</v>
      </c>
      <c r="I76" s="46">
        <f t="shared" si="63"/>
        <v>13148.190000000061</v>
      </c>
      <c r="J76" s="47"/>
      <c r="K76" s="47"/>
      <c r="L76" s="47">
        <v>-1400</v>
      </c>
      <c r="M76" s="47">
        <f t="shared" si="64"/>
        <v>11748.190000000061</v>
      </c>
      <c r="N76" s="46">
        <v>4000000</v>
      </c>
      <c r="O76" s="48">
        <f t="shared" si="65"/>
        <v>26253.149999999987</v>
      </c>
      <c r="P76" s="55"/>
      <c r="Q76" s="55"/>
      <c r="R76" s="55">
        <v>-1568.3999999999901</v>
      </c>
      <c r="S76" s="55">
        <f t="shared" si="66"/>
        <v>24684.749999999996</v>
      </c>
      <c r="T76" s="48"/>
      <c r="U76" s="49">
        <f t="shared" si="67"/>
        <v>153.09000000000003</v>
      </c>
      <c r="V76" s="51"/>
      <c r="W76" s="51"/>
      <c r="X76" s="51"/>
      <c r="Y76" s="51">
        <f t="shared" si="68"/>
        <v>153.09000000000003</v>
      </c>
      <c r="Z76" s="52"/>
      <c r="AA76" s="53">
        <f t="shared" si="69"/>
        <v>17727.150000000001</v>
      </c>
      <c r="AB76" s="54"/>
      <c r="AC76" s="54"/>
      <c r="AD76" s="54"/>
      <c r="AE76" s="54">
        <f t="shared" si="70"/>
        <v>17727.150000000001</v>
      </c>
      <c r="AF76" s="53"/>
      <c r="AG76" s="53"/>
      <c r="AH76" s="54"/>
      <c r="AI76" s="54"/>
      <c r="AJ76" s="54"/>
      <c r="AK76" s="54"/>
      <c r="AL76" s="53"/>
      <c r="AM76" s="53"/>
      <c r="AN76" s="54"/>
      <c r="AO76" s="54"/>
      <c r="AP76" s="54"/>
      <c r="AQ76" s="54"/>
      <c r="AR76" s="53"/>
      <c r="AS76" s="50">
        <f t="shared" si="57"/>
        <v>-2655544.2600000002</v>
      </c>
      <c r="AT76" s="50">
        <f t="shared" si="58"/>
        <v>147370.98000000001</v>
      </c>
      <c r="AU76" s="50">
        <f t="shared" si="59"/>
        <v>0</v>
      </c>
      <c r="AV76" s="50">
        <f t="shared" si="60"/>
        <v>-59922.020000000084</v>
      </c>
      <c r="AW76" s="50"/>
      <c r="AX76" s="50">
        <f t="shared" si="71"/>
        <v>-2568095.3000000003</v>
      </c>
      <c r="AY76" s="50">
        <f t="shared" si="61"/>
        <v>8300000</v>
      </c>
      <c r="AZ76" s="50">
        <f t="shared" si="62"/>
        <v>5731904.6999999993</v>
      </c>
    </row>
    <row r="77" spans="2:52" x14ac:dyDescent="0.3">
      <c r="B77" s="99">
        <f>B76+3</f>
        <v>44270</v>
      </c>
      <c r="C77" s="44">
        <f t="shared" si="72"/>
        <v>-2622408.48</v>
      </c>
      <c r="D77" s="45"/>
      <c r="E77" s="45">
        <v>-350000</v>
      </c>
      <c r="F77" s="45">
        <v>-83929.169999999984</v>
      </c>
      <c r="G77" s="45">
        <f t="shared" si="56"/>
        <v>-3056337.65</v>
      </c>
      <c r="H77" s="44">
        <v>4300000</v>
      </c>
      <c r="I77" s="46">
        <f t="shared" si="63"/>
        <v>11748.190000000061</v>
      </c>
      <c r="J77" s="47"/>
      <c r="K77" s="47">
        <v>350000</v>
      </c>
      <c r="L77" s="47">
        <v>-341677.8</v>
      </c>
      <c r="M77" s="47">
        <f t="shared" si="64"/>
        <v>20070.390000000072</v>
      </c>
      <c r="N77" s="46">
        <v>4000000</v>
      </c>
      <c r="O77" s="48">
        <f t="shared" si="65"/>
        <v>24684.749999999996</v>
      </c>
      <c r="P77" s="55">
        <v>45.61</v>
      </c>
      <c r="Q77" s="55"/>
      <c r="R77" s="55">
        <v>-829.99999999999602</v>
      </c>
      <c r="S77" s="55">
        <f t="shared" si="66"/>
        <v>23900.36</v>
      </c>
      <c r="T77" s="48"/>
      <c r="U77" s="49">
        <f t="shared" si="67"/>
        <v>153.09000000000003</v>
      </c>
      <c r="V77" s="51"/>
      <c r="W77" s="51"/>
      <c r="X77" s="51"/>
      <c r="Y77" s="51">
        <f t="shared" si="68"/>
        <v>153.09000000000003</v>
      </c>
      <c r="Z77" s="52"/>
      <c r="AA77" s="53">
        <f t="shared" si="69"/>
        <v>17727.150000000001</v>
      </c>
      <c r="AB77" s="54"/>
      <c r="AC77" s="54"/>
      <c r="AD77" s="54">
        <v>-3699.76</v>
      </c>
      <c r="AE77" s="54">
        <f t="shared" si="70"/>
        <v>14027.390000000001</v>
      </c>
      <c r="AF77" s="53"/>
      <c r="AG77" s="53"/>
      <c r="AH77" s="54"/>
      <c r="AI77" s="54"/>
      <c r="AJ77" s="54"/>
      <c r="AK77" s="54"/>
      <c r="AL77" s="53"/>
      <c r="AM77" s="53"/>
      <c r="AN77" s="54"/>
      <c r="AO77" s="54"/>
      <c r="AP77" s="54"/>
      <c r="AQ77" s="54"/>
      <c r="AR77" s="53"/>
      <c r="AS77" s="50">
        <f t="shared" si="57"/>
        <v>-2568095.3000000003</v>
      </c>
      <c r="AT77" s="50">
        <f t="shared" si="58"/>
        <v>45.61</v>
      </c>
      <c r="AU77" s="50">
        <f t="shared" si="59"/>
        <v>0</v>
      </c>
      <c r="AV77" s="50">
        <f t="shared" si="60"/>
        <v>-430136.73</v>
      </c>
      <c r="AW77" s="50"/>
      <c r="AX77" s="50">
        <f t="shared" si="71"/>
        <v>-2998186.42</v>
      </c>
      <c r="AY77" s="50">
        <f t="shared" si="61"/>
        <v>8300000</v>
      </c>
      <c r="AZ77" s="50">
        <f t="shared" si="62"/>
        <v>5301813.58</v>
      </c>
    </row>
    <row r="78" spans="2:52" x14ac:dyDescent="0.3">
      <c r="B78" s="99">
        <f t="shared" si="55"/>
        <v>44271</v>
      </c>
      <c r="C78" s="44">
        <f t="shared" si="72"/>
        <v>-3056337.65</v>
      </c>
      <c r="D78" s="45">
        <v>23042.05</v>
      </c>
      <c r="E78" s="45"/>
      <c r="F78" s="45">
        <v>-29634.31</v>
      </c>
      <c r="G78" s="45">
        <f t="shared" si="56"/>
        <v>-3062929.91</v>
      </c>
      <c r="H78" s="44">
        <v>4300000</v>
      </c>
      <c r="I78" s="46">
        <f t="shared" si="63"/>
        <v>20070.390000000072</v>
      </c>
      <c r="J78" s="47"/>
      <c r="K78" s="47"/>
      <c r="L78" s="47">
        <v>-5122.1000000000704</v>
      </c>
      <c r="M78" s="47">
        <f t="shared" si="64"/>
        <v>14948.29</v>
      </c>
      <c r="N78" s="46">
        <v>4000000</v>
      </c>
      <c r="O78" s="48">
        <f t="shared" si="65"/>
        <v>23900.36</v>
      </c>
      <c r="P78" s="55">
        <v>513.5</v>
      </c>
      <c r="Q78" s="55"/>
      <c r="R78" s="55"/>
      <c r="S78" s="55">
        <f t="shared" si="66"/>
        <v>24413.86</v>
      </c>
      <c r="T78" s="48"/>
      <c r="U78" s="49">
        <f t="shared" si="67"/>
        <v>153.09000000000003</v>
      </c>
      <c r="V78" s="51"/>
      <c r="W78" s="51"/>
      <c r="X78" s="51"/>
      <c r="Y78" s="51">
        <f t="shared" si="68"/>
        <v>153.09000000000003</v>
      </c>
      <c r="Z78" s="52"/>
      <c r="AA78" s="53">
        <f t="shared" si="69"/>
        <v>14027.390000000001</v>
      </c>
      <c r="AB78" s="54"/>
      <c r="AC78" s="54"/>
      <c r="AD78" s="54"/>
      <c r="AE78" s="54">
        <f t="shared" si="70"/>
        <v>14027.390000000001</v>
      </c>
      <c r="AF78" s="53"/>
      <c r="AG78" s="53"/>
      <c r="AH78" s="54"/>
      <c r="AI78" s="54"/>
      <c r="AJ78" s="54"/>
      <c r="AK78" s="54"/>
      <c r="AL78" s="53"/>
      <c r="AM78" s="53"/>
      <c r="AN78" s="54"/>
      <c r="AO78" s="54"/>
      <c r="AP78" s="54"/>
      <c r="AQ78" s="54"/>
      <c r="AR78" s="53"/>
      <c r="AS78" s="50">
        <f t="shared" si="57"/>
        <v>-2998186.42</v>
      </c>
      <c r="AT78" s="50">
        <f t="shared" si="58"/>
        <v>23555.55</v>
      </c>
      <c r="AU78" s="50">
        <f t="shared" si="59"/>
        <v>0</v>
      </c>
      <c r="AV78" s="50">
        <f t="shared" si="60"/>
        <v>-34756.410000000069</v>
      </c>
      <c r="AW78" s="50"/>
      <c r="AX78" s="50">
        <f t="shared" si="71"/>
        <v>-3009387.2800000003</v>
      </c>
      <c r="AY78" s="50">
        <f t="shared" si="61"/>
        <v>8300000</v>
      </c>
      <c r="AZ78" s="50">
        <f t="shared" si="62"/>
        <v>5290612.72</v>
      </c>
    </row>
    <row r="79" spans="2:52" x14ac:dyDescent="0.3">
      <c r="B79" s="99">
        <f t="shared" si="55"/>
        <v>44272</v>
      </c>
      <c r="C79" s="44">
        <f t="shared" si="72"/>
        <v>-3062929.91</v>
      </c>
      <c r="D79" s="45">
        <v>35640</v>
      </c>
      <c r="E79" s="45">
        <v>650000</v>
      </c>
      <c r="F79" s="45">
        <v>-12676.23</v>
      </c>
      <c r="G79" s="45">
        <f t="shared" si="56"/>
        <v>-2389966.14</v>
      </c>
      <c r="H79" s="44">
        <v>4300000</v>
      </c>
      <c r="I79" s="46">
        <f t="shared" si="63"/>
        <v>14948.29</v>
      </c>
      <c r="J79" s="47">
        <v>668221.80000000005</v>
      </c>
      <c r="K79" s="47">
        <v>-600000</v>
      </c>
      <c r="L79" s="47">
        <v>-13186.4</v>
      </c>
      <c r="M79" s="47">
        <f t="shared" si="64"/>
        <v>69983.69000000009</v>
      </c>
      <c r="N79" s="46">
        <v>4000000</v>
      </c>
      <c r="O79" s="48">
        <f t="shared" si="65"/>
        <v>24413.86</v>
      </c>
      <c r="P79" s="55">
        <v>27159.27</v>
      </c>
      <c r="Q79" s="55">
        <v>-50000</v>
      </c>
      <c r="R79" s="55">
        <v>-178.45</v>
      </c>
      <c r="S79" s="55">
        <f t="shared" si="66"/>
        <v>1394.6800000000046</v>
      </c>
      <c r="T79" s="48"/>
      <c r="U79" s="49">
        <f t="shared" si="67"/>
        <v>153.09000000000003</v>
      </c>
      <c r="V79" s="51"/>
      <c r="W79" s="51"/>
      <c r="X79" s="51"/>
      <c r="Y79" s="51">
        <f t="shared" si="68"/>
        <v>153.09000000000003</v>
      </c>
      <c r="Z79" s="52"/>
      <c r="AA79" s="53">
        <f t="shared" si="69"/>
        <v>14027.390000000001</v>
      </c>
      <c r="AB79" s="54"/>
      <c r="AC79" s="54"/>
      <c r="AD79" s="54"/>
      <c r="AE79" s="54">
        <f t="shared" si="70"/>
        <v>14027.390000000001</v>
      </c>
      <c r="AF79" s="53"/>
      <c r="AG79" s="53"/>
      <c r="AH79" s="54"/>
      <c r="AI79" s="54"/>
      <c r="AJ79" s="54"/>
      <c r="AK79" s="54"/>
      <c r="AL79" s="53"/>
      <c r="AM79" s="53"/>
      <c r="AN79" s="54"/>
      <c r="AO79" s="54"/>
      <c r="AP79" s="54"/>
      <c r="AQ79" s="54"/>
      <c r="AR79" s="53"/>
      <c r="AS79" s="50">
        <f t="shared" si="57"/>
        <v>-3009387.2800000003</v>
      </c>
      <c r="AT79" s="50">
        <f t="shared" si="58"/>
        <v>731021.07000000007</v>
      </c>
      <c r="AU79" s="50">
        <f t="shared" si="59"/>
        <v>0</v>
      </c>
      <c r="AV79" s="50">
        <f t="shared" si="60"/>
        <v>-26041.079999999998</v>
      </c>
      <c r="AW79" s="50"/>
      <c r="AX79" s="50">
        <f t="shared" si="71"/>
        <v>-2304407.29</v>
      </c>
      <c r="AY79" s="50">
        <f t="shared" si="61"/>
        <v>8300000</v>
      </c>
      <c r="AZ79" s="50">
        <f t="shared" si="62"/>
        <v>5995592.71</v>
      </c>
    </row>
    <row r="80" spans="2:52" x14ac:dyDescent="0.3">
      <c r="B80" s="99">
        <f t="shared" si="55"/>
        <v>44273</v>
      </c>
      <c r="C80" s="44">
        <f t="shared" si="72"/>
        <v>-2389966.14</v>
      </c>
      <c r="D80" s="45"/>
      <c r="E80" s="45"/>
      <c r="F80" s="45"/>
      <c r="G80" s="45">
        <f t="shared" si="56"/>
        <v>-2389966.14</v>
      </c>
      <c r="H80" s="44">
        <v>4300000</v>
      </c>
      <c r="I80" s="46">
        <f t="shared" si="63"/>
        <v>69983.69000000009</v>
      </c>
      <c r="J80" s="47"/>
      <c r="K80" s="47"/>
      <c r="L80" s="47">
        <v>-32938.090000000098</v>
      </c>
      <c r="M80" s="47">
        <f t="shared" si="64"/>
        <v>37045.599999999991</v>
      </c>
      <c r="N80" s="46">
        <v>4000000</v>
      </c>
      <c r="O80" s="48">
        <f t="shared" si="65"/>
        <v>1394.6800000000046</v>
      </c>
      <c r="P80" s="55"/>
      <c r="Q80" s="55"/>
      <c r="R80" s="55"/>
      <c r="S80" s="55">
        <f t="shared" si="66"/>
        <v>1394.6800000000046</v>
      </c>
      <c r="T80" s="48"/>
      <c r="U80" s="49">
        <f t="shared" si="67"/>
        <v>153.09000000000003</v>
      </c>
      <c r="V80" s="51"/>
      <c r="W80" s="51"/>
      <c r="X80" s="51"/>
      <c r="Y80" s="51">
        <f t="shared" si="68"/>
        <v>153.09000000000003</v>
      </c>
      <c r="Z80" s="52"/>
      <c r="AA80" s="53">
        <f t="shared" si="69"/>
        <v>14027.390000000001</v>
      </c>
      <c r="AB80" s="54"/>
      <c r="AC80" s="54"/>
      <c r="AD80" s="54"/>
      <c r="AE80" s="54">
        <f t="shared" si="70"/>
        <v>14027.390000000001</v>
      </c>
      <c r="AF80" s="53"/>
      <c r="AG80" s="53"/>
      <c r="AH80" s="54"/>
      <c r="AI80" s="54"/>
      <c r="AJ80" s="54"/>
      <c r="AK80" s="54"/>
      <c r="AL80" s="53"/>
      <c r="AM80" s="53"/>
      <c r="AN80" s="54"/>
      <c r="AO80" s="54"/>
      <c r="AP80" s="54"/>
      <c r="AQ80" s="54"/>
      <c r="AR80" s="53"/>
      <c r="AS80" s="50">
        <f t="shared" si="57"/>
        <v>-2304407.29</v>
      </c>
      <c r="AT80" s="50">
        <f t="shared" si="58"/>
        <v>0</v>
      </c>
      <c r="AU80" s="50">
        <f t="shared" si="59"/>
        <v>0</v>
      </c>
      <c r="AV80" s="50">
        <f t="shared" si="60"/>
        <v>-32938.090000000098</v>
      </c>
      <c r="AW80" s="50"/>
      <c r="AX80" s="50">
        <f t="shared" si="71"/>
        <v>-2337345.38</v>
      </c>
      <c r="AY80" s="50">
        <f t="shared" si="61"/>
        <v>8300000</v>
      </c>
      <c r="AZ80" s="50">
        <f t="shared" si="62"/>
        <v>5962654.6200000001</v>
      </c>
    </row>
    <row r="81" spans="2:56" x14ac:dyDescent="0.3">
      <c r="B81" s="99">
        <f t="shared" si="55"/>
        <v>44274</v>
      </c>
      <c r="C81" s="44">
        <f t="shared" si="72"/>
        <v>-2389966.14</v>
      </c>
      <c r="D81" s="45">
        <v>48072.66</v>
      </c>
      <c r="E81" s="45">
        <v>150000</v>
      </c>
      <c r="F81" s="45">
        <v>-1018349.05</v>
      </c>
      <c r="G81" s="45">
        <f t="shared" si="56"/>
        <v>-3210242.5300000003</v>
      </c>
      <c r="H81" s="44">
        <v>4300000</v>
      </c>
      <c r="I81" s="46">
        <f t="shared" si="63"/>
        <v>37045.599999999991</v>
      </c>
      <c r="J81" s="47">
        <f>56751.28+107293.91</f>
        <v>164045.19</v>
      </c>
      <c r="K81" s="47">
        <v>-150000</v>
      </c>
      <c r="L81" s="47">
        <v>-38226.629999999997</v>
      </c>
      <c r="M81" s="47">
        <f t="shared" si="64"/>
        <v>12864.159999999982</v>
      </c>
      <c r="N81" s="46">
        <v>4000000</v>
      </c>
      <c r="O81" s="48">
        <f t="shared" si="65"/>
        <v>1394.6800000000046</v>
      </c>
      <c r="P81" s="55"/>
      <c r="Q81" s="55"/>
      <c r="R81" s="55"/>
      <c r="S81" s="55">
        <f t="shared" si="66"/>
        <v>1394.6800000000046</v>
      </c>
      <c r="T81" s="48"/>
      <c r="U81" s="49">
        <f t="shared" si="67"/>
        <v>153.09000000000003</v>
      </c>
      <c r="V81" s="51"/>
      <c r="W81" s="51"/>
      <c r="X81" s="51"/>
      <c r="Y81" s="51">
        <f t="shared" si="68"/>
        <v>153.09000000000003</v>
      </c>
      <c r="Z81" s="52"/>
      <c r="AA81" s="53">
        <f t="shared" si="69"/>
        <v>14027.390000000001</v>
      </c>
      <c r="AB81" s="54"/>
      <c r="AC81" s="54"/>
      <c r="AD81" s="54"/>
      <c r="AE81" s="54">
        <f t="shared" si="70"/>
        <v>14027.390000000001</v>
      </c>
      <c r="AF81" s="53"/>
      <c r="AG81" s="53"/>
      <c r="AH81" s="54"/>
      <c r="AI81" s="54"/>
      <c r="AJ81" s="54"/>
      <c r="AK81" s="54"/>
      <c r="AL81" s="53"/>
      <c r="AM81" s="53"/>
      <c r="AN81" s="54"/>
      <c r="AO81" s="54"/>
      <c r="AP81" s="54"/>
      <c r="AQ81" s="54"/>
      <c r="AR81" s="53"/>
      <c r="AS81" s="50">
        <f t="shared" si="57"/>
        <v>-2337345.38</v>
      </c>
      <c r="AT81" s="50">
        <f t="shared" si="58"/>
        <v>212117.85</v>
      </c>
      <c r="AU81" s="50">
        <f t="shared" si="59"/>
        <v>0</v>
      </c>
      <c r="AV81" s="50">
        <f t="shared" si="60"/>
        <v>-1056575.68</v>
      </c>
      <c r="AW81" s="50"/>
      <c r="AX81" s="50">
        <f t="shared" si="71"/>
        <v>-3181803.21</v>
      </c>
      <c r="AY81" s="50">
        <f t="shared" si="61"/>
        <v>8300000</v>
      </c>
      <c r="AZ81" s="50">
        <f t="shared" si="62"/>
        <v>5118196.79</v>
      </c>
    </row>
    <row r="82" spans="2:56" x14ac:dyDescent="0.3">
      <c r="B82" s="99">
        <f>B81+3</f>
        <v>44277</v>
      </c>
      <c r="C82" s="44">
        <f t="shared" si="72"/>
        <v>-3210242.5300000003</v>
      </c>
      <c r="D82" s="45">
        <v>413387.13</v>
      </c>
      <c r="E82" s="45">
        <f>-240000-28000</f>
        <v>-268000</v>
      </c>
      <c r="F82" s="45">
        <v>-44025.049999999799</v>
      </c>
      <c r="G82" s="45">
        <f t="shared" si="56"/>
        <v>-3108880.45</v>
      </c>
      <c r="H82" s="44">
        <v>4300000</v>
      </c>
      <c r="I82" s="46">
        <f t="shared" si="63"/>
        <v>12864.159999999982</v>
      </c>
      <c r="J82" s="47"/>
      <c r="K82" s="47">
        <v>28000</v>
      </c>
      <c r="L82" s="47">
        <v>-40135.26</v>
      </c>
      <c r="M82" s="47">
        <f t="shared" si="64"/>
        <v>728.89999999997963</v>
      </c>
      <c r="N82" s="46">
        <v>4000000</v>
      </c>
      <c r="O82" s="48">
        <f t="shared" si="65"/>
        <v>1394.6800000000046</v>
      </c>
      <c r="P82" s="55"/>
      <c r="Q82" s="55"/>
      <c r="R82" s="55"/>
      <c r="S82" s="55">
        <f t="shared" si="66"/>
        <v>1394.6800000000046</v>
      </c>
      <c r="T82" s="48"/>
      <c r="U82" s="49">
        <f t="shared" si="67"/>
        <v>153.09000000000003</v>
      </c>
      <c r="V82" s="51"/>
      <c r="W82" s="51"/>
      <c r="X82" s="51"/>
      <c r="Y82" s="51">
        <f t="shared" si="68"/>
        <v>153.09000000000003</v>
      </c>
      <c r="Z82" s="52"/>
      <c r="AA82" s="53">
        <f t="shared" si="69"/>
        <v>14027.390000000001</v>
      </c>
      <c r="AB82" s="54"/>
      <c r="AC82" s="54">
        <v>240000</v>
      </c>
      <c r="AD82" s="54">
        <f>-240000-12467.45</f>
        <v>-252467.45</v>
      </c>
      <c r="AE82" s="54">
        <f t="shared" si="70"/>
        <v>1559.9400000000023</v>
      </c>
      <c r="AF82" s="53"/>
      <c r="AG82" s="53"/>
      <c r="AH82" s="54"/>
      <c r="AI82" s="54"/>
      <c r="AJ82" s="54"/>
      <c r="AK82" s="54"/>
      <c r="AL82" s="53"/>
      <c r="AM82" s="53"/>
      <c r="AN82" s="54"/>
      <c r="AO82" s="54"/>
      <c r="AP82" s="54"/>
      <c r="AQ82" s="54"/>
      <c r="AR82" s="53"/>
      <c r="AS82" s="50">
        <f t="shared" si="57"/>
        <v>-3181803.21</v>
      </c>
      <c r="AT82" s="50">
        <f t="shared" si="58"/>
        <v>413387.13</v>
      </c>
      <c r="AU82" s="50">
        <f t="shared" si="59"/>
        <v>0</v>
      </c>
      <c r="AV82" s="50">
        <f t="shared" si="60"/>
        <v>-336627.75999999978</v>
      </c>
      <c r="AW82" s="50"/>
      <c r="AX82" s="50">
        <f t="shared" si="71"/>
        <v>-3105043.8400000003</v>
      </c>
      <c r="AY82" s="50">
        <f t="shared" si="61"/>
        <v>8300000</v>
      </c>
      <c r="AZ82" s="50">
        <f t="shared" si="62"/>
        <v>5194956.16</v>
      </c>
    </row>
    <row r="83" spans="2:56" x14ac:dyDescent="0.3">
      <c r="B83" s="99">
        <f t="shared" si="55"/>
        <v>44278</v>
      </c>
      <c r="C83" s="44">
        <f t="shared" si="72"/>
        <v>-3108880.45</v>
      </c>
      <c r="D83" s="45">
        <v>150611.29</v>
      </c>
      <c r="E83" s="45">
        <v>-2000</v>
      </c>
      <c r="F83" s="45">
        <v>-6529.9699999999993</v>
      </c>
      <c r="G83" s="45">
        <f t="shared" si="56"/>
        <v>-2966799.1300000004</v>
      </c>
      <c r="H83" s="44">
        <v>4300000</v>
      </c>
      <c r="I83" s="46">
        <f t="shared" si="63"/>
        <v>728.89999999997963</v>
      </c>
      <c r="J83" s="47"/>
      <c r="K83" s="47">
        <v>2000</v>
      </c>
      <c r="L83" s="47">
        <v>-1145.04</v>
      </c>
      <c r="M83" s="47">
        <f t="shared" si="64"/>
        <v>1583.8599999999797</v>
      </c>
      <c r="N83" s="46">
        <v>4000000</v>
      </c>
      <c r="O83" s="48">
        <f t="shared" si="65"/>
        <v>1394.6800000000046</v>
      </c>
      <c r="P83" s="55"/>
      <c r="Q83" s="55"/>
      <c r="R83" s="55"/>
      <c r="S83" s="55">
        <f t="shared" si="66"/>
        <v>1394.6800000000046</v>
      </c>
      <c r="T83" s="48"/>
      <c r="U83" s="49">
        <f t="shared" si="67"/>
        <v>153.09000000000003</v>
      </c>
      <c r="V83" s="51"/>
      <c r="W83" s="51"/>
      <c r="X83" s="51"/>
      <c r="Y83" s="51">
        <f t="shared" si="68"/>
        <v>153.09000000000003</v>
      </c>
      <c r="Z83" s="52"/>
      <c r="AA83" s="53">
        <f t="shared" si="69"/>
        <v>1559.9400000000023</v>
      </c>
      <c r="AB83" s="54"/>
      <c r="AC83" s="54"/>
      <c r="AD83" s="54"/>
      <c r="AE83" s="54">
        <f t="shared" si="70"/>
        <v>1559.9400000000023</v>
      </c>
      <c r="AF83" s="53"/>
      <c r="AG83" s="53"/>
      <c r="AH83" s="54"/>
      <c r="AI83" s="54"/>
      <c r="AJ83" s="54"/>
      <c r="AK83" s="54"/>
      <c r="AL83" s="53"/>
      <c r="AM83" s="53"/>
      <c r="AN83" s="54"/>
      <c r="AO83" s="54"/>
      <c r="AP83" s="54"/>
      <c r="AQ83" s="54"/>
      <c r="AR83" s="53"/>
      <c r="AS83" s="50">
        <f t="shared" si="57"/>
        <v>-3105043.8400000003</v>
      </c>
      <c r="AT83" s="50">
        <f t="shared" si="58"/>
        <v>150611.29</v>
      </c>
      <c r="AU83" s="50">
        <f t="shared" si="59"/>
        <v>0</v>
      </c>
      <c r="AV83" s="50">
        <f t="shared" si="60"/>
        <v>-7675.0099999999993</v>
      </c>
      <c r="AW83" s="50"/>
      <c r="AX83" s="50">
        <f t="shared" si="71"/>
        <v>-2962107.5600000005</v>
      </c>
      <c r="AY83" s="50">
        <f t="shared" si="61"/>
        <v>8300000</v>
      </c>
      <c r="AZ83" s="50">
        <f t="shared" si="62"/>
        <v>5337892.4399999995</v>
      </c>
    </row>
    <row r="84" spans="2:56" x14ac:dyDescent="0.3">
      <c r="B84" s="99">
        <f t="shared" si="55"/>
        <v>44279</v>
      </c>
      <c r="C84" s="44">
        <v>-2966799.1300000004</v>
      </c>
      <c r="D84" s="45">
        <v>70726.600000000006</v>
      </c>
      <c r="E84" s="45">
        <v>30000</v>
      </c>
      <c r="F84" s="45">
        <v>-10714.65</v>
      </c>
      <c r="G84" s="45">
        <v>-2876787.18</v>
      </c>
      <c r="H84" s="44">
        <v>4300000</v>
      </c>
      <c r="I84" s="46">
        <v>1583.8599999999797</v>
      </c>
      <c r="J84" s="47">
        <v>769563.62</v>
      </c>
      <c r="K84" s="47"/>
      <c r="L84" s="47">
        <v>-651.42999999999995</v>
      </c>
      <c r="M84" s="47">
        <v>770496.04999999993</v>
      </c>
      <c r="N84" s="46">
        <v>4000000</v>
      </c>
      <c r="O84" s="48">
        <v>1394.6800000000046</v>
      </c>
      <c r="P84" s="55">
        <v>30314.9</v>
      </c>
      <c r="Q84" s="55">
        <v>-30000</v>
      </c>
      <c r="R84" s="55"/>
      <c r="S84" s="55">
        <v>1709.5800000000054</v>
      </c>
      <c r="T84" s="48"/>
      <c r="U84" s="49">
        <v>153.09000000000003</v>
      </c>
      <c r="V84" s="51"/>
      <c r="W84" s="51"/>
      <c r="X84" s="51"/>
      <c r="Y84" s="51">
        <v>153.09000000000003</v>
      </c>
      <c r="Z84" s="52"/>
      <c r="AA84" s="53">
        <v>1559.9400000000023</v>
      </c>
      <c r="AB84" s="54"/>
      <c r="AC84" s="54"/>
      <c r="AD84" s="54"/>
      <c r="AE84" s="54">
        <v>1559.9400000000023</v>
      </c>
      <c r="AF84" s="53"/>
      <c r="AG84" s="53"/>
      <c r="AH84" s="54"/>
      <c r="AI84" s="54"/>
      <c r="AJ84" s="54"/>
      <c r="AK84" s="54"/>
      <c r="AL84" s="53"/>
      <c r="AM84" s="53"/>
      <c r="AN84" s="54"/>
      <c r="AO84" s="54"/>
      <c r="AP84" s="54"/>
      <c r="AQ84" s="54"/>
      <c r="AR84" s="53"/>
      <c r="AS84" s="50">
        <v>-2962107.5600000005</v>
      </c>
      <c r="AT84" s="50">
        <v>870605.12</v>
      </c>
      <c r="AU84" s="50">
        <v>0</v>
      </c>
      <c r="AV84" s="50">
        <v>-11366.08</v>
      </c>
      <c r="AW84" s="50"/>
      <c r="AX84" s="50">
        <v>-2102868.5200000005</v>
      </c>
      <c r="AY84" s="50">
        <v>6300030</v>
      </c>
      <c r="AZ84" s="50">
        <v>4197161.4799999995</v>
      </c>
    </row>
    <row r="85" spans="2:56" x14ac:dyDescent="0.3">
      <c r="B85" s="99">
        <f t="shared" si="55"/>
        <v>44280</v>
      </c>
      <c r="C85" s="44">
        <f t="shared" ref="C85" si="73">G84</f>
        <v>-2876787.18</v>
      </c>
      <c r="D85" s="45"/>
      <c r="E85" s="45">
        <v>700000</v>
      </c>
      <c r="F85" s="45">
        <v>-110836.8</v>
      </c>
      <c r="G85" s="45">
        <f t="shared" ref="G85:G148" si="74">SUM(C85:F85)</f>
        <v>-2287623.98</v>
      </c>
      <c r="H85" s="44">
        <v>4300000</v>
      </c>
      <c r="I85" s="46">
        <f t="shared" ref="I85" si="75">M84</f>
        <v>770496.04999999993</v>
      </c>
      <c r="J85" s="47">
        <v>300</v>
      </c>
      <c r="K85" s="47">
        <v>-700000</v>
      </c>
      <c r="L85" s="47">
        <v>-49757.269999999902</v>
      </c>
      <c r="M85" s="47">
        <f t="shared" ref="M85" si="76">SUM(I85:L85)</f>
        <v>21038.780000000028</v>
      </c>
      <c r="N85" s="46">
        <v>4000000</v>
      </c>
      <c r="O85" s="48">
        <f t="shared" ref="O85" si="77">S84</f>
        <v>1709.5800000000054</v>
      </c>
      <c r="P85" s="55"/>
      <c r="Q85" s="55"/>
      <c r="R85" s="55">
        <v>-84</v>
      </c>
      <c r="S85" s="55">
        <f t="shared" ref="S85" si="78">SUM(O85:R85)</f>
        <v>1625.5800000000054</v>
      </c>
      <c r="T85" s="48"/>
      <c r="U85" s="49">
        <f t="shared" ref="U85" si="79">Y84</f>
        <v>153.09000000000003</v>
      </c>
      <c r="V85" s="51"/>
      <c r="W85" s="51"/>
      <c r="X85" s="51"/>
      <c r="Y85" s="51">
        <f t="shared" ref="Y85" si="80">SUM(U85:X85)</f>
        <v>153.09000000000003</v>
      </c>
      <c r="Z85" s="52"/>
      <c r="AA85" s="53">
        <f t="shared" ref="AA85" si="81">AE84</f>
        <v>1559.9400000000023</v>
      </c>
      <c r="AB85" s="54"/>
      <c r="AC85" s="54"/>
      <c r="AD85" s="54">
        <v>-231.67000000000201</v>
      </c>
      <c r="AE85" s="54">
        <f t="shared" ref="AE85" si="82">SUM(AA85:AD85)</f>
        <v>1328.2700000000004</v>
      </c>
      <c r="AF85" s="53"/>
      <c r="AG85" s="53"/>
      <c r="AH85" s="54"/>
      <c r="AI85" s="54"/>
      <c r="AJ85" s="54"/>
      <c r="AK85" s="54"/>
      <c r="AL85" s="53"/>
      <c r="AM85" s="53"/>
      <c r="AN85" s="54"/>
      <c r="AO85" s="54"/>
      <c r="AP85" s="54"/>
      <c r="AQ85" s="54"/>
      <c r="AR85" s="53"/>
      <c r="AS85" s="50">
        <f t="shared" ref="AS85:AS116" si="83">SUM(C85,I85,O85,U85,AA85,)</f>
        <v>-2102868.5200000005</v>
      </c>
      <c r="AT85" s="50">
        <f t="shared" ref="AT85:AT116" si="84">SUM(D85,J85,P85,V85,AB85,)</f>
        <v>300</v>
      </c>
      <c r="AU85" s="50">
        <f t="shared" ref="AU85:AU116" si="85">SUM(E85,K85,Q85,W85,AC85,)</f>
        <v>0</v>
      </c>
      <c r="AV85" s="50">
        <f t="shared" ref="AV85:AV116" si="86">SUM(F85,L85,R85,X85,AD85,)</f>
        <v>-160909.7399999999</v>
      </c>
      <c r="AW85" s="50"/>
      <c r="AX85" s="50">
        <f t="shared" ref="AX85" si="87">SUM(G85,M85,S85,Y85,AE85,)</f>
        <v>-2263478.2600000002</v>
      </c>
      <c r="AY85" s="50">
        <f t="shared" ref="AY85:AY116" si="88">SUM(H85,N85,T85,Z85,AF85,)</f>
        <v>8300000</v>
      </c>
      <c r="AZ85" s="50">
        <f t="shared" ref="AZ85:AZ116" si="89">AX85+AY85</f>
        <v>6036521.7400000002</v>
      </c>
    </row>
    <row r="86" spans="2:56" x14ac:dyDescent="0.3">
      <c r="B86" s="99">
        <f t="shared" si="55"/>
        <v>44281</v>
      </c>
      <c r="C86" s="44">
        <f t="shared" si="72"/>
        <v>-2287623.98</v>
      </c>
      <c r="D86" s="45">
        <v>153171.73000000001</v>
      </c>
      <c r="E86" s="45">
        <v>370000</v>
      </c>
      <c r="F86" s="45">
        <v>-29853.1</v>
      </c>
      <c r="G86" s="45">
        <f t="shared" si="74"/>
        <v>-1794305.35</v>
      </c>
      <c r="H86" s="44">
        <v>4300000</v>
      </c>
      <c r="I86" s="46">
        <f t="shared" si="63"/>
        <v>21038.780000000028</v>
      </c>
      <c r="J86" s="47">
        <v>360026.43</v>
      </c>
      <c r="K86" s="47">
        <v>-370000</v>
      </c>
      <c r="L86" s="47">
        <v>-7087.79</v>
      </c>
      <c r="M86" s="47">
        <f t="shared" si="64"/>
        <v>3977.420000000021</v>
      </c>
      <c r="N86" s="46">
        <v>4000000</v>
      </c>
      <c r="O86" s="48">
        <f t="shared" si="65"/>
        <v>1625.5800000000054</v>
      </c>
      <c r="P86" s="55"/>
      <c r="Q86" s="55"/>
      <c r="R86" s="55"/>
      <c r="S86" s="55">
        <f t="shared" si="66"/>
        <v>1625.5800000000054</v>
      </c>
      <c r="T86" s="48"/>
      <c r="U86" s="49">
        <f t="shared" si="67"/>
        <v>153.09000000000003</v>
      </c>
      <c r="V86" s="51"/>
      <c r="W86" s="51"/>
      <c r="X86" s="51"/>
      <c r="Y86" s="51">
        <f t="shared" si="68"/>
        <v>153.09000000000003</v>
      </c>
      <c r="Z86" s="52"/>
      <c r="AA86" s="53">
        <f t="shared" si="69"/>
        <v>1328.2700000000004</v>
      </c>
      <c r="AB86" s="54"/>
      <c r="AC86" s="54"/>
      <c r="AD86" s="54"/>
      <c r="AE86" s="54">
        <f t="shared" si="70"/>
        <v>1328.2700000000004</v>
      </c>
      <c r="AF86" s="53"/>
      <c r="AG86" s="53"/>
      <c r="AH86" s="54"/>
      <c r="AI86" s="54"/>
      <c r="AJ86" s="54"/>
      <c r="AK86" s="54"/>
      <c r="AL86" s="53"/>
      <c r="AM86" s="53"/>
      <c r="AN86" s="54"/>
      <c r="AO86" s="54"/>
      <c r="AP86" s="54"/>
      <c r="AQ86" s="54"/>
      <c r="AR86" s="53"/>
      <c r="AS86" s="50">
        <f t="shared" si="83"/>
        <v>-2263478.2600000002</v>
      </c>
      <c r="AT86" s="50">
        <f t="shared" si="84"/>
        <v>513198.16000000003</v>
      </c>
      <c r="AU86" s="50">
        <f t="shared" si="85"/>
        <v>0</v>
      </c>
      <c r="AV86" s="50">
        <f t="shared" si="86"/>
        <v>-36940.89</v>
      </c>
      <c r="AW86" s="50"/>
      <c r="AX86" s="50">
        <f t="shared" si="71"/>
        <v>-1787220.99</v>
      </c>
      <c r="AY86" s="50">
        <f t="shared" si="88"/>
        <v>8300000</v>
      </c>
      <c r="AZ86" s="50">
        <f t="shared" si="89"/>
        <v>6512779.0099999998</v>
      </c>
    </row>
    <row r="87" spans="2:56" x14ac:dyDescent="0.3">
      <c r="B87" s="99">
        <f>B86+3</f>
        <v>44284</v>
      </c>
      <c r="C87" s="44">
        <f t="shared" si="72"/>
        <v>-1794305.35</v>
      </c>
      <c r="D87" s="45"/>
      <c r="E87" s="45">
        <v>-580000</v>
      </c>
      <c r="F87" s="45">
        <f>-1724300.08+580000</f>
        <v>-1144300.08</v>
      </c>
      <c r="G87" s="45">
        <f t="shared" si="74"/>
        <v>-3518605.43</v>
      </c>
      <c r="H87" s="44">
        <v>4300000</v>
      </c>
      <c r="I87" s="46">
        <f t="shared" si="63"/>
        <v>3977.420000000021</v>
      </c>
      <c r="J87" s="47">
        <v>515113.20999999996</v>
      </c>
      <c r="K87" s="47">
        <v>580000</v>
      </c>
      <c r="L87" s="47">
        <v>-1090531.43</v>
      </c>
      <c r="M87" s="47">
        <f t="shared" si="64"/>
        <v>8559.1999999999534</v>
      </c>
      <c r="N87" s="46">
        <v>4000000</v>
      </c>
      <c r="O87" s="48">
        <f t="shared" si="65"/>
        <v>1625.5800000000054</v>
      </c>
      <c r="P87" s="55">
        <v>614.39999999999498</v>
      </c>
      <c r="Q87" s="55"/>
      <c r="R87" s="55"/>
      <c r="S87" s="55">
        <f t="shared" si="66"/>
        <v>2239.9800000000005</v>
      </c>
      <c r="T87" s="48"/>
      <c r="U87" s="49">
        <f t="shared" si="67"/>
        <v>153.09000000000003</v>
      </c>
      <c r="V87" s="51"/>
      <c r="W87" s="51"/>
      <c r="X87" s="51"/>
      <c r="Y87" s="51">
        <f t="shared" si="68"/>
        <v>153.09000000000003</v>
      </c>
      <c r="Z87" s="52"/>
      <c r="AA87" s="53">
        <f t="shared" si="69"/>
        <v>1328.2700000000004</v>
      </c>
      <c r="AB87" s="54"/>
      <c r="AC87" s="54"/>
      <c r="AD87" s="54">
        <v>-21.6</v>
      </c>
      <c r="AE87" s="54">
        <f t="shared" si="70"/>
        <v>1306.6700000000005</v>
      </c>
      <c r="AF87" s="53"/>
      <c r="AG87" s="53"/>
      <c r="AH87" s="54"/>
      <c r="AI87" s="54"/>
      <c r="AJ87" s="54"/>
      <c r="AK87" s="54"/>
      <c r="AL87" s="53"/>
      <c r="AM87" s="53"/>
      <c r="AN87" s="54"/>
      <c r="AO87" s="54"/>
      <c r="AP87" s="54"/>
      <c r="AQ87" s="54"/>
      <c r="AR87" s="53"/>
      <c r="AS87" s="50">
        <f t="shared" si="83"/>
        <v>-1787220.99</v>
      </c>
      <c r="AT87" s="50">
        <f t="shared" si="84"/>
        <v>515727.61</v>
      </c>
      <c r="AU87" s="50">
        <f t="shared" si="85"/>
        <v>0</v>
      </c>
      <c r="AV87" s="50">
        <f t="shared" si="86"/>
        <v>-2234853.11</v>
      </c>
      <c r="AW87" s="50"/>
      <c r="AX87" s="50">
        <f t="shared" si="71"/>
        <v>-3506346.4900000007</v>
      </c>
      <c r="AY87" s="50">
        <f t="shared" si="88"/>
        <v>8300000</v>
      </c>
      <c r="AZ87" s="50">
        <f t="shared" si="89"/>
        <v>4793653.51</v>
      </c>
    </row>
    <row r="88" spans="2:56" x14ac:dyDescent="0.3">
      <c r="B88" s="99">
        <f t="shared" si="55"/>
        <v>44285</v>
      </c>
      <c r="C88" s="44">
        <f t="shared" si="72"/>
        <v>-3518605.43</v>
      </c>
      <c r="D88" s="45">
        <f>53971+10177.92</f>
        <v>64148.92</v>
      </c>
      <c r="E88" s="45">
        <v>-170000</v>
      </c>
      <c r="F88" s="45">
        <v>-22888.6899999999</v>
      </c>
      <c r="G88" s="45">
        <f t="shared" si="74"/>
        <v>-3647345.2</v>
      </c>
      <c r="H88" s="44">
        <v>4300000</v>
      </c>
      <c r="I88" s="46">
        <f t="shared" si="63"/>
        <v>8559.1999999999534</v>
      </c>
      <c r="J88" s="47"/>
      <c r="K88" s="47">
        <v>170000</v>
      </c>
      <c r="L88" s="47">
        <v>-175362.55</v>
      </c>
      <c r="M88" s="47">
        <f t="shared" si="64"/>
        <v>3196.6499999999651</v>
      </c>
      <c r="N88" s="46">
        <v>4000000</v>
      </c>
      <c r="O88" s="48">
        <f t="shared" si="65"/>
        <v>2239.9800000000005</v>
      </c>
      <c r="P88" s="55">
        <v>200752.9</v>
      </c>
      <c r="Q88" s="55"/>
      <c r="R88" s="55"/>
      <c r="S88" s="55">
        <f t="shared" si="66"/>
        <v>202992.88</v>
      </c>
      <c r="T88" s="48"/>
      <c r="U88" s="49">
        <f t="shared" si="67"/>
        <v>153.09000000000003</v>
      </c>
      <c r="V88" s="51"/>
      <c r="W88" s="51"/>
      <c r="X88" s="51"/>
      <c r="Y88" s="51">
        <f t="shared" si="68"/>
        <v>153.09000000000003</v>
      </c>
      <c r="Z88" s="52"/>
      <c r="AA88" s="53">
        <f t="shared" si="69"/>
        <v>1306.6700000000005</v>
      </c>
      <c r="AB88" s="54"/>
      <c r="AC88" s="54"/>
      <c r="AD88" s="54"/>
      <c r="AE88" s="54">
        <f t="shared" si="70"/>
        <v>1306.6700000000005</v>
      </c>
      <c r="AF88" s="53"/>
      <c r="AG88" s="53"/>
      <c r="AH88" s="54"/>
      <c r="AI88" s="54"/>
      <c r="AJ88" s="54"/>
      <c r="AK88" s="54"/>
      <c r="AL88" s="53"/>
      <c r="AM88" s="53"/>
      <c r="AN88" s="54"/>
      <c r="AO88" s="54"/>
      <c r="AP88" s="54"/>
      <c r="AQ88" s="54"/>
      <c r="AR88" s="53"/>
      <c r="AS88" s="50">
        <f t="shared" si="83"/>
        <v>-3506346.4900000007</v>
      </c>
      <c r="AT88" s="50">
        <f t="shared" si="84"/>
        <v>264901.82</v>
      </c>
      <c r="AU88" s="50">
        <f t="shared" si="85"/>
        <v>0</v>
      </c>
      <c r="AV88" s="50">
        <f t="shared" si="86"/>
        <v>-198251.23999999987</v>
      </c>
      <c r="AW88" s="50"/>
      <c r="AX88" s="50">
        <f t="shared" si="71"/>
        <v>-3439695.9100000006</v>
      </c>
      <c r="AY88" s="50">
        <f t="shared" si="88"/>
        <v>8300000</v>
      </c>
      <c r="AZ88" s="50">
        <f t="shared" si="89"/>
        <v>4860304.09</v>
      </c>
    </row>
    <row r="89" spans="2:56" x14ac:dyDescent="0.3">
      <c r="B89" s="99">
        <f t="shared" si="55"/>
        <v>44286</v>
      </c>
      <c r="C89" s="44">
        <f t="shared" si="72"/>
        <v>-3647345.2</v>
      </c>
      <c r="D89" s="45">
        <f>519216.92-200000</f>
        <v>319216.92</v>
      </c>
      <c r="E89" s="45">
        <v>200000</v>
      </c>
      <c r="F89" s="45">
        <v>-401677.45</v>
      </c>
      <c r="G89" s="45">
        <f t="shared" si="74"/>
        <v>-3529805.7300000004</v>
      </c>
      <c r="H89" s="44">
        <v>4300000</v>
      </c>
      <c r="I89" s="46">
        <f t="shared" si="63"/>
        <v>3196.6499999999651</v>
      </c>
      <c r="J89" s="47">
        <v>107532.53</v>
      </c>
      <c r="K89" s="47"/>
      <c r="L89" s="47">
        <v>-91299.520000000004</v>
      </c>
      <c r="M89" s="47">
        <f t="shared" si="64"/>
        <v>19429.65999999996</v>
      </c>
      <c r="N89" s="46">
        <v>4000000</v>
      </c>
      <c r="O89" s="48">
        <f t="shared" si="65"/>
        <v>202992.88</v>
      </c>
      <c r="P89" s="55"/>
      <c r="Q89" s="55">
        <v>-200000</v>
      </c>
      <c r="R89" s="55">
        <f>-550-255</f>
        <v>-805</v>
      </c>
      <c r="S89" s="55">
        <f t="shared" si="66"/>
        <v>2187.8800000000047</v>
      </c>
      <c r="T89" s="48"/>
      <c r="U89" s="49">
        <f t="shared" si="67"/>
        <v>153.09000000000003</v>
      </c>
      <c r="V89" s="51"/>
      <c r="W89" s="51"/>
      <c r="X89" s="51"/>
      <c r="Y89" s="51">
        <f t="shared" si="68"/>
        <v>153.09000000000003</v>
      </c>
      <c r="Z89" s="52"/>
      <c r="AA89" s="53">
        <f t="shared" si="69"/>
        <v>1306.6700000000005</v>
      </c>
      <c r="AB89" s="54"/>
      <c r="AC89" s="54"/>
      <c r="AD89" s="54">
        <v>-846</v>
      </c>
      <c r="AE89" s="54">
        <f t="shared" si="70"/>
        <v>460.67000000000053</v>
      </c>
      <c r="AF89" s="53"/>
      <c r="AG89" s="53"/>
      <c r="AH89" s="54"/>
      <c r="AI89" s="54"/>
      <c r="AJ89" s="54"/>
      <c r="AK89" s="54"/>
      <c r="AL89" s="53"/>
      <c r="AM89" s="53"/>
      <c r="AN89" s="54"/>
      <c r="AO89" s="54"/>
      <c r="AP89" s="54"/>
      <c r="AQ89" s="54"/>
      <c r="AR89" s="53"/>
      <c r="AS89" s="50">
        <f t="shared" si="83"/>
        <v>-3439695.9100000006</v>
      </c>
      <c r="AT89" s="50">
        <f t="shared" si="84"/>
        <v>426749.44999999995</v>
      </c>
      <c r="AU89" s="50">
        <f t="shared" si="85"/>
        <v>0</v>
      </c>
      <c r="AV89" s="50">
        <f t="shared" si="86"/>
        <v>-494627.97000000003</v>
      </c>
      <c r="AW89" s="50"/>
      <c r="AX89" s="50">
        <f t="shared" si="71"/>
        <v>-3507574.4300000006</v>
      </c>
      <c r="AY89" s="50">
        <f t="shared" si="88"/>
        <v>8300000</v>
      </c>
      <c r="AZ89" s="50">
        <f t="shared" si="89"/>
        <v>4792425.5699999994</v>
      </c>
    </row>
    <row r="90" spans="2:56" x14ac:dyDescent="0.3">
      <c r="B90" s="99">
        <f t="shared" si="55"/>
        <v>44287</v>
      </c>
      <c r="C90" s="44">
        <f t="shared" si="72"/>
        <v>-3529805.7300000004</v>
      </c>
      <c r="D90" s="45">
        <v>2966.51</v>
      </c>
      <c r="E90" s="45"/>
      <c r="F90" s="45">
        <v>-218156.22</v>
      </c>
      <c r="G90" s="45">
        <f t="shared" si="74"/>
        <v>-3744995.4400000009</v>
      </c>
      <c r="H90" s="44">
        <v>4300000</v>
      </c>
      <c r="I90" s="46">
        <f t="shared" si="63"/>
        <v>19429.65999999996</v>
      </c>
      <c r="J90" s="47">
        <v>258.35000000000002</v>
      </c>
      <c r="K90" s="47"/>
      <c r="L90" s="47">
        <v>-1846455.34</v>
      </c>
      <c r="M90" s="47">
        <f t="shared" si="64"/>
        <v>-1826767.33</v>
      </c>
      <c r="N90" s="46">
        <v>4000000</v>
      </c>
      <c r="O90" s="48">
        <f t="shared" si="65"/>
        <v>2187.8800000000047</v>
      </c>
      <c r="P90" s="55">
        <v>676.15999999999497</v>
      </c>
      <c r="Q90" s="55"/>
      <c r="R90" s="55">
        <f>-2811.86</f>
        <v>-2811.86</v>
      </c>
      <c r="S90" s="55">
        <f t="shared" si="66"/>
        <v>52.179999999999382</v>
      </c>
      <c r="T90" s="48"/>
      <c r="U90" s="49">
        <f t="shared" si="67"/>
        <v>153.09000000000003</v>
      </c>
      <c r="V90" s="51">
        <v>274662.34000000003</v>
      </c>
      <c r="W90" s="51"/>
      <c r="X90" s="51"/>
      <c r="Y90" s="51">
        <f t="shared" si="68"/>
        <v>274815.43000000005</v>
      </c>
      <c r="Z90" s="52"/>
      <c r="AA90" s="53">
        <f t="shared" si="69"/>
        <v>460.67000000000053</v>
      </c>
      <c r="AB90" s="54"/>
      <c r="AC90" s="54"/>
      <c r="AD90" s="54"/>
      <c r="AE90" s="54">
        <f t="shared" si="70"/>
        <v>460.67000000000053</v>
      </c>
      <c r="AF90" s="53"/>
      <c r="AG90" s="53"/>
      <c r="AH90" s="54"/>
      <c r="AI90" s="54"/>
      <c r="AJ90" s="54"/>
      <c r="AK90" s="54"/>
      <c r="AL90" s="53"/>
      <c r="AM90" s="53"/>
      <c r="AN90" s="54"/>
      <c r="AO90" s="54"/>
      <c r="AP90" s="54"/>
      <c r="AQ90" s="54"/>
      <c r="AR90" s="53"/>
      <c r="AS90" s="50">
        <f t="shared" si="83"/>
        <v>-3507574.4300000006</v>
      </c>
      <c r="AT90" s="50">
        <f t="shared" si="84"/>
        <v>278563.36000000004</v>
      </c>
      <c r="AU90" s="50">
        <f t="shared" si="85"/>
        <v>0</v>
      </c>
      <c r="AV90" s="50">
        <f t="shared" si="86"/>
        <v>-2067423.4200000002</v>
      </c>
      <c r="AW90" s="50"/>
      <c r="AX90" s="50">
        <f t="shared" si="71"/>
        <v>-5296434.4900000021</v>
      </c>
      <c r="AY90" s="50">
        <f t="shared" si="88"/>
        <v>8300000</v>
      </c>
      <c r="AZ90" s="50">
        <f t="shared" si="89"/>
        <v>3003565.5099999979</v>
      </c>
    </row>
    <row r="91" spans="2:56" x14ac:dyDescent="0.3">
      <c r="B91" s="99">
        <f>B90+4</f>
        <v>44291</v>
      </c>
      <c r="C91" s="44">
        <f t="shared" si="72"/>
        <v>-3744995.4400000009</v>
      </c>
      <c r="D91" s="45">
        <v>1756.44</v>
      </c>
      <c r="E91" s="45">
        <v>600000</v>
      </c>
      <c r="F91" s="45">
        <v>-204136.46</v>
      </c>
      <c r="G91" s="45">
        <f t="shared" si="74"/>
        <v>-3347375.4600000009</v>
      </c>
      <c r="H91" s="44">
        <v>4300000</v>
      </c>
      <c r="I91" s="46">
        <f t="shared" si="63"/>
        <v>-1826767.33</v>
      </c>
      <c r="J91" s="47"/>
      <c r="K91" s="47"/>
      <c r="L91" s="47">
        <v>-590470.89</v>
      </c>
      <c r="M91" s="47">
        <f t="shared" si="64"/>
        <v>-2417238.2200000002</v>
      </c>
      <c r="N91" s="46">
        <v>4000000</v>
      </c>
      <c r="O91" s="48">
        <f t="shared" si="65"/>
        <v>52.179999999999382</v>
      </c>
      <c r="P91" s="55">
        <f>880.1+30</f>
        <v>910.1</v>
      </c>
      <c r="Q91" s="55">
        <v>42000</v>
      </c>
      <c r="R91" s="55">
        <v>-14782.33</v>
      </c>
      <c r="S91" s="55">
        <f t="shared" si="66"/>
        <v>28179.949999999997</v>
      </c>
      <c r="T91" s="48"/>
      <c r="U91" s="49">
        <f t="shared" si="67"/>
        <v>274815.43000000005</v>
      </c>
      <c r="V91" s="51">
        <v>367693.04</v>
      </c>
      <c r="W91" s="51">
        <f>-642000</f>
        <v>-642000</v>
      </c>
      <c r="X91" s="51">
        <v>-54.95</v>
      </c>
      <c r="Y91" s="51">
        <f t="shared" si="68"/>
        <v>453.51999999997207</v>
      </c>
      <c r="Z91" s="52"/>
      <c r="AA91" s="53">
        <f t="shared" si="69"/>
        <v>460.67000000000053</v>
      </c>
      <c r="AB91" s="54"/>
      <c r="AC91" s="54"/>
      <c r="AD91" s="54"/>
      <c r="AE91" s="54">
        <f t="shared" si="70"/>
        <v>460.67000000000053</v>
      </c>
      <c r="AF91" s="53"/>
      <c r="AG91" s="53"/>
      <c r="AH91" s="54"/>
      <c r="AI91" s="54"/>
      <c r="AJ91" s="54"/>
      <c r="AK91" s="54"/>
      <c r="AL91" s="53"/>
      <c r="AM91" s="53"/>
      <c r="AN91" s="54"/>
      <c r="AO91" s="54"/>
      <c r="AP91" s="54"/>
      <c r="AQ91" s="54"/>
      <c r="AR91" s="53"/>
      <c r="AS91" s="50">
        <f t="shared" si="83"/>
        <v>-5296434.4900000021</v>
      </c>
      <c r="AT91" s="50">
        <f t="shared" si="84"/>
        <v>370359.57999999996</v>
      </c>
      <c r="AU91" s="50">
        <f t="shared" si="85"/>
        <v>0</v>
      </c>
      <c r="AV91" s="50">
        <f t="shared" si="86"/>
        <v>-809444.62999999989</v>
      </c>
      <c r="AW91" s="50"/>
      <c r="AX91" s="50">
        <f t="shared" si="71"/>
        <v>-5735519.5400000019</v>
      </c>
      <c r="AY91" s="50">
        <f t="shared" si="88"/>
        <v>8300000</v>
      </c>
      <c r="AZ91" s="50">
        <f t="shared" si="89"/>
        <v>2564480.4599999981</v>
      </c>
      <c r="BA91" s="15">
        <f>AVERAGE(AV90:AV110)</f>
        <v>-327464.60952380957</v>
      </c>
    </row>
    <row r="92" spans="2:56" x14ac:dyDescent="0.3">
      <c r="B92" s="99">
        <f t="shared" si="55"/>
        <v>44292</v>
      </c>
      <c r="C92" s="44">
        <f t="shared" si="72"/>
        <v>-3347375.4600000009</v>
      </c>
      <c r="D92" s="45">
        <v>61152.66</v>
      </c>
      <c r="E92" s="45">
        <v>-270000</v>
      </c>
      <c r="F92" s="45">
        <v>-54194.569999999301</v>
      </c>
      <c r="G92" s="45">
        <f t="shared" si="74"/>
        <v>-3610417.37</v>
      </c>
      <c r="H92" s="44">
        <v>4300000</v>
      </c>
      <c r="I92" s="46">
        <f t="shared" si="63"/>
        <v>-2417238.2200000002</v>
      </c>
      <c r="J92" s="47"/>
      <c r="K92" s="47">
        <v>270000</v>
      </c>
      <c r="L92" s="47">
        <v>-277655.94</v>
      </c>
      <c r="M92" s="47">
        <f t="shared" si="64"/>
        <v>-2424894.16</v>
      </c>
      <c r="N92" s="46">
        <v>4000000</v>
      </c>
      <c r="O92" s="48">
        <f t="shared" si="65"/>
        <v>28179.949999999997</v>
      </c>
      <c r="P92" s="55"/>
      <c r="Q92" s="55"/>
      <c r="R92" s="55">
        <v>-14387.5</v>
      </c>
      <c r="S92" s="55">
        <f t="shared" si="66"/>
        <v>13792.449999999997</v>
      </c>
      <c r="T92" s="48"/>
      <c r="U92" s="49">
        <f t="shared" si="67"/>
        <v>453.51999999997207</v>
      </c>
      <c r="V92" s="51"/>
      <c r="W92" s="51"/>
      <c r="X92" s="51">
        <v>-1.2</v>
      </c>
      <c r="Y92" s="51">
        <f t="shared" si="68"/>
        <v>452.31999999997208</v>
      </c>
      <c r="Z92" s="52"/>
      <c r="AA92" s="53">
        <f t="shared" si="69"/>
        <v>460.67000000000053</v>
      </c>
      <c r="AB92" s="54"/>
      <c r="AC92" s="54"/>
      <c r="AD92" s="54"/>
      <c r="AE92" s="54">
        <f t="shared" si="70"/>
        <v>460.67000000000053</v>
      </c>
      <c r="AF92" s="53"/>
      <c r="AG92" s="53"/>
      <c r="AH92" s="54"/>
      <c r="AI92" s="54"/>
      <c r="AJ92" s="54"/>
      <c r="AK92" s="54"/>
      <c r="AL92" s="53"/>
      <c r="AM92" s="53"/>
      <c r="AN92" s="54"/>
      <c r="AO92" s="54"/>
      <c r="AP92" s="54"/>
      <c r="AQ92" s="54"/>
      <c r="AR92" s="53"/>
      <c r="AS92" s="50">
        <f t="shared" si="83"/>
        <v>-5735519.5400000019</v>
      </c>
      <c r="AT92" s="50">
        <f t="shared" si="84"/>
        <v>61152.66</v>
      </c>
      <c r="AU92" s="50">
        <f t="shared" si="85"/>
        <v>0</v>
      </c>
      <c r="AV92" s="50">
        <f t="shared" si="86"/>
        <v>-346239.20999999932</v>
      </c>
      <c r="AW92" s="50"/>
      <c r="AX92" s="50">
        <f t="shared" si="71"/>
        <v>-6020606.0899999999</v>
      </c>
      <c r="AY92" s="50">
        <f t="shared" si="88"/>
        <v>8300000</v>
      </c>
      <c r="AZ92" s="50">
        <f t="shared" si="89"/>
        <v>2279393.91</v>
      </c>
      <c r="BA92" s="15">
        <f>SUM(AV90:AV110)</f>
        <v>-6876756.8000000007</v>
      </c>
    </row>
    <row r="93" spans="2:56" x14ac:dyDescent="0.3">
      <c r="B93" s="99">
        <f t="shared" si="55"/>
        <v>44293</v>
      </c>
      <c r="C93" s="44">
        <f t="shared" si="72"/>
        <v>-3610417.37</v>
      </c>
      <c r="D93" s="45">
        <v>146585.64000000001</v>
      </c>
      <c r="E93" s="45">
        <v>20000</v>
      </c>
      <c r="F93" s="45">
        <v>-338639.94</v>
      </c>
      <c r="G93" s="45">
        <f t="shared" si="74"/>
        <v>-3782471.67</v>
      </c>
      <c r="H93" s="44">
        <v>4300000</v>
      </c>
      <c r="I93" s="46">
        <f t="shared" si="63"/>
        <v>-2424894.16</v>
      </c>
      <c r="J93" s="47">
        <v>36946.49</v>
      </c>
      <c r="K93" s="47">
        <v>-20000</v>
      </c>
      <c r="L93" s="47">
        <f>-15107.73-4380.28</f>
        <v>-19488.009999999998</v>
      </c>
      <c r="M93" s="47">
        <f t="shared" si="64"/>
        <v>-2427435.6799999997</v>
      </c>
      <c r="N93" s="46">
        <v>4000000</v>
      </c>
      <c r="O93" s="48">
        <f t="shared" si="65"/>
        <v>13792.449999999997</v>
      </c>
      <c r="P93" s="55"/>
      <c r="Q93" s="55"/>
      <c r="R93" s="55">
        <v>-551</v>
      </c>
      <c r="S93" s="55">
        <f t="shared" si="66"/>
        <v>13241.449999999997</v>
      </c>
      <c r="T93" s="48"/>
      <c r="U93" s="49">
        <f t="shared" si="67"/>
        <v>452.31999999997208</v>
      </c>
      <c r="V93" s="51"/>
      <c r="W93" s="51"/>
      <c r="X93" s="51"/>
      <c r="Y93" s="51">
        <f t="shared" si="68"/>
        <v>452.31999999997208</v>
      </c>
      <c r="Z93" s="52"/>
      <c r="AA93" s="53">
        <f t="shared" si="69"/>
        <v>460.67000000000053</v>
      </c>
      <c r="AB93" s="54"/>
      <c r="AC93" s="54"/>
      <c r="AD93" s="54"/>
      <c r="AE93" s="54">
        <f t="shared" si="70"/>
        <v>460.67000000000053</v>
      </c>
      <c r="AF93" s="53"/>
      <c r="AG93" s="53"/>
      <c r="AH93" s="54"/>
      <c r="AI93" s="54"/>
      <c r="AJ93" s="54"/>
      <c r="AK93" s="54"/>
      <c r="AL93" s="53"/>
      <c r="AM93" s="53"/>
      <c r="AN93" s="54"/>
      <c r="AO93" s="54"/>
      <c r="AP93" s="54"/>
      <c r="AQ93" s="54"/>
      <c r="AR93" s="53"/>
      <c r="AS93" s="50">
        <f t="shared" si="83"/>
        <v>-6020606.0899999999</v>
      </c>
      <c r="AT93" s="50">
        <f t="shared" si="84"/>
        <v>183532.13</v>
      </c>
      <c r="AU93" s="50">
        <f t="shared" si="85"/>
        <v>0</v>
      </c>
      <c r="AV93" s="50">
        <f t="shared" si="86"/>
        <v>-358678.95</v>
      </c>
      <c r="AW93" s="50"/>
      <c r="AX93" s="50">
        <f t="shared" si="71"/>
        <v>-6195752.9099999992</v>
      </c>
      <c r="AY93" s="50">
        <f t="shared" si="88"/>
        <v>8300000</v>
      </c>
      <c r="AZ93" s="50">
        <f t="shared" si="89"/>
        <v>2104247.0900000008</v>
      </c>
      <c r="BC93" s="62" t="s">
        <v>157</v>
      </c>
      <c r="BD93" s="62" t="s">
        <v>158</v>
      </c>
    </row>
    <row r="94" spans="2:56" x14ac:dyDescent="0.3">
      <c r="B94" s="99">
        <f t="shared" si="55"/>
        <v>44294</v>
      </c>
      <c r="C94" s="44">
        <f t="shared" si="72"/>
        <v>-3782471.67</v>
      </c>
      <c r="D94" s="45">
        <f>53971+55600.49</f>
        <v>109571.48999999999</v>
      </c>
      <c r="E94" s="45">
        <v>400000</v>
      </c>
      <c r="F94" s="45">
        <v>-3250.94</v>
      </c>
      <c r="G94" s="45">
        <f t="shared" si="74"/>
        <v>-3276151.1199999996</v>
      </c>
      <c r="H94" s="44">
        <v>4300000</v>
      </c>
      <c r="I94" s="46">
        <f t="shared" si="63"/>
        <v>-2427435.6799999997</v>
      </c>
      <c r="J94" s="47">
        <f>70894.33+57205.15+282920.21+18996.18+9403.59+19378.1+3918.16</f>
        <v>462715.72000000003</v>
      </c>
      <c r="K94" s="47">
        <v>-400000</v>
      </c>
      <c r="L94" s="47">
        <v>-77671.409999999902</v>
      </c>
      <c r="M94" s="47">
        <f t="shared" si="64"/>
        <v>-2442391.3699999996</v>
      </c>
      <c r="N94" s="46">
        <v>4000000</v>
      </c>
      <c r="O94" s="48">
        <f t="shared" si="65"/>
        <v>13241.449999999997</v>
      </c>
      <c r="P94" s="55"/>
      <c r="Q94" s="55"/>
      <c r="R94" s="55"/>
      <c r="S94" s="55">
        <f t="shared" si="66"/>
        <v>13241.449999999997</v>
      </c>
      <c r="T94" s="48"/>
      <c r="U94" s="49">
        <f t="shared" si="67"/>
        <v>452.31999999997208</v>
      </c>
      <c r="V94" s="51"/>
      <c r="W94" s="51"/>
      <c r="X94" s="51"/>
      <c r="Y94" s="51">
        <f t="shared" si="68"/>
        <v>452.31999999997208</v>
      </c>
      <c r="Z94" s="52"/>
      <c r="AA94" s="53">
        <f t="shared" si="69"/>
        <v>460.67000000000053</v>
      </c>
      <c r="AB94" s="54"/>
      <c r="AC94" s="54"/>
      <c r="AD94" s="54"/>
      <c r="AE94" s="54">
        <f t="shared" si="70"/>
        <v>460.67000000000053</v>
      </c>
      <c r="AF94" s="53"/>
      <c r="AG94" s="53"/>
      <c r="AH94" s="54"/>
      <c r="AI94" s="54"/>
      <c r="AJ94" s="54"/>
      <c r="AK94" s="54"/>
      <c r="AL94" s="53"/>
      <c r="AM94" s="53"/>
      <c r="AN94" s="54"/>
      <c r="AO94" s="54"/>
      <c r="AP94" s="54"/>
      <c r="AQ94" s="54"/>
      <c r="AR94" s="53"/>
      <c r="AS94" s="50">
        <f t="shared" si="83"/>
        <v>-6195752.9099999992</v>
      </c>
      <c r="AT94" s="50">
        <f t="shared" si="84"/>
        <v>572287.21</v>
      </c>
      <c r="AU94" s="50">
        <f t="shared" si="85"/>
        <v>0</v>
      </c>
      <c r="AV94" s="50">
        <f t="shared" si="86"/>
        <v>-80922.349999999904</v>
      </c>
      <c r="AW94" s="50"/>
      <c r="AX94" s="50">
        <f t="shared" si="71"/>
        <v>-5704388.0499999989</v>
      </c>
      <c r="AY94" s="50">
        <f t="shared" si="88"/>
        <v>8300000</v>
      </c>
      <c r="AZ94" s="50">
        <f t="shared" si="89"/>
        <v>2595611.9500000011</v>
      </c>
      <c r="BC94" s="60" t="s">
        <v>159</v>
      </c>
      <c r="BD94" s="60">
        <v>-6876756.7999999998</v>
      </c>
    </row>
    <row r="95" spans="2:56" x14ac:dyDescent="0.3">
      <c r="B95" s="99">
        <f t="shared" si="55"/>
        <v>44295</v>
      </c>
      <c r="C95" s="44">
        <f t="shared" si="72"/>
        <v>-3276151.1199999996</v>
      </c>
      <c r="D95" s="45">
        <v>4478.2700000000004</v>
      </c>
      <c r="E95" s="45"/>
      <c r="F95" s="45">
        <v>-159150.32999999999</v>
      </c>
      <c r="G95" s="45">
        <f t="shared" si="74"/>
        <v>-3430823.1799999997</v>
      </c>
      <c r="H95" s="44">
        <v>4300000</v>
      </c>
      <c r="I95" s="46">
        <f t="shared" si="63"/>
        <v>-2442391.3699999996</v>
      </c>
      <c r="J95" s="47">
        <v>32037.25</v>
      </c>
      <c r="K95" s="47"/>
      <c r="L95" s="47">
        <v>-11611.62</v>
      </c>
      <c r="M95" s="47">
        <f t="shared" si="64"/>
        <v>-2421965.7399999998</v>
      </c>
      <c r="N95" s="46">
        <v>4000000</v>
      </c>
      <c r="O95" s="48">
        <f t="shared" si="65"/>
        <v>13241.449999999997</v>
      </c>
      <c r="P95" s="55">
        <v>651.84000000000401</v>
      </c>
      <c r="Q95" s="55"/>
      <c r="R95" s="55"/>
      <c r="S95" s="55">
        <f t="shared" si="66"/>
        <v>13893.29</v>
      </c>
      <c r="T95" s="48"/>
      <c r="U95" s="49">
        <f t="shared" si="67"/>
        <v>452.31999999997208</v>
      </c>
      <c r="V95" s="51"/>
      <c r="W95" s="51"/>
      <c r="X95" s="51"/>
      <c r="Y95" s="51">
        <f t="shared" si="68"/>
        <v>452.31999999997208</v>
      </c>
      <c r="Z95" s="52"/>
      <c r="AA95" s="53">
        <f t="shared" si="69"/>
        <v>460.67000000000053</v>
      </c>
      <c r="AB95" s="54"/>
      <c r="AC95" s="54"/>
      <c r="AD95" s="54"/>
      <c r="AE95" s="54">
        <f t="shared" si="70"/>
        <v>460.67000000000053</v>
      </c>
      <c r="AF95" s="53"/>
      <c r="AG95" s="53"/>
      <c r="AH95" s="54"/>
      <c r="AI95" s="54"/>
      <c r="AJ95" s="54"/>
      <c r="AK95" s="54"/>
      <c r="AL95" s="53"/>
      <c r="AM95" s="53"/>
      <c r="AN95" s="54"/>
      <c r="AO95" s="54"/>
      <c r="AP95" s="54"/>
      <c r="AQ95" s="54"/>
      <c r="AR95" s="53"/>
      <c r="AS95" s="50">
        <f t="shared" si="83"/>
        <v>-5704388.0499999989</v>
      </c>
      <c r="AT95" s="50">
        <f t="shared" si="84"/>
        <v>37167.360000000008</v>
      </c>
      <c r="AU95" s="50">
        <f t="shared" si="85"/>
        <v>0</v>
      </c>
      <c r="AV95" s="50">
        <f t="shared" si="86"/>
        <v>-170761.94999999998</v>
      </c>
      <c r="AW95" s="50"/>
      <c r="AX95" s="50">
        <f t="shared" si="71"/>
        <v>-5837982.6399999997</v>
      </c>
      <c r="AY95" s="50">
        <f t="shared" si="88"/>
        <v>8300000</v>
      </c>
      <c r="AZ95" s="50">
        <f t="shared" si="89"/>
        <v>2462017.3600000003</v>
      </c>
      <c r="BC95" s="60" t="s">
        <v>160</v>
      </c>
      <c r="BD95" s="60">
        <v>-7595608.4199999981</v>
      </c>
    </row>
    <row r="96" spans="2:56" x14ac:dyDescent="0.3">
      <c r="B96" s="99">
        <f>B95+3</f>
        <v>44298</v>
      </c>
      <c r="C96" s="44">
        <f t="shared" si="72"/>
        <v>-3430823.1799999997</v>
      </c>
      <c r="D96" s="45">
        <v>1133454.1100000001</v>
      </c>
      <c r="E96" s="45"/>
      <c r="F96" s="45">
        <v>-201731.12</v>
      </c>
      <c r="G96" s="45">
        <f t="shared" si="74"/>
        <v>-2499100.1899999995</v>
      </c>
      <c r="H96" s="44">
        <v>4300000</v>
      </c>
      <c r="I96" s="46">
        <f t="shared" si="63"/>
        <v>-2421965.7399999998</v>
      </c>
      <c r="J96" s="47">
        <v>20023.84</v>
      </c>
      <c r="K96" s="47"/>
      <c r="L96" s="47">
        <v>-51693</v>
      </c>
      <c r="M96" s="47">
        <f t="shared" si="64"/>
        <v>-2453634.9</v>
      </c>
      <c r="N96" s="46">
        <v>4000000</v>
      </c>
      <c r="O96" s="48">
        <f t="shared" si="65"/>
        <v>13893.29</v>
      </c>
      <c r="P96" s="55">
        <v>50.96</v>
      </c>
      <c r="Q96" s="55">
        <v>14000</v>
      </c>
      <c r="R96" s="55">
        <v>-6821.6</v>
      </c>
      <c r="S96" s="55">
        <f t="shared" si="66"/>
        <v>21122.65</v>
      </c>
      <c r="T96" s="48"/>
      <c r="U96" s="49">
        <f t="shared" si="67"/>
        <v>452.31999999997208</v>
      </c>
      <c r="V96" s="51">
        <v>13874.79</v>
      </c>
      <c r="W96" s="51">
        <v>-14000</v>
      </c>
      <c r="X96" s="51"/>
      <c r="Y96" s="51">
        <f t="shared" si="68"/>
        <v>327.1099999999733</v>
      </c>
      <c r="Z96" s="52"/>
      <c r="AA96" s="53">
        <f t="shared" si="69"/>
        <v>460.67000000000053</v>
      </c>
      <c r="AB96" s="54"/>
      <c r="AC96" s="54"/>
      <c r="AD96" s="54">
        <v>-295</v>
      </c>
      <c r="AE96" s="54">
        <f t="shared" si="70"/>
        <v>165.67000000000053</v>
      </c>
      <c r="AF96" s="53"/>
      <c r="AG96" s="53"/>
      <c r="AH96" s="54"/>
      <c r="AI96" s="54"/>
      <c r="AJ96" s="54"/>
      <c r="AK96" s="54"/>
      <c r="AL96" s="53"/>
      <c r="AM96" s="53"/>
      <c r="AN96" s="54"/>
      <c r="AO96" s="54"/>
      <c r="AP96" s="54"/>
      <c r="AQ96" s="54"/>
      <c r="AR96" s="53"/>
      <c r="AS96" s="50">
        <f t="shared" si="83"/>
        <v>-5837982.6399999997</v>
      </c>
      <c r="AT96" s="50">
        <f t="shared" si="84"/>
        <v>1167403.7000000002</v>
      </c>
      <c r="AU96" s="50">
        <f t="shared" si="85"/>
        <v>0</v>
      </c>
      <c r="AV96" s="50">
        <f t="shared" si="86"/>
        <v>-260540.72</v>
      </c>
      <c r="AW96" s="50"/>
      <c r="AX96" s="50">
        <f t="shared" si="71"/>
        <v>-4931119.6599999992</v>
      </c>
      <c r="AY96" s="50">
        <f t="shared" si="88"/>
        <v>8300000</v>
      </c>
      <c r="AZ96" s="50">
        <f t="shared" si="89"/>
        <v>3368880.3400000008</v>
      </c>
      <c r="BC96" s="60" t="s">
        <v>161</v>
      </c>
      <c r="BD96" s="60">
        <v>-6486036.7399999993</v>
      </c>
    </row>
    <row r="97" spans="2:56" x14ac:dyDescent="0.3">
      <c r="B97" s="99">
        <f t="shared" si="55"/>
        <v>44299</v>
      </c>
      <c r="C97" s="44">
        <f t="shared" si="72"/>
        <v>-2499100.1899999995</v>
      </c>
      <c r="D97" s="45"/>
      <c r="E97" s="45">
        <v>-50000</v>
      </c>
      <c r="F97" s="45">
        <v>-9724.14</v>
      </c>
      <c r="G97" s="45">
        <f t="shared" si="74"/>
        <v>-2558824.3299999996</v>
      </c>
      <c r="H97" s="44">
        <v>4300000</v>
      </c>
      <c r="I97" s="46">
        <f t="shared" si="63"/>
        <v>-2453634.9</v>
      </c>
      <c r="J97" s="47"/>
      <c r="K97" s="47">
        <v>50000</v>
      </c>
      <c r="L97" s="47">
        <v>-58029.760000000002</v>
      </c>
      <c r="M97" s="47">
        <f t="shared" si="64"/>
        <v>-2461664.6599999997</v>
      </c>
      <c r="N97" s="46">
        <v>4000000</v>
      </c>
      <c r="O97" s="48">
        <f t="shared" si="65"/>
        <v>21122.65</v>
      </c>
      <c r="P97" s="55"/>
      <c r="Q97" s="55"/>
      <c r="R97" s="55">
        <v>-2419.58</v>
      </c>
      <c r="S97" s="55">
        <f t="shared" si="66"/>
        <v>18703.07</v>
      </c>
      <c r="T97" s="48"/>
      <c r="U97" s="49">
        <f t="shared" si="67"/>
        <v>327.1099999999733</v>
      </c>
      <c r="V97" s="51"/>
      <c r="W97" s="51"/>
      <c r="X97" s="51">
        <v>-1.2</v>
      </c>
      <c r="Y97" s="51">
        <f t="shared" si="68"/>
        <v>325.90999999997331</v>
      </c>
      <c r="Z97" s="52"/>
      <c r="AA97" s="53">
        <f t="shared" si="69"/>
        <v>165.67000000000053</v>
      </c>
      <c r="AB97" s="54"/>
      <c r="AC97" s="54"/>
      <c r="AD97" s="54"/>
      <c r="AE97" s="54">
        <f t="shared" si="70"/>
        <v>165.67000000000053</v>
      </c>
      <c r="AF97" s="53"/>
      <c r="AG97" s="53"/>
      <c r="AH97" s="54"/>
      <c r="AI97" s="54"/>
      <c r="AJ97" s="54"/>
      <c r="AK97" s="54"/>
      <c r="AL97" s="53"/>
      <c r="AM97" s="53"/>
      <c r="AN97" s="54"/>
      <c r="AO97" s="54"/>
      <c r="AP97" s="54"/>
      <c r="AQ97" s="54"/>
      <c r="AR97" s="53"/>
      <c r="AS97" s="50">
        <f t="shared" si="83"/>
        <v>-4931119.6599999992</v>
      </c>
      <c r="AT97" s="50">
        <f t="shared" si="84"/>
        <v>0</v>
      </c>
      <c r="AU97" s="50">
        <f t="shared" si="85"/>
        <v>0</v>
      </c>
      <c r="AV97" s="50">
        <f t="shared" si="86"/>
        <v>-70174.679999999993</v>
      </c>
      <c r="AW97" s="50"/>
      <c r="AX97" s="50">
        <f t="shared" si="71"/>
        <v>-5001294.3399999989</v>
      </c>
      <c r="AY97" s="50">
        <f t="shared" si="88"/>
        <v>8300000</v>
      </c>
      <c r="AZ97" s="50">
        <f t="shared" si="89"/>
        <v>3298705.6600000011</v>
      </c>
      <c r="BC97" s="61" t="s">
        <v>162</v>
      </c>
      <c r="BD97" s="61">
        <f>BD96+BD95+BD94</f>
        <v>-20958401.959999997</v>
      </c>
    </row>
    <row r="98" spans="2:56" x14ac:dyDescent="0.3">
      <c r="B98" s="99">
        <f t="shared" si="55"/>
        <v>44300</v>
      </c>
      <c r="C98" s="44">
        <f t="shared" si="72"/>
        <v>-2558824.3299999996</v>
      </c>
      <c r="D98" s="45">
        <v>15586.61</v>
      </c>
      <c r="E98" s="45"/>
      <c r="F98" s="45">
        <f>-15673+68.5</f>
        <v>-15604.5</v>
      </c>
      <c r="G98" s="45">
        <f t="shared" si="74"/>
        <v>-2558842.2199999997</v>
      </c>
      <c r="H98" s="44">
        <v>4300000</v>
      </c>
      <c r="I98" s="46">
        <f t="shared" si="63"/>
        <v>-2461664.6599999997</v>
      </c>
      <c r="J98" s="47"/>
      <c r="K98" s="47"/>
      <c r="L98" s="47">
        <v>-12296.460000000099</v>
      </c>
      <c r="M98" s="47">
        <f t="shared" si="64"/>
        <v>-2473961.1199999996</v>
      </c>
      <c r="N98" s="46">
        <v>4000000</v>
      </c>
      <c r="O98" s="48">
        <f t="shared" si="65"/>
        <v>18703.07</v>
      </c>
      <c r="P98" s="55"/>
      <c r="Q98" s="55"/>
      <c r="R98" s="55"/>
      <c r="S98" s="55">
        <f t="shared" si="66"/>
        <v>18703.07</v>
      </c>
      <c r="T98" s="48"/>
      <c r="U98" s="49">
        <f t="shared" si="67"/>
        <v>325.90999999997331</v>
      </c>
      <c r="V98" s="51"/>
      <c r="W98" s="51"/>
      <c r="X98" s="51"/>
      <c r="Y98" s="51">
        <f t="shared" si="68"/>
        <v>325.90999999997331</v>
      </c>
      <c r="Z98" s="52"/>
      <c r="AA98" s="53">
        <f t="shared" si="69"/>
        <v>165.67000000000053</v>
      </c>
      <c r="AB98" s="54"/>
      <c r="AC98" s="54"/>
      <c r="AD98" s="54"/>
      <c r="AE98" s="54">
        <f t="shared" si="70"/>
        <v>165.67000000000053</v>
      </c>
      <c r="AF98" s="53"/>
      <c r="AG98" s="53"/>
      <c r="AH98" s="54"/>
      <c r="AI98" s="54"/>
      <c r="AJ98" s="54"/>
      <c r="AK98" s="54"/>
      <c r="AL98" s="53"/>
      <c r="AM98" s="53"/>
      <c r="AN98" s="54"/>
      <c r="AO98" s="54"/>
      <c r="AP98" s="54"/>
      <c r="AQ98" s="54"/>
      <c r="AR98" s="53"/>
      <c r="AS98" s="50">
        <f t="shared" si="83"/>
        <v>-5001294.3399999989</v>
      </c>
      <c r="AT98" s="50">
        <f t="shared" si="84"/>
        <v>15586.61</v>
      </c>
      <c r="AU98" s="50">
        <f t="shared" si="85"/>
        <v>0</v>
      </c>
      <c r="AV98" s="50">
        <f t="shared" si="86"/>
        <v>-27900.960000000101</v>
      </c>
      <c r="AW98" s="50"/>
      <c r="AX98" s="50">
        <f t="shared" si="71"/>
        <v>-5013608.6899999995</v>
      </c>
      <c r="AY98" s="50">
        <f t="shared" si="88"/>
        <v>8300000</v>
      </c>
      <c r="AZ98" s="50">
        <f t="shared" si="89"/>
        <v>3286391.3100000005</v>
      </c>
      <c r="BC98" s="60" t="s">
        <v>163</v>
      </c>
      <c r="BD98" s="60">
        <f>BD97/3</f>
        <v>-6986133.9866666654</v>
      </c>
    </row>
    <row r="99" spans="2:56" x14ac:dyDescent="0.3">
      <c r="B99" s="99">
        <f t="shared" si="55"/>
        <v>44301</v>
      </c>
      <c r="C99" s="44">
        <f t="shared" si="72"/>
        <v>-2558842.2199999997</v>
      </c>
      <c r="D99" s="45"/>
      <c r="E99" s="45">
        <v>-370000</v>
      </c>
      <c r="F99" s="45">
        <v>-24740.190000000399</v>
      </c>
      <c r="G99" s="45">
        <f t="shared" si="74"/>
        <v>-2953582.41</v>
      </c>
      <c r="H99" s="44">
        <v>4300000</v>
      </c>
      <c r="I99" s="46">
        <f t="shared" si="63"/>
        <v>-2473961.1199999996</v>
      </c>
      <c r="J99" s="47"/>
      <c r="K99" s="47">
        <v>370000</v>
      </c>
      <c r="L99" s="47">
        <v>-367155.42</v>
      </c>
      <c r="M99" s="47">
        <f t="shared" si="64"/>
        <v>-2471116.5399999996</v>
      </c>
      <c r="N99" s="46">
        <v>4000000</v>
      </c>
      <c r="O99" s="48">
        <f t="shared" si="65"/>
        <v>18703.07</v>
      </c>
      <c r="P99" s="55"/>
      <c r="Q99" s="55"/>
      <c r="R99" s="55">
        <v>-5853.61</v>
      </c>
      <c r="S99" s="55">
        <f t="shared" si="66"/>
        <v>12849.46</v>
      </c>
      <c r="T99" s="48"/>
      <c r="U99" s="49">
        <f t="shared" si="67"/>
        <v>325.90999999997331</v>
      </c>
      <c r="V99" s="51">
        <v>82009.88</v>
      </c>
      <c r="W99" s="51"/>
      <c r="X99" s="51"/>
      <c r="Y99" s="51">
        <f t="shared" si="68"/>
        <v>82335.789999999979</v>
      </c>
      <c r="Z99" s="52"/>
      <c r="AA99" s="53">
        <f t="shared" si="69"/>
        <v>165.67000000000053</v>
      </c>
      <c r="AB99" s="54"/>
      <c r="AC99" s="54"/>
      <c r="AD99" s="54"/>
      <c r="AE99" s="54">
        <f t="shared" si="70"/>
        <v>165.67000000000053</v>
      </c>
      <c r="AF99" s="53"/>
      <c r="AG99" s="53"/>
      <c r="AH99" s="54"/>
      <c r="AI99" s="54"/>
      <c r="AJ99" s="54"/>
      <c r="AK99" s="54"/>
      <c r="AL99" s="53"/>
      <c r="AM99" s="53"/>
      <c r="AN99" s="54"/>
      <c r="AO99" s="54"/>
      <c r="AP99" s="54"/>
      <c r="AQ99" s="54"/>
      <c r="AR99" s="53"/>
      <c r="AS99" s="50">
        <f t="shared" si="83"/>
        <v>-5013608.6899999995</v>
      </c>
      <c r="AT99" s="50">
        <f t="shared" si="84"/>
        <v>82009.88</v>
      </c>
      <c r="AU99" s="50">
        <f t="shared" si="85"/>
        <v>0</v>
      </c>
      <c r="AV99" s="50">
        <f t="shared" si="86"/>
        <v>-397749.22000000038</v>
      </c>
      <c r="AW99" s="50"/>
      <c r="AX99" s="50">
        <f t="shared" si="71"/>
        <v>-5329348.0299999993</v>
      </c>
      <c r="AY99" s="50">
        <f t="shared" si="88"/>
        <v>8300000</v>
      </c>
      <c r="AZ99" s="50">
        <f t="shared" si="89"/>
        <v>2970651.9700000007</v>
      </c>
    </row>
    <row r="100" spans="2:56" x14ac:dyDescent="0.3">
      <c r="B100" s="99">
        <f t="shared" si="55"/>
        <v>44302</v>
      </c>
      <c r="C100" s="44">
        <f t="shared" si="72"/>
        <v>-2953582.41</v>
      </c>
      <c r="D100" s="45">
        <v>101011.55</v>
      </c>
      <c r="E100" s="45"/>
      <c r="F100" s="45">
        <v>-14136.42</v>
      </c>
      <c r="G100" s="45">
        <f t="shared" si="74"/>
        <v>-2866707.2800000003</v>
      </c>
      <c r="H100" s="44">
        <v>4300000</v>
      </c>
      <c r="I100" s="46">
        <f t="shared" si="63"/>
        <v>-2471116.5399999996</v>
      </c>
      <c r="J100" s="47"/>
      <c r="K100" s="47"/>
      <c r="L100" s="47">
        <v>-116</v>
      </c>
      <c r="M100" s="47">
        <f t="shared" si="64"/>
        <v>-2471232.5399999996</v>
      </c>
      <c r="N100" s="46">
        <v>4000000</v>
      </c>
      <c r="O100" s="48">
        <f t="shared" si="65"/>
        <v>12849.46</v>
      </c>
      <c r="P100" s="55">
        <v>7241.0900000000101</v>
      </c>
      <c r="Q100" s="55">
        <v>82000</v>
      </c>
      <c r="R100" s="55"/>
      <c r="S100" s="55">
        <f t="shared" si="66"/>
        <v>102090.55000000002</v>
      </c>
      <c r="T100" s="48"/>
      <c r="U100" s="49">
        <f t="shared" si="67"/>
        <v>82335.789999999979</v>
      </c>
      <c r="V100" s="51"/>
      <c r="W100" s="51">
        <v>-82000</v>
      </c>
      <c r="X100" s="51">
        <v>-1.2</v>
      </c>
      <c r="Y100" s="51">
        <f t="shared" si="68"/>
        <v>334.58999999997906</v>
      </c>
      <c r="Z100" s="52"/>
      <c r="AA100" s="53">
        <f t="shared" si="69"/>
        <v>165.67000000000053</v>
      </c>
      <c r="AB100" s="54"/>
      <c r="AC100" s="54"/>
      <c r="AD100" s="54"/>
      <c r="AE100" s="54">
        <f t="shared" si="70"/>
        <v>165.67000000000053</v>
      </c>
      <c r="AF100" s="53"/>
      <c r="AG100" s="53"/>
      <c r="AH100" s="54"/>
      <c r="AI100" s="54"/>
      <c r="AJ100" s="54"/>
      <c r="AK100" s="54"/>
      <c r="AL100" s="53"/>
      <c r="AM100" s="53"/>
      <c r="AN100" s="54"/>
      <c r="AO100" s="54"/>
      <c r="AP100" s="54"/>
      <c r="AQ100" s="54"/>
      <c r="AR100" s="53"/>
      <c r="AS100" s="50">
        <f t="shared" si="83"/>
        <v>-5329348.0299999993</v>
      </c>
      <c r="AT100" s="50">
        <f t="shared" si="84"/>
        <v>108252.64000000001</v>
      </c>
      <c r="AU100" s="50">
        <f t="shared" si="85"/>
        <v>0</v>
      </c>
      <c r="AV100" s="50">
        <f t="shared" si="86"/>
        <v>-14253.62</v>
      </c>
      <c r="AW100" s="50"/>
      <c r="AX100" s="50">
        <f t="shared" si="71"/>
        <v>-5235349.0100000007</v>
      </c>
      <c r="AY100" s="50">
        <f t="shared" si="88"/>
        <v>8300000</v>
      </c>
      <c r="AZ100" s="50">
        <f t="shared" si="89"/>
        <v>3064650.9899999993</v>
      </c>
      <c r="BC100" s="15">
        <f>BA92+BA133+BA110</f>
        <v>-20958401.959999997</v>
      </c>
    </row>
    <row r="101" spans="2:56" x14ac:dyDescent="0.3">
      <c r="B101" s="99">
        <f>B100+3</f>
        <v>44305</v>
      </c>
      <c r="C101" s="44">
        <f t="shared" si="72"/>
        <v>-2866707.2800000003</v>
      </c>
      <c r="D101" s="45">
        <v>190019.52</v>
      </c>
      <c r="E101" s="45">
        <v>350000</v>
      </c>
      <c r="F101" s="45">
        <v>-56949.72</v>
      </c>
      <c r="G101" s="45">
        <f t="shared" si="74"/>
        <v>-2383637.4800000004</v>
      </c>
      <c r="H101" s="44">
        <v>4300000</v>
      </c>
      <c r="I101" s="46">
        <f t="shared" si="63"/>
        <v>-2471232.5399999996</v>
      </c>
      <c r="J101" s="47">
        <f>209486.83+100049.53</f>
        <v>309536.36</v>
      </c>
      <c r="K101" s="47">
        <v>-200000</v>
      </c>
      <c r="L101" s="47">
        <v>-60910.200000000397</v>
      </c>
      <c r="M101" s="47">
        <f t="shared" si="64"/>
        <v>-2422606.38</v>
      </c>
      <c r="N101" s="46">
        <v>4000000</v>
      </c>
      <c r="O101" s="48">
        <f t="shared" si="65"/>
        <v>102090.55000000002</v>
      </c>
      <c r="P101" s="55">
        <v>57987.67</v>
      </c>
      <c r="Q101" s="55">
        <v>-150000</v>
      </c>
      <c r="R101" s="55">
        <v>-377</v>
      </c>
      <c r="S101" s="55">
        <f t="shared" si="66"/>
        <v>9701.2200000000303</v>
      </c>
      <c r="T101" s="48"/>
      <c r="U101" s="49">
        <f t="shared" si="67"/>
        <v>334.58999999997906</v>
      </c>
      <c r="V101" s="51"/>
      <c r="W101" s="51"/>
      <c r="X101" s="51"/>
      <c r="Y101" s="51">
        <f t="shared" si="68"/>
        <v>334.58999999997906</v>
      </c>
      <c r="Z101" s="52"/>
      <c r="AA101" s="53">
        <f t="shared" si="69"/>
        <v>165.67000000000053</v>
      </c>
      <c r="AB101" s="54"/>
      <c r="AC101" s="54"/>
      <c r="AD101" s="54"/>
      <c r="AE101" s="54">
        <f t="shared" si="70"/>
        <v>165.67000000000053</v>
      </c>
      <c r="AF101" s="53"/>
      <c r="AG101" s="53"/>
      <c r="AH101" s="54"/>
      <c r="AI101" s="54"/>
      <c r="AJ101" s="54"/>
      <c r="AK101" s="54"/>
      <c r="AL101" s="53"/>
      <c r="AM101" s="53"/>
      <c r="AN101" s="54"/>
      <c r="AO101" s="54"/>
      <c r="AP101" s="54"/>
      <c r="AQ101" s="54"/>
      <c r="AR101" s="53"/>
      <c r="AS101" s="50">
        <f t="shared" si="83"/>
        <v>-5235349.0100000007</v>
      </c>
      <c r="AT101" s="50">
        <f t="shared" si="84"/>
        <v>557543.55000000005</v>
      </c>
      <c r="AU101" s="50">
        <f t="shared" si="85"/>
        <v>0</v>
      </c>
      <c r="AV101" s="50">
        <f t="shared" si="86"/>
        <v>-118236.92000000039</v>
      </c>
      <c r="AW101" s="50"/>
      <c r="AX101" s="50">
        <f t="shared" si="71"/>
        <v>-4796042.3800000008</v>
      </c>
      <c r="AY101" s="50">
        <f t="shared" si="88"/>
        <v>8300000</v>
      </c>
      <c r="AZ101" s="50">
        <f t="shared" si="89"/>
        <v>3503957.6199999992</v>
      </c>
      <c r="BC101" s="15">
        <f>BC100/3</f>
        <v>-6986133.9866666654</v>
      </c>
    </row>
    <row r="102" spans="2:56" x14ac:dyDescent="0.3">
      <c r="B102" s="99">
        <f t="shared" si="55"/>
        <v>44306</v>
      </c>
      <c r="C102" s="44">
        <f t="shared" si="72"/>
        <v>-2383637.4800000004</v>
      </c>
      <c r="D102" s="45">
        <v>30210</v>
      </c>
      <c r="E102" s="45"/>
      <c r="F102" s="45">
        <v>-34438.28</v>
      </c>
      <c r="G102" s="45">
        <f t="shared" si="74"/>
        <v>-2387865.7600000002</v>
      </c>
      <c r="H102" s="44">
        <v>4300000</v>
      </c>
      <c r="I102" s="46">
        <f t="shared" si="63"/>
        <v>-2422606.38</v>
      </c>
      <c r="J102" s="47">
        <v>963502.82</v>
      </c>
      <c r="K102" s="47"/>
      <c r="L102" s="47">
        <v>-958353.1</v>
      </c>
      <c r="M102" s="47">
        <f t="shared" si="64"/>
        <v>-2417456.66</v>
      </c>
      <c r="N102" s="46">
        <v>4000000</v>
      </c>
      <c r="O102" s="48">
        <f t="shared" si="65"/>
        <v>9701.2200000000303</v>
      </c>
      <c r="P102" s="55"/>
      <c r="Q102" s="55"/>
      <c r="R102" s="55"/>
      <c r="S102" s="55">
        <f t="shared" si="66"/>
        <v>9701.2200000000303</v>
      </c>
      <c r="T102" s="48"/>
      <c r="U102" s="49">
        <f t="shared" si="67"/>
        <v>334.58999999997906</v>
      </c>
      <c r="V102" s="51"/>
      <c r="W102" s="51"/>
      <c r="X102" s="51"/>
      <c r="Y102" s="51">
        <f t="shared" si="68"/>
        <v>334.58999999997906</v>
      </c>
      <c r="Z102" s="52"/>
      <c r="AA102" s="53">
        <f t="shared" si="69"/>
        <v>165.67000000000053</v>
      </c>
      <c r="AB102" s="54"/>
      <c r="AC102" s="54"/>
      <c r="AD102" s="54"/>
      <c r="AE102" s="54">
        <f t="shared" si="70"/>
        <v>165.67000000000053</v>
      </c>
      <c r="AF102" s="53"/>
      <c r="AG102" s="53"/>
      <c r="AH102" s="54"/>
      <c r="AI102" s="54"/>
      <c r="AJ102" s="54"/>
      <c r="AK102" s="54"/>
      <c r="AL102" s="53"/>
      <c r="AM102" s="53"/>
      <c r="AN102" s="54"/>
      <c r="AO102" s="54"/>
      <c r="AP102" s="54"/>
      <c r="AQ102" s="54"/>
      <c r="AR102" s="53"/>
      <c r="AS102" s="50">
        <f t="shared" si="83"/>
        <v>-4796042.3800000008</v>
      </c>
      <c r="AT102" s="50">
        <f t="shared" si="84"/>
        <v>993712.82</v>
      </c>
      <c r="AU102" s="50">
        <f t="shared" si="85"/>
        <v>0</v>
      </c>
      <c r="AV102" s="50">
        <f t="shared" si="86"/>
        <v>-992791.38</v>
      </c>
      <c r="AW102" s="50"/>
      <c r="AX102" s="50">
        <f t="shared" si="71"/>
        <v>-4795120.9400000004</v>
      </c>
      <c r="AY102" s="50">
        <f t="shared" si="88"/>
        <v>8300000</v>
      </c>
      <c r="AZ102" s="50">
        <f t="shared" si="89"/>
        <v>3504879.0599999996</v>
      </c>
    </row>
    <row r="103" spans="2:56" x14ac:dyDescent="0.3">
      <c r="B103" s="99">
        <f t="shared" si="55"/>
        <v>44307</v>
      </c>
      <c r="C103" s="44">
        <f t="shared" si="72"/>
        <v>-2387865.7600000002</v>
      </c>
      <c r="D103" s="45"/>
      <c r="E103" s="45"/>
      <c r="F103" s="45"/>
      <c r="G103" s="45">
        <f t="shared" si="74"/>
        <v>-2387865.7600000002</v>
      </c>
      <c r="H103" s="44">
        <v>4300000</v>
      </c>
      <c r="I103" s="46">
        <f t="shared" si="63"/>
        <v>-2417456.66</v>
      </c>
      <c r="J103" s="47"/>
      <c r="K103" s="47"/>
      <c r="L103" s="47"/>
      <c r="M103" s="47">
        <f t="shared" si="64"/>
        <v>-2417456.66</v>
      </c>
      <c r="N103" s="46">
        <v>4000000</v>
      </c>
      <c r="O103" s="48">
        <f t="shared" si="65"/>
        <v>9701.2200000000303</v>
      </c>
      <c r="P103" s="55"/>
      <c r="Q103" s="55"/>
      <c r="R103" s="55"/>
      <c r="S103" s="55">
        <f t="shared" si="66"/>
        <v>9701.2200000000303</v>
      </c>
      <c r="T103" s="48"/>
      <c r="U103" s="49">
        <f t="shared" si="67"/>
        <v>334.58999999997906</v>
      </c>
      <c r="V103" s="51"/>
      <c r="W103" s="51"/>
      <c r="X103" s="51"/>
      <c r="Y103" s="51">
        <f t="shared" si="68"/>
        <v>334.58999999997906</v>
      </c>
      <c r="Z103" s="52"/>
      <c r="AA103" s="53">
        <f t="shared" si="69"/>
        <v>165.67000000000053</v>
      </c>
      <c r="AB103" s="54"/>
      <c r="AC103" s="54"/>
      <c r="AD103" s="54"/>
      <c r="AE103" s="54">
        <f t="shared" si="70"/>
        <v>165.67000000000053</v>
      </c>
      <c r="AF103" s="53"/>
      <c r="AG103" s="53"/>
      <c r="AH103" s="54"/>
      <c r="AI103" s="54"/>
      <c r="AJ103" s="54"/>
      <c r="AK103" s="54"/>
      <c r="AL103" s="53"/>
      <c r="AM103" s="53"/>
      <c r="AN103" s="54"/>
      <c r="AO103" s="54"/>
      <c r="AP103" s="54"/>
      <c r="AQ103" s="54"/>
      <c r="AR103" s="53"/>
      <c r="AS103" s="50">
        <f t="shared" si="83"/>
        <v>-4795120.9400000004</v>
      </c>
      <c r="AT103" s="50">
        <f t="shared" si="84"/>
        <v>0</v>
      </c>
      <c r="AU103" s="50">
        <f t="shared" si="85"/>
        <v>0</v>
      </c>
      <c r="AV103" s="50">
        <f t="shared" si="86"/>
        <v>0</v>
      </c>
      <c r="AW103" s="50"/>
      <c r="AX103" s="50">
        <f t="shared" si="71"/>
        <v>-4795120.9400000004</v>
      </c>
      <c r="AY103" s="50">
        <f t="shared" si="88"/>
        <v>8300000</v>
      </c>
      <c r="AZ103" s="50">
        <f t="shared" si="89"/>
        <v>3504879.0599999996</v>
      </c>
    </row>
    <row r="104" spans="2:56" x14ac:dyDescent="0.3">
      <c r="B104" s="99">
        <f>B103+1</f>
        <v>44308</v>
      </c>
      <c r="C104" s="44">
        <f>G103</f>
        <v>-2387865.7600000002</v>
      </c>
      <c r="D104" s="45">
        <v>187081.60000000001</v>
      </c>
      <c r="E104" s="45"/>
      <c r="F104" s="45">
        <v>-39069.68</v>
      </c>
      <c r="G104" s="45">
        <f t="shared" si="74"/>
        <v>-2239853.8400000003</v>
      </c>
      <c r="H104" s="44">
        <v>4300000</v>
      </c>
      <c r="I104" s="46">
        <f>M103</f>
        <v>-2417456.66</v>
      </c>
      <c r="J104" s="47"/>
      <c r="K104" s="47"/>
      <c r="L104" s="47">
        <v>-56505.399999999798</v>
      </c>
      <c r="M104" s="47">
        <f t="shared" si="64"/>
        <v>-2473962.06</v>
      </c>
      <c r="N104" s="46">
        <v>4000000</v>
      </c>
      <c r="O104" s="48">
        <f>S103</f>
        <v>9701.2200000000303</v>
      </c>
      <c r="P104" s="55">
        <v>710.37999999996998</v>
      </c>
      <c r="Q104" s="55"/>
      <c r="R104" s="55"/>
      <c r="S104" s="55">
        <f t="shared" si="66"/>
        <v>10411.6</v>
      </c>
      <c r="T104" s="48"/>
      <c r="U104" s="49">
        <f>Y103</f>
        <v>334.58999999997906</v>
      </c>
      <c r="V104" s="51"/>
      <c r="W104" s="51"/>
      <c r="X104" s="51"/>
      <c r="Y104" s="51">
        <f t="shared" si="68"/>
        <v>334.58999999997906</v>
      </c>
      <c r="Z104" s="52"/>
      <c r="AA104" s="53">
        <f>AE103</f>
        <v>165.67000000000053</v>
      </c>
      <c r="AB104" s="54"/>
      <c r="AC104" s="54"/>
      <c r="AD104" s="54"/>
      <c r="AE104" s="54">
        <f t="shared" si="70"/>
        <v>165.67000000000053</v>
      </c>
      <c r="AF104" s="53"/>
      <c r="AG104" s="53"/>
      <c r="AH104" s="54"/>
      <c r="AI104" s="54"/>
      <c r="AJ104" s="54"/>
      <c r="AK104" s="54"/>
      <c r="AL104" s="53"/>
      <c r="AM104" s="53"/>
      <c r="AN104" s="54"/>
      <c r="AO104" s="54"/>
      <c r="AP104" s="54"/>
      <c r="AQ104" s="54"/>
      <c r="AR104" s="53"/>
      <c r="AS104" s="50">
        <f t="shared" si="83"/>
        <v>-4795120.9400000004</v>
      </c>
      <c r="AT104" s="50">
        <f t="shared" si="84"/>
        <v>187791.97999999998</v>
      </c>
      <c r="AU104" s="50">
        <f t="shared" si="85"/>
        <v>0</v>
      </c>
      <c r="AV104" s="50">
        <f t="shared" si="86"/>
        <v>-95575.079999999798</v>
      </c>
      <c r="AW104" s="50"/>
      <c r="AX104" s="50">
        <f t="shared" si="71"/>
        <v>-4702904.040000001</v>
      </c>
      <c r="AY104" s="50">
        <f t="shared" si="88"/>
        <v>8300000</v>
      </c>
      <c r="AZ104" s="50">
        <f t="shared" si="89"/>
        <v>3597095.959999999</v>
      </c>
    </row>
    <row r="105" spans="2:56" x14ac:dyDescent="0.3">
      <c r="B105" s="99">
        <f t="shared" si="55"/>
        <v>44309</v>
      </c>
      <c r="C105" s="44">
        <f t="shared" si="72"/>
        <v>-2239853.8400000003</v>
      </c>
      <c r="D105" s="45">
        <v>15707.33</v>
      </c>
      <c r="E105" s="45"/>
      <c r="F105" s="45">
        <v>-18324.78</v>
      </c>
      <c r="G105" s="45">
        <f t="shared" si="74"/>
        <v>-2242471.29</v>
      </c>
      <c r="H105" s="44">
        <v>4300000</v>
      </c>
      <c r="I105" s="46">
        <f t="shared" si="63"/>
        <v>-2473962.06</v>
      </c>
      <c r="J105" s="47">
        <v>32295.040000000001</v>
      </c>
      <c r="K105" s="47"/>
      <c r="L105" s="47">
        <v>-6925.29</v>
      </c>
      <c r="M105" s="47">
        <f t="shared" si="64"/>
        <v>-2448592.31</v>
      </c>
      <c r="N105" s="46">
        <v>4000000</v>
      </c>
      <c r="O105" s="48">
        <f t="shared" si="65"/>
        <v>10411.6</v>
      </c>
      <c r="P105" s="55"/>
      <c r="Q105" s="55"/>
      <c r="R105" s="55"/>
      <c r="S105" s="55">
        <f t="shared" si="66"/>
        <v>10411.6</v>
      </c>
      <c r="T105" s="48"/>
      <c r="U105" s="49">
        <f t="shared" si="67"/>
        <v>334.58999999997906</v>
      </c>
      <c r="V105" s="51"/>
      <c r="W105" s="51"/>
      <c r="X105" s="51"/>
      <c r="Y105" s="51">
        <f t="shared" si="68"/>
        <v>334.58999999997906</v>
      </c>
      <c r="Z105" s="52"/>
      <c r="AA105" s="53">
        <f t="shared" si="69"/>
        <v>165.67000000000053</v>
      </c>
      <c r="AB105" s="54"/>
      <c r="AC105" s="54"/>
      <c r="AD105" s="54"/>
      <c r="AE105" s="54">
        <f t="shared" si="70"/>
        <v>165.67000000000053</v>
      </c>
      <c r="AF105" s="53"/>
      <c r="AG105" s="53"/>
      <c r="AH105" s="54"/>
      <c r="AI105" s="54"/>
      <c r="AJ105" s="54"/>
      <c r="AK105" s="54"/>
      <c r="AL105" s="53"/>
      <c r="AM105" s="53"/>
      <c r="AN105" s="54"/>
      <c r="AO105" s="54"/>
      <c r="AP105" s="54"/>
      <c r="AQ105" s="54"/>
      <c r="AR105" s="53"/>
      <c r="AS105" s="50">
        <f t="shared" si="83"/>
        <v>-4702904.040000001</v>
      </c>
      <c r="AT105" s="50">
        <f t="shared" si="84"/>
        <v>48002.37</v>
      </c>
      <c r="AU105" s="50">
        <f t="shared" si="85"/>
        <v>0</v>
      </c>
      <c r="AV105" s="50">
        <f t="shared" si="86"/>
        <v>-25250.07</v>
      </c>
      <c r="AW105" s="50"/>
      <c r="AX105" s="50">
        <f t="shared" si="71"/>
        <v>-4680151.74</v>
      </c>
      <c r="AY105" s="50">
        <f t="shared" si="88"/>
        <v>8300000</v>
      </c>
      <c r="AZ105" s="50">
        <f t="shared" si="89"/>
        <v>3619848.26</v>
      </c>
    </row>
    <row r="106" spans="2:56" x14ac:dyDescent="0.3">
      <c r="B106" s="99">
        <f>B105+3</f>
        <v>44312</v>
      </c>
      <c r="C106" s="44">
        <f t="shared" si="72"/>
        <v>-2242471.29</v>
      </c>
      <c r="D106" s="45"/>
      <c r="E106" s="45">
        <v>400000</v>
      </c>
      <c r="F106" s="45">
        <v>-122044.11</v>
      </c>
      <c r="G106" s="45">
        <f t="shared" si="74"/>
        <v>-1964515.4000000001</v>
      </c>
      <c r="H106" s="44">
        <v>4300000</v>
      </c>
      <c r="I106" s="46">
        <f t="shared" si="63"/>
        <v>-2448592.31</v>
      </c>
      <c r="J106" s="47">
        <v>460394.61</v>
      </c>
      <c r="K106" s="47">
        <v>-400000</v>
      </c>
      <c r="L106" s="47">
        <f>-(36181.43+19270.88+27701.62)</f>
        <v>-83153.929999999993</v>
      </c>
      <c r="M106" s="47">
        <f t="shared" si="64"/>
        <v>-2471351.6300000004</v>
      </c>
      <c r="N106" s="46">
        <v>4000000</v>
      </c>
      <c r="O106" s="48">
        <f t="shared" si="65"/>
        <v>10411.6</v>
      </c>
      <c r="P106" s="55"/>
      <c r="Q106" s="55"/>
      <c r="R106" s="55">
        <v>-94</v>
      </c>
      <c r="S106" s="55">
        <f t="shared" si="66"/>
        <v>10317.6</v>
      </c>
      <c r="T106" s="48"/>
      <c r="U106" s="49">
        <f t="shared" si="67"/>
        <v>334.58999999997906</v>
      </c>
      <c r="V106" s="51"/>
      <c r="W106" s="51"/>
      <c r="X106" s="51">
        <v>-52.35</v>
      </c>
      <c r="Y106" s="51">
        <f t="shared" si="68"/>
        <v>282.23999999997903</v>
      </c>
      <c r="Z106" s="52"/>
      <c r="AA106" s="53">
        <f t="shared" si="69"/>
        <v>165.67000000000053</v>
      </c>
      <c r="AB106" s="54"/>
      <c r="AC106" s="54"/>
      <c r="AD106" s="54"/>
      <c r="AE106" s="54">
        <f t="shared" si="70"/>
        <v>165.67000000000053</v>
      </c>
      <c r="AF106" s="53"/>
      <c r="AG106" s="53"/>
      <c r="AH106" s="54"/>
      <c r="AI106" s="54"/>
      <c r="AJ106" s="54"/>
      <c r="AK106" s="54"/>
      <c r="AL106" s="53"/>
      <c r="AM106" s="53"/>
      <c r="AN106" s="54"/>
      <c r="AO106" s="54"/>
      <c r="AP106" s="54"/>
      <c r="AQ106" s="54"/>
      <c r="AR106" s="53"/>
      <c r="AS106" s="50">
        <f t="shared" si="83"/>
        <v>-4680151.74</v>
      </c>
      <c r="AT106" s="50">
        <f t="shared" si="84"/>
        <v>460394.61</v>
      </c>
      <c r="AU106" s="50">
        <f t="shared" si="85"/>
        <v>0</v>
      </c>
      <c r="AV106" s="50">
        <f t="shared" si="86"/>
        <v>-205344.38999999998</v>
      </c>
      <c r="AW106" s="50"/>
      <c r="AX106" s="50">
        <f t="shared" si="71"/>
        <v>-4425101.5200000005</v>
      </c>
      <c r="AY106" s="50">
        <f t="shared" si="88"/>
        <v>8300000</v>
      </c>
      <c r="AZ106" s="50">
        <f t="shared" si="89"/>
        <v>3874898.4799999995</v>
      </c>
    </row>
    <row r="107" spans="2:56" x14ac:dyDescent="0.3">
      <c r="B107" s="99">
        <f t="shared" si="55"/>
        <v>44313</v>
      </c>
      <c r="C107" s="44">
        <f t="shared" si="72"/>
        <v>-1964515.4000000001</v>
      </c>
      <c r="D107" s="45"/>
      <c r="E107" s="45">
        <v>-480000</v>
      </c>
      <c r="F107" s="45">
        <v>-55713.219999999703</v>
      </c>
      <c r="G107" s="45">
        <f t="shared" si="74"/>
        <v>-2500228.62</v>
      </c>
      <c r="H107" s="44">
        <v>4300000</v>
      </c>
      <c r="I107" s="46">
        <f t="shared" si="63"/>
        <v>-2471351.6300000004</v>
      </c>
      <c r="J107" s="47"/>
      <c r="K107" s="47">
        <v>480000</v>
      </c>
      <c r="L107" s="47">
        <v>-478269.17</v>
      </c>
      <c r="M107" s="47">
        <f t="shared" si="64"/>
        <v>-2469620.8000000003</v>
      </c>
      <c r="N107" s="46">
        <v>4000000</v>
      </c>
      <c r="O107" s="48">
        <f t="shared" si="65"/>
        <v>10317.6</v>
      </c>
      <c r="P107" s="55"/>
      <c r="Q107" s="55"/>
      <c r="R107" s="55">
        <v>-4198</v>
      </c>
      <c r="S107" s="55">
        <f t="shared" si="66"/>
        <v>6119.6</v>
      </c>
      <c r="T107" s="48"/>
      <c r="U107" s="49">
        <f t="shared" si="67"/>
        <v>282.23999999997903</v>
      </c>
      <c r="V107" s="51"/>
      <c r="W107" s="51"/>
      <c r="X107" s="51"/>
      <c r="Y107" s="51">
        <f t="shared" si="68"/>
        <v>282.23999999997903</v>
      </c>
      <c r="Z107" s="52"/>
      <c r="AA107" s="53">
        <f t="shared" si="69"/>
        <v>165.67000000000053</v>
      </c>
      <c r="AB107" s="54"/>
      <c r="AC107" s="54"/>
      <c r="AD107" s="54"/>
      <c r="AE107" s="54">
        <f t="shared" si="70"/>
        <v>165.67000000000053</v>
      </c>
      <c r="AF107" s="53"/>
      <c r="AG107" s="53"/>
      <c r="AH107" s="54"/>
      <c r="AI107" s="54"/>
      <c r="AJ107" s="54"/>
      <c r="AK107" s="54"/>
      <c r="AL107" s="53"/>
      <c r="AM107" s="53"/>
      <c r="AN107" s="54"/>
      <c r="AO107" s="54"/>
      <c r="AP107" s="54"/>
      <c r="AQ107" s="54"/>
      <c r="AR107" s="53"/>
      <c r="AS107" s="50">
        <f t="shared" si="83"/>
        <v>-4425101.5200000005</v>
      </c>
      <c r="AT107" s="50">
        <f t="shared" si="84"/>
        <v>0</v>
      </c>
      <c r="AU107" s="50">
        <f t="shared" si="85"/>
        <v>0</v>
      </c>
      <c r="AV107" s="50">
        <f t="shared" si="86"/>
        <v>-538180.38999999966</v>
      </c>
      <c r="AW107" s="50"/>
      <c r="AX107" s="50">
        <f t="shared" si="71"/>
        <v>-4963281.91</v>
      </c>
      <c r="AY107" s="50">
        <f t="shared" si="88"/>
        <v>8300000</v>
      </c>
      <c r="AZ107" s="50">
        <f t="shared" si="89"/>
        <v>3336718.09</v>
      </c>
    </row>
    <row r="108" spans="2:56" x14ac:dyDescent="0.3">
      <c r="B108" s="99">
        <f t="shared" si="55"/>
        <v>44314</v>
      </c>
      <c r="C108" s="44">
        <f t="shared" si="72"/>
        <v>-2500228.62</v>
      </c>
      <c r="D108" s="45">
        <v>404117.78</v>
      </c>
      <c r="E108" s="45">
        <v>-35000</v>
      </c>
      <c r="F108" s="45">
        <v>-6641.0200000000104</v>
      </c>
      <c r="G108" s="45">
        <f t="shared" si="74"/>
        <v>-2137751.86</v>
      </c>
      <c r="H108" s="44">
        <v>4300000</v>
      </c>
      <c r="I108" s="46">
        <f t="shared" si="63"/>
        <v>-2469620.8000000003</v>
      </c>
      <c r="J108" s="47">
        <v>47780.72</v>
      </c>
      <c r="K108" s="47">
        <v>35000</v>
      </c>
      <c r="L108" s="47">
        <v>-34231.759999999995</v>
      </c>
      <c r="M108" s="47">
        <f t="shared" si="64"/>
        <v>-2421071.84</v>
      </c>
      <c r="N108" s="46">
        <v>4000000</v>
      </c>
      <c r="O108" s="48">
        <f t="shared" si="65"/>
        <v>6119.6</v>
      </c>
      <c r="P108" s="55">
        <v>8.5399999999999991</v>
      </c>
      <c r="Q108" s="55"/>
      <c r="R108" s="55"/>
      <c r="S108" s="55">
        <f t="shared" si="66"/>
        <v>6128.14</v>
      </c>
      <c r="T108" s="48"/>
      <c r="U108" s="49">
        <f t="shared" si="67"/>
        <v>282.23999999997903</v>
      </c>
      <c r="V108" s="51"/>
      <c r="W108" s="51"/>
      <c r="X108" s="51"/>
      <c r="Y108" s="51">
        <f t="shared" si="68"/>
        <v>282.23999999997903</v>
      </c>
      <c r="Z108" s="52"/>
      <c r="AA108" s="53">
        <f t="shared" si="69"/>
        <v>165.67000000000053</v>
      </c>
      <c r="AB108" s="54"/>
      <c r="AC108" s="54"/>
      <c r="AD108" s="54"/>
      <c r="AE108" s="54">
        <f t="shared" si="70"/>
        <v>165.67000000000053</v>
      </c>
      <c r="AF108" s="53"/>
      <c r="AG108" s="53"/>
      <c r="AH108" s="54"/>
      <c r="AI108" s="54"/>
      <c r="AJ108" s="54"/>
      <c r="AK108" s="54"/>
      <c r="AL108" s="53"/>
      <c r="AM108" s="53"/>
      <c r="AN108" s="54"/>
      <c r="AO108" s="54"/>
      <c r="AP108" s="54"/>
      <c r="AQ108" s="54"/>
      <c r="AR108" s="53"/>
      <c r="AS108" s="50">
        <f t="shared" si="83"/>
        <v>-4963281.91</v>
      </c>
      <c r="AT108" s="50">
        <f t="shared" si="84"/>
        <v>451907.04</v>
      </c>
      <c r="AU108" s="50">
        <f t="shared" si="85"/>
        <v>0</v>
      </c>
      <c r="AV108" s="50">
        <f t="shared" si="86"/>
        <v>-40872.780000000006</v>
      </c>
      <c r="AW108" s="50"/>
      <c r="AX108" s="50">
        <f t="shared" si="71"/>
        <v>-4552247.6499999994</v>
      </c>
      <c r="AY108" s="50">
        <f t="shared" si="88"/>
        <v>8300000</v>
      </c>
      <c r="AZ108" s="50">
        <f t="shared" si="89"/>
        <v>3747752.3500000006</v>
      </c>
    </row>
    <row r="109" spans="2:56" x14ac:dyDescent="0.3">
      <c r="B109" s="99">
        <f t="shared" si="55"/>
        <v>44315</v>
      </c>
      <c r="C109" s="44">
        <f t="shared" si="72"/>
        <v>-2137751.86</v>
      </c>
      <c r="D109" s="45"/>
      <c r="E109" s="45">
        <f>740000-85000</f>
        <v>655000</v>
      </c>
      <c r="F109" s="45"/>
      <c r="G109" s="45">
        <f t="shared" si="74"/>
        <v>-1482751.8599999999</v>
      </c>
      <c r="H109" s="44">
        <v>4300000</v>
      </c>
      <c r="I109" s="46">
        <f t="shared" si="63"/>
        <v>-2421071.84</v>
      </c>
      <c r="J109" s="47"/>
      <c r="K109" s="47">
        <v>85000</v>
      </c>
      <c r="L109" s="47">
        <v>-140735.89000000001</v>
      </c>
      <c r="M109" s="47">
        <f t="shared" si="64"/>
        <v>-2476807.73</v>
      </c>
      <c r="N109" s="46">
        <v>4000000</v>
      </c>
      <c r="O109" s="48">
        <f t="shared" si="65"/>
        <v>6128.14</v>
      </c>
      <c r="P109" s="55">
        <f>234570.25+168187.79</f>
        <v>402758.04000000004</v>
      </c>
      <c r="Q109" s="55">
        <f>-300000-140000+339000-300000</f>
        <v>-401000</v>
      </c>
      <c r="R109" s="55">
        <v>-550</v>
      </c>
      <c r="S109" s="55">
        <f t="shared" si="66"/>
        <v>7336.1800000000512</v>
      </c>
      <c r="T109" s="48"/>
      <c r="U109" s="49">
        <f t="shared" si="67"/>
        <v>282.23999999997903</v>
      </c>
      <c r="V109" s="51">
        <v>339233.96</v>
      </c>
      <c r="W109" s="51">
        <v>-339000</v>
      </c>
      <c r="X109" s="51">
        <v>-1.2</v>
      </c>
      <c r="Y109" s="51">
        <f t="shared" si="68"/>
        <v>515.0000000000116</v>
      </c>
      <c r="Z109" s="52"/>
      <c r="AA109" s="53">
        <f t="shared" si="69"/>
        <v>165.67000000000053</v>
      </c>
      <c r="AB109" s="54"/>
      <c r="AC109" s="54"/>
      <c r="AD109" s="54"/>
      <c r="AE109" s="54">
        <f t="shared" si="70"/>
        <v>165.67000000000053</v>
      </c>
      <c r="AF109" s="53"/>
      <c r="AG109" s="53"/>
      <c r="AH109" s="54"/>
      <c r="AI109" s="54"/>
      <c r="AJ109" s="54"/>
      <c r="AK109" s="54"/>
      <c r="AL109" s="53"/>
      <c r="AM109" s="53"/>
      <c r="AN109" s="54"/>
      <c r="AO109" s="54"/>
      <c r="AP109" s="54"/>
      <c r="AQ109" s="54"/>
      <c r="AR109" s="53"/>
      <c r="AS109" s="50">
        <f t="shared" si="83"/>
        <v>-4552247.6499999994</v>
      </c>
      <c r="AT109" s="50">
        <f t="shared" si="84"/>
        <v>741992</v>
      </c>
      <c r="AU109" s="50">
        <f t="shared" si="85"/>
        <v>0</v>
      </c>
      <c r="AV109" s="50">
        <f t="shared" si="86"/>
        <v>-141287.09000000003</v>
      </c>
      <c r="AW109" s="50"/>
      <c r="AX109" s="50">
        <f t="shared" si="71"/>
        <v>-3951542.7399999998</v>
      </c>
      <c r="AY109" s="50">
        <f t="shared" si="88"/>
        <v>8300000</v>
      </c>
      <c r="AZ109" s="50">
        <f t="shared" si="89"/>
        <v>4348457.26</v>
      </c>
    </row>
    <row r="110" spans="2:56" x14ac:dyDescent="0.3">
      <c r="B110" s="99">
        <f t="shared" si="55"/>
        <v>44316</v>
      </c>
      <c r="C110" s="44">
        <f t="shared" si="72"/>
        <v>-1482751.8599999999</v>
      </c>
      <c r="D110" s="45">
        <f>107411.29+8437.12</f>
        <v>115848.40999999999</v>
      </c>
      <c r="E110" s="45">
        <v>780000</v>
      </c>
      <c r="F110" s="45">
        <v>-54514.59</v>
      </c>
      <c r="G110" s="45">
        <f t="shared" si="74"/>
        <v>-641418.03999999992</v>
      </c>
      <c r="H110" s="44">
        <v>4300000</v>
      </c>
      <c r="I110" s="46">
        <f t="shared" si="63"/>
        <v>-2476807.73</v>
      </c>
      <c r="J110" s="47">
        <v>411276.91000000003</v>
      </c>
      <c r="K110" s="47">
        <v>-300000</v>
      </c>
      <c r="L110" s="47">
        <v>-60166.400000000198</v>
      </c>
      <c r="M110" s="47">
        <f t="shared" si="64"/>
        <v>-2425697.2200000002</v>
      </c>
      <c r="N110" s="46">
        <v>4000000</v>
      </c>
      <c r="O110" s="48">
        <f t="shared" si="65"/>
        <v>7336.1800000000512</v>
      </c>
      <c r="P110" s="55">
        <v>474798.79</v>
      </c>
      <c r="Q110" s="55">
        <v>-480000</v>
      </c>
      <c r="R110" s="55">
        <v>-448</v>
      </c>
      <c r="S110" s="55">
        <f t="shared" si="66"/>
        <v>1686.9700000000303</v>
      </c>
      <c r="T110" s="48"/>
      <c r="U110" s="49">
        <f t="shared" si="67"/>
        <v>515.0000000000116</v>
      </c>
      <c r="V110" s="51"/>
      <c r="W110" s="51"/>
      <c r="X110" s="51"/>
      <c r="Y110" s="51">
        <f t="shared" si="68"/>
        <v>515.0000000000116</v>
      </c>
      <c r="Z110" s="52"/>
      <c r="AA110" s="53">
        <f t="shared" si="69"/>
        <v>165.67000000000053</v>
      </c>
      <c r="AB110" s="54"/>
      <c r="AC110" s="54"/>
      <c r="AD110" s="54"/>
      <c r="AE110" s="54">
        <f t="shared" si="70"/>
        <v>165.67000000000053</v>
      </c>
      <c r="AF110" s="53"/>
      <c r="AG110" s="53"/>
      <c r="AH110" s="54"/>
      <c r="AI110" s="54"/>
      <c r="AJ110" s="54"/>
      <c r="AK110" s="54"/>
      <c r="AL110" s="53"/>
      <c r="AM110" s="53"/>
      <c r="AN110" s="54"/>
      <c r="AO110" s="54"/>
      <c r="AP110" s="54"/>
      <c r="AQ110" s="54"/>
      <c r="AR110" s="53"/>
      <c r="AS110" s="50">
        <f t="shared" si="83"/>
        <v>-3951542.7399999998</v>
      </c>
      <c r="AT110" s="50">
        <f t="shared" si="84"/>
        <v>1001924.1100000001</v>
      </c>
      <c r="AU110" s="50">
        <f t="shared" si="85"/>
        <v>0</v>
      </c>
      <c r="AV110" s="50">
        <f t="shared" si="86"/>
        <v>-115128.99000000019</v>
      </c>
      <c r="AW110" s="50"/>
      <c r="AX110" s="50">
        <f t="shared" si="71"/>
        <v>-3064747.62</v>
      </c>
      <c r="AY110" s="50">
        <f t="shared" si="88"/>
        <v>8300000</v>
      </c>
      <c r="AZ110" s="50">
        <f t="shared" si="89"/>
        <v>5235252.38</v>
      </c>
      <c r="BA110" s="15">
        <f>SUM(AV111:AV131)</f>
        <v>-7595608.4199999981</v>
      </c>
    </row>
    <row r="111" spans="2:56" x14ac:dyDescent="0.3">
      <c r="B111" s="99">
        <f>B110+3</f>
        <v>44319</v>
      </c>
      <c r="C111" s="44">
        <f t="shared" si="72"/>
        <v>-641418.03999999992</v>
      </c>
      <c r="D111" s="45"/>
      <c r="E111" s="45">
        <v>-2000000</v>
      </c>
      <c r="F111" s="45">
        <f>-97448.94+176.4+18049.49</f>
        <v>-79223.05</v>
      </c>
      <c r="G111" s="45">
        <f t="shared" si="74"/>
        <v>-2720641.09</v>
      </c>
      <c r="H111" s="44">
        <v>4300000</v>
      </c>
      <c r="I111" s="46">
        <f t="shared" si="63"/>
        <v>-2425697.2200000002</v>
      </c>
      <c r="J111" s="47"/>
      <c r="K111" s="47">
        <v>2000000</v>
      </c>
      <c r="L111" s="47">
        <v>-1925148.56</v>
      </c>
      <c r="M111" s="47">
        <f t="shared" si="64"/>
        <v>-2350845.7800000003</v>
      </c>
      <c r="N111" s="46">
        <v>4000000</v>
      </c>
      <c r="O111" s="48">
        <f t="shared" si="65"/>
        <v>1686.9700000000303</v>
      </c>
      <c r="P111" s="55">
        <f>163.84+512.32</f>
        <v>676.16000000000008</v>
      </c>
      <c r="Q111" s="55"/>
      <c r="R111" s="55">
        <f>-(180+601.62)</f>
        <v>-781.62</v>
      </c>
      <c r="S111" s="55">
        <f t="shared" si="66"/>
        <v>1581.5100000000302</v>
      </c>
      <c r="T111" s="48"/>
      <c r="U111" s="49">
        <f t="shared" si="67"/>
        <v>515.0000000000116</v>
      </c>
      <c r="V111" s="51"/>
      <c r="W111" s="51"/>
      <c r="X111" s="51"/>
      <c r="Y111" s="51">
        <f t="shared" si="68"/>
        <v>515.0000000000116</v>
      </c>
      <c r="Z111" s="52"/>
      <c r="AA111" s="53">
        <f t="shared" si="69"/>
        <v>165.67000000000053</v>
      </c>
      <c r="AB111" s="54"/>
      <c r="AC111" s="54"/>
      <c r="AD111" s="54"/>
      <c r="AE111" s="54">
        <f t="shared" si="70"/>
        <v>165.67000000000053</v>
      </c>
      <c r="AF111" s="53"/>
      <c r="AG111" s="53"/>
      <c r="AH111" s="54"/>
      <c r="AI111" s="54"/>
      <c r="AJ111" s="54"/>
      <c r="AK111" s="54"/>
      <c r="AL111" s="53"/>
      <c r="AM111" s="53"/>
      <c r="AN111" s="54"/>
      <c r="AO111" s="54"/>
      <c r="AP111" s="54"/>
      <c r="AQ111" s="54"/>
      <c r="AR111" s="53"/>
      <c r="AS111" s="50">
        <f t="shared" si="83"/>
        <v>-3064747.62</v>
      </c>
      <c r="AT111" s="50">
        <f t="shared" si="84"/>
        <v>676.16000000000008</v>
      </c>
      <c r="AU111" s="50">
        <f t="shared" si="85"/>
        <v>0</v>
      </c>
      <c r="AV111" s="50">
        <f t="shared" si="86"/>
        <v>-2005153.2300000002</v>
      </c>
      <c r="AW111" s="50"/>
      <c r="AX111" s="50">
        <f t="shared" si="71"/>
        <v>-5069224.6900000004</v>
      </c>
      <c r="AY111" s="50">
        <f t="shared" si="88"/>
        <v>8300000</v>
      </c>
      <c r="AZ111" s="50">
        <f t="shared" si="89"/>
        <v>3230775.3099999996</v>
      </c>
    </row>
    <row r="112" spans="2:56" x14ac:dyDescent="0.3">
      <c r="B112" s="99">
        <f t="shared" si="55"/>
        <v>44320</v>
      </c>
      <c r="C112" s="44">
        <f t="shared" si="72"/>
        <v>-2720641.09</v>
      </c>
      <c r="D112" s="45"/>
      <c r="E112" s="45"/>
      <c r="F112" s="45">
        <v>-241771.37</v>
      </c>
      <c r="G112" s="45">
        <f t="shared" si="74"/>
        <v>-2962412.46</v>
      </c>
      <c r="H112" s="44">
        <v>4300000</v>
      </c>
      <c r="I112" s="46">
        <f t="shared" si="63"/>
        <v>-2350845.7800000003</v>
      </c>
      <c r="J112" s="47"/>
      <c r="K112" s="47"/>
      <c r="L112" s="47">
        <v>-129007.36</v>
      </c>
      <c r="M112" s="47">
        <f t="shared" si="64"/>
        <v>-2479853.14</v>
      </c>
      <c r="N112" s="46">
        <v>4000000</v>
      </c>
      <c r="O112" s="48">
        <f t="shared" si="65"/>
        <v>1581.5100000000302</v>
      </c>
      <c r="P112" s="55"/>
      <c r="Q112" s="55"/>
      <c r="R112" s="55">
        <f>-609-184.8</f>
        <v>-793.8</v>
      </c>
      <c r="S112" s="55">
        <f t="shared" si="66"/>
        <v>787.71000000003028</v>
      </c>
      <c r="T112" s="48"/>
      <c r="U112" s="49">
        <f t="shared" si="67"/>
        <v>515.0000000000116</v>
      </c>
      <c r="V112" s="51"/>
      <c r="W112" s="51"/>
      <c r="X112" s="51">
        <v>-54.95</v>
      </c>
      <c r="Y112" s="51">
        <f t="shared" si="68"/>
        <v>460.05000000001161</v>
      </c>
      <c r="Z112" s="52"/>
      <c r="AA112" s="53">
        <f t="shared" si="69"/>
        <v>165.67000000000053</v>
      </c>
      <c r="AB112" s="54"/>
      <c r="AC112" s="54"/>
      <c r="AD112" s="54"/>
      <c r="AE112" s="54">
        <f t="shared" si="70"/>
        <v>165.67000000000053</v>
      </c>
      <c r="AF112" s="53"/>
      <c r="AG112" s="53"/>
      <c r="AH112" s="54"/>
      <c r="AI112" s="54"/>
      <c r="AJ112" s="54"/>
      <c r="AK112" s="54"/>
      <c r="AL112" s="53"/>
      <c r="AM112" s="53"/>
      <c r="AN112" s="54"/>
      <c r="AO112" s="54"/>
      <c r="AP112" s="54"/>
      <c r="AQ112" s="54"/>
      <c r="AR112" s="53"/>
      <c r="AS112" s="50">
        <f t="shared" si="83"/>
        <v>-5069224.6900000004</v>
      </c>
      <c r="AT112" s="50">
        <f t="shared" si="84"/>
        <v>0</v>
      </c>
      <c r="AU112" s="50">
        <f t="shared" si="85"/>
        <v>0</v>
      </c>
      <c r="AV112" s="50">
        <f t="shared" si="86"/>
        <v>-371627.48</v>
      </c>
      <c r="AW112" s="50"/>
      <c r="AX112" s="50">
        <f t="shared" si="71"/>
        <v>-5440852.1699999999</v>
      </c>
      <c r="AY112" s="50">
        <f t="shared" si="88"/>
        <v>8300000</v>
      </c>
      <c r="AZ112" s="50">
        <f t="shared" si="89"/>
        <v>2859147.83</v>
      </c>
    </row>
    <row r="113" spans="2:52" x14ac:dyDescent="0.3">
      <c r="B113" s="99">
        <f t="shared" si="55"/>
        <v>44321</v>
      </c>
      <c r="C113" s="44">
        <f t="shared" si="72"/>
        <v>-2962412.46</v>
      </c>
      <c r="D113" s="45">
        <v>84354.76</v>
      </c>
      <c r="E113" s="45">
        <v>-305000</v>
      </c>
      <c r="F113" s="45">
        <v>-272942.24</v>
      </c>
      <c r="G113" s="45">
        <f t="shared" si="74"/>
        <v>-3455999.9400000004</v>
      </c>
      <c r="H113" s="44">
        <v>4300000</v>
      </c>
      <c r="I113" s="46">
        <f t="shared" si="63"/>
        <v>-2479853.14</v>
      </c>
      <c r="J113" s="47"/>
      <c r="K113" s="47">
        <v>305000</v>
      </c>
      <c r="L113" s="47">
        <v>-304752.92</v>
      </c>
      <c r="M113" s="47">
        <f t="shared" si="64"/>
        <v>-2479606.06</v>
      </c>
      <c r="N113" s="46">
        <v>4000000</v>
      </c>
      <c r="O113" s="48">
        <f t="shared" si="65"/>
        <v>787.71000000003028</v>
      </c>
      <c r="P113" s="55"/>
      <c r="Q113" s="55"/>
      <c r="R113" s="55"/>
      <c r="S113" s="55">
        <f t="shared" si="66"/>
        <v>787.71000000003028</v>
      </c>
      <c r="T113" s="48"/>
      <c r="U113" s="49">
        <f t="shared" si="67"/>
        <v>460.05000000001161</v>
      </c>
      <c r="V113" s="51"/>
      <c r="W113" s="51"/>
      <c r="X113" s="51"/>
      <c r="Y113" s="51">
        <f t="shared" si="68"/>
        <v>460.05000000001161</v>
      </c>
      <c r="Z113" s="52"/>
      <c r="AA113" s="53">
        <f t="shared" si="69"/>
        <v>165.67000000000053</v>
      </c>
      <c r="AB113" s="54"/>
      <c r="AC113" s="54"/>
      <c r="AD113" s="54"/>
      <c r="AE113" s="54">
        <f t="shared" si="70"/>
        <v>165.67000000000053</v>
      </c>
      <c r="AF113" s="53"/>
      <c r="AG113" s="53"/>
      <c r="AH113" s="54"/>
      <c r="AI113" s="54"/>
      <c r="AJ113" s="54"/>
      <c r="AK113" s="54"/>
      <c r="AL113" s="53"/>
      <c r="AM113" s="53"/>
      <c r="AN113" s="54"/>
      <c r="AO113" s="54"/>
      <c r="AP113" s="54"/>
      <c r="AQ113" s="54"/>
      <c r="AR113" s="53"/>
      <c r="AS113" s="50">
        <f t="shared" si="83"/>
        <v>-5440852.1699999999</v>
      </c>
      <c r="AT113" s="50">
        <f t="shared" si="84"/>
        <v>84354.76</v>
      </c>
      <c r="AU113" s="50">
        <f t="shared" si="85"/>
        <v>0</v>
      </c>
      <c r="AV113" s="50">
        <f t="shared" si="86"/>
        <v>-577695.15999999992</v>
      </c>
      <c r="AW113" s="50"/>
      <c r="AX113" s="50">
        <f t="shared" si="71"/>
        <v>-5934192.5700000003</v>
      </c>
      <c r="AY113" s="50">
        <f t="shared" si="88"/>
        <v>8300000</v>
      </c>
      <c r="AZ113" s="50">
        <f t="shared" si="89"/>
        <v>2365807.4299999997</v>
      </c>
    </row>
    <row r="114" spans="2:52" x14ac:dyDescent="0.3">
      <c r="B114" s="99">
        <f t="shared" si="55"/>
        <v>44322</v>
      </c>
      <c r="C114" s="44">
        <f t="shared" si="72"/>
        <v>-3455999.9400000004</v>
      </c>
      <c r="D114" s="45">
        <v>36519.85</v>
      </c>
      <c r="E114" s="45"/>
      <c r="F114" s="45"/>
      <c r="G114" s="45">
        <f t="shared" si="74"/>
        <v>-3419480.0900000003</v>
      </c>
      <c r="H114" s="44">
        <v>4300000</v>
      </c>
      <c r="I114" s="46">
        <f t="shared" si="63"/>
        <v>-2479606.06</v>
      </c>
      <c r="J114" s="47">
        <v>947947.37</v>
      </c>
      <c r="K114" s="47"/>
      <c r="L114" s="47">
        <f>-48216.75-13289.03-8650.8-19641.59</f>
        <v>-89798.17</v>
      </c>
      <c r="M114" s="47">
        <f t="shared" si="64"/>
        <v>-1621456.8599999999</v>
      </c>
      <c r="N114" s="46">
        <v>4000000</v>
      </c>
      <c r="O114" s="48">
        <f t="shared" si="65"/>
        <v>787.71000000003028</v>
      </c>
      <c r="P114" s="55"/>
      <c r="Q114" s="55"/>
      <c r="R114" s="55"/>
      <c r="S114" s="55">
        <f t="shared" si="66"/>
        <v>787.71000000003028</v>
      </c>
      <c r="T114" s="48"/>
      <c r="U114" s="49">
        <f t="shared" si="67"/>
        <v>460.05000000001161</v>
      </c>
      <c r="V114" s="51"/>
      <c r="W114" s="51"/>
      <c r="X114" s="51"/>
      <c r="Y114" s="51">
        <f t="shared" si="68"/>
        <v>460.05000000001161</v>
      </c>
      <c r="Z114" s="52"/>
      <c r="AA114" s="53">
        <f t="shared" si="69"/>
        <v>165.67000000000053</v>
      </c>
      <c r="AB114" s="54"/>
      <c r="AC114" s="54"/>
      <c r="AD114" s="54"/>
      <c r="AE114" s="54">
        <f t="shared" si="70"/>
        <v>165.67000000000053</v>
      </c>
      <c r="AF114" s="53"/>
      <c r="AG114" s="53"/>
      <c r="AH114" s="54"/>
      <c r="AI114" s="54"/>
      <c r="AJ114" s="54"/>
      <c r="AK114" s="54"/>
      <c r="AL114" s="53"/>
      <c r="AM114" s="53"/>
      <c r="AN114" s="54"/>
      <c r="AO114" s="54"/>
      <c r="AP114" s="54"/>
      <c r="AQ114" s="54"/>
      <c r="AR114" s="53"/>
      <c r="AS114" s="50">
        <f t="shared" si="83"/>
        <v>-5934192.5700000003</v>
      </c>
      <c r="AT114" s="50">
        <f t="shared" si="84"/>
        <v>984467.22</v>
      </c>
      <c r="AU114" s="50">
        <f t="shared" si="85"/>
        <v>0</v>
      </c>
      <c r="AV114" s="50">
        <f t="shared" si="86"/>
        <v>-89798.17</v>
      </c>
      <c r="AW114" s="50"/>
      <c r="AX114" s="50">
        <f t="shared" si="71"/>
        <v>-5039523.5200000005</v>
      </c>
      <c r="AY114" s="50">
        <f t="shared" si="88"/>
        <v>8300000</v>
      </c>
      <c r="AZ114" s="50">
        <f t="shared" si="89"/>
        <v>3260476.4799999995</v>
      </c>
    </row>
    <row r="115" spans="2:52" x14ac:dyDescent="0.3">
      <c r="B115" s="99">
        <f t="shared" si="55"/>
        <v>44323</v>
      </c>
      <c r="C115" s="44">
        <f t="shared" si="72"/>
        <v>-3419480.0900000003</v>
      </c>
      <c r="D115" s="45"/>
      <c r="E115" s="45">
        <v>1000000</v>
      </c>
      <c r="F115" s="45"/>
      <c r="G115" s="45">
        <f t="shared" si="74"/>
        <v>-2419480.0900000003</v>
      </c>
      <c r="H115" s="44">
        <v>4300000</v>
      </c>
      <c r="I115" s="46">
        <f t="shared" si="63"/>
        <v>-1621456.8599999999</v>
      </c>
      <c r="J115" s="47">
        <f>674692.91</f>
        <v>674692.91</v>
      </c>
      <c r="K115" s="47">
        <v>-1000000</v>
      </c>
      <c r="L115" s="47">
        <f>-(30729.1+388.5+18200+638*2+355.23+16915.85)+1.39</f>
        <v>-67863.289999999994</v>
      </c>
      <c r="M115" s="47">
        <f t="shared" si="64"/>
        <v>-2014627.2399999998</v>
      </c>
      <c r="N115" s="46">
        <v>4000000</v>
      </c>
      <c r="O115" s="48">
        <f t="shared" si="65"/>
        <v>787.71000000003028</v>
      </c>
      <c r="P115" s="55"/>
      <c r="Q115" s="55"/>
      <c r="R115" s="55"/>
      <c r="S115" s="55">
        <f t="shared" si="66"/>
        <v>787.71000000003028</v>
      </c>
      <c r="T115" s="48"/>
      <c r="U115" s="49">
        <f t="shared" si="67"/>
        <v>460.05000000001161</v>
      </c>
      <c r="V115" s="51"/>
      <c r="W115" s="51"/>
      <c r="X115" s="51"/>
      <c r="Y115" s="51">
        <f t="shared" si="68"/>
        <v>460.05000000001161</v>
      </c>
      <c r="Z115" s="52"/>
      <c r="AA115" s="53">
        <f t="shared" si="69"/>
        <v>165.67000000000053</v>
      </c>
      <c r="AB115" s="54"/>
      <c r="AC115" s="54"/>
      <c r="AD115" s="54"/>
      <c r="AE115" s="54">
        <f t="shared" si="70"/>
        <v>165.67000000000053</v>
      </c>
      <c r="AF115" s="53"/>
      <c r="AG115" s="53"/>
      <c r="AH115" s="54"/>
      <c r="AI115" s="54"/>
      <c r="AJ115" s="54"/>
      <c r="AK115" s="54"/>
      <c r="AL115" s="53"/>
      <c r="AM115" s="53"/>
      <c r="AN115" s="54"/>
      <c r="AO115" s="54"/>
      <c r="AP115" s="54"/>
      <c r="AQ115" s="54"/>
      <c r="AR115" s="53"/>
      <c r="AS115" s="50">
        <f t="shared" si="83"/>
        <v>-5039523.5200000005</v>
      </c>
      <c r="AT115" s="50">
        <f t="shared" si="84"/>
        <v>674692.91</v>
      </c>
      <c r="AU115" s="50">
        <f t="shared" si="85"/>
        <v>0</v>
      </c>
      <c r="AV115" s="50">
        <f t="shared" si="86"/>
        <v>-67863.289999999994</v>
      </c>
      <c r="AW115" s="50"/>
      <c r="AX115" s="50">
        <f t="shared" si="71"/>
        <v>-4432693.9000000004</v>
      </c>
      <c r="AY115" s="50">
        <f t="shared" si="88"/>
        <v>8300000</v>
      </c>
      <c r="AZ115" s="50">
        <f t="shared" si="89"/>
        <v>3867306.0999999996</v>
      </c>
    </row>
    <row r="116" spans="2:52" x14ac:dyDescent="0.3">
      <c r="B116" s="99">
        <f>B115+3</f>
        <v>44326</v>
      </c>
      <c r="C116" s="44">
        <f t="shared" si="72"/>
        <v>-2419480.0900000003</v>
      </c>
      <c r="D116" s="45">
        <v>450430.26</v>
      </c>
      <c r="E116" s="45">
        <v>-205000</v>
      </c>
      <c r="F116" s="45">
        <v>-120903.08</v>
      </c>
      <c r="G116" s="45">
        <f t="shared" si="74"/>
        <v>-2294952.91</v>
      </c>
      <c r="H116" s="44">
        <v>4300000</v>
      </c>
      <c r="I116" s="46">
        <f t="shared" si="63"/>
        <v>-2014627.2399999998</v>
      </c>
      <c r="J116" s="47">
        <v>26888.7</v>
      </c>
      <c r="K116" s="47">
        <f>200000-500000</f>
        <v>-300000</v>
      </c>
      <c r="L116" s="47">
        <v>-158283.24</v>
      </c>
      <c r="M116" s="47">
        <f t="shared" si="64"/>
        <v>-2446021.7800000003</v>
      </c>
      <c r="N116" s="46">
        <v>4000000</v>
      </c>
      <c r="O116" s="48">
        <f t="shared" si="65"/>
        <v>787.71000000003028</v>
      </c>
      <c r="P116" s="55">
        <v>976.53999999996995</v>
      </c>
      <c r="Q116" s="55">
        <v>5000</v>
      </c>
      <c r="R116" s="55"/>
      <c r="S116" s="55">
        <f t="shared" si="66"/>
        <v>6764.25</v>
      </c>
      <c r="T116" s="48"/>
      <c r="U116" s="49">
        <f t="shared" si="67"/>
        <v>460.05000000001161</v>
      </c>
      <c r="V116" s="51">
        <v>22646.46</v>
      </c>
      <c r="W116" s="51"/>
      <c r="X116" s="51"/>
      <c r="Y116" s="51">
        <f t="shared" si="68"/>
        <v>23106.510000000009</v>
      </c>
      <c r="Z116" s="52"/>
      <c r="AA116" s="53">
        <f t="shared" si="69"/>
        <v>165.67000000000053</v>
      </c>
      <c r="AB116" s="54"/>
      <c r="AC116" s="54">
        <v>500000</v>
      </c>
      <c r="AD116" s="54">
        <v>-454584.73</v>
      </c>
      <c r="AE116" s="54">
        <f t="shared" si="70"/>
        <v>45580.94</v>
      </c>
      <c r="AF116" s="53"/>
      <c r="AG116" s="53"/>
      <c r="AH116" s="54"/>
      <c r="AI116" s="54"/>
      <c r="AJ116" s="54"/>
      <c r="AK116" s="54"/>
      <c r="AL116" s="53"/>
      <c r="AM116" s="53"/>
      <c r="AN116" s="54"/>
      <c r="AO116" s="54"/>
      <c r="AP116" s="54"/>
      <c r="AQ116" s="54"/>
      <c r="AR116" s="53"/>
      <c r="AS116" s="50">
        <f t="shared" si="83"/>
        <v>-4432693.9000000004</v>
      </c>
      <c r="AT116" s="50">
        <f t="shared" si="84"/>
        <v>500941.96</v>
      </c>
      <c r="AU116" s="50">
        <f t="shared" si="85"/>
        <v>0</v>
      </c>
      <c r="AV116" s="50">
        <f t="shared" si="86"/>
        <v>-733771.05</v>
      </c>
      <c r="AW116" s="50"/>
      <c r="AX116" s="50">
        <f t="shared" si="71"/>
        <v>-4665522.99</v>
      </c>
      <c r="AY116" s="50">
        <f t="shared" si="88"/>
        <v>8300000</v>
      </c>
      <c r="AZ116" s="50">
        <f t="shared" si="89"/>
        <v>3634477.01</v>
      </c>
    </row>
    <row r="117" spans="2:52" x14ac:dyDescent="0.3">
      <c r="B117" s="99">
        <f t="shared" si="55"/>
        <v>44327</v>
      </c>
      <c r="C117" s="44">
        <f t="shared" si="72"/>
        <v>-2294952.91</v>
      </c>
      <c r="D117" s="45"/>
      <c r="E117" s="45">
        <v>-30000</v>
      </c>
      <c r="F117" s="45">
        <v>-44454.54</v>
      </c>
      <c r="G117" s="45">
        <f t="shared" si="74"/>
        <v>-2369407.4500000002</v>
      </c>
      <c r="H117" s="44">
        <v>4300000</v>
      </c>
      <c r="I117" s="46">
        <f>M116</f>
        <v>-2446021.7800000003</v>
      </c>
      <c r="J117" s="47"/>
      <c r="K117" s="47">
        <v>30000</v>
      </c>
      <c r="L117" s="47">
        <v>-51377.8299999999</v>
      </c>
      <c r="M117" s="47">
        <f t="shared" si="64"/>
        <v>-2467399.6100000003</v>
      </c>
      <c r="N117" s="46">
        <v>4000000</v>
      </c>
      <c r="O117" s="48">
        <f t="shared" si="65"/>
        <v>6764.25</v>
      </c>
      <c r="P117" s="55"/>
      <c r="Q117" s="55"/>
      <c r="R117" s="55">
        <v>-807.86</v>
      </c>
      <c r="S117" s="55">
        <f t="shared" si="66"/>
        <v>5956.39</v>
      </c>
      <c r="T117" s="48"/>
      <c r="U117" s="49">
        <f t="shared" si="67"/>
        <v>23106.510000000009</v>
      </c>
      <c r="V117" s="51"/>
      <c r="W117" s="51"/>
      <c r="X117" s="51"/>
      <c r="Y117" s="51">
        <f t="shared" si="68"/>
        <v>23106.510000000009</v>
      </c>
      <c r="Z117" s="52"/>
      <c r="AA117" s="53">
        <f t="shared" si="69"/>
        <v>45580.94</v>
      </c>
      <c r="AB117" s="54"/>
      <c r="AC117" s="54"/>
      <c r="AD117" s="54"/>
      <c r="AE117" s="54">
        <f t="shared" si="70"/>
        <v>45580.94</v>
      </c>
      <c r="AF117" s="53"/>
      <c r="AG117" s="53"/>
      <c r="AH117" s="54"/>
      <c r="AI117" s="54"/>
      <c r="AJ117" s="54"/>
      <c r="AK117" s="54"/>
      <c r="AL117" s="53"/>
      <c r="AM117" s="53"/>
      <c r="AN117" s="54"/>
      <c r="AO117" s="54"/>
      <c r="AP117" s="54"/>
      <c r="AQ117" s="54"/>
      <c r="AR117" s="53"/>
      <c r="AS117" s="50">
        <f t="shared" ref="AS117:AS148" si="90">SUM(C117,I117,O117,U117,AA117,)</f>
        <v>-4665522.99</v>
      </c>
      <c r="AT117" s="50">
        <f t="shared" ref="AT117:AT148" si="91">SUM(D117,J117,P117,V117,AB117,)</f>
        <v>0</v>
      </c>
      <c r="AU117" s="50">
        <f t="shared" ref="AU117:AU148" si="92">SUM(E117,K117,Q117,W117,AC117,)</f>
        <v>0</v>
      </c>
      <c r="AV117" s="50">
        <f t="shared" ref="AV117:AV148" si="93">SUM(F117,L117,R117,X117,AD117,)</f>
        <v>-96640.229999999909</v>
      </c>
      <c r="AW117" s="50"/>
      <c r="AX117" s="50">
        <f t="shared" si="71"/>
        <v>-4762163.2200000007</v>
      </c>
      <c r="AY117" s="50">
        <f t="shared" ref="AY117:AY148" si="94">SUM(H117,N117,T117,Z117,AF117,)</f>
        <v>8300000</v>
      </c>
      <c r="AZ117" s="50">
        <f t="shared" ref="AZ117:AZ148" si="95">AX117+AY117</f>
        <v>3537836.7799999993</v>
      </c>
    </row>
    <row r="118" spans="2:52" x14ac:dyDescent="0.3">
      <c r="B118" s="99">
        <f t="shared" ref="B118:B120" si="96">B117+1</f>
        <v>44328</v>
      </c>
      <c r="C118" s="44">
        <f t="shared" si="72"/>
        <v>-2369407.4500000002</v>
      </c>
      <c r="D118" s="45">
        <v>362749.00999999995</v>
      </c>
      <c r="E118" s="45">
        <v>1000000</v>
      </c>
      <c r="F118" s="45">
        <v>-24981.8199999998</v>
      </c>
      <c r="G118" s="45">
        <f t="shared" si="74"/>
        <v>-1031640.26</v>
      </c>
      <c r="H118" s="44">
        <v>4300000</v>
      </c>
      <c r="I118" s="46">
        <f t="shared" si="63"/>
        <v>-2467399.6100000003</v>
      </c>
      <c r="J118" s="47">
        <v>1109851.08</v>
      </c>
      <c r="K118" s="47">
        <v>-1000000</v>
      </c>
      <c r="L118" s="47">
        <v>-64031.329999999703</v>
      </c>
      <c r="M118" s="47">
        <f t="shared" si="64"/>
        <v>-2421579.86</v>
      </c>
      <c r="N118" s="46">
        <v>4000000</v>
      </c>
      <c r="O118" s="48">
        <f t="shared" si="65"/>
        <v>5956.39</v>
      </c>
      <c r="P118" s="55"/>
      <c r="Q118" s="55">
        <v>67000</v>
      </c>
      <c r="R118" s="55"/>
      <c r="S118" s="55">
        <f t="shared" si="66"/>
        <v>72956.39</v>
      </c>
      <c r="T118" s="48"/>
      <c r="U118" s="49">
        <f t="shared" si="67"/>
        <v>23106.510000000009</v>
      </c>
      <c r="V118" s="51">
        <v>44732.66</v>
      </c>
      <c r="W118" s="51">
        <v>-67000</v>
      </c>
      <c r="X118" s="51">
        <v>-1.2</v>
      </c>
      <c r="Y118" s="51">
        <f t="shared" si="68"/>
        <v>837.97000000001276</v>
      </c>
      <c r="Z118" s="52"/>
      <c r="AA118" s="53">
        <f t="shared" si="69"/>
        <v>45580.94</v>
      </c>
      <c r="AB118" s="54"/>
      <c r="AC118" s="54"/>
      <c r="AD118" s="54">
        <v>-1397.55</v>
      </c>
      <c r="AE118" s="54">
        <f t="shared" si="70"/>
        <v>44183.39</v>
      </c>
      <c r="AF118" s="53"/>
      <c r="AG118" s="53"/>
      <c r="AH118" s="54"/>
      <c r="AI118" s="54"/>
      <c r="AJ118" s="54"/>
      <c r="AK118" s="54"/>
      <c r="AL118" s="53"/>
      <c r="AM118" s="53"/>
      <c r="AN118" s="54"/>
      <c r="AO118" s="54"/>
      <c r="AP118" s="54"/>
      <c r="AQ118" s="54"/>
      <c r="AR118" s="53"/>
      <c r="AS118" s="50">
        <f t="shared" si="90"/>
        <v>-4762163.2200000007</v>
      </c>
      <c r="AT118" s="50">
        <f t="shared" si="91"/>
        <v>1517332.75</v>
      </c>
      <c r="AU118" s="50">
        <f t="shared" si="92"/>
        <v>0</v>
      </c>
      <c r="AV118" s="50">
        <f t="shared" si="93"/>
        <v>-90411.899999999499</v>
      </c>
      <c r="AW118" s="50"/>
      <c r="AX118" s="50">
        <f t="shared" si="71"/>
        <v>-3335242.3699999996</v>
      </c>
      <c r="AY118" s="50">
        <f t="shared" si="94"/>
        <v>8300000</v>
      </c>
      <c r="AZ118" s="50">
        <f t="shared" si="95"/>
        <v>4964757.6300000008</v>
      </c>
    </row>
    <row r="119" spans="2:52" x14ac:dyDescent="0.3">
      <c r="B119" s="99">
        <f t="shared" si="96"/>
        <v>44329</v>
      </c>
      <c r="C119" s="44">
        <f t="shared" si="72"/>
        <v>-1031640.26</v>
      </c>
      <c r="D119" s="45">
        <v>284518.17</v>
      </c>
      <c r="E119" s="45">
        <f>70000-100000</f>
        <v>-30000</v>
      </c>
      <c r="F119" s="45">
        <v>-2068.67</v>
      </c>
      <c r="G119" s="45">
        <f t="shared" si="74"/>
        <v>-779190.76000000013</v>
      </c>
      <c r="H119" s="44">
        <v>4300000</v>
      </c>
      <c r="I119" s="46">
        <f t="shared" si="63"/>
        <v>-2421579.86</v>
      </c>
      <c r="J119" s="47"/>
      <c r="K119" s="47">
        <v>100000</v>
      </c>
      <c r="L119" s="47">
        <v>-63903.630000000303</v>
      </c>
      <c r="M119" s="47">
        <f t="shared" si="64"/>
        <v>-2385483.4900000002</v>
      </c>
      <c r="N119" s="46">
        <v>4000000</v>
      </c>
      <c r="O119" s="48">
        <f t="shared" si="65"/>
        <v>72956.39</v>
      </c>
      <c r="P119" s="55"/>
      <c r="Q119" s="55">
        <v>-70000</v>
      </c>
      <c r="R119" s="55">
        <v>-10</v>
      </c>
      <c r="S119" s="55">
        <f t="shared" si="66"/>
        <v>2946.3899999999994</v>
      </c>
      <c r="T119" s="48"/>
      <c r="U119" s="49">
        <f t="shared" si="67"/>
        <v>837.97000000001276</v>
      </c>
      <c r="V119" s="51"/>
      <c r="W119" s="51"/>
      <c r="X119" s="51"/>
      <c r="Y119" s="51">
        <f t="shared" si="68"/>
        <v>837.97000000001276</v>
      </c>
      <c r="Z119" s="52"/>
      <c r="AA119" s="53">
        <f t="shared" si="69"/>
        <v>44183.39</v>
      </c>
      <c r="AB119" s="54"/>
      <c r="AC119" s="54"/>
      <c r="AD119" s="54"/>
      <c r="AE119" s="54">
        <f t="shared" si="70"/>
        <v>44183.39</v>
      </c>
      <c r="AF119" s="53"/>
      <c r="AG119" s="53"/>
      <c r="AH119" s="54"/>
      <c r="AI119" s="54"/>
      <c r="AJ119" s="54"/>
      <c r="AK119" s="54"/>
      <c r="AL119" s="53"/>
      <c r="AM119" s="53"/>
      <c r="AN119" s="54"/>
      <c r="AO119" s="54"/>
      <c r="AP119" s="54"/>
      <c r="AQ119" s="54"/>
      <c r="AR119" s="53"/>
      <c r="AS119" s="50">
        <f t="shared" si="90"/>
        <v>-3335242.3699999996</v>
      </c>
      <c r="AT119" s="50">
        <f t="shared" si="91"/>
        <v>284518.17</v>
      </c>
      <c r="AU119" s="50">
        <f t="shared" si="92"/>
        <v>0</v>
      </c>
      <c r="AV119" s="50">
        <f t="shared" si="93"/>
        <v>-65982.300000000309</v>
      </c>
      <c r="AW119" s="50"/>
      <c r="AX119" s="50">
        <f t="shared" si="71"/>
        <v>-3116706.5</v>
      </c>
      <c r="AY119" s="50">
        <f t="shared" si="94"/>
        <v>8300000</v>
      </c>
      <c r="AZ119" s="50">
        <f t="shared" si="95"/>
        <v>5183293.5</v>
      </c>
    </row>
    <row r="120" spans="2:52" x14ac:dyDescent="0.3">
      <c r="B120" s="99">
        <f t="shared" si="96"/>
        <v>44330</v>
      </c>
      <c r="C120" s="44">
        <f t="shared" si="72"/>
        <v>-779190.76000000013</v>
      </c>
      <c r="D120" s="45">
        <v>108811.66</v>
      </c>
      <c r="E120" s="45">
        <v>-2700000</v>
      </c>
      <c r="F120" s="45">
        <v>-15203.75</v>
      </c>
      <c r="G120" s="45">
        <f t="shared" si="74"/>
        <v>-3385582.85</v>
      </c>
      <c r="H120" s="44">
        <v>4300000</v>
      </c>
      <c r="I120" s="46">
        <f t="shared" si="63"/>
        <v>-2385483.4900000002</v>
      </c>
      <c r="J120" s="47">
        <v>12123.66</v>
      </c>
      <c r="K120" s="47">
        <v>2700000</v>
      </c>
      <c r="L120" s="47">
        <v>-275925.37</v>
      </c>
      <c r="M120" s="47">
        <f t="shared" si="64"/>
        <v>50714.79999999993</v>
      </c>
      <c r="N120" s="46">
        <v>4000000</v>
      </c>
      <c r="O120" s="48">
        <f t="shared" si="65"/>
        <v>2946.3899999999994</v>
      </c>
      <c r="P120" s="55"/>
      <c r="Q120" s="55"/>
      <c r="R120" s="55"/>
      <c r="S120" s="55">
        <f t="shared" si="66"/>
        <v>2946.3899999999994</v>
      </c>
      <c r="T120" s="48"/>
      <c r="U120" s="49">
        <f t="shared" si="67"/>
        <v>837.97000000001276</v>
      </c>
      <c r="V120" s="51"/>
      <c r="W120" s="51"/>
      <c r="X120" s="51"/>
      <c r="Y120" s="51">
        <f t="shared" si="68"/>
        <v>837.97000000001276</v>
      </c>
      <c r="Z120" s="52"/>
      <c r="AA120" s="53">
        <f t="shared" si="69"/>
        <v>44183.39</v>
      </c>
      <c r="AB120" s="54"/>
      <c r="AC120" s="54"/>
      <c r="AD120" s="54">
        <v>-7107.91</v>
      </c>
      <c r="AE120" s="54">
        <f t="shared" si="70"/>
        <v>37075.479999999996</v>
      </c>
      <c r="AF120" s="53"/>
      <c r="AG120" s="53"/>
      <c r="AH120" s="54"/>
      <c r="AI120" s="54"/>
      <c r="AJ120" s="54"/>
      <c r="AK120" s="54"/>
      <c r="AL120" s="53"/>
      <c r="AM120" s="53"/>
      <c r="AN120" s="54"/>
      <c r="AO120" s="54"/>
      <c r="AP120" s="54"/>
      <c r="AQ120" s="54"/>
      <c r="AR120" s="53"/>
      <c r="AS120" s="50">
        <f t="shared" si="90"/>
        <v>-3116706.5</v>
      </c>
      <c r="AT120" s="50">
        <f t="shared" si="91"/>
        <v>120935.32</v>
      </c>
      <c r="AU120" s="50">
        <f t="shared" si="92"/>
        <v>0</v>
      </c>
      <c r="AV120" s="50">
        <f t="shared" si="93"/>
        <v>-298237.02999999997</v>
      </c>
      <c r="AW120" s="50"/>
      <c r="AX120" s="50">
        <f t="shared" si="71"/>
        <v>-3294008.21</v>
      </c>
      <c r="AY120" s="50">
        <f t="shared" si="94"/>
        <v>8300000</v>
      </c>
      <c r="AZ120" s="50">
        <f t="shared" si="95"/>
        <v>5005991.79</v>
      </c>
    </row>
    <row r="121" spans="2:52" x14ac:dyDescent="0.3">
      <c r="B121" s="99">
        <f>B120+3</f>
        <v>44333</v>
      </c>
      <c r="C121" s="44">
        <f t="shared" si="72"/>
        <v>-3385582.85</v>
      </c>
      <c r="D121" s="45">
        <v>48567.37</v>
      </c>
      <c r="E121" s="45">
        <v>-100000</v>
      </c>
      <c r="F121" s="45">
        <v>-43960.57</v>
      </c>
      <c r="G121" s="45">
        <f t="shared" si="74"/>
        <v>-3480976.05</v>
      </c>
      <c r="H121" s="44">
        <v>4300000</v>
      </c>
      <c r="I121" s="46">
        <f t="shared" si="63"/>
        <v>50714.79999999993</v>
      </c>
      <c r="J121" s="47"/>
      <c r="K121" s="47">
        <v>100000</v>
      </c>
      <c r="L121" s="47">
        <v>-101322.4</v>
      </c>
      <c r="M121" s="47">
        <f t="shared" si="64"/>
        <v>49392.399999999936</v>
      </c>
      <c r="N121" s="46">
        <v>4000000</v>
      </c>
      <c r="O121" s="48">
        <f t="shared" si="65"/>
        <v>2946.3899999999994</v>
      </c>
      <c r="P121" s="55">
        <v>122.88</v>
      </c>
      <c r="Q121" s="55"/>
      <c r="R121" s="55">
        <f>-55.5-10</f>
        <v>-65.5</v>
      </c>
      <c r="S121" s="55">
        <f t="shared" si="66"/>
        <v>3003.7699999999995</v>
      </c>
      <c r="T121" s="48"/>
      <c r="U121" s="49">
        <f t="shared" si="67"/>
        <v>837.97000000001276</v>
      </c>
      <c r="V121" s="51"/>
      <c r="W121" s="51"/>
      <c r="X121" s="51"/>
      <c r="Y121" s="51">
        <f t="shared" si="68"/>
        <v>837.97000000001276</v>
      </c>
      <c r="Z121" s="52"/>
      <c r="AA121" s="53">
        <f t="shared" si="69"/>
        <v>37075.479999999996</v>
      </c>
      <c r="AB121" s="54"/>
      <c r="AC121" s="54"/>
      <c r="AD121" s="54">
        <v>-4767.5</v>
      </c>
      <c r="AE121" s="54">
        <f t="shared" si="70"/>
        <v>32307.979999999996</v>
      </c>
      <c r="AF121" s="53"/>
      <c r="AG121" s="53"/>
      <c r="AH121" s="54"/>
      <c r="AI121" s="54"/>
      <c r="AJ121" s="54"/>
      <c r="AK121" s="54"/>
      <c r="AL121" s="53"/>
      <c r="AM121" s="53"/>
      <c r="AN121" s="54"/>
      <c r="AO121" s="54"/>
      <c r="AP121" s="54"/>
      <c r="AQ121" s="54"/>
      <c r="AR121" s="53"/>
      <c r="AS121" s="50">
        <f t="shared" si="90"/>
        <v>-3294008.21</v>
      </c>
      <c r="AT121" s="50">
        <f t="shared" si="91"/>
        <v>48690.25</v>
      </c>
      <c r="AU121" s="50">
        <f t="shared" si="92"/>
        <v>0</v>
      </c>
      <c r="AV121" s="50">
        <f t="shared" si="93"/>
        <v>-150115.97</v>
      </c>
      <c r="AW121" s="50"/>
      <c r="AX121" s="50">
        <f t="shared" si="71"/>
        <v>-3395433.9299999997</v>
      </c>
      <c r="AY121" s="50">
        <f t="shared" si="94"/>
        <v>8300000</v>
      </c>
      <c r="AZ121" s="50">
        <f t="shared" si="95"/>
        <v>4904566.07</v>
      </c>
    </row>
    <row r="122" spans="2:52" x14ac:dyDescent="0.3">
      <c r="B122" s="99">
        <f>B121+1</f>
        <v>44334</v>
      </c>
      <c r="C122" s="44">
        <f t="shared" si="72"/>
        <v>-3480976.05</v>
      </c>
      <c r="D122" s="45">
        <f>14865.84+13248.62+20068.88+35959.85+14719.62</f>
        <v>98862.81</v>
      </c>
      <c r="E122" s="45"/>
      <c r="F122" s="45"/>
      <c r="G122" s="45">
        <f t="shared" si="74"/>
        <v>-3382113.2399999998</v>
      </c>
      <c r="H122" s="44">
        <v>4300000</v>
      </c>
      <c r="I122" s="46">
        <f t="shared" si="63"/>
        <v>49392.399999999936</v>
      </c>
      <c r="J122" s="47"/>
      <c r="K122" s="47"/>
      <c r="L122" s="47">
        <v>-20455.6899999999</v>
      </c>
      <c r="M122" s="47">
        <f t="shared" si="64"/>
        <v>28936.710000000036</v>
      </c>
      <c r="N122" s="46">
        <v>4000000</v>
      </c>
      <c r="O122" s="48">
        <f t="shared" si="65"/>
        <v>3003.7699999999995</v>
      </c>
      <c r="P122" s="55"/>
      <c r="Q122" s="55">
        <v>148000</v>
      </c>
      <c r="R122" s="55"/>
      <c r="S122" s="55">
        <f t="shared" si="66"/>
        <v>151003.76999999999</v>
      </c>
      <c r="T122" s="48"/>
      <c r="U122" s="49">
        <f t="shared" si="67"/>
        <v>837.97000000001276</v>
      </c>
      <c r="V122" s="51">
        <v>147990.19</v>
      </c>
      <c r="W122" s="51">
        <v>-148000</v>
      </c>
      <c r="X122" s="51">
        <v>-1.2</v>
      </c>
      <c r="Y122" s="51">
        <f t="shared" si="68"/>
        <v>826.96000000000345</v>
      </c>
      <c r="Z122" s="52"/>
      <c r="AA122" s="53">
        <f t="shared" si="69"/>
        <v>32307.979999999996</v>
      </c>
      <c r="AB122" s="54"/>
      <c r="AC122" s="54"/>
      <c r="AD122" s="54"/>
      <c r="AE122" s="54">
        <f t="shared" si="70"/>
        <v>32307.979999999996</v>
      </c>
      <c r="AF122" s="53"/>
      <c r="AG122" s="53"/>
      <c r="AH122" s="54"/>
      <c r="AI122" s="54"/>
      <c r="AJ122" s="54"/>
      <c r="AK122" s="54"/>
      <c r="AL122" s="53"/>
      <c r="AM122" s="53"/>
      <c r="AN122" s="54"/>
      <c r="AO122" s="54"/>
      <c r="AP122" s="54"/>
      <c r="AQ122" s="54"/>
      <c r="AR122" s="53"/>
      <c r="AS122" s="50">
        <f t="shared" si="90"/>
        <v>-3395433.9299999997</v>
      </c>
      <c r="AT122" s="50">
        <f t="shared" si="91"/>
        <v>246853</v>
      </c>
      <c r="AU122" s="50">
        <f t="shared" si="92"/>
        <v>0</v>
      </c>
      <c r="AV122" s="50">
        <f t="shared" si="93"/>
        <v>-20456.889999999901</v>
      </c>
      <c r="AW122" s="50"/>
      <c r="AX122" s="50">
        <f t="shared" si="71"/>
        <v>-3169037.82</v>
      </c>
      <c r="AY122" s="50">
        <f t="shared" si="94"/>
        <v>8300000</v>
      </c>
      <c r="AZ122" s="50">
        <f t="shared" si="95"/>
        <v>5130962.18</v>
      </c>
    </row>
    <row r="123" spans="2:52" x14ac:dyDescent="0.3">
      <c r="B123" s="99">
        <f t="shared" ref="B123:B124" si="97">B122+1</f>
        <v>44335</v>
      </c>
      <c r="C123" s="44">
        <f t="shared" ref="C123:C186" si="98">G122</f>
        <v>-3382113.2399999998</v>
      </c>
      <c r="D123" s="45">
        <f>35640+52972.36</f>
        <v>88612.36</v>
      </c>
      <c r="E123" s="45">
        <v>450000</v>
      </c>
      <c r="F123" s="45"/>
      <c r="G123" s="45">
        <f t="shared" si="74"/>
        <v>-2843500.88</v>
      </c>
      <c r="H123" s="44">
        <v>4300000</v>
      </c>
      <c r="I123" s="46">
        <f t="shared" ref="I123:I186" si="99">M122</f>
        <v>28936.710000000036</v>
      </c>
      <c r="J123" s="47">
        <v>1269311.23</v>
      </c>
      <c r="K123" s="47">
        <v>-300000</v>
      </c>
      <c r="L123" s="47">
        <f>-867.14-410-7530.87</f>
        <v>-8808.01</v>
      </c>
      <c r="M123" s="47">
        <f t="shared" ref="M123:M186" si="100">SUM(I123:L123)</f>
        <v>989439.92999999993</v>
      </c>
      <c r="N123" s="46">
        <v>4000000</v>
      </c>
      <c r="O123" s="48">
        <f t="shared" ref="O123:O186" si="101">S122</f>
        <v>151003.76999999999</v>
      </c>
      <c r="P123" s="55"/>
      <c r="Q123" s="55">
        <v>-150000</v>
      </c>
      <c r="R123" s="55">
        <v>-10</v>
      </c>
      <c r="S123" s="55">
        <f t="shared" ref="S123:S186" si="102">SUM(O123:R123)</f>
        <v>993.76999999998952</v>
      </c>
      <c r="T123" s="48"/>
      <c r="U123" s="49">
        <f t="shared" ref="U123:U186" si="103">Y122</f>
        <v>826.96000000000345</v>
      </c>
      <c r="V123" s="51"/>
      <c r="W123" s="51"/>
      <c r="X123" s="51"/>
      <c r="Y123" s="51">
        <f t="shared" ref="Y123:Y186" si="104">SUM(U123:X123)</f>
        <v>826.96000000000345</v>
      </c>
      <c r="Z123" s="52"/>
      <c r="AA123" s="53">
        <f t="shared" ref="AA123:AA186" si="105">AE122</f>
        <v>32307.979999999996</v>
      </c>
      <c r="AB123" s="54"/>
      <c r="AC123" s="54"/>
      <c r="AD123" s="54"/>
      <c r="AE123" s="54">
        <f t="shared" ref="AE123:AE186" si="106">SUM(AA123:AD123)</f>
        <v>32307.979999999996</v>
      </c>
      <c r="AF123" s="53"/>
      <c r="AG123" s="53"/>
      <c r="AH123" s="54"/>
      <c r="AI123" s="54"/>
      <c r="AJ123" s="54"/>
      <c r="AK123" s="54"/>
      <c r="AL123" s="53"/>
      <c r="AM123" s="53"/>
      <c r="AN123" s="54"/>
      <c r="AO123" s="54"/>
      <c r="AP123" s="54"/>
      <c r="AQ123" s="54"/>
      <c r="AR123" s="53"/>
      <c r="AS123" s="50">
        <f t="shared" si="90"/>
        <v>-3169037.82</v>
      </c>
      <c r="AT123" s="50">
        <f t="shared" si="91"/>
        <v>1357923.59</v>
      </c>
      <c r="AU123" s="50">
        <f t="shared" si="92"/>
        <v>0</v>
      </c>
      <c r="AV123" s="50">
        <f t="shared" si="93"/>
        <v>-8818.01</v>
      </c>
      <c r="AW123" s="50"/>
      <c r="AX123" s="50">
        <f t="shared" ref="AX123:AX180" si="107">SUM(G123,M123,S123,Y123,AE123,)</f>
        <v>-1819932.24</v>
      </c>
      <c r="AY123" s="50">
        <f t="shared" si="94"/>
        <v>8300000</v>
      </c>
      <c r="AZ123" s="50">
        <f t="shared" si="95"/>
        <v>6480067.7599999998</v>
      </c>
    </row>
    <row r="124" spans="2:52" x14ac:dyDescent="0.3">
      <c r="B124" s="99">
        <f t="shared" si="97"/>
        <v>44336</v>
      </c>
      <c r="C124" s="44">
        <f t="shared" si="98"/>
        <v>-2843500.88</v>
      </c>
      <c r="D124" s="45">
        <v>292764.58999999997</v>
      </c>
      <c r="E124" s="45">
        <v>850000</v>
      </c>
      <c r="F124" s="45">
        <v>-992356.24</v>
      </c>
      <c r="G124" s="45">
        <f t="shared" si="74"/>
        <v>-2693092.5300000003</v>
      </c>
      <c r="H124" s="44">
        <v>4300000</v>
      </c>
      <c r="I124" s="46">
        <f t="shared" si="99"/>
        <v>989439.92999999993</v>
      </c>
      <c r="J124" s="47"/>
      <c r="K124" s="47">
        <v>-850000</v>
      </c>
      <c r="L124" s="47">
        <v>-86356.299999999901</v>
      </c>
      <c r="M124" s="47">
        <f t="shared" si="100"/>
        <v>53083.630000000034</v>
      </c>
      <c r="N124" s="46">
        <v>4000000</v>
      </c>
      <c r="O124" s="48">
        <f t="shared" si="101"/>
        <v>993.76999999998952</v>
      </c>
      <c r="P124" s="55"/>
      <c r="Q124" s="55"/>
      <c r="R124" s="55"/>
      <c r="S124" s="55">
        <f t="shared" si="102"/>
        <v>993.76999999998952</v>
      </c>
      <c r="T124" s="48"/>
      <c r="U124" s="49">
        <f t="shared" si="103"/>
        <v>826.96000000000345</v>
      </c>
      <c r="V124" s="51"/>
      <c r="W124" s="51"/>
      <c r="X124" s="51"/>
      <c r="Y124" s="51">
        <f t="shared" si="104"/>
        <v>826.96000000000345</v>
      </c>
      <c r="Z124" s="52"/>
      <c r="AA124" s="53">
        <f t="shared" si="105"/>
        <v>32307.979999999996</v>
      </c>
      <c r="AB124" s="54"/>
      <c r="AC124" s="54"/>
      <c r="AD124" s="54">
        <v>-15996.91</v>
      </c>
      <c r="AE124" s="54">
        <f t="shared" si="106"/>
        <v>16311.069999999996</v>
      </c>
      <c r="AF124" s="53"/>
      <c r="AG124" s="53"/>
      <c r="AH124" s="54"/>
      <c r="AI124" s="54"/>
      <c r="AJ124" s="54"/>
      <c r="AK124" s="54"/>
      <c r="AL124" s="53"/>
      <c r="AM124" s="53"/>
      <c r="AN124" s="54"/>
      <c r="AO124" s="54"/>
      <c r="AP124" s="54"/>
      <c r="AQ124" s="54"/>
      <c r="AR124" s="53"/>
      <c r="AS124" s="50">
        <f t="shared" si="90"/>
        <v>-1819932.24</v>
      </c>
      <c r="AT124" s="50">
        <f t="shared" si="91"/>
        <v>292764.58999999997</v>
      </c>
      <c r="AU124" s="50">
        <f t="shared" si="92"/>
        <v>0</v>
      </c>
      <c r="AV124" s="50">
        <f t="shared" si="93"/>
        <v>-1094709.4499999997</v>
      </c>
      <c r="AW124" s="50"/>
      <c r="AX124" s="50">
        <f t="shared" si="107"/>
        <v>-2621877.1000000006</v>
      </c>
      <c r="AY124" s="50">
        <f t="shared" si="94"/>
        <v>8300000</v>
      </c>
      <c r="AZ124" s="50">
        <f t="shared" si="95"/>
        <v>5678122.8999999994</v>
      </c>
    </row>
    <row r="125" spans="2:52" x14ac:dyDescent="0.3">
      <c r="B125" s="99">
        <f>B124+1</f>
        <v>44337</v>
      </c>
      <c r="C125" s="44">
        <f t="shared" si="98"/>
        <v>-2693092.5300000003</v>
      </c>
      <c r="D125" s="45">
        <v>6215.19</v>
      </c>
      <c r="E125" s="45">
        <v>200000</v>
      </c>
      <c r="F125" s="45"/>
      <c r="G125" s="45">
        <f t="shared" si="74"/>
        <v>-2486877.3400000003</v>
      </c>
      <c r="H125" s="44">
        <v>4300000</v>
      </c>
      <c r="I125" s="46">
        <f t="shared" si="99"/>
        <v>53083.630000000034</v>
      </c>
      <c r="J125" s="47">
        <f>38279.56+31621.93+182325</f>
        <v>252226.49</v>
      </c>
      <c r="K125" s="47">
        <v>-200000</v>
      </c>
      <c r="L125" s="47">
        <v>-92544.46</v>
      </c>
      <c r="M125" s="47">
        <f t="shared" si="100"/>
        <v>12765.659999999989</v>
      </c>
      <c r="N125" s="46">
        <v>4000000</v>
      </c>
      <c r="O125" s="48">
        <f t="shared" si="101"/>
        <v>993.76999999998952</v>
      </c>
      <c r="P125" s="55"/>
      <c r="Q125" s="55"/>
      <c r="R125" s="55"/>
      <c r="S125" s="55">
        <f t="shared" si="102"/>
        <v>993.76999999998952</v>
      </c>
      <c r="T125" s="48"/>
      <c r="U125" s="49">
        <f t="shared" si="103"/>
        <v>826.96000000000345</v>
      </c>
      <c r="V125" s="51">
        <v>271899.40000000002</v>
      </c>
      <c r="W125" s="51"/>
      <c r="X125" s="51"/>
      <c r="Y125" s="51">
        <f t="shared" si="104"/>
        <v>272726.36000000004</v>
      </c>
      <c r="Z125" s="52"/>
      <c r="AA125" s="53">
        <f t="shared" si="105"/>
        <v>16311.069999999996</v>
      </c>
      <c r="AB125" s="54"/>
      <c r="AC125" s="54"/>
      <c r="AD125" s="54"/>
      <c r="AE125" s="54">
        <f t="shared" si="106"/>
        <v>16311.069999999996</v>
      </c>
      <c r="AF125" s="53"/>
      <c r="AG125" s="53"/>
      <c r="AH125" s="54"/>
      <c r="AI125" s="54"/>
      <c r="AJ125" s="54"/>
      <c r="AK125" s="54"/>
      <c r="AL125" s="53"/>
      <c r="AM125" s="53"/>
      <c r="AN125" s="54"/>
      <c r="AO125" s="54"/>
      <c r="AP125" s="54"/>
      <c r="AQ125" s="54"/>
      <c r="AR125" s="53"/>
      <c r="AS125" s="50">
        <f t="shared" si="90"/>
        <v>-2621877.1000000006</v>
      </c>
      <c r="AT125" s="50">
        <f t="shared" si="91"/>
        <v>530341.08000000007</v>
      </c>
      <c r="AU125" s="50">
        <f t="shared" si="92"/>
        <v>0</v>
      </c>
      <c r="AV125" s="50">
        <f t="shared" si="93"/>
        <v>-92544.46</v>
      </c>
      <c r="AW125" s="50"/>
      <c r="AX125" s="50">
        <f t="shared" si="107"/>
        <v>-2184080.4800000004</v>
      </c>
      <c r="AY125" s="50">
        <f t="shared" si="94"/>
        <v>8300000</v>
      </c>
      <c r="AZ125" s="50">
        <f t="shared" si="95"/>
        <v>6115919.5199999996</v>
      </c>
    </row>
    <row r="126" spans="2:52" x14ac:dyDescent="0.3">
      <c r="B126" s="99">
        <f>B125+3</f>
        <v>44340</v>
      </c>
      <c r="C126" s="44">
        <f t="shared" si="98"/>
        <v>-2486877.3400000003</v>
      </c>
      <c r="D126" s="45">
        <f>150611.29+23462.5</f>
        <v>174073.79</v>
      </c>
      <c r="E126" s="45">
        <f>300000-50000</f>
        <v>250000</v>
      </c>
      <c r="F126" s="45">
        <v>-405.02</v>
      </c>
      <c r="G126" s="45">
        <f t="shared" si="74"/>
        <v>-2063208.5700000003</v>
      </c>
      <c r="H126" s="44">
        <v>4300000</v>
      </c>
      <c r="I126" s="46">
        <f t="shared" si="99"/>
        <v>12765.659999999989</v>
      </c>
      <c r="J126" s="47"/>
      <c r="K126" s="47">
        <v>50000</v>
      </c>
      <c r="L126" s="47">
        <f>-28918.28-6549.19</f>
        <v>-35467.47</v>
      </c>
      <c r="M126" s="47">
        <f t="shared" si="100"/>
        <v>27298.189999999988</v>
      </c>
      <c r="N126" s="46">
        <v>4000000</v>
      </c>
      <c r="O126" s="48">
        <f t="shared" si="101"/>
        <v>993.76999999998952</v>
      </c>
      <c r="P126" s="55"/>
      <c r="Q126" s="55">
        <f>332000-300000</f>
        <v>32000</v>
      </c>
      <c r="R126" s="55">
        <f>-30-90-7700</f>
        <v>-7820</v>
      </c>
      <c r="S126" s="55">
        <f t="shared" si="102"/>
        <v>25173.76999999999</v>
      </c>
      <c r="T126" s="48"/>
      <c r="U126" s="49">
        <f t="shared" si="103"/>
        <v>272726.36000000004</v>
      </c>
      <c r="V126" s="51">
        <v>59613.52</v>
      </c>
      <c r="W126" s="51">
        <v>-332000</v>
      </c>
      <c r="X126" s="51"/>
      <c r="Y126" s="51">
        <f t="shared" si="104"/>
        <v>339.88000000006286</v>
      </c>
      <c r="Z126" s="52"/>
      <c r="AA126" s="53">
        <f t="shared" si="105"/>
        <v>16311.069999999996</v>
      </c>
      <c r="AB126" s="54"/>
      <c r="AC126" s="54"/>
      <c r="AD126" s="54">
        <v>-1850</v>
      </c>
      <c r="AE126" s="54">
        <f t="shared" si="106"/>
        <v>14461.069999999996</v>
      </c>
      <c r="AF126" s="53"/>
      <c r="AG126" s="53"/>
      <c r="AH126" s="54"/>
      <c r="AI126" s="54"/>
      <c r="AJ126" s="54"/>
      <c r="AK126" s="54"/>
      <c r="AL126" s="53"/>
      <c r="AM126" s="53"/>
      <c r="AN126" s="54"/>
      <c r="AO126" s="54"/>
      <c r="AP126" s="54"/>
      <c r="AQ126" s="54"/>
      <c r="AR126" s="53"/>
      <c r="AS126" s="50">
        <f t="shared" si="90"/>
        <v>-2184080.4800000004</v>
      </c>
      <c r="AT126" s="50">
        <f t="shared" si="91"/>
        <v>233687.31</v>
      </c>
      <c r="AU126" s="50">
        <f t="shared" si="92"/>
        <v>0</v>
      </c>
      <c r="AV126" s="50">
        <f t="shared" si="93"/>
        <v>-45542.49</v>
      </c>
      <c r="AW126" s="50"/>
      <c r="AX126" s="50">
        <f t="shared" si="107"/>
        <v>-1995935.6600000001</v>
      </c>
      <c r="AY126" s="50">
        <f t="shared" si="94"/>
        <v>8300000</v>
      </c>
      <c r="AZ126" s="50">
        <f t="shared" si="95"/>
        <v>6304064.3399999999</v>
      </c>
    </row>
    <row r="127" spans="2:52" ht="13.5" customHeight="1" x14ac:dyDescent="0.3">
      <c r="B127" s="99">
        <f>B126+1</f>
        <v>44341</v>
      </c>
      <c r="C127" s="44">
        <f t="shared" si="98"/>
        <v>-2063208.5700000003</v>
      </c>
      <c r="D127" s="45">
        <v>19999.990000000002</v>
      </c>
      <c r="E127" s="45">
        <v>-370000</v>
      </c>
      <c r="F127" s="45">
        <v>-171864.74</v>
      </c>
      <c r="G127" s="45">
        <f t="shared" si="74"/>
        <v>-2585073.3200000003</v>
      </c>
      <c r="H127" s="44">
        <v>4300000</v>
      </c>
      <c r="I127" s="46">
        <f t="shared" si="99"/>
        <v>27298.189999999988</v>
      </c>
      <c r="J127" s="47"/>
      <c r="K127" s="47">
        <v>370000</v>
      </c>
      <c r="L127" s="47">
        <v>-388996.65</v>
      </c>
      <c r="M127" s="47">
        <f t="shared" si="100"/>
        <v>8301.539999999979</v>
      </c>
      <c r="N127" s="46">
        <v>4000000</v>
      </c>
      <c r="O127" s="48">
        <f t="shared" si="101"/>
        <v>25173.76999999999</v>
      </c>
      <c r="P127" s="55">
        <f>15728.02+14586.88</f>
        <v>30314.9</v>
      </c>
      <c r="Q127" s="55"/>
      <c r="R127" s="55">
        <v>-33694.57</v>
      </c>
      <c r="S127" s="55">
        <f t="shared" si="102"/>
        <v>21794.099999999991</v>
      </c>
      <c r="T127" s="48"/>
      <c r="U127" s="49">
        <f t="shared" si="103"/>
        <v>339.88000000006286</v>
      </c>
      <c r="V127" s="51"/>
      <c r="W127" s="51"/>
      <c r="X127" s="51">
        <v>-1.2</v>
      </c>
      <c r="Y127" s="51">
        <f t="shared" si="104"/>
        <v>338.68000000006288</v>
      </c>
      <c r="Z127" s="52"/>
      <c r="AA127" s="53">
        <f t="shared" si="105"/>
        <v>14461.069999999996</v>
      </c>
      <c r="AB127" s="54"/>
      <c r="AC127" s="54"/>
      <c r="AD127" s="54">
        <v>-87</v>
      </c>
      <c r="AE127" s="54">
        <f t="shared" si="106"/>
        <v>14374.069999999996</v>
      </c>
      <c r="AF127" s="53"/>
      <c r="AG127" s="53"/>
      <c r="AH127" s="54"/>
      <c r="AI127" s="54"/>
      <c r="AJ127" s="54"/>
      <c r="AK127" s="54"/>
      <c r="AL127" s="53"/>
      <c r="AM127" s="53"/>
      <c r="AN127" s="54"/>
      <c r="AO127" s="54"/>
      <c r="AP127" s="54"/>
      <c r="AQ127" s="54"/>
      <c r="AR127" s="53"/>
      <c r="AS127" s="50">
        <f t="shared" si="90"/>
        <v>-1995935.6600000001</v>
      </c>
      <c r="AT127" s="50">
        <f t="shared" si="91"/>
        <v>50314.89</v>
      </c>
      <c r="AU127" s="50">
        <f t="shared" si="92"/>
        <v>0</v>
      </c>
      <c r="AV127" s="50">
        <f t="shared" si="93"/>
        <v>-594644.15999999992</v>
      </c>
      <c r="AW127" s="50"/>
      <c r="AX127" s="50">
        <f t="shared" si="107"/>
        <v>-2540264.9300000002</v>
      </c>
      <c r="AY127" s="50">
        <f t="shared" si="94"/>
        <v>8300000</v>
      </c>
      <c r="AZ127" s="50">
        <f t="shared" si="95"/>
        <v>5759735.0700000003</v>
      </c>
    </row>
    <row r="128" spans="2:52" ht="13.5" customHeight="1" x14ac:dyDescent="0.3">
      <c r="B128" s="99">
        <f t="shared" ref="B128:B129" si="108">B127+1</f>
        <v>44342</v>
      </c>
      <c r="C128" s="44">
        <f t="shared" si="98"/>
        <v>-2585073.3200000003</v>
      </c>
      <c r="D128" s="45">
        <f>124533.76+26926.22+20096.1</f>
        <v>171556.08</v>
      </c>
      <c r="E128" s="45">
        <v>-600000</v>
      </c>
      <c r="F128" s="45"/>
      <c r="G128" s="45">
        <f t="shared" si="74"/>
        <v>-3013517.24</v>
      </c>
      <c r="H128" s="44">
        <v>4300000</v>
      </c>
      <c r="I128" s="46">
        <f t="shared" si="99"/>
        <v>8301.539999999979</v>
      </c>
      <c r="J128" s="47">
        <v>157172.01</v>
      </c>
      <c r="K128" s="47">
        <v>600000</v>
      </c>
      <c r="L128" s="47">
        <v>-706788.05</v>
      </c>
      <c r="M128" s="47">
        <f t="shared" si="100"/>
        <v>58685.5</v>
      </c>
      <c r="N128" s="46">
        <v>4000000</v>
      </c>
      <c r="O128" s="48">
        <f t="shared" si="101"/>
        <v>21794.099999999991</v>
      </c>
      <c r="P128" s="55"/>
      <c r="Q128" s="55"/>
      <c r="R128" s="55">
        <v>-4180.07</v>
      </c>
      <c r="S128" s="55">
        <f t="shared" si="102"/>
        <v>17614.029999999992</v>
      </c>
      <c r="T128" s="48"/>
      <c r="U128" s="49">
        <f t="shared" si="103"/>
        <v>338.68000000006288</v>
      </c>
      <c r="V128" s="51">
        <v>57158.41</v>
      </c>
      <c r="W128" s="51"/>
      <c r="X128" s="51"/>
      <c r="Y128" s="51">
        <f t="shared" si="104"/>
        <v>57497.090000000069</v>
      </c>
      <c r="Z128" s="52"/>
      <c r="AA128" s="53">
        <f t="shared" si="105"/>
        <v>14374.069999999996</v>
      </c>
      <c r="AB128" s="54"/>
      <c r="AC128" s="54"/>
      <c r="AD128" s="54"/>
      <c r="AE128" s="54">
        <f t="shared" si="106"/>
        <v>14374.069999999996</v>
      </c>
      <c r="AF128" s="53"/>
      <c r="AG128" s="53"/>
      <c r="AH128" s="54"/>
      <c r="AI128" s="54"/>
      <c r="AJ128" s="54"/>
      <c r="AK128" s="54"/>
      <c r="AL128" s="53"/>
      <c r="AM128" s="53"/>
      <c r="AN128" s="54"/>
      <c r="AO128" s="54"/>
      <c r="AP128" s="54"/>
      <c r="AQ128" s="54"/>
      <c r="AR128" s="53"/>
      <c r="AS128" s="50">
        <f t="shared" si="90"/>
        <v>-2540264.9300000002</v>
      </c>
      <c r="AT128" s="50">
        <f t="shared" si="91"/>
        <v>385886.5</v>
      </c>
      <c r="AU128" s="50">
        <f t="shared" si="92"/>
        <v>0</v>
      </c>
      <c r="AV128" s="50">
        <f t="shared" si="93"/>
        <v>-710968.12</v>
      </c>
      <c r="AW128" s="50"/>
      <c r="AX128" s="50">
        <f t="shared" si="107"/>
        <v>-2865346.5500000007</v>
      </c>
      <c r="AY128" s="50">
        <f t="shared" si="94"/>
        <v>8300000</v>
      </c>
      <c r="AZ128" s="50">
        <f t="shared" si="95"/>
        <v>5434653.4499999993</v>
      </c>
    </row>
    <row r="129" spans="2:54" ht="13.5" customHeight="1" x14ac:dyDescent="0.3">
      <c r="B129" s="99">
        <f t="shared" si="108"/>
        <v>44343</v>
      </c>
      <c r="C129" s="44">
        <f t="shared" si="98"/>
        <v>-3013517.24</v>
      </c>
      <c r="D129" s="45">
        <v>60536.14</v>
      </c>
      <c r="E129" s="45"/>
      <c r="F129" s="45">
        <v>-121500.35</v>
      </c>
      <c r="G129" s="45">
        <f t="shared" si="74"/>
        <v>-3074481.45</v>
      </c>
      <c r="H129" s="44">
        <v>4300000</v>
      </c>
      <c r="I129" s="46">
        <f t="shared" si="99"/>
        <v>58685.5</v>
      </c>
      <c r="J129" s="47">
        <v>258.33</v>
      </c>
      <c r="K129" s="47"/>
      <c r="L129" s="47">
        <v>-58659.75</v>
      </c>
      <c r="M129" s="47">
        <f t="shared" si="100"/>
        <v>284.08000000000175</v>
      </c>
      <c r="N129" s="46">
        <v>4000000</v>
      </c>
      <c r="O129" s="48">
        <f t="shared" si="101"/>
        <v>17614.029999999992</v>
      </c>
      <c r="P129" s="55"/>
      <c r="Q129" s="55">
        <v>57000</v>
      </c>
      <c r="R129" s="55">
        <f>-3138.11+10</f>
        <v>-3128.11</v>
      </c>
      <c r="S129" s="55">
        <f t="shared" si="102"/>
        <v>71485.919999999998</v>
      </c>
      <c r="T129" s="48"/>
      <c r="U129" s="49">
        <f t="shared" si="103"/>
        <v>57497.090000000069</v>
      </c>
      <c r="V129" s="51"/>
      <c r="W129" s="51">
        <v>-57000</v>
      </c>
      <c r="X129" s="51">
        <v>-1.2</v>
      </c>
      <c r="Y129" s="51">
        <f t="shared" si="104"/>
        <v>495.89000000006928</v>
      </c>
      <c r="Z129" s="52"/>
      <c r="AA129" s="53">
        <f t="shared" si="105"/>
        <v>14374.069999999996</v>
      </c>
      <c r="AB129" s="54"/>
      <c r="AC129" s="54"/>
      <c r="AD129" s="54">
        <v>-151.19999999999999</v>
      </c>
      <c r="AE129" s="54">
        <f t="shared" si="106"/>
        <v>14222.869999999995</v>
      </c>
      <c r="AF129" s="53"/>
      <c r="AG129" s="53"/>
      <c r="AH129" s="54"/>
      <c r="AI129" s="54"/>
      <c r="AJ129" s="54"/>
      <c r="AK129" s="54"/>
      <c r="AL129" s="53"/>
      <c r="AM129" s="53"/>
      <c r="AN129" s="54"/>
      <c r="AO129" s="54"/>
      <c r="AP129" s="54"/>
      <c r="AQ129" s="54"/>
      <c r="AR129" s="53"/>
      <c r="AS129" s="50">
        <f t="shared" si="90"/>
        <v>-2865346.5500000007</v>
      </c>
      <c r="AT129" s="50">
        <f t="shared" si="91"/>
        <v>60794.47</v>
      </c>
      <c r="AU129" s="50">
        <f t="shared" si="92"/>
        <v>0</v>
      </c>
      <c r="AV129" s="50">
        <f t="shared" si="93"/>
        <v>-183440.61000000002</v>
      </c>
      <c r="AW129" s="50"/>
      <c r="AX129" s="50">
        <f t="shared" si="107"/>
        <v>-2987992.69</v>
      </c>
      <c r="AY129" s="50">
        <f t="shared" si="94"/>
        <v>8300000</v>
      </c>
      <c r="AZ129" s="50">
        <f t="shared" si="95"/>
        <v>5312007.3100000005</v>
      </c>
    </row>
    <row r="130" spans="2:54" ht="13.5" customHeight="1" x14ac:dyDescent="0.3">
      <c r="B130" s="99">
        <f>B129+1</f>
        <v>44344</v>
      </c>
      <c r="C130" s="44">
        <f t="shared" si="98"/>
        <v>-3074481.45</v>
      </c>
      <c r="D130" s="45"/>
      <c r="E130" s="45"/>
      <c r="F130" s="45">
        <v>-19176.8199999998</v>
      </c>
      <c r="G130" s="45">
        <f t="shared" si="74"/>
        <v>-3093658.27</v>
      </c>
      <c r="H130" s="44">
        <v>4300000</v>
      </c>
      <c r="I130" s="46">
        <f t="shared" si="99"/>
        <v>284.08000000000175</v>
      </c>
      <c r="J130" s="47"/>
      <c r="K130" s="47"/>
      <c r="L130" s="47"/>
      <c r="M130" s="47">
        <f t="shared" si="100"/>
        <v>284.08000000000175</v>
      </c>
      <c r="N130" s="46">
        <v>4000000</v>
      </c>
      <c r="O130" s="48">
        <f t="shared" si="101"/>
        <v>71485.919999999998</v>
      </c>
      <c r="P130" s="55"/>
      <c r="Q130" s="55"/>
      <c r="R130" s="55"/>
      <c r="S130" s="55">
        <f t="shared" si="102"/>
        <v>71485.919999999998</v>
      </c>
      <c r="T130" s="48"/>
      <c r="U130" s="49">
        <f t="shared" si="103"/>
        <v>495.89000000006928</v>
      </c>
      <c r="V130" s="51"/>
      <c r="W130" s="51"/>
      <c r="X130" s="51"/>
      <c r="Y130" s="51">
        <f t="shared" si="104"/>
        <v>495.89000000006928</v>
      </c>
      <c r="Z130" s="52"/>
      <c r="AA130" s="53">
        <f t="shared" si="105"/>
        <v>14222.869999999995</v>
      </c>
      <c r="AB130" s="54"/>
      <c r="AC130" s="54"/>
      <c r="AD130" s="54"/>
      <c r="AE130" s="54">
        <f t="shared" si="106"/>
        <v>14222.869999999995</v>
      </c>
      <c r="AF130" s="53"/>
      <c r="AG130" s="53"/>
      <c r="AH130" s="54"/>
      <c r="AI130" s="54"/>
      <c r="AJ130" s="54"/>
      <c r="AK130" s="54"/>
      <c r="AL130" s="53"/>
      <c r="AM130" s="53"/>
      <c r="AN130" s="54"/>
      <c r="AO130" s="54"/>
      <c r="AP130" s="54"/>
      <c r="AQ130" s="54"/>
      <c r="AR130" s="53"/>
      <c r="AS130" s="50">
        <f t="shared" si="90"/>
        <v>-2987992.69</v>
      </c>
      <c r="AT130" s="50">
        <f t="shared" si="91"/>
        <v>0</v>
      </c>
      <c r="AU130" s="50">
        <f t="shared" si="92"/>
        <v>0</v>
      </c>
      <c r="AV130" s="50">
        <f t="shared" si="93"/>
        <v>-19176.8199999998</v>
      </c>
      <c r="AW130" s="50"/>
      <c r="AX130" s="50">
        <f t="shared" si="107"/>
        <v>-3007169.51</v>
      </c>
      <c r="AY130" s="50">
        <f t="shared" si="94"/>
        <v>8300000</v>
      </c>
      <c r="AZ130" s="50">
        <f t="shared" si="95"/>
        <v>5292830.49</v>
      </c>
    </row>
    <row r="131" spans="2:54" ht="13.5" customHeight="1" x14ac:dyDescent="0.3">
      <c r="B131" s="99">
        <f>B130+3</f>
        <v>44347</v>
      </c>
      <c r="C131" s="44">
        <f t="shared" si="98"/>
        <v>-3093658.27</v>
      </c>
      <c r="D131" s="45">
        <f>53971+95755.63+25048.56</f>
        <v>174775.19</v>
      </c>
      <c r="E131" s="45">
        <v>500000</v>
      </c>
      <c r="F131" s="45">
        <v>-136579.79</v>
      </c>
      <c r="G131" s="45">
        <f t="shared" si="74"/>
        <v>-2555462.87</v>
      </c>
      <c r="H131" s="44">
        <v>4300000</v>
      </c>
      <c r="I131" s="46">
        <f t="shared" si="99"/>
        <v>284.08000000000175</v>
      </c>
      <c r="J131" s="47">
        <v>402505.16</v>
      </c>
      <c r="K131" s="47"/>
      <c r="L131" s="47">
        <v>-137882.21</v>
      </c>
      <c r="M131" s="47">
        <f t="shared" si="100"/>
        <v>264907.03000000003</v>
      </c>
      <c r="N131" s="46">
        <v>4000000</v>
      </c>
      <c r="O131" s="48">
        <f t="shared" si="101"/>
        <v>71485.919999999998</v>
      </c>
      <c r="P131" s="55">
        <v>417096.31</v>
      </c>
      <c r="Q131" s="55">
        <f>38000-500000</f>
        <v>-462000</v>
      </c>
      <c r="R131" s="55">
        <v>-2057.99999999998</v>
      </c>
      <c r="S131" s="55">
        <f t="shared" si="102"/>
        <v>24524.230000000003</v>
      </c>
      <c r="T131" s="48"/>
      <c r="U131" s="49">
        <f t="shared" si="103"/>
        <v>495.89000000006928</v>
      </c>
      <c r="V131" s="51">
        <v>38365.879999999997</v>
      </c>
      <c r="W131" s="51">
        <v>-38000</v>
      </c>
      <c r="X131" s="51"/>
      <c r="Y131" s="51">
        <f t="shared" si="104"/>
        <v>861.77000000006956</v>
      </c>
      <c r="Z131" s="52"/>
      <c r="AA131" s="53">
        <f t="shared" si="105"/>
        <v>14222.869999999995</v>
      </c>
      <c r="AB131" s="54"/>
      <c r="AC131" s="54"/>
      <c r="AD131" s="54">
        <v>-1491.6</v>
      </c>
      <c r="AE131" s="54">
        <f t="shared" si="106"/>
        <v>12731.269999999995</v>
      </c>
      <c r="AF131" s="53"/>
      <c r="AG131" s="53"/>
      <c r="AH131" s="54"/>
      <c r="AI131" s="54"/>
      <c r="AJ131" s="54"/>
      <c r="AK131" s="54"/>
      <c r="AL131" s="53"/>
      <c r="AM131" s="53"/>
      <c r="AN131" s="54"/>
      <c r="AO131" s="54"/>
      <c r="AP131" s="54"/>
      <c r="AQ131" s="54"/>
      <c r="AR131" s="53"/>
      <c r="AS131" s="50">
        <f t="shared" si="90"/>
        <v>-3007169.51</v>
      </c>
      <c r="AT131" s="50">
        <f t="shared" si="91"/>
        <v>1032742.5399999999</v>
      </c>
      <c r="AU131" s="50">
        <f t="shared" si="92"/>
        <v>0</v>
      </c>
      <c r="AV131" s="50">
        <f t="shared" si="93"/>
        <v>-278011.59999999998</v>
      </c>
      <c r="AW131" s="50"/>
      <c r="AX131" s="50">
        <f t="shared" si="107"/>
        <v>-2252438.5699999998</v>
      </c>
      <c r="AY131" s="50">
        <f t="shared" si="94"/>
        <v>8300000</v>
      </c>
      <c r="AZ131" s="50">
        <f t="shared" si="95"/>
        <v>6047561.4299999997</v>
      </c>
    </row>
    <row r="132" spans="2:54" ht="13.5" customHeight="1" x14ac:dyDescent="0.3">
      <c r="B132" s="99">
        <f>B131+1</f>
        <v>44348</v>
      </c>
      <c r="C132" s="44">
        <f t="shared" si="98"/>
        <v>-2555462.87</v>
      </c>
      <c r="D132" s="45">
        <v>177191.24</v>
      </c>
      <c r="E132" s="45">
        <v>-1600000</v>
      </c>
      <c r="F132" s="45">
        <v>-83896.48</v>
      </c>
      <c r="G132" s="45">
        <f t="shared" si="74"/>
        <v>-4062168.11</v>
      </c>
      <c r="H132" s="44">
        <v>4300000</v>
      </c>
      <c r="I132" s="46">
        <f t="shared" si="99"/>
        <v>264907.03000000003</v>
      </c>
      <c r="J132" s="47">
        <v>576.83000000000004</v>
      </c>
      <c r="K132" s="47">
        <v>1600000</v>
      </c>
      <c r="L132" s="47">
        <f>-1812844.53-1321.84</f>
        <v>-1814166.37</v>
      </c>
      <c r="M132" s="47">
        <f t="shared" si="100"/>
        <v>51317.489999999991</v>
      </c>
      <c r="N132" s="46">
        <v>4000000</v>
      </c>
      <c r="O132" s="48">
        <f t="shared" si="101"/>
        <v>24524.230000000003</v>
      </c>
      <c r="P132" s="55">
        <f>163.84+512.32+24870.25</f>
        <v>25546.41</v>
      </c>
      <c r="Q132" s="55"/>
      <c r="R132" s="55"/>
      <c r="S132" s="55">
        <f t="shared" si="102"/>
        <v>50070.64</v>
      </c>
      <c r="T132" s="48"/>
      <c r="U132" s="49">
        <f t="shared" si="103"/>
        <v>861.77000000006956</v>
      </c>
      <c r="V132" s="51"/>
      <c r="W132" s="51"/>
      <c r="X132" s="51">
        <v>-1.2</v>
      </c>
      <c r="Y132" s="51">
        <f t="shared" si="104"/>
        <v>860.57000000006951</v>
      </c>
      <c r="Z132" s="52"/>
      <c r="AA132" s="53">
        <f t="shared" si="105"/>
        <v>12731.269999999995</v>
      </c>
      <c r="AB132" s="54"/>
      <c r="AC132" s="54"/>
      <c r="AD132" s="54">
        <v>-3052.66</v>
      </c>
      <c r="AE132" s="54">
        <f t="shared" si="106"/>
        <v>9678.6099999999951</v>
      </c>
      <c r="AF132" s="53"/>
      <c r="AG132" s="53"/>
      <c r="AH132" s="54"/>
      <c r="AI132" s="54"/>
      <c r="AJ132" s="54"/>
      <c r="AK132" s="54"/>
      <c r="AL132" s="53"/>
      <c r="AM132" s="53"/>
      <c r="AN132" s="54"/>
      <c r="AO132" s="54"/>
      <c r="AP132" s="54"/>
      <c r="AQ132" s="54"/>
      <c r="AR132" s="53"/>
      <c r="AS132" s="50">
        <f t="shared" si="90"/>
        <v>-2252438.5699999998</v>
      </c>
      <c r="AT132" s="50">
        <f t="shared" si="91"/>
        <v>203314.47999999998</v>
      </c>
      <c r="AU132" s="50">
        <f t="shared" si="92"/>
        <v>0</v>
      </c>
      <c r="AV132" s="50">
        <f t="shared" si="93"/>
        <v>-1901116.71</v>
      </c>
      <c r="AW132" s="50"/>
      <c r="AX132" s="50">
        <f t="shared" si="107"/>
        <v>-3950240.8</v>
      </c>
      <c r="AY132" s="50">
        <f t="shared" si="94"/>
        <v>8300000</v>
      </c>
      <c r="AZ132" s="50">
        <f t="shared" si="95"/>
        <v>4349759.2</v>
      </c>
    </row>
    <row r="133" spans="2:54" ht="13.5" customHeight="1" x14ac:dyDescent="0.3">
      <c r="B133" s="99">
        <f t="shared" ref="B133:B134" si="109">B132+1</f>
        <v>44349</v>
      </c>
      <c r="C133" s="44">
        <f t="shared" si="98"/>
        <v>-4062168.11</v>
      </c>
      <c r="D133" s="45"/>
      <c r="E133" s="45">
        <v>139000</v>
      </c>
      <c r="F133" s="45">
        <v>-153435.5</v>
      </c>
      <c r="G133" s="45">
        <f t="shared" si="74"/>
        <v>-4076603.61</v>
      </c>
      <c r="H133" s="44">
        <v>4300000</v>
      </c>
      <c r="I133" s="46">
        <f t="shared" si="99"/>
        <v>51317.489999999991</v>
      </c>
      <c r="J133" s="47">
        <f>352974.11+34897.61+153549.48</f>
        <v>541421.19999999995</v>
      </c>
      <c r="K133" s="47">
        <v>-100000</v>
      </c>
      <c r="L133" s="47">
        <v>-265552.44</v>
      </c>
      <c r="M133" s="47">
        <f t="shared" si="100"/>
        <v>227186.24999999994</v>
      </c>
      <c r="N133" s="46">
        <v>4000000</v>
      </c>
      <c r="O133" s="48">
        <f t="shared" si="101"/>
        <v>50070.64</v>
      </c>
      <c r="P133" s="55"/>
      <c r="Q133" s="55">
        <v>-30000</v>
      </c>
      <c r="R133" s="55">
        <f>-13870.64-580-10</f>
        <v>-14460.64</v>
      </c>
      <c r="S133" s="55">
        <f t="shared" si="102"/>
        <v>5610</v>
      </c>
      <c r="T133" s="48"/>
      <c r="U133" s="49">
        <f t="shared" si="103"/>
        <v>860.57000000006951</v>
      </c>
      <c r="V133" s="51"/>
      <c r="W133" s="51"/>
      <c r="X133" s="51">
        <v>-54.95</v>
      </c>
      <c r="Y133" s="51">
        <f t="shared" si="104"/>
        <v>805.62000000006947</v>
      </c>
      <c r="Z133" s="52"/>
      <c r="AA133" s="53">
        <f t="shared" si="105"/>
        <v>9678.6099999999951</v>
      </c>
      <c r="AB133" s="54"/>
      <c r="AC133" s="54">
        <v>-9000</v>
      </c>
      <c r="AD133" s="54">
        <v>-638</v>
      </c>
      <c r="AE133" s="54">
        <f t="shared" si="106"/>
        <v>40.609999999995125</v>
      </c>
      <c r="AF133" s="53"/>
      <c r="AG133" s="53"/>
      <c r="AH133" s="54"/>
      <c r="AI133" s="54"/>
      <c r="AJ133" s="54"/>
      <c r="AK133" s="54"/>
      <c r="AL133" s="53"/>
      <c r="AM133" s="53"/>
      <c r="AN133" s="54"/>
      <c r="AO133" s="54"/>
      <c r="AP133" s="54"/>
      <c r="AQ133" s="54"/>
      <c r="AR133" s="53"/>
      <c r="AS133" s="50">
        <f t="shared" si="90"/>
        <v>-3950240.8</v>
      </c>
      <c r="AT133" s="50">
        <f t="shared" si="91"/>
        <v>541421.19999999995</v>
      </c>
      <c r="AU133" s="50">
        <f t="shared" si="92"/>
        <v>0</v>
      </c>
      <c r="AV133" s="50">
        <f t="shared" si="93"/>
        <v>-434141.53</v>
      </c>
      <c r="AW133" s="50"/>
      <c r="AX133" s="50">
        <f t="shared" si="107"/>
        <v>-3842961.13</v>
      </c>
      <c r="AY133" s="50">
        <f t="shared" si="94"/>
        <v>8300000</v>
      </c>
      <c r="AZ133" s="50">
        <f t="shared" si="95"/>
        <v>4457038.87</v>
      </c>
      <c r="BA133" s="15">
        <f>SUM(AV132:AV153)</f>
        <v>-6486036.7399999993</v>
      </c>
    </row>
    <row r="134" spans="2:54" ht="13.5" customHeight="1" x14ac:dyDescent="0.3">
      <c r="B134" s="99">
        <f t="shared" si="109"/>
        <v>44350</v>
      </c>
      <c r="C134" s="44">
        <f t="shared" si="98"/>
        <v>-4076603.61</v>
      </c>
      <c r="D134" s="45"/>
      <c r="E134" s="45"/>
      <c r="F134" s="45"/>
      <c r="G134" s="45">
        <f t="shared" si="74"/>
        <v>-4076603.61</v>
      </c>
      <c r="H134" s="44">
        <v>4300000</v>
      </c>
      <c r="I134" s="46">
        <f t="shared" si="99"/>
        <v>227186.24999999994</v>
      </c>
      <c r="J134" s="47"/>
      <c r="K134" s="47"/>
      <c r="L134" s="47"/>
      <c r="M134" s="47">
        <f t="shared" si="100"/>
        <v>227186.24999999994</v>
      </c>
      <c r="N134" s="46">
        <v>4000000</v>
      </c>
      <c r="O134" s="48">
        <f t="shared" si="101"/>
        <v>5610</v>
      </c>
      <c r="P134" s="55"/>
      <c r="Q134" s="55"/>
      <c r="R134" s="55"/>
      <c r="S134" s="55">
        <f t="shared" si="102"/>
        <v>5610</v>
      </c>
      <c r="T134" s="48"/>
      <c r="U134" s="49">
        <f t="shared" si="103"/>
        <v>805.62000000006947</v>
      </c>
      <c r="V134" s="51"/>
      <c r="W134" s="51"/>
      <c r="X134" s="51"/>
      <c r="Y134" s="51">
        <f t="shared" si="104"/>
        <v>805.62000000006947</v>
      </c>
      <c r="Z134" s="52"/>
      <c r="AA134" s="53">
        <f t="shared" si="105"/>
        <v>40.609999999995125</v>
      </c>
      <c r="AB134" s="54"/>
      <c r="AC134" s="54"/>
      <c r="AD134" s="54"/>
      <c r="AE134" s="54">
        <f t="shared" si="106"/>
        <v>40.609999999995125</v>
      </c>
      <c r="AF134" s="53"/>
      <c r="AG134" s="53"/>
      <c r="AH134" s="54"/>
      <c r="AI134" s="54"/>
      <c r="AJ134" s="54"/>
      <c r="AK134" s="54"/>
      <c r="AL134" s="53"/>
      <c r="AM134" s="53"/>
      <c r="AN134" s="54"/>
      <c r="AO134" s="54"/>
      <c r="AP134" s="54"/>
      <c r="AQ134" s="54"/>
      <c r="AR134" s="53"/>
      <c r="AS134" s="50">
        <f t="shared" si="90"/>
        <v>-3842961.13</v>
      </c>
      <c r="AT134" s="50">
        <f t="shared" si="91"/>
        <v>0</v>
      </c>
      <c r="AU134" s="50">
        <f t="shared" si="92"/>
        <v>0</v>
      </c>
      <c r="AV134" s="50">
        <f t="shared" si="93"/>
        <v>0</v>
      </c>
      <c r="AW134" s="50"/>
      <c r="AX134" s="50">
        <f t="shared" si="107"/>
        <v>-3842961.13</v>
      </c>
      <c r="AY134" s="50">
        <f t="shared" si="94"/>
        <v>8300000</v>
      </c>
      <c r="AZ134" s="50">
        <f t="shared" si="95"/>
        <v>4457038.87</v>
      </c>
    </row>
    <row r="135" spans="2:54" ht="13.5" customHeight="1" x14ac:dyDescent="0.3">
      <c r="B135" s="99">
        <f>B134+1</f>
        <v>44351</v>
      </c>
      <c r="C135" s="44">
        <f t="shared" si="98"/>
        <v>-4076603.61</v>
      </c>
      <c r="D135" s="45">
        <v>17670.75</v>
      </c>
      <c r="E135" s="45"/>
      <c r="F135" s="45">
        <v>-74982.25</v>
      </c>
      <c r="G135" s="45">
        <f t="shared" si="74"/>
        <v>-4133915.11</v>
      </c>
      <c r="H135" s="44">
        <v>4300000</v>
      </c>
      <c r="I135" s="46">
        <f t="shared" si="99"/>
        <v>227186.24999999994</v>
      </c>
      <c r="J135" s="47">
        <f>61629.57+324.01+302.73</f>
        <v>62256.310000000005</v>
      </c>
      <c r="K135" s="47"/>
      <c r="L135" s="47">
        <v>-200672.52</v>
      </c>
      <c r="M135" s="47">
        <f t="shared" si="100"/>
        <v>88770.03999999995</v>
      </c>
      <c r="N135" s="46">
        <v>4000000</v>
      </c>
      <c r="O135" s="48">
        <f t="shared" si="101"/>
        <v>5610</v>
      </c>
      <c r="P135" s="55">
        <v>30.54</v>
      </c>
      <c r="Q135" s="55"/>
      <c r="R135" s="55"/>
      <c r="S135" s="55">
        <f t="shared" si="102"/>
        <v>5640.54</v>
      </c>
      <c r="T135" s="48"/>
      <c r="U135" s="49">
        <f t="shared" si="103"/>
        <v>805.62000000006947</v>
      </c>
      <c r="V135" s="51"/>
      <c r="W135" s="51"/>
      <c r="X135" s="51"/>
      <c r="Y135" s="51">
        <f t="shared" si="104"/>
        <v>805.62000000006947</v>
      </c>
      <c r="Z135" s="52"/>
      <c r="AA135" s="53">
        <f t="shared" si="105"/>
        <v>40.609999999995125</v>
      </c>
      <c r="AB135" s="54"/>
      <c r="AC135" s="54"/>
      <c r="AD135" s="54"/>
      <c r="AE135" s="54">
        <f t="shared" si="106"/>
        <v>40.609999999995125</v>
      </c>
      <c r="AF135" s="53"/>
      <c r="AG135" s="53"/>
      <c r="AH135" s="54"/>
      <c r="AI135" s="54"/>
      <c r="AJ135" s="54"/>
      <c r="AK135" s="54"/>
      <c r="AL135" s="53"/>
      <c r="AM135" s="53"/>
      <c r="AN135" s="54"/>
      <c r="AO135" s="54"/>
      <c r="AP135" s="54"/>
      <c r="AQ135" s="54"/>
      <c r="AR135" s="53"/>
      <c r="AS135" s="50">
        <f t="shared" si="90"/>
        <v>-3842961.13</v>
      </c>
      <c r="AT135" s="50">
        <f t="shared" si="91"/>
        <v>79957.599999999991</v>
      </c>
      <c r="AU135" s="50">
        <f t="shared" si="92"/>
        <v>0</v>
      </c>
      <c r="AV135" s="50">
        <f t="shared" si="93"/>
        <v>-275654.77</v>
      </c>
      <c r="AW135" s="50"/>
      <c r="AX135" s="50">
        <f t="shared" si="107"/>
        <v>-4038658.3</v>
      </c>
      <c r="AY135" s="50">
        <f t="shared" si="94"/>
        <v>8300000</v>
      </c>
      <c r="AZ135" s="50">
        <f t="shared" si="95"/>
        <v>4261341.7</v>
      </c>
    </row>
    <row r="136" spans="2:54" ht="13.5" customHeight="1" x14ac:dyDescent="0.3">
      <c r="B136" s="99">
        <f>B135+3</f>
        <v>44354</v>
      </c>
      <c r="C136" s="44">
        <f t="shared" si="98"/>
        <v>-4133915.11</v>
      </c>
      <c r="D136" s="45">
        <v>174280.95999999999</v>
      </c>
      <c r="E136" s="45"/>
      <c r="F136" s="45">
        <v>-105601.32</v>
      </c>
      <c r="G136" s="45">
        <f t="shared" si="74"/>
        <v>-4065235.4699999997</v>
      </c>
      <c r="H136" s="44">
        <v>4300000</v>
      </c>
      <c r="I136" s="46">
        <f t="shared" si="99"/>
        <v>88770.03999999995</v>
      </c>
      <c r="J136" s="47">
        <v>168875</v>
      </c>
      <c r="K136" s="47"/>
      <c r="L136" s="47">
        <v>-569035.91</v>
      </c>
      <c r="M136" s="47">
        <f t="shared" si="100"/>
        <v>-311390.87000000011</v>
      </c>
      <c r="N136" s="46">
        <v>4000000</v>
      </c>
      <c r="O136" s="48">
        <f t="shared" si="101"/>
        <v>5640.54</v>
      </c>
      <c r="P136" s="55"/>
      <c r="Q136" s="55"/>
      <c r="R136" s="55">
        <f>-10-481-638-103.5</f>
        <v>-1232.5</v>
      </c>
      <c r="S136" s="55">
        <f t="shared" si="102"/>
        <v>4408.04</v>
      </c>
      <c r="T136" s="48"/>
      <c r="U136" s="49">
        <f t="shared" si="103"/>
        <v>805.62000000006947</v>
      </c>
      <c r="V136" s="51"/>
      <c r="W136" s="51"/>
      <c r="X136" s="51"/>
      <c r="Y136" s="51">
        <f t="shared" si="104"/>
        <v>805.62000000006947</v>
      </c>
      <c r="Z136" s="52"/>
      <c r="AA136" s="53">
        <f t="shared" si="105"/>
        <v>40.609999999995125</v>
      </c>
      <c r="AB136" s="54"/>
      <c r="AC136" s="54"/>
      <c r="AD136" s="54"/>
      <c r="AE136" s="54">
        <f t="shared" si="106"/>
        <v>40.609999999995125</v>
      </c>
      <c r="AF136" s="53"/>
      <c r="AG136" s="53"/>
      <c r="AH136" s="54"/>
      <c r="AI136" s="54"/>
      <c r="AJ136" s="54"/>
      <c r="AK136" s="54"/>
      <c r="AL136" s="53"/>
      <c r="AM136" s="53"/>
      <c r="AN136" s="54"/>
      <c r="AO136" s="54"/>
      <c r="AP136" s="54"/>
      <c r="AQ136" s="54"/>
      <c r="AR136" s="53"/>
      <c r="AS136" s="50">
        <f t="shared" si="90"/>
        <v>-4038658.3</v>
      </c>
      <c r="AT136" s="50">
        <f t="shared" si="91"/>
        <v>343155.95999999996</v>
      </c>
      <c r="AU136" s="50">
        <f t="shared" si="92"/>
        <v>0</v>
      </c>
      <c r="AV136" s="50">
        <f t="shared" si="93"/>
        <v>-675869.73</v>
      </c>
      <c r="AW136" s="50"/>
      <c r="AX136" s="50">
        <f t="shared" si="107"/>
        <v>-4371372.0699999994</v>
      </c>
      <c r="AY136" s="50">
        <f t="shared" si="94"/>
        <v>8300000</v>
      </c>
      <c r="AZ136" s="50">
        <f t="shared" si="95"/>
        <v>3928627.9300000006</v>
      </c>
      <c r="BB136" s="15">
        <v>383764.96</v>
      </c>
    </row>
    <row r="137" spans="2:54" ht="13.5" customHeight="1" x14ac:dyDescent="0.3">
      <c r="B137" s="99">
        <f>B136+1</f>
        <v>44355</v>
      </c>
      <c r="C137" s="44">
        <f t="shared" si="98"/>
        <v>-4065235.4699999997</v>
      </c>
      <c r="D137" s="45"/>
      <c r="E137" s="45"/>
      <c r="F137" s="45">
        <v>-16926.259999999998</v>
      </c>
      <c r="G137" s="45">
        <f t="shared" si="74"/>
        <v>-4082161.7299999995</v>
      </c>
      <c r="H137" s="44">
        <v>4300000</v>
      </c>
      <c r="I137" s="46">
        <f t="shared" si="99"/>
        <v>-311390.87000000011</v>
      </c>
      <c r="J137" s="47"/>
      <c r="K137" s="47"/>
      <c r="L137" s="47">
        <f>-14768.67-522</f>
        <v>-15290.67</v>
      </c>
      <c r="M137" s="47">
        <f t="shared" si="100"/>
        <v>-326681.5400000001</v>
      </c>
      <c r="N137" s="46">
        <v>4000000</v>
      </c>
      <c r="O137" s="48">
        <f t="shared" si="101"/>
        <v>4408.04</v>
      </c>
      <c r="P137" s="55"/>
      <c r="Q137" s="55"/>
      <c r="R137" s="55">
        <f>-495-132-7.33</f>
        <v>-634.33000000000004</v>
      </c>
      <c r="S137" s="55">
        <f t="shared" si="102"/>
        <v>3773.71</v>
      </c>
      <c r="T137" s="48"/>
      <c r="U137" s="49">
        <f t="shared" si="103"/>
        <v>805.62000000006947</v>
      </c>
      <c r="V137" s="51"/>
      <c r="W137" s="51"/>
      <c r="X137" s="51"/>
      <c r="Y137" s="51">
        <f t="shared" si="104"/>
        <v>805.62000000006947</v>
      </c>
      <c r="Z137" s="52"/>
      <c r="AA137" s="53">
        <f t="shared" si="105"/>
        <v>40.609999999995125</v>
      </c>
      <c r="AB137" s="54"/>
      <c r="AC137" s="54"/>
      <c r="AD137" s="54"/>
      <c r="AE137" s="54">
        <f t="shared" si="106"/>
        <v>40.609999999995125</v>
      </c>
      <c r="AF137" s="53"/>
      <c r="AG137" s="53"/>
      <c r="AH137" s="54"/>
      <c r="AI137" s="54"/>
      <c r="AJ137" s="54"/>
      <c r="AK137" s="54"/>
      <c r="AL137" s="53"/>
      <c r="AM137" s="53"/>
      <c r="AN137" s="54"/>
      <c r="AO137" s="54"/>
      <c r="AP137" s="54"/>
      <c r="AQ137" s="54"/>
      <c r="AR137" s="53"/>
      <c r="AS137" s="50">
        <f t="shared" si="90"/>
        <v>-4371372.0699999994</v>
      </c>
      <c r="AT137" s="50">
        <f t="shared" si="91"/>
        <v>0</v>
      </c>
      <c r="AU137" s="50">
        <f t="shared" si="92"/>
        <v>0</v>
      </c>
      <c r="AV137" s="50">
        <f t="shared" si="93"/>
        <v>-32851.26</v>
      </c>
      <c r="AW137" s="50"/>
      <c r="AX137" s="50">
        <f t="shared" si="107"/>
        <v>-4404223.3299999991</v>
      </c>
      <c r="AY137" s="50">
        <f t="shared" si="94"/>
        <v>8300000</v>
      </c>
      <c r="AZ137" s="50">
        <f t="shared" si="95"/>
        <v>3895776.6700000009</v>
      </c>
    </row>
    <row r="138" spans="2:54" ht="13.5" customHeight="1" x14ac:dyDescent="0.3">
      <c r="B138" s="99">
        <f t="shared" ref="B138:B139" si="110">B137+1</f>
        <v>44356</v>
      </c>
      <c r="C138" s="44">
        <f t="shared" si="98"/>
        <v>-4082161.7299999995</v>
      </c>
      <c r="D138" s="45">
        <f>32332.6+362631.68</f>
        <v>394964.27999999997</v>
      </c>
      <c r="E138" s="45">
        <v>-50000</v>
      </c>
      <c r="F138" s="45">
        <v>-14302.38</v>
      </c>
      <c r="G138" s="45">
        <f t="shared" si="74"/>
        <v>-3751499.8299999996</v>
      </c>
      <c r="H138" s="44">
        <v>4300000</v>
      </c>
      <c r="I138" s="46">
        <f t="shared" si="99"/>
        <v>-326681.5400000001</v>
      </c>
      <c r="J138" s="47"/>
      <c r="K138" s="47">
        <v>50000</v>
      </c>
      <c r="L138" s="47">
        <f>-47543-3862.67</f>
        <v>-51405.67</v>
      </c>
      <c r="M138" s="47">
        <f t="shared" si="100"/>
        <v>-328087.21000000008</v>
      </c>
      <c r="N138" s="46">
        <v>4000000</v>
      </c>
      <c r="O138" s="48">
        <f t="shared" si="101"/>
        <v>3773.71</v>
      </c>
      <c r="P138" s="55"/>
      <c r="Q138" s="55"/>
      <c r="R138" s="55"/>
      <c r="S138" s="55">
        <f t="shared" si="102"/>
        <v>3773.71</v>
      </c>
      <c r="T138" s="48"/>
      <c r="U138" s="49">
        <f t="shared" si="103"/>
        <v>805.62000000006947</v>
      </c>
      <c r="V138" s="51"/>
      <c r="W138" s="51"/>
      <c r="X138" s="51"/>
      <c r="Y138" s="51">
        <f t="shared" si="104"/>
        <v>805.62000000006947</v>
      </c>
      <c r="Z138" s="52"/>
      <c r="AA138" s="53">
        <f t="shared" si="105"/>
        <v>40.609999999995125</v>
      </c>
      <c r="AB138" s="54"/>
      <c r="AC138" s="54"/>
      <c r="AD138" s="54"/>
      <c r="AE138" s="54">
        <f t="shared" si="106"/>
        <v>40.609999999995125</v>
      </c>
      <c r="AF138" s="53"/>
      <c r="AG138" s="53"/>
      <c r="AH138" s="54"/>
      <c r="AI138" s="54"/>
      <c r="AJ138" s="54"/>
      <c r="AK138" s="54"/>
      <c r="AL138" s="53"/>
      <c r="AM138" s="53"/>
      <c r="AN138" s="54"/>
      <c r="AO138" s="54"/>
      <c r="AP138" s="54"/>
      <c r="AQ138" s="54"/>
      <c r="AR138" s="53"/>
      <c r="AS138" s="50">
        <f t="shared" si="90"/>
        <v>-4404223.3299999991</v>
      </c>
      <c r="AT138" s="50">
        <f t="shared" si="91"/>
        <v>394964.27999999997</v>
      </c>
      <c r="AU138" s="50">
        <f t="shared" si="92"/>
        <v>0</v>
      </c>
      <c r="AV138" s="50">
        <f t="shared" si="93"/>
        <v>-65708.05</v>
      </c>
      <c r="AW138" s="50"/>
      <c r="AX138" s="50">
        <f t="shared" si="107"/>
        <v>-4074967.0999999996</v>
      </c>
      <c r="AY138" s="50">
        <f t="shared" si="94"/>
        <v>8300000</v>
      </c>
      <c r="AZ138" s="50">
        <f t="shared" si="95"/>
        <v>4225032.9000000004</v>
      </c>
      <c r="BB138" s="15">
        <f>BB136+AV133</f>
        <v>-50376.570000000007</v>
      </c>
    </row>
    <row r="139" spans="2:54" ht="13.5" customHeight="1" x14ac:dyDescent="0.3">
      <c r="B139" s="99">
        <f t="shared" si="110"/>
        <v>44357</v>
      </c>
      <c r="C139" s="44">
        <f t="shared" si="98"/>
        <v>-3751499.8299999996</v>
      </c>
      <c r="D139" s="45">
        <v>353973.14</v>
      </c>
      <c r="E139" s="45">
        <v>-50000</v>
      </c>
      <c r="F139" s="45">
        <v>-83785.58</v>
      </c>
      <c r="G139" s="45">
        <f t="shared" si="74"/>
        <v>-3531312.2699999996</v>
      </c>
      <c r="H139" s="44">
        <v>4300000</v>
      </c>
      <c r="I139" s="46">
        <f t="shared" si="99"/>
        <v>-328087.21000000008</v>
      </c>
      <c r="J139" s="47">
        <v>37665.760000000002</v>
      </c>
      <c r="K139" s="47">
        <v>50000</v>
      </c>
      <c r="L139" s="47">
        <v>-32964.639999999803</v>
      </c>
      <c r="M139" s="47">
        <f t="shared" si="100"/>
        <v>-273386.08999999985</v>
      </c>
      <c r="N139" s="46">
        <v>4000000</v>
      </c>
      <c r="O139" s="48">
        <f t="shared" si="101"/>
        <v>3773.71</v>
      </c>
      <c r="P139" s="55"/>
      <c r="Q139" s="55"/>
      <c r="R139" s="55"/>
      <c r="S139" s="55">
        <f t="shared" si="102"/>
        <v>3773.71</v>
      </c>
      <c r="T139" s="48"/>
      <c r="U139" s="49">
        <f t="shared" si="103"/>
        <v>805.62000000006947</v>
      </c>
      <c r="V139" s="51"/>
      <c r="W139" s="51"/>
      <c r="X139" s="51"/>
      <c r="Y139" s="51">
        <f t="shared" si="104"/>
        <v>805.62000000006947</v>
      </c>
      <c r="Z139" s="52"/>
      <c r="AA139" s="53">
        <f t="shared" si="105"/>
        <v>40.609999999995125</v>
      </c>
      <c r="AB139" s="54"/>
      <c r="AC139" s="54"/>
      <c r="AD139" s="54"/>
      <c r="AE139" s="54">
        <f t="shared" si="106"/>
        <v>40.609999999995125</v>
      </c>
      <c r="AF139" s="53"/>
      <c r="AG139" s="53"/>
      <c r="AH139" s="54"/>
      <c r="AI139" s="54"/>
      <c r="AJ139" s="54"/>
      <c r="AK139" s="54"/>
      <c r="AL139" s="53"/>
      <c r="AM139" s="53"/>
      <c r="AN139" s="54"/>
      <c r="AO139" s="54"/>
      <c r="AP139" s="54"/>
      <c r="AQ139" s="54"/>
      <c r="AR139" s="53"/>
      <c r="AS139" s="50">
        <f t="shared" si="90"/>
        <v>-4074967.0999999996</v>
      </c>
      <c r="AT139" s="50">
        <f t="shared" si="91"/>
        <v>391638.9</v>
      </c>
      <c r="AU139" s="50">
        <f t="shared" si="92"/>
        <v>0</v>
      </c>
      <c r="AV139" s="50">
        <f t="shared" si="93"/>
        <v>-116750.2199999998</v>
      </c>
      <c r="AW139" s="50"/>
      <c r="AX139" s="50">
        <f t="shared" si="107"/>
        <v>-3800078.4199999995</v>
      </c>
      <c r="AY139" s="50">
        <f t="shared" si="94"/>
        <v>8300000</v>
      </c>
      <c r="AZ139" s="50">
        <f t="shared" si="95"/>
        <v>4499921.58</v>
      </c>
    </row>
    <row r="140" spans="2:54" ht="13.5" customHeight="1" x14ac:dyDescent="0.3">
      <c r="B140" s="99">
        <f>B139+1</f>
        <v>44358</v>
      </c>
      <c r="C140" s="44">
        <f t="shared" si="98"/>
        <v>-3531312.2699999996</v>
      </c>
      <c r="D140" s="45">
        <v>159811.12</v>
      </c>
      <c r="E140" s="45"/>
      <c r="F140" s="45">
        <v>-39133.89</v>
      </c>
      <c r="G140" s="45">
        <f t="shared" si="74"/>
        <v>-3410635.0399999996</v>
      </c>
      <c r="H140" s="44">
        <v>4300000</v>
      </c>
      <c r="I140" s="46">
        <f t="shared" si="99"/>
        <v>-273386.08999999985</v>
      </c>
      <c r="J140" s="47">
        <v>106754.4</v>
      </c>
      <c r="K140" s="47"/>
      <c r="L140" s="47">
        <v>-54307.15</v>
      </c>
      <c r="M140" s="47">
        <f t="shared" si="100"/>
        <v>-220938.83999999985</v>
      </c>
      <c r="N140" s="46">
        <v>4000000</v>
      </c>
      <c r="O140" s="48">
        <f t="shared" si="101"/>
        <v>3773.71</v>
      </c>
      <c r="P140" s="55">
        <f>162.88+217.28</f>
        <v>380.15999999999997</v>
      </c>
      <c r="Q140" s="55"/>
      <c r="R140" s="55"/>
      <c r="S140" s="55">
        <f t="shared" si="102"/>
        <v>4153.87</v>
      </c>
      <c r="T140" s="48"/>
      <c r="U140" s="49">
        <f t="shared" si="103"/>
        <v>805.62000000006947</v>
      </c>
      <c r="V140" s="51"/>
      <c r="W140" s="51"/>
      <c r="X140" s="51"/>
      <c r="Y140" s="51">
        <f t="shared" si="104"/>
        <v>805.62000000006947</v>
      </c>
      <c r="Z140" s="52"/>
      <c r="AA140" s="53">
        <f t="shared" si="105"/>
        <v>40.609999999995125</v>
      </c>
      <c r="AB140" s="54"/>
      <c r="AC140" s="54"/>
      <c r="AD140" s="54"/>
      <c r="AE140" s="54">
        <f t="shared" si="106"/>
        <v>40.609999999995125</v>
      </c>
      <c r="AF140" s="53"/>
      <c r="AG140" s="53"/>
      <c r="AH140" s="54"/>
      <c r="AI140" s="54"/>
      <c r="AJ140" s="54"/>
      <c r="AK140" s="54"/>
      <c r="AL140" s="53"/>
      <c r="AM140" s="53"/>
      <c r="AN140" s="54"/>
      <c r="AO140" s="54"/>
      <c r="AP140" s="54"/>
      <c r="AQ140" s="54"/>
      <c r="AR140" s="53"/>
      <c r="AS140" s="50">
        <f t="shared" si="90"/>
        <v>-3800078.4199999995</v>
      </c>
      <c r="AT140" s="50">
        <f t="shared" si="91"/>
        <v>266945.68</v>
      </c>
      <c r="AU140" s="50">
        <f t="shared" si="92"/>
        <v>0</v>
      </c>
      <c r="AV140" s="50">
        <f t="shared" si="93"/>
        <v>-93441.040000000008</v>
      </c>
      <c r="AW140" s="50"/>
      <c r="AX140" s="50">
        <f t="shared" si="107"/>
        <v>-3626573.7799999993</v>
      </c>
      <c r="AY140" s="50">
        <f t="shared" si="94"/>
        <v>8300000</v>
      </c>
      <c r="AZ140" s="50">
        <f t="shared" si="95"/>
        <v>4673426.2200000007</v>
      </c>
    </row>
    <row r="141" spans="2:54" ht="13.5" customHeight="1" x14ac:dyDescent="0.3">
      <c r="B141" s="99">
        <f>B140+3</f>
        <v>44361</v>
      </c>
      <c r="C141" s="44">
        <f t="shared" si="98"/>
        <v>-3410635.0399999996</v>
      </c>
      <c r="D141" s="45">
        <v>126680.59</v>
      </c>
      <c r="E141" s="45"/>
      <c r="F141" s="45">
        <v>-50346.950000000099</v>
      </c>
      <c r="G141" s="45">
        <f t="shared" si="74"/>
        <v>-3334301.4</v>
      </c>
      <c r="H141" s="44">
        <v>4300000</v>
      </c>
      <c r="I141" s="46">
        <f t="shared" si="99"/>
        <v>-220938.83999999985</v>
      </c>
      <c r="J141" s="47">
        <v>15250.63</v>
      </c>
      <c r="K141" s="47"/>
      <c r="L141" s="47">
        <v>-78828.830000000205</v>
      </c>
      <c r="M141" s="47">
        <f t="shared" si="100"/>
        <v>-284517.04000000004</v>
      </c>
      <c r="N141" s="46">
        <v>4000000</v>
      </c>
      <c r="O141" s="48">
        <f t="shared" si="101"/>
        <v>4153.87</v>
      </c>
      <c r="P141" s="55"/>
      <c r="Q141" s="55"/>
      <c r="R141" s="55">
        <v>-232</v>
      </c>
      <c r="S141" s="55">
        <f t="shared" si="102"/>
        <v>3921.87</v>
      </c>
      <c r="T141" s="48"/>
      <c r="U141" s="49">
        <f t="shared" si="103"/>
        <v>805.62000000006947</v>
      </c>
      <c r="V141" s="51"/>
      <c r="W141" s="51"/>
      <c r="X141" s="51"/>
      <c r="Y141" s="51">
        <f t="shared" si="104"/>
        <v>805.62000000006947</v>
      </c>
      <c r="Z141" s="52"/>
      <c r="AA141" s="53">
        <f t="shared" si="105"/>
        <v>40.609999999995125</v>
      </c>
      <c r="AB141" s="54"/>
      <c r="AC141" s="54"/>
      <c r="AD141" s="54"/>
      <c r="AE141" s="54">
        <f t="shared" si="106"/>
        <v>40.609999999995125</v>
      </c>
      <c r="AF141" s="53"/>
      <c r="AG141" s="53"/>
      <c r="AH141" s="54"/>
      <c r="AI141" s="54"/>
      <c r="AJ141" s="54"/>
      <c r="AK141" s="54"/>
      <c r="AL141" s="53"/>
      <c r="AM141" s="53"/>
      <c r="AN141" s="54"/>
      <c r="AO141" s="54"/>
      <c r="AP141" s="54"/>
      <c r="AQ141" s="54"/>
      <c r="AR141" s="53"/>
      <c r="AS141" s="50">
        <f t="shared" si="90"/>
        <v>-3626573.7799999993</v>
      </c>
      <c r="AT141" s="50">
        <f t="shared" si="91"/>
        <v>141931.22</v>
      </c>
      <c r="AU141" s="50">
        <f t="shared" si="92"/>
        <v>0</v>
      </c>
      <c r="AV141" s="50">
        <f t="shared" si="93"/>
        <v>-129407.7800000003</v>
      </c>
      <c r="AW141" s="50"/>
      <c r="AX141" s="50">
        <f t="shared" si="107"/>
        <v>-3614050.34</v>
      </c>
      <c r="AY141" s="50">
        <f t="shared" si="94"/>
        <v>8300000</v>
      </c>
      <c r="AZ141" s="50">
        <f t="shared" si="95"/>
        <v>4685949.66</v>
      </c>
    </row>
    <row r="142" spans="2:54" ht="13.5" customHeight="1" x14ac:dyDescent="0.3">
      <c r="B142" s="99">
        <f>B141+1</f>
        <v>44362</v>
      </c>
      <c r="C142" s="44">
        <f t="shared" si="98"/>
        <v>-3334301.4</v>
      </c>
      <c r="D142" s="45">
        <v>22524</v>
      </c>
      <c r="E142" s="45">
        <v>-200000</v>
      </c>
      <c r="F142" s="45">
        <v>-50927.29</v>
      </c>
      <c r="G142" s="45">
        <f t="shared" si="74"/>
        <v>-3562704.69</v>
      </c>
      <c r="H142" s="44">
        <v>4300000</v>
      </c>
      <c r="I142" s="46">
        <f t="shared" si="99"/>
        <v>-284517.04000000004</v>
      </c>
      <c r="J142" s="47">
        <v>108553.60000000001</v>
      </c>
      <c r="K142" s="47">
        <v>200000</v>
      </c>
      <c r="L142" s="47">
        <v>-347526.33</v>
      </c>
      <c r="M142" s="47">
        <f t="shared" si="100"/>
        <v>-323489.77</v>
      </c>
      <c r="N142" s="46">
        <v>4000000</v>
      </c>
      <c r="O142" s="48">
        <f t="shared" si="101"/>
        <v>3921.87</v>
      </c>
      <c r="P142" s="55"/>
      <c r="Q142" s="55"/>
      <c r="R142" s="55"/>
      <c r="S142" s="55">
        <f t="shared" si="102"/>
        <v>3921.87</v>
      </c>
      <c r="T142" s="48"/>
      <c r="U142" s="49">
        <f t="shared" si="103"/>
        <v>805.62000000006947</v>
      </c>
      <c r="V142" s="51"/>
      <c r="W142" s="51"/>
      <c r="X142" s="51"/>
      <c r="Y142" s="51">
        <f t="shared" si="104"/>
        <v>805.62000000006947</v>
      </c>
      <c r="Z142" s="52"/>
      <c r="AA142" s="53">
        <f t="shared" si="105"/>
        <v>40.609999999995125</v>
      </c>
      <c r="AB142" s="54"/>
      <c r="AC142" s="54"/>
      <c r="AD142" s="54"/>
      <c r="AE142" s="54">
        <f t="shared" si="106"/>
        <v>40.609999999995125</v>
      </c>
      <c r="AF142" s="53"/>
      <c r="AG142" s="53"/>
      <c r="AH142" s="54"/>
      <c r="AI142" s="54"/>
      <c r="AJ142" s="54"/>
      <c r="AK142" s="54"/>
      <c r="AL142" s="53"/>
      <c r="AM142" s="53"/>
      <c r="AN142" s="54"/>
      <c r="AO142" s="54"/>
      <c r="AP142" s="54"/>
      <c r="AQ142" s="54"/>
      <c r="AR142" s="53"/>
      <c r="AS142" s="50">
        <f t="shared" si="90"/>
        <v>-3614050.34</v>
      </c>
      <c r="AT142" s="50">
        <f t="shared" si="91"/>
        <v>131077.6</v>
      </c>
      <c r="AU142" s="50">
        <f t="shared" si="92"/>
        <v>0</v>
      </c>
      <c r="AV142" s="50">
        <f t="shared" si="93"/>
        <v>-398453.62</v>
      </c>
      <c r="AW142" s="50"/>
      <c r="AX142" s="50">
        <f t="shared" si="107"/>
        <v>-3881426.36</v>
      </c>
      <c r="AY142" s="50">
        <f t="shared" si="94"/>
        <v>8300000</v>
      </c>
      <c r="AZ142" s="50">
        <f t="shared" si="95"/>
        <v>4418573.6400000006</v>
      </c>
    </row>
    <row r="143" spans="2:54" ht="13.5" customHeight="1" x14ac:dyDescent="0.3">
      <c r="B143" s="99">
        <f t="shared" ref="B143:B144" si="111">B142+1</f>
        <v>44363</v>
      </c>
      <c r="C143" s="44">
        <f t="shared" si="98"/>
        <v>-3562704.69</v>
      </c>
      <c r="D143" s="45">
        <v>54459.28</v>
      </c>
      <c r="E143" s="45">
        <v>-50000</v>
      </c>
      <c r="F143" s="45">
        <f>-274885.42+50000</f>
        <v>-224885.41999999998</v>
      </c>
      <c r="G143" s="45">
        <f t="shared" si="74"/>
        <v>-3783130.83</v>
      </c>
      <c r="H143" s="44">
        <v>4300000</v>
      </c>
      <c r="I143" s="46">
        <f t="shared" si="99"/>
        <v>-323489.77</v>
      </c>
      <c r="J143" s="47"/>
      <c r="K143" s="47">
        <v>50000</v>
      </c>
      <c r="L143" s="47">
        <v>-63752.6499999999</v>
      </c>
      <c r="M143" s="47">
        <f t="shared" si="100"/>
        <v>-337242.41999999993</v>
      </c>
      <c r="N143" s="46">
        <v>4000000</v>
      </c>
      <c r="O143" s="48">
        <f t="shared" si="101"/>
        <v>3921.87</v>
      </c>
      <c r="P143" s="55"/>
      <c r="Q143" s="55"/>
      <c r="R143" s="55">
        <v>-300</v>
      </c>
      <c r="S143" s="55">
        <f t="shared" si="102"/>
        <v>3621.87</v>
      </c>
      <c r="T143" s="48"/>
      <c r="U143" s="49">
        <f t="shared" si="103"/>
        <v>805.62000000006947</v>
      </c>
      <c r="V143" s="51"/>
      <c r="W143" s="51"/>
      <c r="X143" s="51"/>
      <c r="Y143" s="51">
        <f t="shared" si="104"/>
        <v>805.62000000006947</v>
      </c>
      <c r="Z143" s="52"/>
      <c r="AA143" s="53">
        <f t="shared" si="105"/>
        <v>40.609999999995125</v>
      </c>
      <c r="AB143" s="54"/>
      <c r="AC143" s="54"/>
      <c r="AD143" s="54"/>
      <c r="AE143" s="54">
        <f t="shared" si="106"/>
        <v>40.609999999995125</v>
      </c>
      <c r="AF143" s="53"/>
      <c r="AG143" s="53"/>
      <c r="AH143" s="54"/>
      <c r="AI143" s="54"/>
      <c r="AJ143" s="54"/>
      <c r="AK143" s="54"/>
      <c r="AL143" s="53"/>
      <c r="AM143" s="53"/>
      <c r="AN143" s="54"/>
      <c r="AO143" s="54"/>
      <c r="AP143" s="54"/>
      <c r="AQ143" s="54"/>
      <c r="AR143" s="53"/>
      <c r="AS143" s="50">
        <f t="shared" si="90"/>
        <v>-3881426.36</v>
      </c>
      <c r="AT143" s="50">
        <f t="shared" si="91"/>
        <v>54459.28</v>
      </c>
      <c r="AU143" s="50">
        <f t="shared" si="92"/>
        <v>0</v>
      </c>
      <c r="AV143" s="50">
        <f t="shared" si="93"/>
        <v>-288938.06999999989</v>
      </c>
      <c r="AW143" s="50"/>
      <c r="AX143" s="50">
        <f t="shared" si="107"/>
        <v>-4115905.15</v>
      </c>
      <c r="AY143" s="50">
        <f t="shared" si="94"/>
        <v>8300000</v>
      </c>
      <c r="AZ143" s="50">
        <f t="shared" si="95"/>
        <v>4184094.85</v>
      </c>
    </row>
    <row r="144" spans="2:54" ht="12.75" customHeight="1" x14ac:dyDescent="0.3">
      <c r="B144" s="99">
        <f t="shared" si="111"/>
        <v>44364</v>
      </c>
      <c r="C144" s="44">
        <f t="shared" si="98"/>
        <v>-3783130.83</v>
      </c>
      <c r="D144" s="45">
        <f>110811.85+12312.43</f>
        <v>123124.28</v>
      </c>
      <c r="E144" s="45"/>
      <c r="F144" s="45">
        <v>-16085.63</v>
      </c>
      <c r="G144" s="45">
        <f t="shared" si="74"/>
        <v>-3676092.18</v>
      </c>
      <c r="H144" s="44">
        <v>4300000</v>
      </c>
      <c r="I144" s="46">
        <f t="shared" si="99"/>
        <v>-337242.41999999993</v>
      </c>
      <c r="J144" s="47">
        <v>107078.9</v>
      </c>
      <c r="K144" s="47"/>
      <c r="L144" s="47">
        <v>-24898.720000000001</v>
      </c>
      <c r="M144" s="47">
        <f t="shared" si="100"/>
        <v>-255062.23999999993</v>
      </c>
      <c r="N144" s="46">
        <v>4000000</v>
      </c>
      <c r="O144" s="48">
        <f t="shared" si="101"/>
        <v>3621.87</v>
      </c>
      <c r="P144" s="55">
        <v>30314.9</v>
      </c>
      <c r="Q144" s="55"/>
      <c r="R144" s="55">
        <v>-4063.5</v>
      </c>
      <c r="S144" s="55">
        <f t="shared" si="102"/>
        <v>29873.270000000004</v>
      </c>
      <c r="T144" s="48"/>
      <c r="U144" s="49">
        <f t="shared" si="103"/>
        <v>805.62000000006947</v>
      </c>
      <c r="V144" s="51"/>
      <c r="W144" s="51"/>
      <c r="X144" s="51"/>
      <c r="Y144" s="51">
        <f t="shared" si="104"/>
        <v>805.62000000006947</v>
      </c>
      <c r="Z144" s="52"/>
      <c r="AA144" s="53">
        <f t="shared" si="105"/>
        <v>40.609999999995125</v>
      </c>
      <c r="AB144" s="54">
        <v>1.23</v>
      </c>
      <c r="AC144" s="54"/>
      <c r="AD144" s="54"/>
      <c r="AE144" s="54">
        <f t="shared" si="106"/>
        <v>41.839999999995122</v>
      </c>
      <c r="AF144" s="53"/>
      <c r="AG144" s="53"/>
      <c r="AH144" s="54"/>
      <c r="AI144" s="54"/>
      <c r="AJ144" s="54"/>
      <c r="AK144" s="54"/>
      <c r="AL144" s="53"/>
      <c r="AM144" s="53"/>
      <c r="AN144" s="54"/>
      <c r="AO144" s="54"/>
      <c r="AP144" s="54"/>
      <c r="AQ144" s="54"/>
      <c r="AR144" s="53"/>
      <c r="AS144" s="50">
        <f t="shared" si="90"/>
        <v>-4115905.15</v>
      </c>
      <c r="AT144" s="50">
        <f t="shared" si="91"/>
        <v>260519.31</v>
      </c>
      <c r="AU144" s="50">
        <f t="shared" si="92"/>
        <v>0</v>
      </c>
      <c r="AV144" s="50">
        <f t="shared" si="93"/>
        <v>-45047.85</v>
      </c>
      <c r="AW144" s="50"/>
      <c r="AX144" s="50">
        <f t="shared" si="107"/>
        <v>-3900433.69</v>
      </c>
      <c r="AY144" s="50">
        <f t="shared" si="94"/>
        <v>8300000</v>
      </c>
      <c r="AZ144" s="50">
        <f t="shared" si="95"/>
        <v>4399566.3100000005</v>
      </c>
    </row>
    <row r="145" spans="2:52" ht="12.75" customHeight="1" x14ac:dyDescent="0.3">
      <c r="B145" s="99">
        <f>B144+1</f>
        <v>44365</v>
      </c>
      <c r="C145" s="44">
        <f t="shared" si="98"/>
        <v>-3676092.18</v>
      </c>
      <c r="D145" s="45">
        <f>182892.89+23762.71</f>
        <v>206655.6</v>
      </c>
      <c r="E145" s="45">
        <v>200000</v>
      </c>
      <c r="F145" s="45">
        <v>-928368.93</v>
      </c>
      <c r="G145" s="45">
        <f t="shared" si="74"/>
        <v>-4197805.51</v>
      </c>
      <c r="H145" s="44">
        <v>4300000</v>
      </c>
      <c r="I145" s="46">
        <f t="shared" si="99"/>
        <v>-255062.23999999993</v>
      </c>
      <c r="J145" s="47">
        <v>1046479.71</v>
      </c>
      <c r="K145" s="47">
        <v>-200000</v>
      </c>
      <c r="L145" s="47">
        <v>-68772.12</v>
      </c>
      <c r="M145" s="47">
        <f t="shared" si="100"/>
        <v>522645.35</v>
      </c>
      <c r="N145" s="46">
        <v>4000000</v>
      </c>
      <c r="O145" s="48">
        <f t="shared" si="101"/>
        <v>29873.270000000004</v>
      </c>
      <c r="P145" s="55"/>
      <c r="Q145" s="55"/>
      <c r="R145" s="55"/>
      <c r="S145" s="55">
        <f t="shared" si="102"/>
        <v>29873.270000000004</v>
      </c>
      <c r="T145" s="48"/>
      <c r="U145" s="49">
        <f t="shared" si="103"/>
        <v>805.62000000006947</v>
      </c>
      <c r="V145" s="51"/>
      <c r="W145" s="51"/>
      <c r="X145" s="51"/>
      <c r="Y145" s="51">
        <f t="shared" si="104"/>
        <v>805.62000000006947</v>
      </c>
      <c r="Z145" s="52"/>
      <c r="AA145" s="53">
        <f t="shared" si="105"/>
        <v>41.839999999995122</v>
      </c>
      <c r="AB145" s="54"/>
      <c r="AC145" s="54"/>
      <c r="AD145" s="54"/>
      <c r="AE145" s="54">
        <f t="shared" si="106"/>
        <v>41.839999999995122</v>
      </c>
      <c r="AF145" s="53"/>
      <c r="AG145" s="53"/>
      <c r="AH145" s="54"/>
      <c r="AI145" s="54"/>
      <c r="AJ145" s="54"/>
      <c r="AK145" s="54"/>
      <c r="AL145" s="53"/>
      <c r="AM145" s="53"/>
      <c r="AN145" s="54"/>
      <c r="AO145" s="54"/>
      <c r="AP145" s="54"/>
      <c r="AQ145" s="54"/>
      <c r="AR145" s="53"/>
      <c r="AS145" s="50">
        <f t="shared" si="90"/>
        <v>-3900433.69</v>
      </c>
      <c r="AT145" s="50">
        <f t="shared" si="91"/>
        <v>1253135.31</v>
      </c>
      <c r="AU145" s="50">
        <f t="shared" si="92"/>
        <v>0</v>
      </c>
      <c r="AV145" s="50">
        <f t="shared" si="93"/>
        <v>-997141.05</v>
      </c>
      <c r="AW145" s="50"/>
      <c r="AX145" s="50">
        <f t="shared" si="107"/>
        <v>-3644439.4299999997</v>
      </c>
      <c r="AY145" s="50">
        <f t="shared" si="94"/>
        <v>8300000</v>
      </c>
      <c r="AZ145" s="50">
        <f t="shared" si="95"/>
        <v>4655560.57</v>
      </c>
    </row>
    <row r="146" spans="2:52" ht="12.75" customHeight="1" x14ac:dyDescent="0.3">
      <c r="B146" s="99">
        <f>B145+3</f>
        <v>44368</v>
      </c>
      <c r="C146" s="44">
        <f t="shared" si="98"/>
        <v>-4197805.51</v>
      </c>
      <c r="D146" s="45">
        <f>121366.75+130687.79</f>
        <v>252054.53999999998</v>
      </c>
      <c r="E146" s="45">
        <v>420000</v>
      </c>
      <c r="F146" s="45">
        <v>-191.5</v>
      </c>
      <c r="G146" s="45">
        <f t="shared" si="74"/>
        <v>-3525942.4699999997</v>
      </c>
      <c r="H146" s="44">
        <v>4300000</v>
      </c>
      <c r="I146" s="46">
        <f t="shared" si="99"/>
        <v>522645.35</v>
      </c>
      <c r="J146" s="47"/>
      <c r="K146" s="47">
        <v>-300000</v>
      </c>
      <c r="L146" s="47">
        <v>-143248.84</v>
      </c>
      <c r="M146" s="47">
        <f t="shared" si="100"/>
        <v>79396.50999999998</v>
      </c>
      <c r="N146" s="46">
        <v>4000000</v>
      </c>
      <c r="O146" s="48">
        <f t="shared" si="101"/>
        <v>29873.270000000004</v>
      </c>
      <c r="P146" s="55"/>
      <c r="Q146" s="55">
        <f>-120000+99000</f>
        <v>-21000</v>
      </c>
      <c r="R146" s="55">
        <f>-80-250-3328.61-10.03</f>
        <v>-3668.6400000000003</v>
      </c>
      <c r="S146" s="55">
        <f t="shared" si="102"/>
        <v>5204.6300000000037</v>
      </c>
      <c r="T146" s="48"/>
      <c r="U146" s="49">
        <f t="shared" si="103"/>
        <v>805.62000000006947</v>
      </c>
      <c r="V146" s="51">
        <v>98504.960000000006</v>
      </c>
      <c r="W146" s="51">
        <v>-99000</v>
      </c>
      <c r="X146" s="51">
        <v>-1.2</v>
      </c>
      <c r="Y146" s="51">
        <f t="shared" si="104"/>
        <v>309.38000000007452</v>
      </c>
      <c r="Z146" s="52"/>
      <c r="AA146" s="53">
        <f t="shared" si="105"/>
        <v>41.839999999995122</v>
      </c>
      <c r="AB146" s="54"/>
      <c r="AC146" s="54"/>
      <c r="AD146" s="54"/>
      <c r="AE146" s="54">
        <f t="shared" si="106"/>
        <v>41.839999999995122</v>
      </c>
      <c r="AF146" s="53"/>
      <c r="AG146" s="53"/>
      <c r="AH146" s="54"/>
      <c r="AI146" s="54"/>
      <c r="AJ146" s="54"/>
      <c r="AK146" s="54"/>
      <c r="AL146" s="53"/>
      <c r="AM146" s="53"/>
      <c r="AN146" s="54"/>
      <c r="AO146" s="54"/>
      <c r="AP146" s="54"/>
      <c r="AQ146" s="54"/>
      <c r="AR146" s="53"/>
      <c r="AS146" s="50">
        <f t="shared" si="90"/>
        <v>-3644439.4299999997</v>
      </c>
      <c r="AT146" s="50">
        <f t="shared" si="91"/>
        <v>350559.5</v>
      </c>
      <c r="AU146" s="50">
        <f t="shared" si="92"/>
        <v>0</v>
      </c>
      <c r="AV146" s="50">
        <f t="shared" si="93"/>
        <v>-147110.18000000002</v>
      </c>
      <c r="AW146" s="50"/>
      <c r="AX146" s="50">
        <f t="shared" si="107"/>
        <v>-3440990.1100000003</v>
      </c>
      <c r="AY146" s="50">
        <f t="shared" si="94"/>
        <v>8300000</v>
      </c>
      <c r="AZ146" s="50">
        <f t="shared" si="95"/>
        <v>4859009.8899999997</v>
      </c>
    </row>
    <row r="147" spans="2:52" ht="12.75" customHeight="1" x14ac:dyDescent="0.3">
      <c r="B147" s="99">
        <f>B146+1</f>
        <v>44369</v>
      </c>
      <c r="C147" s="44">
        <f t="shared" si="98"/>
        <v>-3525942.4699999997</v>
      </c>
      <c r="D147" s="45">
        <v>59494.01</v>
      </c>
      <c r="E147" s="45"/>
      <c r="F147" s="45"/>
      <c r="G147" s="45">
        <f t="shared" si="74"/>
        <v>-3466448.46</v>
      </c>
      <c r="H147" s="44">
        <v>4300000</v>
      </c>
      <c r="I147" s="46">
        <f t="shared" si="99"/>
        <v>79396.50999999998</v>
      </c>
      <c r="J147" s="47"/>
      <c r="K147" s="47"/>
      <c r="L147" s="47">
        <v>-13134.33</v>
      </c>
      <c r="M147" s="47">
        <f t="shared" si="100"/>
        <v>66262.179999999978</v>
      </c>
      <c r="N147" s="46">
        <v>4000000</v>
      </c>
      <c r="O147" s="48">
        <f t="shared" si="101"/>
        <v>5204.6300000000037</v>
      </c>
      <c r="P147" s="55"/>
      <c r="Q147" s="55"/>
      <c r="R147" s="55"/>
      <c r="S147" s="55">
        <f t="shared" si="102"/>
        <v>5204.6300000000037</v>
      </c>
      <c r="T147" s="48"/>
      <c r="U147" s="49">
        <f t="shared" si="103"/>
        <v>309.38000000007452</v>
      </c>
      <c r="V147" s="51"/>
      <c r="W147" s="51"/>
      <c r="X147" s="51"/>
      <c r="Y147" s="51">
        <f t="shared" si="104"/>
        <v>309.38000000007452</v>
      </c>
      <c r="Z147" s="52"/>
      <c r="AA147" s="53">
        <f t="shared" si="105"/>
        <v>41.839999999995122</v>
      </c>
      <c r="AB147" s="54"/>
      <c r="AC147" s="54"/>
      <c r="AD147" s="54"/>
      <c r="AE147" s="54">
        <f t="shared" si="106"/>
        <v>41.839999999995122</v>
      </c>
      <c r="AF147" s="53"/>
      <c r="AG147" s="53"/>
      <c r="AH147" s="54"/>
      <c r="AI147" s="54"/>
      <c r="AJ147" s="54"/>
      <c r="AK147" s="54"/>
      <c r="AL147" s="53"/>
      <c r="AM147" s="53"/>
      <c r="AN147" s="54"/>
      <c r="AO147" s="54"/>
      <c r="AP147" s="54"/>
      <c r="AQ147" s="54"/>
      <c r="AR147" s="53"/>
      <c r="AS147" s="50">
        <f t="shared" si="90"/>
        <v>-3440990.1100000003</v>
      </c>
      <c r="AT147" s="50">
        <f t="shared" si="91"/>
        <v>59494.01</v>
      </c>
      <c r="AU147" s="50">
        <f t="shared" si="92"/>
        <v>0</v>
      </c>
      <c r="AV147" s="50">
        <f t="shared" si="93"/>
        <v>-13134.33</v>
      </c>
      <c r="AW147" s="50"/>
      <c r="AX147" s="50">
        <f t="shared" si="107"/>
        <v>-3394630.43</v>
      </c>
      <c r="AY147" s="50">
        <f t="shared" si="94"/>
        <v>8300000</v>
      </c>
      <c r="AZ147" s="50">
        <f t="shared" si="95"/>
        <v>4905369.57</v>
      </c>
    </row>
    <row r="148" spans="2:52" ht="12.75" customHeight="1" x14ac:dyDescent="0.3">
      <c r="B148" s="99">
        <f t="shared" ref="B148:B149" si="112">B147+1</f>
        <v>44370</v>
      </c>
      <c r="C148" s="44">
        <f t="shared" si="98"/>
        <v>-3466448.46</v>
      </c>
      <c r="D148" s="45">
        <v>114282.72</v>
      </c>
      <c r="E148" s="45"/>
      <c r="F148" s="45"/>
      <c r="G148" s="45">
        <f t="shared" si="74"/>
        <v>-3352165.7399999998</v>
      </c>
      <c r="H148" s="44">
        <v>4300000</v>
      </c>
      <c r="I148" s="46">
        <f t="shared" si="99"/>
        <v>66262.179999999978</v>
      </c>
      <c r="J148" s="47">
        <v>253963.16</v>
      </c>
      <c r="K148" s="47"/>
      <c r="L148" s="47">
        <v>-23023.4899999999</v>
      </c>
      <c r="M148" s="47">
        <f t="shared" si="100"/>
        <v>297201.85000000009</v>
      </c>
      <c r="N148" s="46">
        <v>4000000</v>
      </c>
      <c r="O148" s="48">
        <f t="shared" si="101"/>
        <v>5204.6300000000037</v>
      </c>
      <c r="P148" s="55">
        <f>185.75*2+297.92*2</f>
        <v>967.34</v>
      </c>
      <c r="Q148" s="55"/>
      <c r="R148" s="55"/>
      <c r="S148" s="55">
        <f t="shared" si="102"/>
        <v>6171.9700000000039</v>
      </c>
      <c r="T148" s="48"/>
      <c r="U148" s="49">
        <f t="shared" si="103"/>
        <v>309.38000000007452</v>
      </c>
      <c r="V148" s="51"/>
      <c r="W148" s="51"/>
      <c r="X148" s="51"/>
      <c r="Y148" s="51">
        <f t="shared" si="104"/>
        <v>309.38000000007452</v>
      </c>
      <c r="Z148" s="52"/>
      <c r="AA148" s="53">
        <f t="shared" si="105"/>
        <v>41.839999999995122</v>
      </c>
      <c r="AB148" s="54"/>
      <c r="AC148" s="54"/>
      <c r="AD148" s="54"/>
      <c r="AE148" s="54">
        <f t="shared" si="106"/>
        <v>41.839999999995122</v>
      </c>
      <c r="AF148" s="53"/>
      <c r="AG148" s="53"/>
      <c r="AH148" s="54"/>
      <c r="AI148" s="54"/>
      <c r="AJ148" s="54"/>
      <c r="AK148" s="54"/>
      <c r="AL148" s="53"/>
      <c r="AM148" s="53"/>
      <c r="AN148" s="54"/>
      <c r="AO148" s="54"/>
      <c r="AP148" s="54"/>
      <c r="AQ148" s="54"/>
      <c r="AR148" s="53"/>
      <c r="AS148" s="50">
        <f t="shared" si="90"/>
        <v>-3394630.43</v>
      </c>
      <c r="AT148" s="50">
        <f t="shared" si="91"/>
        <v>369213.22000000003</v>
      </c>
      <c r="AU148" s="50">
        <f t="shared" si="92"/>
        <v>0</v>
      </c>
      <c r="AV148" s="50">
        <f t="shared" si="93"/>
        <v>-23023.4899999999</v>
      </c>
      <c r="AW148" s="50"/>
      <c r="AX148" s="50">
        <f t="shared" si="107"/>
        <v>-3048440.6999999997</v>
      </c>
      <c r="AY148" s="50">
        <f t="shared" si="94"/>
        <v>8300000</v>
      </c>
      <c r="AZ148" s="50">
        <f t="shared" si="95"/>
        <v>5251559.3000000007</v>
      </c>
    </row>
    <row r="149" spans="2:52" ht="12.75" customHeight="1" x14ac:dyDescent="0.3">
      <c r="B149" s="99">
        <f t="shared" si="112"/>
        <v>44371</v>
      </c>
      <c r="C149" s="44">
        <f t="shared" si="98"/>
        <v>-3352165.7399999998</v>
      </c>
      <c r="D149" s="45"/>
      <c r="E149" s="45"/>
      <c r="F149" s="45"/>
      <c r="G149" s="45">
        <f t="shared" ref="G149:G212" si="113">SUM(C149:F149)</f>
        <v>-3352165.7399999998</v>
      </c>
      <c r="H149" s="44">
        <v>4300000</v>
      </c>
      <c r="I149" s="46">
        <f t="shared" si="99"/>
        <v>297201.85000000009</v>
      </c>
      <c r="J149" s="47"/>
      <c r="K149" s="47"/>
      <c r="L149" s="47"/>
      <c r="M149" s="47">
        <f t="shared" si="100"/>
        <v>297201.85000000009</v>
      </c>
      <c r="N149" s="46">
        <v>4000000</v>
      </c>
      <c r="O149" s="48">
        <f t="shared" si="101"/>
        <v>6171.9700000000039</v>
      </c>
      <c r="P149" s="55">
        <f>122.88+217.28</f>
        <v>340.15999999999997</v>
      </c>
      <c r="Q149" s="55"/>
      <c r="R149" s="55"/>
      <c r="S149" s="55">
        <f t="shared" si="102"/>
        <v>6512.1300000000037</v>
      </c>
      <c r="T149" s="48"/>
      <c r="U149" s="49">
        <f t="shared" si="103"/>
        <v>309.38000000007452</v>
      </c>
      <c r="V149" s="51"/>
      <c r="W149" s="51"/>
      <c r="X149" s="51"/>
      <c r="Y149" s="51">
        <f t="shared" si="104"/>
        <v>309.38000000007452</v>
      </c>
      <c r="Z149" s="52"/>
      <c r="AA149" s="53">
        <f t="shared" si="105"/>
        <v>41.839999999995122</v>
      </c>
      <c r="AB149" s="54"/>
      <c r="AC149" s="54"/>
      <c r="AD149" s="54"/>
      <c r="AE149" s="54">
        <f t="shared" si="106"/>
        <v>41.839999999995122</v>
      </c>
      <c r="AF149" s="53"/>
      <c r="AG149" s="53"/>
      <c r="AH149" s="54"/>
      <c r="AI149" s="54"/>
      <c r="AJ149" s="54"/>
      <c r="AK149" s="54"/>
      <c r="AL149" s="53"/>
      <c r="AM149" s="53"/>
      <c r="AN149" s="54"/>
      <c r="AO149" s="54"/>
      <c r="AP149" s="54"/>
      <c r="AQ149" s="54"/>
      <c r="AR149" s="53"/>
      <c r="AS149" s="50">
        <f t="shared" ref="AS149:AS180" si="114">SUM(C149,I149,O149,U149,AA149,)</f>
        <v>-3048440.6999999997</v>
      </c>
      <c r="AT149" s="50">
        <f t="shared" ref="AT149:AT180" si="115">SUM(D149,J149,P149,V149,AB149,)</f>
        <v>340.15999999999997</v>
      </c>
      <c r="AU149" s="50">
        <f t="shared" ref="AU149:AU180" si="116">SUM(E149,K149,Q149,W149,AC149,)</f>
        <v>0</v>
      </c>
      <c r="AV149" s="50">
        <f t="shared" ref="AV149:AV180" si="117">SUM(F149,L149,R149,X149,AD149,)</f>
        <v>0</v>
      </c>
      <c r="AW149" s="50"/>
      <c r="AX149" s="50">
        <f t="shared" si="107"/>
        <v>-3048100.54</v>
      </c>
      <c r="AY149" s="50">
        <f t="shared" ref="AY149:AY180" si="118">SUM(H149,N149,T149,Z149,AF149,)</f>
        <v>8300000</v>
      </c>
      <c r="AZ149" s="50">
        <f t="shared" ref="AZ149:AZ180" si="119">AX149+AY149</f>
        <v>5251899.46</v>
      </c>
    </row>
    <row r="150" spans="2:52" ht="12.75" customHeight="1" x14ac:dyDescent="0.3">
      <c r="B150" s="99">
        <f>B149+1</f>
        <v>44372</v>
      </c>
      <c r="C150" s="44">
        <f t="shared" si="98"/>
        <v>-3352165.7399999998</v>
      </c>
      <c r="D150" s="45">
        <f>160790.84+188139.65</f>
        <v>348930.49</v>
      </c>
      <c r="E150" s="45"/>
      <c r="F150" s="45">
        <v>-59269.33</v>
      </c>
      <c r="G150" s="45">
        <f t="shared" si="113"/>
        <v>-3062504.58</v>
      </c>
      <c r="H150" s="44">
        <v>4300000</v>
      </c>
      <c r="I150" s="46">
        <f t="shared" si="99"/>
        <v>297201.85000000009</v>
      </c>
      <c r="J150" s="47">
        <f>30920.18+7154.55</f>
        <v>38074.730000000003</v>
      </c>
      <c r="K150" s="47"/>
      <c r="L150" s="47">
        <v>-52746.200000000099</v>
      </c>
      <c r="M150" s="47">
        <f t="shared" si="100"/>
        <v>282530.38</v>
      </c>
      <c r="N150" s="46">
        <v>4000000</v>
      </c>
      <c r="O150" s="48">
        <f t="shared" si="101"/>
        <v>6512.1300000000037</v>
      </c>
      <c r="P150" s="55"/>
      <c r="Q150" s="55"/>
      <c r="R150" s="55">
        <v>-84</v>
      </c>
      <c r="S150" s="55">
        <f t="shared" si="102"/>
        <v>6428.1300000000037</v>
      </c>
      <c r="T150" s="48"/>
      <c r="U150" s="49">
        <f t="shared" si="103"/>
        <v>309.38000000007452</v>
      </c>
      <c r="V150" s="51"/>
      <c r="W150" s="51"/>
      <c r="X150" s="51"/>
      <c r="Y150" s="51">
        <f t="shared" si="104"/>
        <v>309.38000000007452</v>
      </c>
      <c r="Z150" s="52"/>
      <c r="AA150" s="53">
        <f t="shared" si="105"/>
        <v>41.839999999995122</v>
      </c>
      <c r="AB150" s="54"/>
      <c r="AC150" s="54"/>
      <c r="AD150" s="54"/>
      <c r="AE150" s="54">
        <f t="shared" si="106"/>
        <v>41.839999999995122</v>
      </c>
      <c r="AF150" s="53"/>
      <c r="AG150" s="53"/>
      <c r="AH150" s="54"/>
      <c r="AI150" s="54"/>
      <c r="AJ150" s="54"/>
      <c r="AK150" s="54"/>
      <c r="AL150" s="53"/>
      <c r="AM150" s="53"/>
      <c r="AN150" s="54"/>
      <c r="AO150" s="54"/>
      <c r="AP150" s="54"/>
      <c r="AQ150" s="54"/>
      <c r="AR150" s="53"/>
      <c r="AS150" s="50">
        <f t="shared" si="114"/>
        <v>-3048100.54</v>
      </c>
      <c r="AT150" s="50">
        <f t="shared" si="115"/>
        <v>387005.22</v>
      </c>
      <c r="AU150" s="50">
        <f t="shared" si="116"/>
        <v>0</v>
      </c>
      <c r="AV150" s="50">
        <f t="shared" si="117"/>
        <v>-112099.5300000001</v>
      </c>
      <c r="AW150" s="50"/>
      <c r="AX150" s="50">
        <f t="shared" si="107"/>
        <v>-2773194.8500000006</v>
      </c>
      <c r="AY150" s="50">
        <f t="shared" si="118"/>
        <v>8300000</v>
      </c>
      <c r="AZ150" s="50">
        <f t="shared" si="119"/>
        <v>5526805.1499999994</v>
      </c>
    </row>
    <row r="151" spans="2:52" ht="12.75" customHeight="1" x14ac:dyDescent="0.3">
      <c r="B151" s="99">
        <f>B150+3</f>
        <v>44375</v>
      </c>
      <c r="C151" s="44">
        <f t="shared" si="98"/>
        <v>-3062504.58</v>
      </c>
      <c r="D151" s="45">
        <v>52098.43</v>
      </c>
      <c r="E151" s="45"/>
      <c r="F151" s="45">
        <v>-166192.24</v>
      </c>
      <c r="G151" s="45">
        <f t="shared" si="113"/>
        <v>-3176598.3899999997</v>
      </c>
      <c r="H151" s="44">
        <v>4300000</v>
      </c>
      <c r="I151" s="46">
        <f t="shared" si="99"/>
        <v>282530.38</v>
      </c>
      <c r="J151" s="47">
        <v>168875</v>
      </c>
      <c r="K151" s="47"/>
      <c r="L151" s="47">
        <v>-396132.93</v>
      </c>
      <c r="M151" s="47">
        <f t="shared" si="100"/>
        <v>55272.450000000012</v>
      </c>
      <c r="N151" s="46">
        <v>4000000</v>
      </c>
      <c r="O151" s="48">
        <f t="shared" si="101"/>
        <v>6428.1300000000037</v>
      </c>
      <c r="P151" s="55"/>
      <c r="Q151" s="55"/>
      <c r="R151" s="55"/>
      <c r="S151" s="55">
        <f t="shared" si="102"/>
        <v>6428.1300000000037</v>
      </c>
      <c r="T151" s="48"/>
      <c r="U151" s="49">
        <f t="shared" si="103"/>
        <v>309.38000000007452</v>
      </c>
      <c r="V151" s="51"/>
      <c r="W151" s="51"/>
      <c r="X151" s="51"/>
      <c r="Y151" s="51">
        <f t="shared" si="104"/>
        <v>309.38000000007452</v>
      </c>
      <c r="Z151" s="52"/>
      <c r="AA151" s="53">
        <f t="shared" si="105"/>
        <v>41.839999999995122</v>
      </c>
      <c r="AB151" s="54"/>
      <c r="AC151" s="54"/>
      <c r="AD151" s="54"/>
      <c r="AE151" s="54">
        <f t="shared" si="106"/>
        <v>41.839999999995122</v>
      </c>
      <c r="AF151" s="53"/>
      <c r="AG151" s="53"/>
      <c r="AH151" s="54"/>
      <c r="AI151" s="54"/>
      <c r="AJ151" s="54"/>
      <c r="AK151" s="54"/>
      <c r="AL151" s="53"/>
      <c r="AM151" s="53"/>
      <c r="AN151" s="54"/>
      <c r="AO151" s="54"/>
      <c r="AP151" s="54"/>
      <c r="AQ151" s="54"/>
      <c r="AR151" s="53"/>
      <c r="AS151" s="50">
        <f t="shared" si="114"/>
        <v>-2773194.8500000006</v>
      </c>
      <c r="AT151" s="50">
        <f t="shared" si="115"/>
        <v>220973.43</v>
      </c>
      <c r="AU151" s="50">
        <f t="shared" si="116"/>
        <v>0</v>
      </c>
      <c r="AV151" s="50">
        <f t="shared" si="117"/>
        <v>-562325.16999999993</v>
      </c>
      <c r="AW151" s="50"/>
      <c r="AX151" s="50">
        <f t="shared" si="107"/>
        <v>-3114546.59</v>
      </c>
      <c r="AY151" s="50">
        <f t="shared" si="118"/>
        <v>8300000</v>
      </c>
      <c r="AZ151" s="50">
        <f t="shared" si="119"/>
        <v>5185453.41</v>
      </c>
    </row>
    <row r="152" spans="2:52" ht="12.75" customHeight="1" x14ac:dyDescent="0.3">
      <c r="B152" s="99">
        <f>B151+1</f>
        <v>44376</v>
      </c>
      <c r="C152" s="44">
        <f t="shared" si="98"/>
        <v>-3176598.3899999997</v>
      </c>
      <c r="D152" s="45"/>
      <c r="E152" s="45"/>
      <c r="F152" s="45">
        <v>-363.6</v>
      </c>
      <c r="G152" s="45">
        <f t="shared" si="113"/>
        <v>-3176961.9899999998</v>
      </c>
      <c r="H152" s="44">
        <v>4300000</v>
      </c>
      <c r="I152" s="46">
        <f t="shared" si="99"/>
        <v>55272.450000000012</v>
      </c>
      <c r="J152" s="47"/>
      <c r="K152" s="47"/>
      <c r="L152" s="47">
        <v>-25761.919999999998</v>
      </c>
      <c r="M152" s="47">
        <f t="shared" si="100"/>
        <v>29510.530000000013</v>
      </c>
      <c r="N152" s="46">
        <v>4000000</v>
      </c>
      <c r="O152" s="48">
        <f t="shared" si="101"/>
        <v>6428.1300000000037</v>
      </c>
      <c r="P152" s="55">
        <v>52.45</v>
      </c>
      <c r="Q152" s="55"/>
      <c r="R152" s="55"/>
      <c r="S152" s="55">
        <f t="shared" si="102"/>
        <v>6480.5800000000036</v>
      </c>
      <c r="T152" s="48"/>
      <c r="U152" s="49">
        <f t="shared" si="103"/>
        <v>309.38000000007452</v>
      </c>
      <c r="V152" s="51"/>
      <c r="W152" s="51"/>
      <c r="X152" s="51"/>
      <c r="Y152" s="51">
        <f t="shared" si="104"/>
        <v>309.38000000007452</v>
      </c>
      <c r="Z152" s="52"/>
      <c r="AA152" s="53">
        <f t="shared" si="105"/>
        <v>41.839999999995122</v>
      </c>
      <c r="AB152" s="54"/>
      <c r="AC152" s="54"/>
      <c r="AD152" s="54"/>
      <c r="AE152" s="54">
        <f t="shared" si="106"/>
        <v>41.839999999995122</v>
      </c>
      <c r="AF152" s="53"/>
      <c r="AG152" s="53"/>
      <c r="AH152" s="54"/>
      <c r="AI152" s="54"/>
      <c r="AJ152" s="54"/>
      <c r="AK152" s="54"/>
      <c r="AL152" s="53"/>
      <c r="AM152" s="53"/>
      <c r="AN152" s="54"/>
      <c r="AO152" s="54"/>
      <c r="AP152" s="54"/>
      <c r="AQ152" s="54"/>
      <c r="AR152" s="53"/>
      <c r="AS152" s="50">
        <f t="shared" si="114"/>
        <v>-3114546.59</v>
      </c>
      <c r="AT152" s="50">
        <f t="shared" si="115"/>
        <v>52.45</v>
      </c>
      <c r="AU152" s="50">
        <f t="shared" si="116"/>
        <v>0</v>
      </c>
      <c r="AV152" s="50">
        <f t="shared" si="117"/>
        <v>-26125.519999999997</v>
      </c>
      <c r="AW152" s="50"/>
      <c r="AX152" s="50">
        <f t="shared" si="107"/>
        <v>-3140619.66</v>
      </c>
      <c r="AY152" s="50">
        <f t="shared" si="118"/>
        <v>8300000</v>
      </c>
      <c r="AZ152" s="50">
        <f t="shared" si="119"/>
        <v>5159380.34</v>
      </c>
    </row>
    <row r="153" spans="2:52" ht="12.75" customHeight="1" x14ac:dyDescent="0.3">
      <c r="B153" s="99">
        <f t="shared" ref="B153:B154" si="120">B152+1</f>
        <v>44377</v>
      </c>
      <c r="C153" s="44">
        <f t="shared" si="98"/>
        <v>-3176961.9899999998</v>
      </c>
      <c r="D153" s="45">
        <f>5161.03+13248.26+25048.56</f>
        <v>43457.850000000006</v>
      </c>
      <c r="E153" s="45">
        <v>400000</v>
      </c>
      <c r="F153" s="45">
        <v>-55635.73</v>
      </c>
      <c r="G153" s="45">
        <f t="shared" si="113"/>
        <v>-2789139.8699999996</v>
      </c>
      <c r="H153" s="44">
        <v>4300000</v>
      </c>
      <c r="I153" s="46">
        <f t="shared" si="99"/>
        <v>29510.530000000013</v>
      </c>
      <c r="J153" s="47">
        <v>494466.02999999997</v>
      </c>
      <c r="K153" s="47"/>
      <c r="L153" s="47">
        <v>-90698.11</v>
      </c>
      <c r="M153" s="47">
        <f t="shared" si="100"/>
        <v>433278.45</v>
      </c>
      <c r="N153" s="46">
        <v>4000000</v>
      </c>
      <c r="O153" s="48">
        <f t="shared" si="101"/>
        <v>6480.5800000000036</v>
      </c>
      <c r="P153" s="55">
        <v>436949.36</v>
      </c>
      <c r="Q153" s="55">
        <v>-400000</v>
      </c>
      <c r="R153" s="55">
        <f>-198-1155-10</f>
        <v>-1363</v>
      </c>
      <c r="S153" s="55">
        <f t="shared" si="102"/>
        <v>42066.94</v>
      </c>
      <c r="T153" s="48"/>
      <c r="U153" s="49">
        <f t="shared" si="103"/>
        <v>309.38000000007452</v>
      </c>
      <c r="V153" s="51"/>
      <c r="W153" s="51"/>
      <c r="X153" s="51"/>
      <c r="Y153" s="51">
        <f t="shared" si="104"/>
        <v>309.38000000007452</v>
      </c>
      <c r="Z153" s="52"/>
      <c r="AA153" s="53">
        <f t="shared" si="105"/>
        <v>41.839999999995122</v>
      </c>
      <c r="AB153" s="54"/>
      <c r="AC153" s="54"/>
      <c r="AD153" s="54"/>
      <c r="AE153" s="54">
        <f t="shared" si="106"/>
        <v>41.839999999995122</v>
      </c>
      <c r="AF153" s="53"/>
      <c r="AG153" s="53"/>
      <c r="AH153" s="54"/>
      <c r="AI153" s="54"/>
      <c r="AJ153" s="54"/>
      <c r="AK153" s="54"/>
      <c r="AL153" s="53"/>
      <c r="AM153" s="53"/>
      <c r="AN153" s="54"/>
      <c r="AO153" s="54"/>
      <c r="AP153" s="54"/>
      <c r="AQ153" s="54"/>
      <c r="AR153" s="53"/>
      <c r="AS153" s="50">
        <f t="shared" si="114"/>
        <v>-3140619.66</v>
      </c>
      <c r="AT153" s="50">
        <f t="shared" si="115"/>
        <v>974873.24</v>
      </c>
      <c r="AU153" s="50">
        <f t="shared" si="116"/>
        <v>0</v>
      </c>
      <c r="AV153" s="50">
        <f t="shared" si="117"/>
        <v>-147696.84</v>
      </c>
      <c r="AW153" s="50"/>
      <c r="AX153" s="50">
        <f t="shared" si="107"/>
        <v>-2313443.2599999998</v>
      </c>
      <c r="AY153" s="50">
        <f t="shared" si="118"/>
        <v>8300000</v>
      </c>
      <c r="AZ153" s="50">
        <f t="shared" si="119"/>
        <v>5986556.7400000002</v>
      </c>
    </row>
    <row r="154" spans="2:52" ht="12.75" customHeight="1" x14ac:dyDescent="0.3">
      <c r="B154" s="99">
        <f t="shared" si="120"/>
        <v>44378</v>
      </c>
      <c r="C154" s="44">
        <f t="shared" si="98"/>
        <v>-2789139.8699999996</v>
      </c>
      <c r="D154" s="45"/>
      <c r="E154" s="45">
        <v>-1000000</v>
      </c>
      <c r="F154" s="45">
        <v>-70299.640000000101</v>
      </c>
      <c r="G154" s="45">
        <f t="shared" si="113"/>
        <v>-3859439.51</v>
      </c>
      <c r="H154" s="44">
        <v>4300000</v>
      </c>
      <c r="I154" s="46">
        <f t="shared" si="99"/>
        <v>433278.45</v>
      </c>
      <c r="J154" s="47"/>
      <c r="K154" s="47">
        <v>1000000</v>
      </c>
      <c r="L154" s="47">
        <v>-2418045.4500000002</v>
      </c>
      <c r="M154" s="47">
        <f t="shared" si="100"/>
        <v>-984767.00000000023</v>
      </c>
      <c r="N154" s="46">
        <v>4000000</v>
      </c>
      <c r="O154" s="48">
        <f t="shared" si="101"/>
        <v>42066.94</v>
      </c>
      <c r="P154" s="55"/>
      <c r="Q154" s="55"/>
      <c r="R154" s="55">
        <v>-30627.93</v>
      </c>
      <c r="S154" s="55">
        <f t="shared" si="102"/>
        <v>11439.010000000002</v>
      </c>
      <c r="T154" s="48"/>
      <c r="U154" s="49">
        <f t="shared" si="103"/>
        <v>309.38000000007452</v>
      </c>
      <c r="V154" s="51"/>
      <c r="W154" s="51"/>
      <c r="X154" s="51"/>
      <c r="Y154" s="51">
        <f t="shared" si="104"/>
        <v>309.38000000007452</v>
      </c>
      <c r="Z154" s="52"/>
      <c r="AA154" s="53">
        <f t="shared" si="105"/>
        <v>41.839999999995122</v>
      </c>
      <c r="AB154" s="54"/>
      <c r="AC154" s="54"/>
      <c r="AD154" s="54"/>
      <c r="AE154" s="54">
        <f t="shared" si="106"/>
        <v>41.839999999995122</v>
      </c>
      <c r="AF154" s="53"/>
      <c r="AG154" s="53"/>
      <c r="AH154" s="54"/>
      <c r="AI154" s="54"/>
      <c r="AJ154" s="54"/>
      <c r="AK154" s="54"/>
      <c r="AL154" s="53"/>
      <c r="AM154" s="53"/>
      <c r="AN154" s="54"/>
      <c r="AO154" s="54"/>
      <c r="AP154" s="54"/>
      <c r="AQ154" s="54"/>
      <c r="AR154" s="53"/>
      <c r="AS154" s="50">
        <f t="shared" si="114"/>
        <v>-2313443.2599999998</v>
      </c>
      <c r="AT154" s="50">
        <f t="shared" si="115"/>
        <v>0</v>
      </c>
      <c r="AU154" s="50">
        <f t="shared" si="116"/>
        <v>0</v>
      </c>
      <c r="AV154" s="50">
        <f t="shared" si="117"/>
        <v>-2518973.0200000005</v>
      </c>
      <c r="AW154" s="50"/>
      <c r="AX154" s="50">
        <f t="shared" si="107"/>
        <v>-4832416.28</v>
      </c>
      <c r="AY154" s="50">
        <f t="shared" si="118"/>
        <v>8300000</v>
      </c>
      <c r="AZ154" s="50">
        <f t="shared" si="119"/>
        <v>3467583.7199999997</v>
      </c>
    </row>
    <row r="155" spans="2:52" ht="12.75" customHeight="1" x14ac:dyDescent="0.3">
      <c r="B155" s="99">
        <f>B154+1</f>
        <v>44379</v>
      </c>
      <c r="C155" s="44">
        <f t="shared" si="98"/>
        <v>-3859439.51</v>
      </c>
      <c r="D155" s="45"/>
      <c r="E155" s="45"/>
      <c r="F155" s="45"/>
      <c r="G155" s="45">
        <f t="shared" si="113"/>
        <v>-3859439.51</v>
      </c>
      <c r="H155" s="44">
        <v>4300000</v>
      </c>
      <c r="I155" s="46">
        <f t="shared" si="99"/>
        <v>-984767.00000000023</v>
      </c>
      <c r="J155" s="47"/>
      <c r="K155" s="47"/>
      <c r="L155" s="47">
        <v>-3145.3199999999902</v>
      </c>
      <c r="M155" s="47">
        <f t="shared" si="100"/>
        <v>-987912.32000000018</v>
      </c>
      <c r="N155" s="46">
        <v>4000000</v>
      </c>
      <c r="O155" s="48">
        <f t="shared" si="101"/>
        <v>11439.010000000002</v>
      </c>
      <c r="P155" s="55">
        <v>7175.18</v>
      </c>
      <c r="Q155" s="55"/>
      <c r="R155" s="55"/>
      <c r="S155" s="55">
        <f t="shared" si="102"/>
        <v>18614.190000000002</v>
      </c>
      <c r="T155" s="48"/>
      <c r="U155" s="49">
        <f t="shared" si="103"/>
        <v>309.38000000007452</v>
      </c>
      <c r="V155" s="51"/>
      <c r="W155" s="51"/>
      <c r="X155" s="51">
        <v>-54.95</v>
      </c>
      <c r="Y155" s="51">
        <f t="shared" si="104"/>
        <v>254.43000000007453</v>
      </c>
      <c r="Z155" s="52"/>
      <c r="AA155" s="53">
        <f t="shared" si="105"/>
        <v>41.839999999995122</v>
      </c>
      <c r="AB155" s="54"/>
      <c r="AC155" s="54"/>
      <c r="AD155" s="54"/>
      <c r="AE155" s="54">
        <f t="shared" si="106"/>
        <v>41.839999999995122</v>
      </c>
      <c r="AF155" s="53"/>
      <c r="AG155" s="53"/>
      <c r="AH155" s="54"/>
      <c r="AI155" s="54"/>
      <c r="AJ155" s="54"/>
      <c r="AK155" s="54"/>
      <c r="AL155" s="53"/>
      <c r="AM155" s="53"/>
      <c r="AN155" s="54"/>
      <c r="AO155" s="54"/>
      <c r="AP155" s="54"/>
      <c r="AQ155" s="54"/>
      <c r="AR155" s="53"/>
      <c r="AS155" s="50">
        <f t="shared" si="114"/>
        <v>-4832416.28</v>
      </c>
      <c r="AT155" s="50">
        <f t="shared" si="115"/>
        <v>7175.18</v>
      </c>
      <c r="AU155" s="50">
        <f t="shared" si="116"/>
        <v>0</v>
      </c>
      <c r="AV155" s="50">
        <f t="shared" si="117"/>
        <v>-3200.26999999999</v>
      </c>
      <c r="AW155" s="50"/>
      <c r="AX155" s="50">
        <f t="shared" si="107"/>
        <v>-4828441.37</v>
      </c>
      <c r="AY155" s="50">
        <f t="shared" si="118"/>
        <v>8300000</v>
      </c>
      <c r="AZ155" s="50">
        <f t="shared" si="119"/>
        <v>3471558.63</v>
      </c>
    </row>
    <row r="156" spans="2:52" ht="12.75" customHeight="1" x14ac:dyDescent="0.3">
      <c r="B156" s="99">
        <f>B155+3</f>
        <v>44382</v>
      </c>
      <c r="C156" s="44">
        <f t="shared" si="98"/>
        <v>-3859439.51</v>
      </c>
      <c r="D156" s="45">
        <f>19509.61+184.8</f>
        <v>19694.41</v>
      </c>
      <c r="E156" s="45"/>
      <c r="F156" s="45">
        <v>-191361.24</v>
      </c>
      <c r="G156" s="45">
        <f t="shared" si="113"/>
        <v>-4031106.34</v>
      </c>
      <c r="H156" s="44">
        <v>4300000</v>
      </c>
      <c r="I156" s="46">
        <f t="shared" si="99"/>
        <v>-987912.32000000018</v>
      </c>
      <c r="J156" s="47">
        <f>2338.23+197.45+39801.03</f>
        <v>42336.71</v>
      </c>
      <c r="K156" s="47"/>
      <c r="L156" s="47">
        <v>-804884.79</v>
      </c>
      <c r="M156" s="47">
        <f t="shared" si="100"/>
        <v>-1750460.4000000004</v>
      </c>
      <c r="N156" s="46">
        <v>4000000</v>
      </c>
      <c r="O156" s="48">
        <f t="shared" si="101"/>
        <v>18614.190000000002</v>
      </c>
      <c r="P156" s="55">
        <v>3666.7</v>
      </c>
      <c r="Q156" s="55">
        <v>29800</v>
      </c>
      <c r="R156" s="55">
        <f>-10-12493.76</f>
        <v>-12503.76</v>
      </c>
      <c r="S156" s="55">
        <f t="shared" si="102"/>
        <v>39577.129999999997</v>
      </c>
      <c r="T156" s="48"/>
      <c r="U156" s="49">
        <f t="shared" si="103"/>
        <v>254.43000000007453</v>
      </c>
      <c r="V156" s="51">
        <v>29634.080000000002</v>
      </c>
      <c r="W156" s="51">
        <v>-29800</v>
      </c>
      <c r="X156" s="51"/>
      <c r="Y156" s="51">
        <f t="shared" si="104"/>
        <v>88.510000000074797</v>
      </c>
      <c r="Z156" s="52"/>
      <c r="AA156" s="53">
        <f t="shared" si="105"/>
        <v>41.839999999995122</v>
      </c>
      <c r="AB156" s="54"/>
      <c r="AC156" s="54"/>
      <c r="AD156" s="54"/>
      <c r="AE156" s="54">
        <f t="shared" si="106"/>
        <v>41.839999999995122</v>
      </c>
      <c r="AF156" s="53"/>
      <c r="AG156" s="53"/>
      <c r="AH156" s="54"/>
      <c r="AI156" s="54"/>
      <c r="AJ156" s="54"/>
      <c r="AK156" s="54"/>
      <c r="AL156" s="53"/>
      <c r="AM156" s="53"/>
      <c r="AN156" s="54"/>
      <c r="AO156" s="54"/>
      <c r="AP156" s="54"/>
      <c r="AQ156" s="54"/>
      <c r="AR156" s="53"/>
      <c r="AS156" s="50">
        <f t="shared" si="114"/>
        <v>-4828441.37</v>
      </c>
      <c r="AT156" s="50">
        <f t="shared" si="115"/>
        <v>95331.9</v>
      </c>
      <c r="AU156" s="50">
        <f t="shared" si="116"/>
        <v>0</v>
      </c>
      <c r="AV156" s="50">
        <f t="shared" si="117"/>
        <v>-1008749.79</v>
      </c>
      <c r="AW156" s="50"/>
      <c r="AX156" s="50">
        <f t="shared" si="107"/>
        <v>-5741859.2600000007</v>
      </c>
      <c r="AY156" s="50">
        <f t="shared" si="118"/>
        <v>8300000</v>
      </c>
      <c r="AZ156" s="50">
        <f t="shared" si="119"/>
        <v>2558140.7399999993</v>
      </c>
    </row>
    <row r="157" spans="2:52" ht="12.75" customHeight="1" x14ac:dyDescent="0.3">
      <c r="B157" s="99">
        <f>B156+1</f>
        <v>44383</v>
      </c>
      <c r="C157" s="44">
        <f t="shared" si="98"/>
        <v>-4031106.34</v>
      </c>
      <c r="D157" s="45"/>
      <c r="E157" s="45">
        <v>-70000</v>
      </c>
      <c r="F157" s="45">
        <v>-49901.490000000202</v>
      </c>
      <c r="G157" s="45">
        <f t="shared" si="113"/>
        <v>-4151007.83</v>
      </c>
      <c r="H157" s="44">
        <v>4300000</v>
      </c>
      <c r="I157" s="46">
        <f t="shared" si="99"/>
        <v>-1750460.4000000004</v>
      </c>
      <c r="J157" s="47"/>
      <c r="K157" s="47">
        <v>70000</v>
      </c>
      <c r="L157" s="47">
        <v>-109158.47</v>
      </c>
      <c r="M157" s="47">
        <f t="shared" si="100"/>
        <v>-1789618.8700000003</v>
      </c>
      <c r="N157" s="46">
        <v>4000000</v>
      </c>
      <c r="O157" s="48">
        <f t="shared" si="101"/>
        <v>39577.129999999997</v>
      </c>
      <c r="P157" s="55"/>
      <c r="Q157" s="55"/>
      <c r="R157" s="55">
        <f>-604-180</f>
        <v>-784</v>
      </c>
      <c r="S157" s="55">
        <f t="shared" si="102"/>
        <v>38793.129999999997</v>
      </c>
      <c r="T157" s="48"/>
      <c r="U157" s="49">
        <f t="shared" si="103"/>
        <v>88.510000000074797</v>
      </c>
      <c r="V157" s="51"/>
      <c r="W157" s="51"/>
      <c r="X157" s="51">
        <v>-1.2</v>
      </c>
      <c r="Y157" s="51">
        <f t="shared" si="104"/>
        <v>87.310000000074794</v>
      </c>
      <c r="Z157" s="52"/>
      <c r="AA157" s="53">
        <f t="shared" si="105"/>
        <v>41.839999999995122</v>
      </c>
      <c r="AB157" s="54"/>
      <c r="AC157" s="54"/>
      <c r="AD157" s="54"/>
      <c r="AE157" s="54">
        <f t="shared" si="106"/>
        <v>41.839999999995122</v>
      </c>
      <c r="AF157" s="53"/>
      <c r="AG157" s="53"/>
      <c r="AH157" s="54"/>
      <c r="AI157" s="54"/>
      <c r="AJ157" s="54"/>
      <c r="AK157" s="54"/>
      <c r="AL157" s="53"/>
      <c r="AM157" s="53"/>
      <c r="AN157" s="54"/>
      <c r="AO157" s="54"/>
      <c r="AP157" s="54"/>
      <c r="AQ157" s="54"/>
      <c r="AR157" s="53"/>
      <c r="AS157" s="50">
        <f t="shared" si="114"/>
        <v>-5741859.2600000007</v>
      </c>
      <c r="AT157" s="50">
        <f t="shared" si="115"/>
        <v>0</v>
      </c>
      <c r="AU157" s="50">
        <f t="shared" si="116"/>
        <v>0</v>
      </c>
      <c r="AV157" s="50">
        <f t="shared" si="117"/>
        <v>-159845.16000000021</v>
      </c>
      <c r="AW157" s="50"/>
      <c r="AX157" s="50">
        <f t="shared" si="107"/>
        <v>-5901704.4199999999</v>
      </c>
      <c r="AY157" s="50">
        <f t="shared" si="118"/>
        <v>8300000</v>
      </c>
      <c r="AZ157" s="50">
        <f t="shared" si="119"/>
        <v>2398295.58</v>
      </c>
    </row>
    <row r="158" spans="2:52" ht="12.75" customHeight="1" x14ac:dyDescent="0.3">
      <c r="B158" s="99">
        <f t="shared" ref="B158:B159" si="121">B157+1</f>
        <v>44384</v>
      </c>
      <c r="C158" s="44">
        <f t="shared" si="98"/>
        <v>-4151007.83</v>
      </c>
      <c r="D158" s="45">
        <f>22034.88</f>
        <v>22034.880000000001</v>
      </c>
      <c r="E158" s="45">
        <v>120000</v>
      </c>
      <c r="F158" s="45">
        <f>-81890.94+62873.54</f>
        <v>-19017.400000000001</v>
      </c>
      <c r="G158" s="45">
        <f t="shared" si="113"/>
        <v>-4027990.35</v>
      </c>
      <c r="H158" s="44">
        <v>4300000</v>
      </c>
      <c r="I158" s="46">
        <f t="shared" si="99"/>
        <v>-1789618.8700000003</v>
      </c>
      <c r="J158" s="47">
        <f>107508.93+57.3</f>
        <v>107566.23</v>
      </c>
      <c r="K158" s="47"/>
      <c r="L158" s="47">
        <v>-79769.9899999997</v>
      </c>
      <c r="M158" s="47">
        <f t="shared" si="100"/>
        <v>-1761822.6300000001</v>
      </c>
      <c r="N158" s="46">
        <v>4000000</v>
      </c>
      <c r="O158" s="48">
        <f t="shared" si="101"/>
        <v>38793.129999999997</v>
      </c>
      <c r="P158" s="55">
        <v>84734.02</v>
      </c>
      <c r="Q158" s="55">
        <v>-120000</v>
      </c>
      <c r="R158" s="55">
        <f>-184.8*2-10</f>
        <v>-379.6</v>
      </c>
      <c r="S158" s="55">
        <f t="shared" si="102"/>
        <v>3147.5499999999943</v>
      </c>
      <c r="T158" s="48"/>
      <c r="U158" s="49">
        <f t="shared" si="103"/>
        <v>87.310000000074794</v>
      </c>
      <c r="V158" s="51"/>
      <c r="W158" s="51"/>
      <c r="X158" s="51"/>
      <c r="Y158" s="51">
        <f t="shared" si="104"/>
        <v>87.310000000074794</v>
      </c>
      <c r="Z158" s="52"/>
      <c r="AA158" s="53">
        <f t="shared" si="105"/>
        <v>41.839999999995122</v>
      </c>
      <c r="AB158" s="54"/>
      <c r="AC158" s="54"/>
      <c r="AD158" s="54"/>
      <c r="AE158" s="54">
        <f t="shared" si="106"/>
        <v>41.839999999995122</v>
      </c>
      <c r="AF158" s="53"/>
      <c r="AG158" s="53"/>
      <c r="AH158" s="54"/>
      <c r="AI158" s="54"/>
      <c r="AJ158" s="54"/>
      <c r="AK158" s="54"/>
      <c r="AL158" s="53"/>
      <c r="AM158" s="53"/>
      <c r="AN158" s="54"/>
      <c r="AO158" s="54"/>
      <c r="AP158" s="54"/>
      <c r="AQ158" s="54"/>
      <c r="AR158" s="53"/>
      <c r="AS158" s="50">
        <f t="shared" si="114"/>
        <v>-5901704.4199999999</v>
      </c>
      <c r="AT158" s="50">
        <f t="shared" si="115"/>
        <v>214335.13</v>
      </c>
      <c r="AU158" s="50">
        <f t="shared" si="116"/>
        <v>0</v>
      </c>
      <c r="AV158" s="50">
        <f t="shared" si="117"/>
        <v>-99166.9899999997</v>
      </c>
      <c r="AW158" s="50"/>
      <c r="AX158" s="50">
        <f t="shared" si="107"/>
        <v>-5786536.2800000003</v>
      </c>
      <c r="AY158" s="50">
        <f t="shared" si="118"/>
        <v>8300000</v>
      </c>
      <c r="AZ158" s="50">
        <f t="shared" si="119"/>
        <v>2513463.7199999997</v>
      </c>
    </row>
    <row r="159" spans="2:52" ht="12.75" customHeight="1" x14ac:dyDescent="0.3">
      <c r="B159" s="99">
        <f t="shared" si="121"/>
        <v>44385</v>
      </c>
      <c r="C159" s="44">
        <f t="shared" si="98"/>
        <v>-4027990.35</v>
      </c>
      <c r="D159" s="45">
        <v>184</v>
      </c>
      <c r="E159" s="45"/>
      <c r="F159" s="45">
        <v>-69443.78</v>
      </c>
      <c r="G159" s="45">
        <f t="shared" si="113"/>
        <v>-4097250.13</v>
      </c>
      <c r="H159" s="44">
        <v>4300000</v>
      </c>
      <c r="I159" s="46">
        <f t="shared" si="99"/>
        <v>-1761822.6300000001</v>
      </c>
      <c r="J159" s="47">
        <v>467134.84</v>
      </c>
      <c r="K159" s="47">
        <v>50000</v>
      </c>
      <c r="L159" s="47">
        <v>-42098.03</v>
      </c>
      <c r="M159" s="47">
        <f t="shared" si="100"/>
        <v>-1286785.82</v>
      </c>
      <c r="N159" s="46">
        <v>4000000</v>
      </c>
      <c r="O159" s="48">
        <f t="shared" si="101"/>
        <v>3147.5499999999943</v>
      </c>
      <c r="P159" s="55"/>
      <c r="Q159" s="55">
        <f>56000-50000</f>
        <v>6000</v>
      </c>
      <c r="R159" s="55"/>
      <c r="S159" s="55">
        <f t="shared" si="102"/>
        <v>9147.5499999999938</v>
      </c>
      <c r="T159" s="48"/>
      <c r="U159" s="49">
        <f t="shared" si="103"/>
        <v>87.310000000074794</v>
      </c>
      <c r="V159" s="51">
        <f>28142.79*2</f>
        <v>56285.58</v>
      </c>
      <c r="W159" s="51">
        <v>-56000</v>
      </c>
      <c r="X159" s="51">
        <v>-1.2</v>
      </c>
      <c r="Y159" s="51">
        <f t="shared" si="104"/>
        <v>371.69000000007946</v>
      </c>
      <c r="Z159" s="52"/>
      <c r="AA159" s="53">
        <f t="shared" si="105"/>
        <v>41.839999999995122</v>
      </c>
      <c r="AB159" s="54"/>
      <c r="AC159" s="54"/>
      <c r="AD159" s="54"/>
      <c r="AE159" s="54">
        <f t="shared" si="106"/>
        <v>41.839999999995122</v>
      </c>
      <c r="AF159" s="53"/>
      <c r="AG159" s="53"/>
      <c r="AH159" s="54"/>
      <c r="AI159" s="54"/>
      <c r="AJ159" s="54"/>
      <c r="AK159" s="54"/>
      <c r="AL159" s="53"/>
      <c r="AM159" s="53"/>
      <c r="AN159" s="54"/>
      <c r="AO159" s="54"/>
      <c r="AP159" s="54"/>
      <c r="AQ159" s="54"/>
      <c r="AR159" s="53"/>
      <c r="AS159" s="50">
        <f t="shared" si="114"/>
        <v>-5786536.2800000003</v>
      </c>
      <c r="AT159" s="50">
        <f t="shared" si="115"/>
        <v>523604.42000000004</v>
      </c>
      <c r="AU159" s="50">
        <f t="shared" si="116"/>
        <v>0</v>
      </c>
      <c r="AV159" s="50">
        <f t="shared" si="117"/>
        <v>-111543.01</v>
      </c>
      <c r="AW159" s="50"/>
      <c r="AX159" s="50">
        <f t="shared" si="107"/>
        <v>-5374474.8700000001</v>
      </c>
      <c r="AY159" s="50">
        <f t="shared" si="118"/>
        <v>8300000</v>
      </c>
      <c r="AZ159" s="50">
        <f t="shared" si="119"/>
        <v>2925525.13</v>
      </c>
    </row>
    <row r="160" spans="2:52" ht="12.75" customHeight="1" x14ac:dyDescent="0.3">
      <c r="B160" s="99">
        <f>B159+1</f>
        <v>44386</v>
      </c>
      <c r="C160" s="44">
        <f t="shared" si="98"/>
        <v>-4097250.13</v>
      </c>
      <c r="D160" s="45"/>
      <c r="E160" s="45">
        <v>200000</v>
      </c>
      <c r="F160" s="45">
        <v>-35023.01</v>
      </c>
      <c r="G160" s="45">
        <f t="shared" si="113"/>
        <v>-3932273.1399999997</v>
      </c>
      <c r="H160" s="44">
        <v>4300000</v>
      </c>
      <c r="I160" s="46">
        <f t="shared" si="99"/>
        <v>-1286785.82</v>
      </c>
      <c r="J160" s="47">
        <v>9900</v>
      </c>
      <c r="K160" s="47">
        <f>-200000</f>
        <v>-200000</v>
      </c>
      <c r="L160" s="47">
        <v>-67384.099999999904</v>
      </c>
      <c r="M160" s="47">
        <f t="shared" si="100"/>
        <v>-1544269.92</v>
      </c>
      <c r="N160" s="46">
        <v>4000000</v>
      </c>
      <c r="O160" s="48">
        <f t="shared" si="101"/>
        <v>9147.5499999999938</v>
      </c>
      <c r="P160" s="55"/>
      <c r="Q160" s="55"/>
      <c r="R160" s="55"/>
      <c r="S160" s="55">
        <f t="shared" si="102"/>
        <v>9147.5499999999938</v>
      </c>
      <c r="T160" s="48"/>
      <c r="U160" s="49">
        <f t="shared" si="103"/>
        <v>371.69000000007946</v>
      </c>
      <c r="V160" s="51"/>
      <c r="W160" s="51"/>
      <c r="X160" s="51"/>
      <c r="Y160" s="51">
        <f t="shared" si="104"/>
        <v>371.69000000007946</v>
      </c>
      <c r="Z160" s="52"/>
      <c r="AA160" s="53">
        <f t="shared" si="105"/>
        <v>41.839999999995122</v>
      </c>
      <c r="AB160" s="54"/>
      <c r="AC160" s="54"/>
      <c r="AD160" s="54"/>
      <c r="AE160" s="54">
        <f t="shared" si="106"/>
        <v>41.839999999995122</v>
      </c>
      <c r="AF160" s="53"/>
      <c r="AG160" s="53"/>
      <c r="AH160" s="54"/>
      <c r="AI160" s="54"/>
      <c r="AJ160" s="54"/>
      <c r="AK160" s="54"/>
      <c r="AL160" s="53"/>
      <c r="AM160" s="53"/>
      <c r="AN160" s="54"/>
      <c r="AO160" s="54"/>
      <c r="AP160" s="54"/>
      <c r="AQ160" s="54"/>
      <c r="AR160" s="53"/>
      <c r="AS160" s="50">
        <f t="shared" si="114"/>
        <v>-5374474.8700000001</v>
      </c>
      <c r="AT160" s="50">
        <f t="shared" si="115"/>
        <v>9900</v>
      </c>
      <c r="AU160" s="50">
        <f t="shared" si="116"/>
        <v>0</v>
      </c>
      <c r="AV160" s="50">
        <f t="shared" si="117"/>
        <v>-102407.1099999999</v>
      </c>
      <c r="AW160" s="50"/>
      <c r="AX160" s="50">
        <f t="shared" si="107"/>
        <v>-5466981.9799999995</v>
      </c>
      <c r="AY160" s="50">
        <f t="shared" si="118"/>
        <v>8300000</v>
      </c>
      <c r="AZ160" s="50">
        <f t="shared" si="119"/>
        <v>2833018.0200000005</v>
      </c>
    </row>
    <row r="161" spans="2:52" ht="12.75" customHeight="1" x14ac:dyDescent="0.3">
      <c r="B161" s="99">
        <f>B160+3</f>
        <v>44389</v>
      </c>
      <c r="C161" s="44">
        <f t="shared" si="98"/>
        <v>-3932273.1399999997</v>
      </c>
      <c r="D161" s="45">
        <v>755835.81</v>
      </c>
      <c r="E161" s="45"/>
      <c r="F161" s="45">
        <v>-84895.18</v>
      </c>
      <c r="G161" s="45">
        <f t="shared" si="113"/>
        <v>-3261332.51</v>
      </c>
      <c r="H161" s="44">
        <v>4300000</v>
      </c>
      <c r="I161" s="46">
        <f t="shared" si="99"/>
        <v>-1544269.92</v>
      </c>
      <c r="J161" s="47">
        <v>43475.58</v>
      </c>
      <c r="K161" s="47"/>
      <c r="L161" s="47">
        <v>-230254.89</v>
      </c>
      <c r="M161" s="47">
        <f t="shared" si="100"/>
        <v>-1731049.23</v>
      </c>
      <c r="N161" s="46">
        <v>4000000</v>
      </c>
      <c r="O161" s="48">
        <f t="shared" si="101"/>
        <v>9147.5499999999938</v>
      </c>
      <c r="P161" s="55"/>
      <c r="Q161" s="55"/>
      <c r="R161" s="55">
        <v>-1641.09</v>
      </c>
      <c r="S161" s="55">
        <f t="shared" si="102"/>
        <v>7506.4599999999937</v>
      </c>
      <c r="T161" s="48"/>
      <c r="U161" s="49">
        <f t="shared" si="103"/>
        <v>371.69000000007946</v>
      </c>
      <c r="V161" s="51"/>
      <c r="W161" s="51"/>
      <c r="X161" s="51"/>
      <c r="Y161" s="51">
        <f t="shared" si="104"/>
        <v>371.69000000007946</v>
      </c>
      <c r="Z161" s="52"/>
      <c r="AA161" s="53">
        <f t="shared" si="105"/>
        <v>41.839999999995122</v>
      </c>
      <c r="AB161" s="54"/>
      <c r="AC161" s="54"/>
      <c r="AD161" s="54"/>
      <c r="AE161" s="54">
        <f t="shared" si="106"/>
        <v>41.839999999995122</v>
      </c>
      <c r="AF161" s="53"/>
      <c r="AG161" s="53"/>
      <c r="AH161" s="54"/>
      <c r="AI161" s="54"/>
      <c r="AJ161" s="54"/>
      <c r="AK161" s="54"/>
      <c r="AL161" s="53"/>
      <c r="AM161" s="53"/>
      <c r="AN161" s="54"/>
      <c r="AO161" s="54"/>
      <c r="AP161" s="54"/>
      <c r="AQ161" s="54"/>
      <c r="AR161" s="53"/>
      <c r="AS161" s="50">
        <f t="shared" si="114"/>
        <v>-5466981.9799999995</v>
      </c>
      <c r="AT161" s="50">
        <f t="shared" si="115"/>
        <v>799311.39</v>
      </c>
      <c r="AU161" s="50">
        <f t="shared" si="116"/>
        <v>0</v>
      </c>
      <c r="AV161" s="50">
        <f t="shared" si="117"/>
        <v>-316791.16000000003</v>
      </c>
      <c r="AW161" s="50"/>
      <c r="AX161" s="50">
        <f t="shared" si="107"/>
        <v>-4984461.75</v>
      </c>
      <c r="AY161" s="50">
        <f t="shared" si="118"/>
        <v>8300000</v>
      </c>
      <c r="AZ161" s="50">
        <f t="shared" si="119"/>
        <v>3315538.25</v>
      </c>
    </row>
    <row r="162" spans="2:52" ht="12.75" customHeight="1" x14ac:dyDescent="0.3">
      <c r="B162" s="99">
        <f>B161+1</f>
        <v>44390</v>
      </c>
      <c r="C162" s="44">
        <f t="shared" si="98"/>
        <v>-3261332.51</v>
      </c>
      <c r="D162" s="45">
        <v>24449.26</v>
      </c>
      <c r="E162" s="45"/>
      <c r="F162" s="45">
        <v>-29218.92</v>
      </c>
      <c r="G162" s="45">
        <f t="shared" si="113"/>
        <v>-3266102.17</v>
      </c>
      <c r="H162" s="44">
        <v>4300000</v>
      </c>
      <c r="I162" s="46">
        <f t="shared" si="99"/>
        <v>-1731049.23</v>
      </c>
      <c r="J162" s="47">
        <v>3713.66</v>
      </c>
      <c r="K162" s="47"/>
      <c r="L162" s="47">
        <v>-8682.9400000001406</v>
      </c>
      <c r="M162" s="47">
        <f t="shared" si="100"/>
        <v>-1736018.5100000002</v>
      </c>
      <c r="N162" s="46">
        <v>4000000</v>
      </c>
      <c r="O162" s="48">
        <f t="shared" si="101"/>
        <v>7506.4599999999937</v>
      </c>
      <c r="P162" s="55"/>
      <c r="Q162" s="55"/>
      <c r="R162" s="55">
        <v>-453</v>
      </c>
      <c r="S162" s="55">
        <f t="shared" si="102"/>
        <v>7053.4599999999937</v>
      </c>
      <c r="T162" s="48"/>
      <c r="U162" s="49">
        <f t="shared" si="103"/>
        <v>371.69000000007946</v>
      </c>
      <c r="V162" s="51"/>
      <c r="W162" s="51"/>
      <c r="X162" s="51"/>
      <c r="Y162" s="51">
        <f t="shared" si="104"/>
        <v>371.69000000007946</v>
      </c>
      <c r="Z162" s="52"/>
      <c r="AA162" s="53">
        <f t="shared" si="105"/>
        <v>41.839999999995122</v>
      </c>
      <c r="AB162" s="54"/>
      <c r="AC162" s="54"/>
      <c r="AD162" s="54"/>
      <c r="AE162" s="54">
        <f t="shared" si="106"/>
        <v>41.839999999995122</v>
      </c>
      <c r="AF162" s="53"/>
      <c r="AG162" s="53"/>
      <c r="AH162" s="54"/>
      <c r="AI162" s="54"/>
      <c r="AJ162" s="54"/>
      <c r="AK162" s="54"/>
      <c r="AL162" s="53"/>
      <c r="AM162" s="53"/>
      <c r="AN162" s="54"/>
      <c r="AO162" s="54"/>
      <c r="AP162" s="54"/>
      <c r="AQ162" s="54"/>
      <c r="AR162" s="53"/>
      <c r="AS162" s="50">
        <f t="shared" si="114"/>
        <v>-4984461.75</v>
      </c>
      <c r="AT162" s="50">
        <f t="shared" si="115"/>
        <v>28162.92</v>
      </c>
      <c r="AU162" s="50">
        <f t="shared" si="116"/>
        <v>0</v>
      </c>
      <c r="AV162" s="50">
        <f t="shared" si="117"/>
        <v>-38354.860000000139</v>
      </c>
      <c r="AW162" s="50"/>
      <c r="AX162" s="50">
        <f t="shared" si="107"/>
        <v>-4994653.6899999995</v>
      </c>
      <c r="AY162" s="50">
        <f t="shared" si="118"/>
        <v>8300000</v>
      </c>
      <c r="AZ162" s="50">
        <f t="shared" si="119"/>
        <v>3305346.3100000005</v>
      </c>
    </row>
    <row r="163" spans="2:52" ht="12.75" customHeight="1" x14ac:dyDescent="0.3">
      <c r="B163" s="99">
        <f t="shared" ref="B163:B164" si="122">B162+1</f>
        <v>44391</v>
      </c>
      <c r="C163" s="44">
        <f t="shared" si="98"/>
        <v>-3266102.17</v>
      </c>
      <c r="D163" s="45">
        <v>100000</v>
      </c>
      <c r="E163" s="45"/>
      <c r="F163" s="45">
        <f>-2270.05+68.5</f>
        <v>-2201.5500000000002</v>
      </c>
      <c r="G163" s="45">
        <f t="shared" si="113"/>
        <v>-3168303.7199999997</v>
      </c>
      <c r="H163" s="44">
        <v>4300000</v>
      </c>
      <c r="I163" s="46">
        <f t="shared" si="99"/>
        <v>-1736018.5100000002</v>
      </c>
      <c r="J163" s="47"/>
      <c r="K163" s="47"/>
      <c r="L163" s="47">
        <v>-9253.1</v>
      </c>
      <c r="M163" s="47">
        <f t="shared" si="100"/>
        <v>-1745271.6100000003</v>
      </c>
      <c r="N163" s="46">
        <v>4000000</v>
      </c>
      <c r="O163" s="48">
        <f t="shared" si="101"/>
        <v>7053.4599999999937</v>
      </c>
      <c r="P163" s="55"/>
      <c r="Q163" s="55"/>
      <c r="R163" s="55"/>
      <c r="S163" s="55">
        <f t="shared" si="102"/>
        <v>7053.4599999999937</v>
      </c>
      <c r="T163" s="48"/>
      <c r="U163" s="49">
        <f t="shared" si="103"/>
        <v>371.69000000007946</v>
      </c>
      <c r="V163" s="51"/>
      <c r="W163" s="51"/>
      <c r="X163" s="51"/>
      <c r="Y163" s="51">
        <f t="shared" si="104"/>
        <v>371.69000000007946</v>
      </c>
      <c r="Z163" s="52"/>
      <c r="AA163" s="53">
        <f t="shared" si="105"/>
        <v>41.839999999995122</v>
      </c>
      <c r="AB163" s="54"/>
      <c r="AC163" s="54"/>
      <c r="AD163" s="54"/>
      <c r="AE163" s="54">
        <f t="shared" si="106"/>
        <v>41.839999999995122</v>
      </c>
      <c r="AF163" s="53"/>
      <c r="AG163" s="53"/>
      <c r="AH163" s="54"/>
      <c r="AI163" s="54"/>
      <c r="AJ163" s="54"/>
      <c r="AK163" s="54"/>
      <c r="AL163" s="53"/>
      <c r="AM163" s="53"/>
      <c r="AN163" s="54"/>
      <c r="AO163" s="54"/>
      <c r="AP163" s="54"/>
      <c r="AQ163" s="54"/>
      <c r="AR163" s="53"/>
      <c r="AS163" s="50">
        <f t="shared" si="114"/>
        <v>-4994653.6899999995</v>
      </c>
      <c r="AT163" s="50">
        <f t="shared" si="115"/>
        <v>100000</v>
      </c>
      <c r="AU163" s="50">
        <f t="shared" si="116"/>
        <v>0</v>
      </c>
      <c r="AV163" s="50">
        <f t="shared" si="117"/>
        <v>-11454.650000000001</v>
      </c>
      <c r="AW163" s="50"/>
      <c r="AX163" s="50">
        <f t="shared" si="107"/>
        <v>-4906108.34</v>
      </c>
      <c r="AY163" s="50">
        <f t="shared" si="118"/>
        <v>8300000</v>
      </c>
      <c r="AZ163" s="50">
        <f t="shared" si="119"/>
        <v>3393891.66</v>
      </c>
    </row>
    <row r="164" spans="2:52" ht="12.75" customHeight="1" x14ac:dyDescent="0.3">
      <c r="B164" s="99">
        <f t="shared" si="122"/>
        <v>44392</v>
      </c>
      <c r="C164" s="44">
        <f t="shared" si="98"/>
        <v>-3168303.7199999997</v>
      </c>
      <c r="D164" s="45">
        <v>10437.370000000001</v>
      </c>
      <c r="E164" s="45">
        <v>-425000</v>
      </c>
      <c r="F164" s="45">
        <v>-55412.44</v>
      </c>
      <c r="G164" s="45">
        <f t="shared" si="113"/>
        <v>-3638278.7899999996</v>
      </c>
      <c r="H164" s="44">
        <v>4300000</v>
      </c>
      <c r="I164" s="46">
        <f t="shared" si="99"/>
        <v>-1745271.6100000003</v>
      </c>
      <c r="J164" s="47"/>
      <c r="K164" s="47">
        <v>425000</v>
      </c>
      <c r="L164" s="47">
        <v>-471602.51</v>
      </c>
      <c r="M164" s="47">
        <f t="shared" si="100"/>
        <v>-1791874.1200000003</v>
      </c>
      <c r="N164" s="46">
        <v>4000000</v>
      </c>
      <c r="O164" s="48">
        <f t="shared" si="101"/>
        <v>7053.4599999999937</v>
      </c>
      <c r="P164" s="55">
        <f>157.12+880</f>
        <v>1037.1199999999999</v>
      </c>
      <c r="Q164" s="55"/>
      <c r="R164" s="55"/>
      <c r="S164" s="55">
        <f t="shared" si="102"/>
        <v>8090.5799999999936</v>
      </c>
      <c r="T164" s="48"/>
      <c r="U164" s="49">
        <f t="shared" si="103"/>
        <v>371.69000000007946</v>
      </c>
      <c r="V164" s="51"/>
      <c r="W164" s="51"/>
      <c r="X164" s="51"/>
      <c r="Y164" s="51">
        <f t="shared" si="104"/>
        <v>371.69000000007946</v>
      </c>
      <c r="Z164" s="52"/>
      <c r="AA164" s="53">
        <f t="shared" si="105"/>
        <v>41.839999999995122</v>
      </c>
      <c r="AB164" s="54"/>
      <c r="AC164" s="54"/>
      <c r="AD164" s="54"/>
      <c r="AE164" s="54">
        <f t="shared" si="106"/>
        <v>41.839999999995122</v>
      </c>
      <c r="AF164" s="53"/>
      <c r="AG164" s="53"/>
      <c r="AH164" s="54"/>
      <c r="AI164" s="54"/>
      <c r="AJ164" s="54"/>
      <c r="AK164" s="54"/>
      <c r="AL164" s="53"/>
      <c r="AM164" s="53"/>
      <c r="AN164" s="54"/>
      <c r="AO164" s="54"/>
      <c r="AP164" s="54"/>
      <c r="AQ164" s="54"/>
      <c r="AR164" s="53"/>
      <c r="AS164" s="50">
        <f t="shared" si="114"/>
        <v>-4906108.34</v>
      </c>
      <c r="AT164" s="50">
        <f t="shared" si="115"/>
        <v>11474.490000000002</v>
      </c>
      <c r="AU164" s="50">
        <f t="shared" si="116"/>
        <v>0</v>
      </c>
      <c r="AV164" s="50">
        <f t="shared" si="117"/>
        <v>-527014.94999999995</v>
      </c>
      <c r="AW164" s="50"/>
      <c r="AX164" s="50">
        <f t="shared" si="107"/>
        <v>-5421648.7999999998</v>
      </c>
      <c r="AY164" s="50">
        <f t="shared" si="118"/>
        <v>8300000</v>
      </c>
      <c r="AZ164" s="50">
        <f t="shared" si="119"/>
        <v>2878351.2</v>
      </c>
    </row>
    <row r="165" spans="2:52" ht="12.75" customHeight="1" x14ac:dyDescent="0.3">
      <c r="B165" s="99">
        <f>B164+1</f>
        <v>44393</v>
      </c>
      <c r="C165" s="44">
        <f t="shared" si="98"/>
        <v>-3638278.7899999996</v>
      </c>
      <c r="D165" s="45">
        <v>56669.77</v>
      </c>
      <c r="E165" s="45">
        <v>-15000</v>
      </c>
      <c r="F165" s="45">
        <f>-27959.7+15000</f>
        <v>-12959.7</v>
      </c>
      <c r="G165" s="45">
        <f t="shared" si="113"/>
        <v>-3609568.7199999997</v>
      </c>
      <c r="H165" s="44">
        <v>4300000</v>
      </c>
      <c r="I165" s="46">
        <f t="shared" si="99"/>
        <v>-1791874.1200000003</v>
      </c>
      <c r="J165" s="47">
        <v>9291.17</v>
      </c>
      <c r="K165" s="47">
        <v>15000</v>
      </c>
      <c r="L165" s="47">
        <v>-29013.2499999996</v>
      </c>
      <c r="M165" s="47">
        <f t="shared" si="100"/>
        <v>-1796596.2</v>
      </c>
      <c r="N165" s="46">
        <v>4000000</v>
      </c>
      <c r="O165" s="48">
        <f t="shared" si="101"/>
        <v>8090.5799999999936</v>
      </c>
      <c r="P165" s="55">
        <f>28585+1729.9+0.1</f>
        <v>30315</v>
      </c>
      <c r="Q165" s="55"/>
      <c r="R165" s="55"/>
      <c r="S165" s="55">
        <f t="shared" si="102"/>
        <v>38405.579999999994</v>
      </c>
      <c r="T165" s="48"/>
      <c r="U165" s="49">
        <f t="shared" si="103"/>
        <v>371.69000000007946</v>
      </c>
      <c r="V165" s="51"/>
      <c r="W165" s="51"/>
      <c r="X165" s="51"/>
      <c r="Y165" s="51">
        <f t="shared" si="104"/>
        <v>371.69000000007946</v>
      </c>
      <c r="Z165" s="52"/>
      <c r="AA165" s="53">
        <f t="shared" si="105"/>
        <v>41.839999999995122</v>
      </c>
      <c r="AB165" s="54"/>
      <c r="AC165" s="54"/>
      <c r="AD165" s="54"/>
      <c r="AE165" s="54">
        <f t="shared" si="106"/>
        <v>41.839999999995122</v>
      </c>
      <c r="AF165" s="53"/>
      <c r="AG165" s="53"/>
      <c r="AH165" s="54"/>
      <c r="AI165" s="54"/>
      <c r="AJ165" s="54"/>
      <c r="AK165" s="54"/>
      <c r="AL165" s="53"/>
      <c r="AM165" s="53"/>
      <c r="AN165" s="54"/>
      <c r="AO165" s="54"/>
      <c r="AP165" s="54"/>
      <c r="AQ165" s="54"/>
      <c r="AR165" s="53"/>
      <c r="AS165" s="50">
        <f t="shared" si="114"/>
        <v>-5421648.7999999998</v>
      </c>
      <c r="AT165" s="50">
        <f t="shared" si="115"/>
        <v>96275.94</v>
      </c>
      <c r="AU165" s="50">
        <f t="shared" si="116"/>
        <v>0</v>
      </c>
      <c r="AV165" s="50">
        <f t="shared" si="117"/>
        <v>-41972.949999999604</v>
      </c>
      <c r="AW165" s="50"/>
      <c r="AX165" s="50">
        <f t="shared" si="107"/>
        <v>-5367345.8099999996</v>
      </c>
      <c r="AY165" s="50">
        <f t="shared" si="118"/>
        <v>8300000</v>
      </c>
      <c r="AZ165" s="50">
        <f t="shared" si="119"/>
        <v>2932654.1900000004</v>
      </c>
    </row>
    <row r="166" spans="2:52" ht="12.75" customHeight="1" x14ac:dyDescent="0.3">
      <c r="B166" s="99">
        <f>B165+3</f>
        <v>44396</v>
      </c>
      <c r="C166" s="44">
        <f t="shared" si="98"/>
        <v>-3609568.7199999997</v>
      </c>
      <c r="D166" s="45">
        <v>392052.03</v>
      </c>
      <c r="E166" s="45">
        <v>-80000</v>
      </c>
      <c r="F166" s="45">
        <v>-14214.12</v>
      </c>
      <c r="G166" s="45">
        <f t="shared" si="113"/>
        <v>-3311730.8099999996</v>
      </c>
      <c r="H166" s="44">
        <v>4300000</v>
      </c>
      <c r="I166" s="46">
        <f t="shared" si="99"/>
        <v>-1796596.2</v>
      </c>
      <c r="J166" s="47"/>
      <c r="K166" s="47">
        <v>80000</v>
      </c>
      <c r="L166" s="47">
        <v>-75129.3</v>
      </c>
      <c r="M166" s="47">
        <f t="shared" si="100"/>
        <v>-1791725.5</v>
      </c>
      <c r="N166" s="46">
        <v>4000000</v>
      </c>
      <c r="O166" s="48">
        <f t="shared" si="101"/>
        <v>38405.579999999994</v>
      </c>
      <c r="P166" s="55">
        <f>24870.25+27159.27</f>
        <v>52029.520000000004</v>
      </c>
      <c r="Q166" s="55"/>
      <c r="R166" s="55">
        <v>-200</v>
      </c>
      <c r="S166" s="55">
        <f t="shared" si="102"/>
        <v>90235.1</v>
      </c>
      <c r="T166" s="48"/>
      <c r="U166" s="49">
        <f t="shared" si="103"/>
        <v>371.69000000007946</v>
      </c>
      <c r="V166" s="51">
        <v>290740.25</v>
      </c>
      <c r="W166" s="51"/>
      <c r="X166" s="51"/>
      <c r="Y166" s="51">
        <f t="shared" si="104"/>
        <v>291111.94000000006</v>
      </c>
      <c r="Z166" s="52"/>
      <c r="AA166" s="53">
        <f t="shared" si="105"/>
        <v>41.839999999995122</v>
      </c>
      <c r="AB166" s="54"/>
      <c r="AC166" s="54"/>
      <c r="AD166" s="54"/>
      <c r="AE166" s="54">
        <f t="shared" si="106"/>
        <v>41.839999999995122</v>
      </c>
      <c r="AF166" s="53"/>
      <c r="AG166" s="53"/>
      <c r="AH166" s="54"/>
      <c r="AI166" s="54"/>
      <c r="AJ166" s="54"/>
      <c r="AK166" s="54"/>
      <c r="AL166" s="53"/>
      <c r="AM166" s="53"/>
      <c r="AN166" s="54"/>
      <c r="AO166" s="54"/>
      <c r="AP166" s="54"/>
      <c r="AQ166" s="54"/>
      <c r="AR166" s="53"/>
      <c r="AS166" s="50">
        <f t="shared" si="114"/>
        <v>-5367345.8099999996</v>
      </c>
      <c r="AT166" s="50">
        <f t="shared" si="115"/>
        <v>734821.8</v>
      </c>
      <c r="AU166" s="50">
        <f t="shared" si="116"/>
        <v>0</v>
      </c>
      <c r="AV166" s="50">
        <f t="shared" si="117"/>
        <v>-89543.42</v>
      </c>
      <c r="AW166" s="50"/>
      <c r="AX166" s="50">
        <f t="shared" si="107"/>
        <v>-4722067.43</v>
      </c>
      <c r="AY166" s="50">
        <f t="shared" si="118"/>
        <v>8300000</v>
      </c>
      <c r="AZ166" s="50">
        <f t="shared" si="119"/>
        <v>3577932.5700000003</v>
      </c>
    </row>
    <row r="167" spans="2:52" ht="12.75" customHeight="1" x14ac:dyDescent="0.3">
      <c r="B167" s="99">
        <f>B166+1</f>
        <v>44397</v>
      </c>
      <c r="C167" s="44">
        <f t="shared" si="98"/>
        <v>-3311730.8099999996</v>
      </c>
      <c r="D167" s="45"/>
      <c r="E167" s="45">
        <f>160000+80000</f>
        <v>240000</v>
      </c>
      <c r="F167" s="45">
        <v>-1006263.02</v>
      </c>
      <c r="G167" s="45">
        <f t="shared" si="113"/>
        <v>-4077993.8299999996</v>
      </c>
      <c r="H167" s="44">
        <v>4300000</v>
      </c>
      <c r="I167" s="46">
        <f t="shared" si="99"/>
        <v>-1791725.5</v>
      </c>
      <c r="J167" s="47">
        <f>103366.61+53971+52820.83</f>
        <v>210158.44</v>
      </c>
      <c r="K167" s="47">
        <v>-160000</v>
      </c>
      <c r="L167" s="47">
        <v>-50146.449999999903</v>
      </c>
      <c r="M167" s="47">
        <f t="shared" si="100"/>
        <v>-1791713.51</v>
      </c>
      <c r="N167" s="46">
        <v>4000000</v>
      </c>
      <c r="O167" s="48">
        <f t="shared" si="101"/>
        <v>90235.1</v>
      </c>
      <c r="P167" s="55"/>
      <c r="Q167" s="55">
        <v>-80000</v>
      </c>
      <c r="R167" s="55">
        <f>-3138.52-10</f>
        <v>-3148.52</v>
      </c>
      <c r="S167" s="55">
        <f t="shared" si="102"/>
        <v>7086.5800000000054</v>
      </c>
      <c r="T167" s="48"/>
      <c r="U167" s="49">
        <f t="shared" si="103"/>
        <v>291111.94000000006</v>
      </c>
      <c r="V167" s="51"/>
      <c r="W167" s="51"/>
      <c r="X167" s="51"/>
      <c r="Y167" s="51">
        <f t="shared" si="104"/>
        <v>291111.94000000006</v>
      </c>
      <c r="Z167" s="52"/>
      <c r="AA167" s="53">
        <f t="shared" si="105"/>
        <v>41.839999999995122</v>
      </c>
      <c r="AB167" s="54"/>
      <c r="AC167" s="54"/>
      <c r="AD167" s="54"/>
      <c r="AE167" s="54">
        <f t="shared" si="106"/>
        <v>41.839999999995122</v>
      </c>
      <c r="AF167" s="53"/>
      <c r="AG167" s="53"/>
      <c r="AH167" s="54"/>
      <c r="AI167" s="54"/>
      <c r="AJ167" s="54"/>
      <c r="AK167" s="54"/>
      <c r="AL167" s="53"/>
      <c r="AM167" s="53"/>
      <c r="AN167" s="54"/>
      <c r="AO167" s="54"/>
      <c r="AP167" s="54"/>
      <c r="AQ167" s="54"/>
      <c r="AR167" s="53"/>
      <c r="AS167" s="50">
        <f t="shared" si="114"/>
        <v>-4722067.43</v>
      </c>
      <c r="AT167" s="50">
        <f t="shared" si="115"/>
        <v>210158.44</v>
      </c>
      <c r="AU167" s="50">
        <f t="shared" si="116"/>
        <v>0</v>
      </c>
      <c r="AV167" s="50">
        <f t="shared" si="117"/>
        <v>-1059557.99</v>
      </c>
      <c r="AW167" s="50"/>
      <c r="AX167" s="50">
        <f t="shared" si="107"/>
        <v>-5571466.9799999995</v>
      </c>
      <c r="AY167" s="50">
        <f t="shared" si="118"/>
        <v>8300000</v>
      </c>
      <c r="AZ167" s="50">
        <f t="shared" si="119"/>
        <v>2728533.0200000005</v>
      </c>
    </row>
    <row r="168" spans="2:52" ht="12.75" customHeight="1" x14ac:dyDescent="0.3">
      <c r="B168" s="99">
        <f t="shared" ref="B168:B169" si="123">B167+1</f>
        <v>44398</v>
      </c>
      <c r="C168" s="44">
        <f t="shared" si="98"/>
        <v>-4077993.8299999996</v>
      </c>
      <c r="D168" s="45">
        <v>187819.08</v>
      </c>
      <c r="E168" s="45">
        <v>-55000</v>
      </c>
      <c r="F168" s="45">
        <v>-200.85</v>
      </c>
      <c r="G168" s="45">
        <f t="shared" si="113"/>
        <v>-3945375.5999999996</v>
      </c>
      <c r="H168" s="44">
        <v>4300000</v>
      </c>
      <c r="I168" s="46">
        <f t="shared" si="99"/>
        <v>-1791713.51</v>
      </c>
      <c r="J168" s="47"/>
      <c r="K168" s="47">
        <v>55000</v>
      </c>
      <c r="L168" s="47">
        <v>-57419.41</v>
      </c>
      <c r="M168" s="47">
        <f t="shared" si="100"/>
        <v>-1794132.92</v>
      </c>
      <c r="N168" s="46">
        <v>4000000</v>
      </c>
      <c r="O168" s="48">
        <f t="shared" si="101"/>
        <v>7086.5800000000054</v>
      </c>
      <c r="P168" s="55"/>
      <c r="Q168" s="55"/>
      <c r="R168" s="55"/>
      <c r="S168" s="55">
        <f t="shared" si="102"/>
        <v>7086.5800000000054</v>
      </c>
      <c r="T168" s="48"/>
      <c r="U168" s="49">
        <f t="shared" si="103"/>
        <v>291111.94000000006</v>
      </c>
      <c r="V168" s="51"/>
      <c r="W168" s="51"/>
      <c r="X168" s="51"/>
      <c r="Y168" s="51">
        <f t="shared" si="104"/>
        <v>291111.94000000006</v>
      </c>
      <c r="Z168" s="52"/>
      <c r="AA168" s="53">
        <f t="shared" si="105"/>
        <v>41.839999999995122</v>
      </c>
      <c r="AB168" s="54"/>
      <c r="AC168" s="54"/>
      <c r="AD168" s="54"/>
      <c r="AE168" s="54">
        <f t="shared" si="106"/>
        <v>41.839999999995122</v>
      </c>
      <c r="AF168" s="53"/>
      <c r="AG168" s="53"/>
      <c r="AH168" s="54"/>
      <c r="AI168" s="54"/>
      <c r="AJ168" s="54"/>
      <c r="AK168" s="54"/>
      <c r="AL168" s="53"/>
      <c r="AM168" s="53"/>
      <c r="AN168" s="54"/>
      <c r="AO168" s="54"/>
      <c r="AP168" s="54"/>
      <c r="AQ168" s="54"/>
      <c r="AR168" s="53"/>
      <c r="AS168" s="50">
        <f t="shared" si="114"/>
        <v>-5571466.9799999995</v>
      </c>
      <c r="AT168" s="50">
        <f t="shared" si="115"/>
        <v>187819.08</v>
      </c>
      <c r="AU168" s="50">
        <f t="shared" si="116"/>
        <v>0</v>
      </c>
      <c r="AV168" s="50">
        <f t="shared" si="117"/>
        <v>-57620.26</v>
      </c>
      <c r="AW168" s="50"/>
      <c r="AX168" s="50">
        <f t="shared" si="107"/>
        <v>-5441268.1599999992</v>
      </c>
      <c r="AY168" s="50">
        <f t="shared" si="118"/>
        <v>8300000</v>
      </c>
      <c r="AZ168" s="50">
        <f t="shared" si="119"/>
        <v>2858731.8400000008</v>
      </c>
    </row>
    <row r="169" spans="2:52" ht="12.75" customHeight="1" x14ac:dyDescent="0.3">
      <c r="B169" s="99">
        <f t="shared" si="123"/>
        <v>44399</v>
      </c>
      <c r="C169" s="44">
        <f t="shared" si="98"/>
        <v>-3945375.5999999996</v>
      </c>
      <c r="D169" s="45">
        <f>174755.01+3352.93</f>
        <v>178107.94</v>
      </c>
      <c r="E169" s="45"/>
      <c r="F169" s="45">
        <v>-180</v>
      </c>
      <c r="G169" s="45">
        <f t="shared" si="113"/>
        <v>-3767447.6599999997</v>
      </c>
      <c r="H169" s="44">
        <v>4300000</v>
      </c>
      <c r="I169" s="46">
        <f t="shared" si="99"/>
        <v>-1794132.92</v>
      </c>
      <c r="J169" s="47">
        <v>168875</v>
      </c>
      <c r="K169" s="47"/>
      <c r="L169" s="47">
        <v>-10779.1800000001</v>
      </c>
      <c r="M169" s="47">
        <f t="shared" si="100"/>
        <v>-1636037.1</v>
      </c>
      <c r="N169" s="46">
        <v>4000000</v>
      </c>
      <c r="O169" s="48">
        <f t="shared" si="101"/>
        <v>7086.5800000000054</v>
      </c>
      <c r="P169" s="55">
        <f>198.08*2+315.42*2</f>
        <v>1027</v>
      </c>
      <c r="Q169" s="55"/>
      <c r="R169" s="55">
        <v>-957.69</v>
      </c>
      <c r="S169" s="55">
        <f t="shared" si="102"/>
        <v>7155.8900000000049</v>
      </c>
      <c r="T169" s="48"/>
      <c r="U169" s="49">
        <f t="shared" si="103"/>
        <v>291111.94000000006</v>
      </c>
      <c r="V169" s="51"/>
      <c r="W169" s="51"/>
      <c r="X169" s="51"/>
      <c r="Y169" s="51">
        <f t="shared" si="104"/>
        <v>291111.94000000006</v>
      </c>
      <c r="Z169" s="52"/>
      <c r="AA169" s="53">
        <f t="shared" si="105"/>
        <v>41.839999999995122</v>
      </c>
      <c r="AB169" s="54"/>
      <c r="AC169" s="54"/>
      <c r="AD169" s="54"/>
      <c r="AE169" s="54">
        <f t="shared" si="106"/>
        <v>41.839999999995122</v>
      </c>
      <c r="AF169" s="53"/>
      <c r="AG169" s="53"/>
      <c r="AH169" s="54"/>
      <c r="AI169" s="54"/>
      <c r="AJ169" s="54"/>
      <c r="AK169" s="54"/>
      <c r="AL169" s="53"/>
      <c r="AM169" s="53"/>
      <c r="AN169" s="54"/>
      <c r="AO169" s="54"/>
      <c r="AP169" s="54"/>
      <c r="AQ169" s="54"/>
      <c r="AR169" s="53"/>
      <c r="AS169" s="50">
        <f t="shared" si="114"/>
        <v>-5441268.1599999992</v>
      </c>
      <c r="AT169" s="50">
        <f t="shared" si="115"/>
        <v>348009.94</v>
      </c>
      <c r="AU169" s="50">
        <f t="shared" si="116"/>
        <v>0</v>
      </c>
      <c r="AV169" s="50">
        <f t="shared" si="117"/>
        <v>-11916.870000000101</v>
      </c>
      <c r="AW169" s="50"/>
      <c r="AX169" s="50">
        <f t="shared" si="107"/>
        <v>-5105175.09</v>
      </c>
      <c r="AY169" s="50">
        <f t="shared" si="118"/>
        <v>8300000</v>
      </c>
      <c r="AZ169" s="50">
        <f t="shared" si="119"/>
        <v>3194824.91</v>
      </c>
    </row>
    <row r="170" spans="2:52" ht="12.75" customHeight="1" x14ac:dyDescent="0.3">
      <c r="B170" s="99">
        <f>B169+1</f>
        <v>44400</v>
      </c>
      <c r="C170" s="44">
        <f t="shared" si="98"/>
        <v>-3767447.6599999997</v>
      </c>
      <c r="D170" s="45"/>
      <c r="E170" s="45">
        <v>320000</v>
      </c>
      <c r="F170" s="45">
        <v>-0.85</v>
      </c>
      <c r="G170" s="45">
        <f t="shared" si="113"/>
        <v>-3447448.51</v>
      </c>
      <c r="H170" s="44">
        <v>4300000</v>
      </c>
      <c r="I170" s="46">
        <f t="shared" si="99"/>
        <v>-1636037.1</v>
      </c>
      <c r="J170" s="47"/>
      <c r="K170" s="47"/>
      <c r="L170" s="47">
        <f>-732-1430</f>
        <v>-2162</v>
      </c>
      <c r="M170" s="47">
        <f t="shared" si="100"/>
        <v>-1638199.1</v>
      </c>
      <c r="N170" s="46">
        <v>4000000</v>
      </c>
      <c r="O170" s="48">
        <f t="shared" si="101"/>
        <v>7155.8900000000049</v>
      </c>
      <c r="P170" s="55"/>
      <c r="Q170" s="55">
        <f>319000-320000</f>
        <v>-1000</v>
      </c>
      <c r="R170" s="55">
        <v>-19.5</v>
      </c>
      <c r="S170" s="55">
        <f t="shared" si="102"/>
        <v>6136.3900000000049</v>
      </c>
      <c r="T170" s="48"/>
      <c r="U170" s="49">
        <f t="shared" si="103"/>
        <v>291111.94000000006</v>
      </c>
      <c r="V170" s="51">
        <v>28142.79</v>
      </c>
      <c r="W170" s="51">
        <v>-319000</v>
      </c>
      <c r="X170" s="51">
        <v>-1.2</v>
      </c>
      <c r="Y170" s="51">
        <f t="shared" si="104"/>
        <v>253.53000000003959</v>
      </c>
      <c r="Z170" s="52"/>
      <c r="AA170" s="53">
        <f t="shared" si="105"/>
        <v>41.839999999995122</v>
      </c>
      <c r="AB170" s="54"/>
      <c r="AC170" s="54"/>
      <c r="AD170" s="54"/>
      <c r="AE170" s="54">
        <f t="shared" si="106"/>
        <v>41.839999999995122</v>
      </c>
      <c r="AF170" s="53"/>
      <c r="AG170" s="53"/>
      <c r="AH170" s="54"/>
      <c r="AI170" s="54"/>
      <c r="AJ170" s="54"/>
      <c r="AK170" s="54"/>
      <c r="AL170" s="53"/>
      <c r="AM170" s="53"/>
      <c r="AN170" s="54"/>
      <c r="AO170" s="54"/>
      <c r="AP170" s="54"/>
      <c r="AQ170" s="54"/>
      <c r="AR170" s="53"/>
      <c r="AS170" s="50">
        <f t="shared" si="114"/>
        <v>-5105175.09</v>
      </c>
      <c r="AT170" s="50">
        <f t="shared" si="115"/>
        <v>28142.79</v>
      </c>
      <c r="AU170" s="50">
        <f t="shared" si="116"/>
        <v>0</v>
      </c>
      <c r="AV170" s="50">
        <f t="shared" si="117"/>
        <v>-2183.5499999999997</v>
      </c>
      <c r="AW170" s="50"/>
      <c r="AX170" s="50">
        <f t="shared" si="107"/>
        <v>-5079215.8499999996</v>
      </c>
      <c r="AY170" s="50">
        <f t="shared" si="118"/>
        <v>8300000</v>
      </c>
      <c r="AZ170" s="50">
        <f t="shared" si="119"/>
        <v>3220784.1500000004</v>
      </c>
    </row>
    <row r="171" spans="2:52" ht="12.75" customHeight="1" x14ac:dyDescent="0.3">
      <c r="B171" s="99">
        <f>B170+3</f>
        <v>44403</v>
      </c>
      <c r="C171" s="44">
        <f t="shared" si="98"/>
        <v>-3447448.51</v>
      </c>
      <c r="D171" s="45">
        <v>57801.919999999998</v>
      </c>
      <c r="E171" s="45">
        <v>300000</v>
      </c>
      <c r="F171" s="45">
        <v>-129678.09</v>
      </c>
      <c r="G171" s="45">
        <f t="shared" si="113"/>
        <v>-3219324.6799999997</v>
      </c>
      <c r="H171" s="44">
        <v>4300000</v>
      </c>
      <c r="I171" s="46">
        <f t="shared" si="99"/>
        <v>-1638199.1</v>
      </c>
      <c r="J171" s="47"/>
      <c r="K171" s="47">
        <v>312882.2</v>
      </c>
      <c r="L171" s="47">
        <v>-71289.619999999893</v>
      </c>
      <c r="M171" s="47">
        <f t="shared" si="100"/>
        <v>-1396606.52</v>
      </c>
      <c r="N171" s="46">
        <v>4000000</v>
      </c>
      <c r="O171" s="48">
        <f t="shared" si="101"/>
        <v>6136.3900000000049</v>
      </c>
      <c r="P171" s="55"/>
      <c r="Q171" s="55">
        <v>10000</v>
      </c>
      <c r="R171" s="55">
        <v>-3623.37</v>
      </c>
      <c r="S171" s="55">
        <f t="shared" si="102"/>
        <v>12513.020000000004</v>
      </c>
      <c r="T171" s="48"/>
      <c r="U171" s="49">
        <f t="shared" si="103"/>
        <v>253.53000000003959</v>
      </c>
      <c r="V171" s="51">
        <v>310055.53000000003</v>
      </c>
      <c r="W171" s="51">
        <v>-310000</v>
      </c>
      <c r="X171" s="51">
        <v>-1.2</v>
      </c>
      <c r="Y171" s="51">
        <f t="shared" si="104"/>
        <v>307.86000000005589</v>
      </c>
      <c r="Z171" s="52"/>
      <c r="AA171" s="53">
        <f t="shared" si="105"/>
        <v>41.839999999995122</v>
      </c>
      <c r="AB171" s="54"/>
      <c r="AC171" s="54"/>
      <c r="AD171" s="54"/>
      <c r="AE171" s="54">
        <f t="shared" si="106"/>
        <v>41.839999999995122</v>
      </c>
      <c r="AF171" s="53"/>
      <c r="AG171" s="53"/>
      <c r="AH171" s="54"/>
      <c r="AI171" s="54"/>
      <c r="AJ171" s="54"/>
      <c r="AK171" s="54"/>
      <c r="AL171" s="53"/>
      <c r="AM171" s="53"/>
      <c r="AN171" s="54"/>
      <c r="AO171" s="54"/>
      <c r="AP171" s="54"/>
      <c r="AQ171" s="54"/>
      <c r="AR171" s="53"/>
      <c r="AS171" s="50">
        <f t="shared" si="114"/>
        <v>-5079215.8499999996</v>
      </c>
      <c r="AT171" s="50">
        <f t="shared" si="115"/>
        <v>367857.45</v>
      </c>
      <c r="AU171" s="50">
        <f t="shared" si="116"/>
        <v>312882.19999999995</v>
      </c>
      <c r="AV171" s="50">
        <f t="shared" si="117"/>
        <v>-204592.27999999991</v>
      </c>
      <c r="AW171" s="50"/>
      <c r="AX171" s="50">
        <f t="shared" si="107"/>
        <v>-4603068.4799999995</v>
      </c>
      <c r="AY171" s="50">
        <f t="shared" si="118"/>
        <v>8300000</v>
      </c>
      <c r="AZ171" s="50">
        <f t="shared" si="119"/>
        <v>3696931.5200000005</v>
      </c>
    </row>
    <row r="172" spans="2:52" ht="12.75" customHeight="1" x14ac:dyDescent="0.3">
      <c r="B172" s="99">
        <f>B171+1</f>
        <v>44404</v>
      </c>
      <c r="C172" s="44">
        <f t="shared" si="98"/>
        <v>-3219324.6799999997</v>
      </c>
      <c r="D172" s="45">
        <f>19776.98*5</f>
        <v>98884.9</v>
      </c>
      <c r="E172" s="45"/>
      <c r="F172" s="45">
        <v>-149559.92000000001</v>
      </c>
      <c r="G172" s="45">
        <f t="shared" si="113"/>
        <v>-3269999.6999999997</v>
      </c>
      <c r="H172" s="44">
        <v>4300000</v>
      </c>
      <c r="I172" s="46">
        <f t="shared" si="99"/>
        <v>-1396606.52</v>
      </c>
      <c r="J172" s="47">
        <v>122005.03000000001</v>
      </c>
      <c r="K172" s="47"/>
      <c r="L172" s="47">
        <v>-369294.37</v>
      </c>
      <c r="M172" s="47">
        <f t="shared" si="100"/>
        <v>-1643895.8599999999</v>
      </c>
      <c r="N172" s="46">
        <v>4000000</v>
      </c>
      <c r="O172" s="48">
        <f t="shared" si="101"/>
        <v>12513.020000000004</v>
      </c>
      <c r="P172" s="55"/>
      <c r="Q172" s="55"/>
      <c r="R172" s="55"/>
      <c r="S172" s="55">
        <f t="shared" si="102"/>
        <v>12513.020000000004</v>
      </c>
      <c r="T172" s="48"/>
      <c r="U172" s="49">
        <f t="shared" si="103"/>
        <v>307.86000000005589</v>
      </c>
      <c r="V172" s="51"/>
      <c r="W172" s="51"/>
      <c r="X172" s="51"/>
      <c r="Y172" s="51">
        <f t="shared" si="104"/>
        <v>307.86000000005589</v>
      </c>
      <c r="Z172" s="52"/>
      <c r="AA172" s="53">
        <f t="shared" si="105"/>
        <v>41.839999999995122</v>
      </c>
      <c r="AB172" s="54"/>
      <c r="AC172" s="54"/>
      <c r="AD172" s="54"/>
      <c r="AE172" s="54">
        <f t="shared" si="106"/>
        <v>41.839999999995122</v>
      </c>
      <c r="AF172" s="53"/>
      <c r="AG172" s="53"/>
      <c r="AH172" s="54"/>
      <c r="AI172" s="54"/>
      <c r="AJ172" s="54"/>
      <c r="AK172" s="54"/>
      <c r="AL172" s="53"/>
      <c r="AM172" s="53"/>
      <c r="AN172" s="54"/>
      <c r="AO172" s="54"/>
      <c r="AP172" s="54"/>
      <c r="AQ172" s="54"/>
      <c r="AR172" s="53"/>
      <c r="AS172" s="50">
        <f t="shared" si="114"/>
        <v>-4603068.4799999995</v>
      </c>
      <c r="AT172" s="50">
        <f t="shared" si="115"/>
        <v>220889.93</v>
      </c>
      <c r="AU172" s="50">
        <f t="shared" si="116"/>
        <v>0</v>
      </c>
      <c r="AV172" s="50">
        <f t="shared" si="117"/>
        <v>-518854.29000000004</v>
      </c>
      <c r="AW172" s="50"/>
      <c r="AX172" s="50">
        <f t="shared" si="107"/>
        <v>-4901032.84</v>
      </c>
      <c r="AY172" s="50">
        <f t="shared" si="118"/>
        <v>8300000</v>
      </c>
      <c r="AZ172" s="50">
        <f t="shared" si="119"/>
        <v>3398967.16</v>
      </c>
    </row>
    <row r="173" spans="2:52" ht="12.75" customHeight="1" x14ac:dyDescent="0.3">
      <c r="B173" s="99">
        <f t="shared" ref="B173:B174" si="124">B172+1</f>
        <v>44405</v>
      </c>
      <c r="C173" s="44">
        <f t="shared" si="98"/>
        <v>-3269999.6999999997</v>
      </c>
      <c r="D173" s="45">
        <v>61043.79</v>
      </c>
      <c r="E173" s="45"/>
      <c r="F173" s="45"/>
      <c r="G173" s="45">
        <f t="shared" si="113"/>
        <v>-3208955.9099999997</v>
      </c>
      <c r="H173" s="44">
        <v>4300000</v>
      </c>
      <c r="I173" s="46">
        <f t="shared" si="99"/>
        <v>-1643895.8599999999</v>
      </c>
      <c r="J173" s="47">
        <v>47783.37</v>
      </c>
      <c r="K173" s="47"/>
      <c r="L173" s="47">
        <v>-41756.8400000002</v>
      </c>
      <c r="M173" s="47">
        <f t="shared" si="100"/>
        <v>-1637869.33</v>
      </c>
      <c r="N173" s="46">
        <v>4000000</v>
      </c>
      <c r="O173" s="48">
        <f t="shared" si="101"/>
        <v>12513.020000000004</v>
      </c>
      <c r="P173" s="55">
        <f>185.75+297.92</f>
        <v>483.67</v>
      </c>
      <c r="Q173" s="55"/>
      <c r="R173" s="55"/>
      <c r="S173" s="55">
        <f t="shared" si="102"/>
        <v>12996.690000000004</v>
      </c>
      <c r="T173" s="48"/>
      <c r="U173" s="49">
        <f t="shared" si="103"/>
        <v>307.86000000005589</v>
      </c>
      <c r="V173" s="51"/>
      <c r="W173" s="51"/>
      <c r="X173" s="51"/>
      <c r="Y173" s="51">
        <f t="shared" si="104"/>
        <v>307.86000000005589</v>
      </c>
      <c r="Z173" s="52"/>
      <c r="AA173" s="53">
        <f t="shared" si="105"/>
        <v>41.839999999995122</v>
      </c>
      <c r="AB173" s="54"/>
      <c r="AC173" s="54"/>
      <c r="AD173" s="54"/>
      <c r="AE173" s="54">
        <f t="shared" si="106"/>
        <v>41.839999999995122</v>
      </c>
      <c r="AF173" s="53"/>
      <c r="AG173" s="53"/>
      <c r="AH173" s="54"/>
      <c r="AI173" s="54"/>
      <c r="AJ173" s="54"/>
      <c r="AK173" s="54"/>
      <c r="AL173" s="53"/>
      <c r="AM173" s="53"/>
      <c r="AN173" s="54"/>
      <c r="AO173" s="54"/>
      <c r="AP173" s="54"/>
      <c r="AQ173" s="54"/>
      <c r="AR173" s="53"/>
      <c r="AS173" s="50">
        <f t="shared" si="114"/>
        <v>-4901032.84</v>
      </c>
      <c r="AT173" s="50">
        <f t="shared" si="115"/>
        <v>109310.83</v>
      </c>
      <c r="AU173" s="50">
        <f t="shared" si="116"/>
        <v>0</v>
      </c>
      <c r="AV173" s="50">
        <f t="shared" si="117"/>
        <v>-41756.8400000002</v>
      </c>
      <c r="AW173" s="50"/>
      <c r="AX173" s="50">
        <f t="shared" si="107"/>
        <v>-4833478.8499999996</v>
      </c>
      <c r="AY173" s="50">
        <f t="shared" si="118"/>
        <v>8300000</v>
      </c>
      <c r="AZ173" s="50">
        <f t="shared" si="119"/>
        <v>3466521.1500000004</v>
      </c>
    </row>
    <row r="174" spans="2:52" ht="12.75" customHeight="1" x14ac:dyDescent="0.3">
      <c r="B174" s="99">
        <f t="shared" si="124"/>
        <v>44406</v>
      </c>
      <c r="C174" s="44">
        <f t="shared" si="98"/>
        <v>-3208955.9099999997</v>
      </c>
      <c r="D174" s="45">
        <f>26833.16+6215.19</f>
        <v>33048.35</v>
      </c>
      <c r="E174" s="45"/>
      <c r="F174" s="45"/>
      <c r="G174" s="45">
        <f t="shared" si="113"/>
        <v>-3175907.5599999996</v>
      </c>
      <c r="H174" s="44">
        <v>4300000</v>
      </c>
      <c r="I174" s="46">
        <f t="shared" si="99"/>
        <v>-1637869.33</v>
      </c>
      <c r="J174" s="47"/>
      <c r="K174" s="47"/>
      <c r="L174" s="47">
        <v>-66685.519999999902</v>
      </c>
      <c r="M174" s="47">
        <f t="shared" si="100"/>
        <v>-1704554.85</v>
      </c>
      <c r="N174" s="46">
        <v>4000000</v>
      </c>
      <c r="O174" s="48">
        <f t="shared" si="101"/>
        <v>12996.690000000004</v>
      </c>
      <c r="P174" s="55"/>
      <c r="Q174" s="55"/>
      <c r="R174" s="55">
        <v>-665.92</v>
      </c>
      <c r="S174" s="55">
        <f t="shared" si="102"/>
        <v>12330.770000000004</v>
      </c>
      <c r="T174" s="48"/>
      <c r="U174" s="49">
        <f t="shared" si="103"/>
        <v>307.86000000005589</v>
      </c>
      <c r="V174" s="51"/>
      <c r="W174" s="51"/>
      <c r="X174" s="51"/>
      <c r="Y174" s="51">
        <f t="shared" si="104"/>
        <v>307.86000000005589</v>
      </c>
      <c r="Z174" s="52"/>
      <c r="AA174" s="53">
        <f t="shared" si="105"/>
        <v>41.839999999995122</v>
      </c>
      <c r="AB174" s="54"/>
      <c r="AC174" s="54"/>
      <c r="AD174" s="54"/>
      <c r="AE174" s="54">
        <f t="shared" si="106"/>
        <v>41.839999999995122</v>
      </c>
      <c r="AF174" s="53"/>
      <c r="AG174" s="53"/>
      <c r="AH174" s="54"/>
      <c r="AI174" s="54"/>
      <c r="AJ174" s="54"/>
      <c r="AK174" s="54"/>
      <c r="AL174" s="53"/>
      <c r="AM174" s="53"/>
      <c r="AN174" s="54"/>
      <c r="AO174" s="54"/>
      <c r="AP174" s="54"/>
      <c r="AQ174" s="54"/>
      <c r="AR174" s="53"/>
      <c r="AS174" s="50">
        <f t="shared" si="114"/>
        <v>-4833478.8499999996</v>
      </c>
      <c r="AT174" s="50">
        <f t="shared" si="115"/>
        <v>33048.35</v>
      </c>
      <c r="AU174" s="50">
        <f t="shared" si="116"/>
        <v>0</v>
      </c>
      <c r="AV174" s="50">
        <f t="shared" si="117"/>
        <v>-67351.4399999999</v>
      </c>
      <c r="AW174" s="50"/>
      <c r="AX174" s="50">
        <f t="shared" si="107"/>
        <v>-4867781.9400000004</v>
      </c>
      <c r="AY174" s="50">
        <f t="shared" si="118"/>
        <v>8300000</v>
      </c>
      <c r="AZ174" s="50">
        <f t="shared" si="119"/>
        <v>3432218.0599999996</v>
      </c>
    </row>
    <row r="175" spans="2:52" ht="12.75" customHeight="1" x14ac:dyDescent="0.3">
      <c r="B175" s="99">
        <f>B174+1</f>
        <v>44407</v>
      </c>
      <c r="C175" s="44">
        <f t="shared" si="98"/>
        <v>-3175907.5599999996</v>
      </c>
      <c r="D175" s="45">
        <f>16999.62+5161.75+2177.82+25048.57</f>
        <v>49387.759999999995</v>
      </c>
      <c r="E175" s="45"/>
      <c r="F175" s="45">
        <v>-65685.03</v>
      </c>
      <c r="G175" s="45">
        <f t="shared" si="113"/>
        <v>-3192204.8299999996</v>
      </c>
      <c r="H175" s="44">
        <v>4300000</v>
      </c>
      <c r="I175" s="46">
        <f t="shared" si="99"/>
        <v>-1704554.85</v>
      </c>
      <c r="J175" s="47">
        <v>380817.55</v>
      </c>
      <c r="K175" s="47"/>
      <c r="L175" s="47">
        <v>-39105.58</v>
      </c>
      <c r="M175" s="47">
        <f t="shared" si="100"/>
        <v>-1362842.8800000001</v>
      </c>
      <c r="N175" s="46">
        <v>4000000</v>
      </c>
      <c r="O175" s="48">
        <f t="shared" si="101"/>
        <v>12330.770000000004</v>
      </c>
      <c r="P175" s="55">
        <v>131844.98000000001</v>
      </c>
      <c r="Q175" s="55"/>
      <c r="R175" s="55">
        <f>-81-1210</f>
        <v>-1291</v>
      </c>
      <c r="S175" s="55">
        <f t="shared" si="102"/>
        <v>142884.75</v>
      </c>
      <c r="T175" s="48"/>
      <c r="U175" s="49">
        <f t="shared" si="103"/>
        <v>307.86000000005589</v>
      </c>
      <c r="V175" s="51"/>
      <c r="W175" s="51"/>
      <c r="X175" s="51"/>
      <c r="Y175" s="51">
        <f t="shared" si="104"/>
        <v>307.86000000005589</v>
      </c>
      <c r="Z175" s="52"/>
      <c r="AA175" s="53">
        <f t="shared" si="105"/>
        <v>41.839999999995122</v>
      </c>
      <c r="AB175" s="54"/>
      <c r="AC175" s="54"/>
      <c r="AD175" s="54"/>
      <c r="AE175" s="54">
        <f t="shared" si="106"/>
        <v>41.839999999995122</v>
      </c>
      <c r="AF175" s="53"/>
      <c r="AG175" s="53"/>
      <c r="AH175" s="54"/>
      <c r="AI175" s="54"/>
      <c r="AJ175" s="54"/>
      <c r="AK175" s="54"/>
      <c r="AL175" s="53"/>
      <c r="AM175" s="53"/>
      <c r="AN175" s="54"/>
      <c r="AO175" s="54"/>
      <c r="AP175" s="54"/>
      <c r="AQ175" s="54"/>
      <c r="AR175" s="53"/>
      <c r="AS175" s="50">
        <f t="shared" si="114"/>
        <v>-4867781.9400000004</v>
      </c>
      <c r="AT175" s="50">
        <f t="shared" si="115"/>
        <v>562050.29</v>
      </c>
      <c r="AU175" s="50">
        <f t="shared" si="116"/>
        <v>0</v>
      </c>
      <c r="AV175" s="50">
        <f t="shared" si="117"/>
        <v>-106081.61</v>
      </c>
      <c r="AW175" s="50"/>
      <c r="AX175" s="50">
        <f t="shared" si="107"/>
        <v>-4411813.26</v>
      </c>
      <c r="AY175" s="50">
        <f t="shared" si="118"/>
        <v>8300000</v>
      </c>
      <c r="AZ175" s="50">
        <f t="shared" si="119"/>
        <v>3888186.74</v>
      </c>
    </row>
    <row r="176" spans="2:52" ht="12.75" customHeight="1" x14ac:dyDescent="0.3">
      <c r="B176" s="99">
        <f>B175+3</f>
        <v>44410</v>
      </c>
      <c r="C176" s="44">
        <f t="shared" si="98"/>
        <v>-3192204.8299999996</v>
      </c>
      <c r="D176" s="45">
        <v>24071.03</v>
      </c>
      <c r="E176" s="45">
        <f>428000-1300000</f>
        <v>-872000</v>
      </c>
      <c r="F176" s="45">
        <f>-1420585.79+31303.88+1300000</f>
        <v>-89281.910000000149</v>
      </c>
      <c r="G176" s="45">
        <f t="shared" si="113"/>
        <v>-4129415.71</v>
      </c>
      <c r="H176" s="44">
        <v>4300000</v>
      </c>
      <c r="I176" s="46">
        <f t="shared" si="99"/>
        <v>-1362842.8800000001</v>
      </c>
      <c r="J176" s="47"/>
      <c r="K176" s="47">
        <v>1300000</v>
      </c>
      <c r="L176" s="47">
        <v>-1838166.02</v>
      </c>
      <c r="M176" s="47">
        <f t="shared" si="100"/>
        <v>-1901008.9000000001</v>
      </c>
      <c r="N176" s="46">
        <v>4000000</v>
      </c>
      <c r="O176" s="48">
        <f t="shared" si="101"/>
        <v>142884.75</v>
      </c>
      <c r="P176" s="55">
        <v>286809.2</v>
      </c>
      <c r="Q176" s="55">
        <v>-428000</v>
      </c>
      <c r="R176" s="55">
        <v>-660</v>
      </c>
      <c r="S176" s="55">
        <f t="shared" si="102"/>
        <v>1033.9500000000116</v>
      </c>
      <c r="T176" s="48"/>
      <c r="U176" s="49">
        <f t="shared" si="103"/>
        <v>307.86000000005589</v>
      </c>
      <c r="V176" s="51">
        <v>79622.34</v>
      </c>
      <c r="W176" s="51"/>
      <c r="X176" s="51"/>
      <c r="Y176" s="51">
        <f t="shared" si="104"/>
        <v>79930.200000000055</v>
      </c>
      <c r="Z176" s="52"/>
      <c r="AA176" s="53">
        <f t="shared" si="105"/>
        <v>41.839999999995122</v>
      </c>
      <c r="AB176" s="54"/>
      <c r="AC176" s="54"/>
      <c r="AD176" s="54"/>
      <c r="AE176" s="54">
        <f t="shared" si="106"/>
        <v>41.839999999995122</v>
      </c>
      <c r="AF176" s="53"/>
      <c r="AG176" s="53"/>
      <c r="AH176" s="54"/>
      <c r="AI176" s="54"/>
      <c r="AJ176" s="54"/>
      <c r="AK176" s="54"/>
      <c r="AL176" s="53"/>
      <c r="AM176" s="53"/>
      <c r="AN176" s="54"/>
      <c r="AO176" s="54"/>
      <c r="AP176" s="54"/>
      <c r="AQ176" s="54"/>
      <c r="AR176" s="53"/>
      <c r="AS176" s="50">
        <f t="shared" si="114"/>
        <v>-4411813.26</v>
      </c>
      <c r="AT176" s="50">
        <f t="shared" si="115"/>
        <v>390502.56999999995</v>
      </c>
      <c r="AU176" s="50">
        <f t="shared" si="116"/>
        <v>0</v>
      </c>
      <c r="AV176" s="50">
        <f t="shared" si="117"/>
        <v>-1928107.9300000002</v>
      </c>
      <c r="AW176" s="50"/>
      <c r="AX176" s="50">
        <f t="shared" si="107"/>
        <v>-5949418.6200000001</v>
      </c>
      <c r="AY176" s="50">
        <f t="shared" si="118"/>
        <v>8300000</v>
      </c>
      <c r="AZ176" s="50">
        <f t="shared" si="119"/>
        <v>2350581.38</v>
      </c>
    </row>
    <row r="177" spans="2:52" ht="12.75" customHeight="1" x14ac:dyDescent="0.3">
      <c r="B177" s="99">
        <f>B176+1</f>
        <v>44411</v>
      </c>
      <c r="C177" s="44">
        <f t="shared" si="98"/>
        <v>-4129415.71</v>
      </c>
      <c r="D177" s="45"/>
      <c r="E177" s="45">
        <v>50000</v>
      </c>
      <c r="F177" s="45">
        <v>-109983.65</v>
      </c>
      <c r="G177" s="45">
        <f t="shared" si="113"/>
        <v>-4189399.36</v>
      </c>
      <c r="H177" s="44">
        <v>4300000</v>
      </c>
      <c r="I177" s="46">
        <f t="shared" si="99"/>
        <v>-1901008.9000000001</v>
      </c>
      <c r="J177" s="47"/>
      <c r="K177" s="47">
        <f>215000-50000</f>
        <v>165000</v>
      </c>
      <c r="L177" s="47">
        <v>-403901.67</v>
      </c>
      <c r="M177" s="47">
        <f t="shared" si="100"/>
        <v>-2139910.5700000003</v>
      </c>
      <c r="N177" s="46">
        <v>4000000</v>
      </c>
      <c r="O177" s="48">
        <f t="shared" si="101"/>
        <v>1033.9500000000116</v>
      </c>
      <c r="P177" s="55"/>
      <c r="Q177" s="55">
        <f>230000-215000</f>
        <v>15000</v>
      </c>
      <c r="R177" s="55">
        <v>-15242.14</v>
      </c>
      <c r="S177" s="55">
        <f t="shared" si="102"/>
        <v>791.81000000001222</v>
      </c>
      <c r="T177" s="48"/>
      <c r="U177" s="49">
        <f t="shared" si="103"/>
        <v>79930.200000000055</v>
      </c>
      <c r="V177" s="51">
        <v>151072.22</v>
      </c>
      <c r="W177" s="51">
        <v>-230000</v>
      </c>
      <c r="X177" s="51">
        <f>-54.95+1.2</f>
        <v>-53.75</v>
      </c>
      <c r="Y177" s="51">
        <f t="shared" si="104"/>
        <v>948.67000000004191</v>
      </c>
      <c r="Z177" s="52"/>
      <c r="AA177" s="53">
        <f t="shared" si="105"/>
        <v>41.839999999995122</v>
      </c>
      <c r="AB177" s="54"/>
      <c r="AC177" s="54"/>
      <c r="AD177" s="54"/>
      <c r="AE177" s="54">
        <f t="shared" si="106"/>
        <v>41.839999999995122</v>
      </c>
      <c r="AF177" s="53"/>
      <c r="AG177" s="53"/>
      <c r="AH177" s="54"/>
      <c r="AI177" s="54"/>
      <c r="AJ177" s="54"/>
      <c r="AK177" s="54"/>
      <c r="AL177" s="53"/>
      <c r="AM177" s="53"/>
      <c r="AN177" s="54"/>
      <c r="AO177" s="54"/>
      <c r="AP177" s="54"/>
      <c r="AQ177" s="54"/>
      <c r="AR177" s="53"/>
      <c r="AS177" s="50">
        <f t="shared" si="114"/>
        <v>-5949418.6200000001</v>
      </c>
      <c r="AT177" s="50">
        <f t="shared" si="115"/>
        <v>151072.22</v>
      </c>
      <c r="AU177" s="50">
        <f t="shared" si="116"/>
        <v>0</v>
      </c>
      <c r="AV177" s="50">
        <f t="shared" si="117"/>
        <v>-529181.21</v>
      </c>
      <c r="AW177" s="50"/>
      <c r="AX177" s="50">
        <f t="shared" si="107"/>
        <v>-6327527.6100000003</v>
      </c>
      <c r="AY177" s="50">
        <f t="shared" si="118"/>
        <v>8300000</v>
      </c>
      <c r="AZ177" s="50">
        <f t="shared" si="119"/>
        <v>1972472.3899999997</v>
      </c>
    </row>
    <row r="178" spans="2:52" ht="11.25" customHeight="1" x14ac:dyDescent="0.3">
      <c r="B178" s="99">
        <f t="shared" ref="B178:B179" si="125">B177+1</f>
        <v>44412</v>
      </c>
      <c r="C178" s="44">
        <f t="shared" si="98"/>
        <v>-4189399.36</v>
      </c>
      <c r="D178" s="45"/>
      <c r="E178" s="45"/>
      <c r="F178" s="45">
        <f>-2756.97-5143.17-0.85</f>
        <v>-7900.99</v>
      </c>
      <c r="G178" s="45">
        <f t="shared" si="113"/>
        <v>-4197300.3499999996</v>
      </c>
      <c r="H178" s="44">
        <v>4300000</v>
      </c>
      <c r="I178" s="46">
        <f t="shared" si="99"/>
        <v>-2139910.5700000003</v>
      </c>
      <c r="J178" s="47"/>
      <c r="K178" s="47"/>
      <c r="L178" s="47">
        <v>-154535.06</v>
      </c>
      <c r="M178" s="47">
        <f t="shared" si="100"/>
        <v>-2294445.6300000004</v>
      </c>
      <c r="N178" s="46">
        <v>4000000</v>
      </c>
      <c r="O178" s="48">
        <f t="shared" si="101"/>
        <v>791.81000000001222</v>
      </c>
      <c r="P178" s="55">
        <f>162.88+512.32</f>
        <v>675.2</v>
      </c>
      <c r="Q178" s="55"/>
      <c r="R178" s="55"/>
      <c r="S178" s="55">
        <f t="shared" si="102"/>
        <v>1467.0100000000123</v>
      </c>
      <c r="T178" s="48"/>
      <c r="U178" s="49">
        <f t="shared" si="103"/>
        <v>948.67000000004191</v>
      </c>
      <c r="V178" s="51"/>
      <c r="W178" s="51"/>
      <c r="X178" s="51"/>
      <c r="Y178" s="51">
        <f t="shared" si="104"/>
        <v>948.67000000004191</v>
      </c>
      <c r="Z178" s="52"/>
      <c r="AA178" s="53">
        <f t="shared" si="105"/>
        <v>41.839999999995122</v>
      </c>
      <c r="AB178" s="54"/>
      <c r="AC178" s="54"/>
      <c r="AD178" s="54"/>
      <c r="AE178" s="54">
        <f t="shared" si="106"/>
        <v>41.839999999995122</v>
      </c>
      <c r="AF178" s="53"/>
      <c r="AG178" s="53"/>
      <c r="AH178" s="54"/>
      <c r="AI178" s="54"/>
      <c r="AJ178" s="54"/>
      <c r="AK178" s="54"/>
      <c r="AL178" s="53"/>
      <c r="AM178" s="53"/>
      <c r="AN178" s="54"/>
      <c r="AO178" s="54"/>
      <c r="AP178" s="54"/>
      <c r="AQ178" s="54"/>
      <c r="AR178" s="53"/>
      <c r="AS178" s="50">
        <f t="shared" si="114"/>
        <v>-6327527.6100000003</v>
      </c>
      <c r="AT178" s="50">
        <f t="shared" si="115"/>
        <v>675.2</v>
      </c>
      <c r="AU178" s="50">
        <f t="shared" si="116"/>
        <v>0</v>
      </c>
      <c r="AV178" s="50">
        <f t="shared" si="117"/>
        <v>-162436.04999999999</v>
      </c>
      <c r="AW178" s="50"/>
      <c r="AX178" s="50">
        <f t="shared" si="107"/>
        <v>-6489288.4600000009</v>
      </c>
      <c r="AY178" s="50">
        <f t="shared" si="118"/>
        <v>8300000</v>
      </c>
      <c r="AZ178" s="50">
        <f t="shared" si="119"/>
        <v>1810711.5399999991</v>
      </c>
    </row>
    <row r="179" spans="2:52" x14ac:dyDescent="0.3">
      <c r="B179" s="99">
        <f t="shared" si="125"/>
        <v>44413</v>
      </c>
      <c r="C179" s="44">
        <f t="shared" si="98"/>
        <v>-4197300.3499999996</v>
      </c>
      <c r="D179" s="45"/>
      <c r="E179" s="45"/>
      <c r="F179" s="45">
        <v>-0.85</v>
      </c>
      <c r="G179" s="45">
        <f t="shared" si="113"/>
        <v>-4197301.1999999993</v>
      </c>
      <c r="H179" s="44">
        <v>4300000</v>
      </c>
      <c r="I179" s="46">
        <f t="shared" si="99"/>
        <v>-2294445.6300000004</v>
      </c>
      <c r="J179" s="47"/>
      <c r="K179" s="47"/>
      <c r="L179" s="47">
        <v>-188689.64</v>
      </c>
      <c r="M179" s="47">
        <f t="shared" si="100"/>
        <v>-2483135.2700000005</v>
      </c>
      <c r="N179" s="46">
        <v>4000000</v>
      </c>
      <c r="O179" s="48">
        <f t="shared" si="101"/>
        <v>1467.0100000000123</v>
      </c>
      <c r="P179" s="55">
        <f>163.84+222.38+551+651.84</f>
        <v>1589.06</v>
      </c>
      <c r="Q179" s="55"/>
      <c r="R179" s="55"/>
      <c r="S179" s="55">
        <f t="shared" si="102"/>
        <v>3056.0700000000124</v>
      </c>
      <c r="T179" s="48"/>
      <c r="U179" s="49">
        <f t="shared" si="103"/>
        <v>948.67000000004191</v>
      </c>
      <c r="V179" s="51"/>
      <c r="W179" s="51"/>
      <c r="X179" s="51"/>
      <c r="Y179" s="51">
        <f t="shared" si="104"/>
        <v>948.67000000004191</v>
      </c>
      <c r="Z179" s="52"/>
      <c r="AA179" s="53">
        <f t="shared" si="105"/>
        <v>41.839999999995122</v>
      </c>
      <c r="AB179" s="54"/>
      <c r="AC179" s="54"/>
      <c r="AD179" s="54"/>
      <c r="AE179" s="54">
        <f t="shared" si="106"/>
        <v>41.839999999995122</v>
      </c>
      <c r="AF179" s="53"/>
      <c r="AG179" s="53"/>
      <c r="AH179" s="54"/>
      <c r="AI179" s="54"/>
      <c r="AJ179" s="54"/>
      <c r="AK179" s="54"/>
      <c r="AL179" s="53"/>
      <c r="AM179" s="53"/>
      <c r="AN179" s="54"/>
      <c r="AO179" s="54"/>
      <c r="AP179" s="54"/>
      <c r="AQ179" s="54"/>
      <c r="AR179" s="53"/>
      <c r="AS179" s="50">
        <f t="shared" si="114"/>
        <v>-6489288.4600000009</v>
      </c>
      <c r="AT179" s="50">
        <f t="shared" si="115"/>
        <v>1589.06</v>
      </c>
      <c r="AU179" s="50">
        <f t="shared" si="116"/>
        <v>0</v>
      </c>
      <c r="AV179" s="50">
        <f t="shared" si="117"/>
        <v>-188690.49000000002</v>
      </c>
      <c r="AW179" s="50"/>
      <c r="AX179" s="50">
        <f t="shared" si="107"/>
        <v>-6676389.8899999997</v>
      </c>
      <c r="AY179" s="50">
        <f t="shared" si="118"/>
        <v>8300000</v>
      </c>
      <c r="AZ179" s="50">
        <f t="shared" si="119"/>
        <v>1623610.1100000003</v>
      </c>
    </row>
    <row r="180" spans="2:52" x14ac:dyDescent="0.3">
      <c r="B180" s="99">
        <f>B179+1</f>
        <v>44414</v>
      </c>
      <c r="C180" s="44">
        <f t="shared" si="98"/>
        <v>-4197301.1999999993</v>
      </c>
      <c r="D180" s="45"/>
      <c r="E180" s="45"/>
      <c r="F180" s="45"/>
      <c r="G180" s="45">
        <f t="shared" si="113"/>
        <v>-4197301.1999999993</v>
      </c>
      <c r="H180" s="44">
        <v>4300000</v>
      </c>
      <c r="I180" s="46">
        <f t="shared" si="99"/>
        <v>-2483135.2700000005</v>
      </c>
      <c r="J180" s="47">
        <v>87780.08</v>
      </c>
      <c r="K180" s="47"/>
      <c r="L180" s="47">
        <v>-1906.7299999995901</v>
      </c>
      <c r="M180" s="47">
        <f t="shared" si="100"/>
        <v>-2397261.92</v>
      </c>
      <c r="N180" s="46">
        <v>4000000</v>
      </c>
      <c r="O180" s="48">
        <f t="shared" si="101"/>
        <v>3056.0700000000124</v>
      </c>
      <c r="P180" s="55"/>
      <c r="Q180" s="55"/>
      <c r="R180" s="55"/>
      <c r="S180" s="55">
        <f t="shared" si="102"/>
        <v>3056.0700000000124</v>
      </c>
      <c r="T180" s="48"/>
      <c r="U180" s="49">
        <f t="shared" si="103"/>
        <v>948.67000000004191</v>
      </c>
      <c r="V180" s="51"/>
      <c r="W180" s="51"/>
      <c r="X180" s="51">
        <v>-2.4</v>
      </c>
      <c r="Y180" s="51">
        <f t="shared" si="104"/>
        <v>946.27000000004193</v>
      </c>
      <c r="Z180" s="52"/>
      <c r="AA180" s="53">
        <f t="shared" si="105"/>
        <v>41.839999999995122</v>
      </c>
      <c r="AB180" s="54"/>
      <c r="AC180" s="54"/>
      <c r="AD180" s="54"/>
      <c r="AE180" s="54">
        <f t="shared" si="106"/>
        <v>41.839999999995122</v>
      </c>
      <c r="AF180" s="53"/>
      <c r="AG180" s="53"/>
      <c r="AH180" s="54"/>
      <c r="AI180" s="54"/>
      <c r="AJ180" s="54"/>
      <c r="AK180" s="54"/>
      <c r="AL180" s="53"/>
      <c r="AM180" s="53"/>
      <c r="AN180" s="54"/>
      <c r="AO180" s="54"/>
      <c r="AP180" s="54"/>
      <c r="AQ180" s="54"/>
      <c r="AR180" s="53"/>
      <c r="AS180" s="50">
        <f t="shared" si="114"/>
        <v>-6676389.8899999997</v>
      </c>
      <c r="AT180" s="50">
        <f t="shared" si="115"/>
        <v>87780.08</v>
      </c>
      <c r="AU180" s="50">
        <f t="shared" si="116"/>
        <v>0</v>
      </c>
      <c r="AV180" s="50">
        <f t="shared" si="117"/>
        <v>-1909.1299999995902</v>
      </c>
      <c r="AW180" s="50"/>
      <c r="AX180" s="50">
        <f t="shared" si="107"/>
        <v>-6590518.9399999985</v>
      </c>
      <c r="AY180" s="50">
        <f t="shared" si="118"/>
        <v>8300000</v>
      </c>
      <c r="AZ180" s="50">
        <f t="shared" si="119"/>
        <v>1709481.0600000015</v>
      </c>
    </row>
    <row r="181" spans="2:52" x14ac:dyDescent="0.3">
      <c r="B181" s="99">
        <f>B180+3</f>
        <v>44417</v>
      </c>
      <c r="C181" s="44">
        <f t="shared" si="98"/>
        <v>-4197301.1999999993</v>
      </c>
      <c r="D181" s="45">
        <v>161631.76999999999</v>
      </c>
      <c r="E181" s="45"/>
      <c r="F181" s="45">
        <v>-206.55</v>
      </c>
      <c r="G181" s="45">
        <f t="shared" si="113"/>
        <v>-4035875.9799999991</v>
      </c>
      <c r="H181" s="44">
        <v>4300000</v>
      </c>
      <c r="I181" s="46">
        <f t="shared" si="99"/>
        <v>-2397261.92</v>
      </c>
      <c r="J181" s="47">
        <v>197085.05000000002</v>
      </c>
      <c r="K181" s="47"/>
      <c r="L181" s="47">
        <v>-107190.37</v>
      </c>
      <c r="M181" s="47">
        <f t="shared" si="100"/>
        <v>-2307367.2400000002</v>
      </c>
      <c r="N181" s="46">
        <v>4000000</v>
      </c>
      <c r="O181" s="48">
        <f t="shared" si="101"/>
        <v>3056.0700000000124</v>
      </c>
      <c r="P181" s="55"/>
      <c r="Q181" s="55"/>
      <c r="R181" s="55"/>
      <c r="S181" s="55">
        <f t="shared" si="102"/>
        <v>3056.0700000000124</v>
      </c>
      <c r="T181" s="48"/>
      <c r="U181" s="49">
        <f t="shared" si="103"/>
        <v>946.27000000004193</v>
      </c>
      <c r="V181" s="51"/>
      <c r="W181" s="51"/>
      <c r="X181" s="51"/>
      <c r="Y181" s="51">
        <f t="shared" si="104"/>
        <v>946.27000000004193</v>
      </c>
      <c r="Z181" s="52"/>
      <c r="AA181" s="53">
        <f t="shared" si="105"/>
        <v>41.839999999995122</v>
      </c>
      <c r="AB181" s="54"/>
      <c r="AC181" s="54"/>
      <c r="AD181" s="54"/>
      <c r="AE181" s="54">
        <f t="shared" si="106"/>
        <v>41.839999999995122</v>
      </c>
      <c r="AF181" s="53"/>
      <c r="AG181" s="53">
        <f t="shared" ref="AG181:AG232" si="126">AK180</f>
        <v>0</v>
      </c>
      <c r="AH181" s="54"/>
      <c r="AI181" s="54"/>
      <c r="AJ181" s="54"/>
      <c r="AK181" s="54">
        <f t="shared" ref="AK181:AK186" si="127">SUM(AG181:AJ181)</f>
        <v>0</v>
      </c>
      <c r="AL181" s="53"/>
      <c r="AM181" s="53">
        <f t="shared" ref="AM181:AM244" si="128">AQ180</f>
        <v>0</v>
      </c>
      <c r="AN181" s="54"/>
      <c r="AO181" s="54"/>
      <c r="AP181" s="54"/>
      <c r="AQ181" s="54">
        <f t="shared" ref="AQ181:AQ244" si="129">SUM(AM181:AP181)</f>
        <v>0</v>
      </c>
      <c r="AR181" s="53"/>
      <c r="AS181" s="50">
        <f>SUM(C181,I181,O181,U181,AA181,AG181)</f>
        <v>-6590518.9399999985</v>
      </c>
      <c r="AT181" s="50">
        <f>SUM(D181,J181,P181,V181,AB181,AH181)</f>
        <v>358716.82</v>
      </c>
      <c r="AU181" s="50">
        <f>SUM(E181,K181,Q181,W181,AC181,AI181)</f>
        <v>0</v>
      </c>
      <c r="AV181" s="50">
        <f>SUM(F181,L181,R181,X181,AD181,AJ181)</f>
        <v>-107396.92</v>
      </c>
      <c r="AW181" s="50"/>
      <c r="AX181" s="50">
        <f t="shared" ref="AX181" si="130">SUM(G181,M181,S181,Y181,AE181,AK181)</f>
        <v>-6339199.0399999982</v>
      </c>
      <c r="AY181" s="50">
        <f>SUM(H181,N181,T181,Z181,AF181,AL181)</f>
        <v>8300000</v>
      </c>
      <c r="AZ181" s="50">
        <f>SUM(I181,O181,U181,AA181,AG181,AS181)</f>
        <v>-8983736.6799999997</v>
      </c>
    </row>
    <row r="182" spans="2:52" x14ac:dyDescent="0.3">
      <c r="B182" s="99">
        <f>B181+1</f>
        <v>44418</v>
      </c>
      <c r="C182" s="44">
        <f t="shared" si="98"/>
        <v>-4035875.9799999991</v>
      </c>
      <c r="D182" s="45">
        <v>508152.36</v>
      </c>
      <c r="E182" s="45"/>
      <c r="F182" s="45">
        <f>-31.7-194</f>
        <v>-225.7</v>
      </c>
      <c r="G182" s="45">
        <f t="shared" si="113"/>
        <v>-3527949.3199999994</v>
      </c>
      <c r="H182" s="44">
        <v>4300000</v>
      </c>
      <c r="I182" s="46">
        <f t="shared" si="99"/>
        <v>-2307367.2400000002</v>
      </c>
      <c r="J182" s="47">
        <f>15326.46+106648.86</f>
        <v>121975.32</v>
      </c>
      <c r="K182" s="47"/>
      <c r="L182" s="47">
        <v>-131852.42000000001</v>
      </c>
      <c r="M182" s="47">
        <f t="shared" si="100"/>
        <v>-2317244.3400000003</v>
      </c>
      <c r="N182" s="46">
        <v>4000000</v>
      </c>
      <c r="O182" s="48">
        <f t="shared" si="101"/>
        <v>3056.0700000000124</v>
      </c>
      <c r="P182" s="55"/>
      <c r="Q182" s="55"/>
      <c r="R182" s="55"/>
      <c r="S182" s="55">
        <f t="shared" si="102"/>
        <v>3056.0700000000124</v>
      </c>
      <c r="T182" s="48"/>
      <c r="U182" s="49">
        <f t="shared" si="103"/>
        <v>946.27000000004193</v>
      </c>
      <c r="V182" s="51">
        <v>31011.14</v>
      </c>
      <c r="W182" s="51"/>
      <c r="X182" s="51"/>
      <c r="Y182" s="51">
        <f t="shared" si="104"/>
        <v>31957.41000000004</v>
      </c>
      <c r="Z182" s="52"/>
      <c r="AA182" s="53">
        <f t="shared" si="105"/>
        <v>41.839999999995122</v>
      </c>
      <c r="AB182" s="54"/>
      <c r="AC182" s="54"/>
      <c r="AD182" s="54"/>
      <c r="AE182" s="54">
        <f t="shared" si="106"/>
        <v>41.839999999995122</v>
      </c>
      <c r="AF182" s="53"/>
      <c r="AG182" s="53">
        <f t="shared" si="126"/>
        <v>0</v>
      </c>
      <c r="AH182" s="54"/>
      <c r="AI182" s="54"/>
      <c r="AJ182" s="54"/>
      <c r="AK182" s="54">
        <f t="shared" si="127"/>
        <v>0</v>
      </c>
      <c r="AL182" s="53"/>
      <c r="AM182" s="53">
        <f t="shared" si="128"/>
        <v>0</v>
      </c>
      <c r="AN182" s="54"/>
      <c r="AO182" s="54"/>
      <c r="AP182" s="54"/>
      <c r="AQ182" s="54">
        <f t="shared" si="129"/>
        <v>0</v>
      </c>
      <c r="AR182" s="53"/>
      <c r="AS182" s="50">
        <f t="shared" ref="AS182:AS213" si="131">SUM(C182,I182,O182,U182,AA182,)</f>
        <v>-6339199.0399999982</v>
      </c>
      <c r="AT182" s="50">
        <f t="shared" ref="AT182:AT213" si="132">SUM(D182,J182,P182,V182,AB182,AH182)</f>
        <v>661138.81999999995</v>
      </c>
      <c r="AU182" s="50">
        <f t="shared" ref="AU182:AU213" si="133">SUM(E182,K182,Q182,W182,AC182,AI182)</f>
        <v>0</v>
      </c>
      <c r="AV182" s="50">
        <f t="shared" ref="AV182:AV213" si="134">SUM(F182,L182,R182,X182,AD182,AJ182)</f>
        <v>-132078.12000000002</v>
      </c>
      <c r="AW182" s="50"/>
      <c r="AX182" s="50">
        <f t="shared" ref="AX182:AX245" si="135">SUM(G182,M182,S182,Y182,AE182,AK182)</f>
        <v>-5810138.3399999999</v>
      </c>
      <c r="AY182" s="50">
        <f t="shared" ref="AY182:AY245" si="136">SUM(H182,N182,T182,Z182,AF182,AL182)</f>
        <v>8300000</v>
      </c>
      <c r="AZ182" s="50">
        <f t="shared" ref="AZ182:AZ245" si="137">AX182+AY182</f>
        <v>2489861.66</v>
      </c>
    </row>
    <row r="183" spans="2:52" x14ac:dyDescent="0.3">
      <c r="B183" s="99">
        <f t="shared" ref="B183:B184" si="138">B182+1</f>
        <v>44419</v>
      </c>
      <c r="C183" s="44">
        <f t="shared" si="98"/>
        <v>-3527949.3199999994</v>
      </c>
      <c r="D183" s="45">
        <v>320499.14</v>
      </c>
      <c r="E183" s="45"/>
      <c r="F183" s="45">
        <v>-7756.73</v>
      </c>
      <c r="G183" s="45">
        <f t="shared" si="113"/>
        <v>-3215206.9099999992</v>
      </c>
      <c r="H183" s="44">
        <v>4300000</v>
      </c>
      <c r="I183" s="46">
        <f t="shared" si="99"/>
        <v>-2317244.3400000003</v>
      </c>
      <c r="J183" s="47"/>
      <c r="K183" s="47"/>
      <c r="L183" s="47">
        <v>-93946.539999999703</v>
      </c>
      <c r="M183" s="47">
        <f t="shared" si="100"/>
        <v>-2411190.88</v>
      </c>
      <c r="N183" s="46">
        <v>4000000</v>
      </c>
      <c r="O183" s="48">
        <f t="shared" si="101"/>
        <v>3056.0700000000124</v>
      </c>
      <c r="P183" s="55"/>
      <c r="Q183" s="55">
        <v>31900</v>
      </c>
      <c r="R183" s="55"/>
      <c r="S183" s="55">
        <f t="shared" si="102"/>
        <v>34956.070000000014</v>
      </c>
      <c r="T183" s="48"/>
      <c r="U183" s="49">
        <f t="shared" si="103"/>
        <v>31957.41000000004</v>
      </c>
      <c r="V183" s="51"/>
      <c r="W183" s="51">
        <v>-31900</v>
      </c>
      <c r="X183" s="51">
        <v>-1.2</v>
      </c>
      <c r="Y183" s="51">
        <f t="shared" si="104"/>
        <v>56.210000000039869</v>
      </c>
      <c r="Z183" s="52"/>
      <c r="AA183" s="53">
        <f t="shared" si="105"/>
        <v>41.839999999995122</v>
      </c>
      <c r="AB183" s="54"/>
      <c r="AC183" s="54"/>
      <c r="AD183" s="54"/>
      <c r="AE183" s="54">
        <f t="shared" si="106"/>
        <v>41.839999999995122</v>
      </c>
      <c r="AF183" s="53"/>
      <c r="AG183" s="53">
        <f t="shared" si="126"/>
        <v>0</v>
      </c>
      <c r="AH183" s="54"/>
      <c r="AI183" s="54"/>
      <c r="AJ183" s="54"/>
      <c r="AK183" s="54">
        <f t="shared" si="127"/>
        <v>0</v>
      </c>
      <c r="AL183" s="53"/>
      <c r="AM183" s="53">
        <f t="shared" si="128"/>
        <v>0</v>
      </c>
      <c r="AN183" s="54"/>
      <c r="AO183" s="54"/>
      <c r="AP183" s="54"/>
      <c r="AQ183" s="54">
        <f t="shared" si="129"/>
        <v>0</v>
      </c>
      <c r="AR183" s="53"/>
      <c r="AS183" s="50">
        <f t="shared" si="131"/>
        <v>-5810138.3399999999</v>
      </c>
      <c r="AT183" s="50">
        <f t="shared" si="132"/>
        <v>320499.14</v>
      </c>
      <c r="AU183" s="50">
        <f t="shared" si="133"/>
        <v>0</v>
      </c>
      <c r="AV183" s="50">
        <f t="shared" si="134"/>
        <v>-101704.4699999997</v>
      </c>
      <c r="AW183" s="50"/>
      <c r="AX183" s="50">
        <f t="shared" si="135"/>
        <v>-5591343.669999999</v>
      </c>
      <c r="AY183" s="50">
        <f t="shared" si="136"/>
        <v>8300000</v>
      </c>
      <c r="AZ183" s="50">
        <f t="shared" si="137"/>
        <v>2708656.330000001</v>
      </c>
    </row>
    <row r="184" spans="2:52" x14ac:dyDescent="0.3">
      <c r="B184" s="99">
        <f t="shared" si="138"/>
        <v>44420</v>
      </c>
      <c r="C184" s="44">
        <f t="shared" si="98"/>
        <v>-3215206.9099999992</v>
      </c>
      <c r="D184" s="45">
        <v>185317.43999999997</v>
      </c>
      <c r="E184" s="45"/>
      <c r="F184" s="45">
        <v>-13850.04</v>
      </c>
      <c r="G184" s="45">
        <f t="shared" si="113"/>
        <v>-3043739.5099999993</v>
      </c>
      <c r="H184" s="44">
        <v>4300000</v>
      </c>
      <c r="I184" s="46">
        <f t="shared" si="99"/>
        <v>-2411190.88</v>
      </c>
      <c r="J184" s="47"/>
      <c r="K184" s="47">
        <v>136000</v>
      </c>
      <c r="L184" s="47">
        <v>-48113.6700000001</v>
      </c>
      <c r="M184" s="47">
        <f t="shared" si="100"/>
        <v>-2323304.5499999998</v>
      </c>
      <c r="N184" s="46">
        <v>4000000</v>
      </c>
      <c r="O184" s="48">
        <f t="shared" si="101"/>
        <v>34956.070000000014</v>
      </c>
      <c r="P184" s="55"/>
      <c r="Q184" s="55"/>
      <c r="R184" s="55">
        <f>-8909.43-513.4</f>
        <v>-9422.83</v>
      </c>
      <c r="S184" s="55">
        <f t="shared" si="102"/>
        <v>25533.240000000013</v>
      </c>
      <c r="T184" s="48"/>
      <c r="U184" s="49">
        <f t="shared" si="103"/>
        <v>56.210000000039869</v>
      </c>
      <c r="V184" s="51"/>
      <c r="W184" s="51"/>
      <c r="X184" s="51"/>
      <c r="Y184" s="51">
        <f t="shared" si="104"/>
        <v>56.210000000039869</v>
      </c>
      <c r="Z184" s="52"/>
      <c r="AA184" s="53">
        <f t="shared" si="105"/>
        <v>41.839999999995122</v>
      </c>
      <c r="AB184" s="54"/>
      <c r="AC184" s="54"/>
      <c r="AD184" s="54"/>
      <c r="AE184" s="54">
        <f t="shared" si="106"/>
        <v>41.839999999995122</v>
      </c>
      <c r="AF184" s="53"/>
      <c r="AG184" s="53">
        <f t="shared" si="126"/>
        <v>0</v>
      </c>
      <c r="AH184" s="54">
        <v>136058.81</v>
      </c>
      <c r="AI184" s="54">
        <v>-136000</v>
      </c>
      <c r="AJ184" s="54"/>
      <c r="AK184" s="54">
        <f t="shared" si="127"/>
        <v>58.809999999997672</v>
      </c>
      <c r="AL184" s="53"/>
      <c r="AM184" s="53">
        <f t="shared" si="128"/>
        <v>0</v>
      </c>
      <c r="AN184" s="54"/>
      <c r="AO184" s="54"/>
      <c r="AP184" s="54"/>
      <c r="AQ184" s="54">
        <f t="shared" si="129"/>
        <v>0</v>
      </c>
      <c r="AR184" s="53"/>
      <c r="AS184" s="50">
        <f t="shared" si="131"/>
        <v>-5591343.669999999</v>
      </c>
      <c r="AT184" s="50">
        <f t="shared" si="132"/>
        <v>321376.25</v>
      </c>
      <c r="AU184" s="50">
        <f t="shared" si="133"/>
        <v>0</v>
      </c>
      <c r="AV184" s="50">
        <f t="shared" si="134"/>
        <v>-71386.540000000095</v>
      </c>
      <c r="AW184" s="50"/>
      <c r="AX184" s="50">
        <f t="shared" si="135"/>
        <v>-5341353.959999999</v>
      </c>
      <c r="AY184" s="50">
        <f t="shared" si="136"/>
        <v>8300000</v>
      </c>
      <c r="AZ184" s="50">
        <f t="shared" si="137"/>
        <v>2958646.040000001</v>
      </c>
    </row>
    <row r="185" spans="2:52" x14ac:dyDescent="0.3">
      <c r="B185" s="99">
        <f>B184+1</f>
        <v>44421</v>
      </c>
      <c r="C185" s="44">
        <f t="shared" si="98"/>
        <v>-3043739.5099999993</v>
      </c>
      <c r="D185" s="45"/>
      <c r="E185" s="45">
        <v>-1053000</v>
      </c>
      <c r="F185" s="45">
        <f>-2106.71-68.5-44-45.36-2.16</f>
        <v>-2266.73</v>
      </c>
      <c r="G185" s="45">
        <f t="shared" si="113"/>
        <v>-4099006.2399999993</v>
      </c>
      <c r="H185" s="44">
        <v>4300000</v>
      </c>
      <c r="I185" s="46">
        <f t="shared" si="99"/>
        <v>-2323304.5499999998</v>
      </c>
      <c r="J185" s="47">
        <v>886389.40000000014</v>
      </c>
      <c r="K185" s="47">
        <v>1053000</v>
      </c>
      <c r="L185" s="47">
        <v>-87172.740000000296</v>
      </c>
      <c r="M185" s="47">
        <f t="shared" si="100"/>
        <v>-471087.88999999996</v>
      </c>
      <c r="N185" s="46">
        <v>4000000</v>
      </c>
      <c r="O185" s="48">
        <f t="shared" si="101"/>
        <v>25533.240000000013</v>
      </c>
      <c r="P185" s="55"/>
      <c r="Q185" s="55"/>
      <c r="R185" s="55">
        <v>-1369.61</v>
      </c>
      <c r="S185" s="55">
        <f t="shared" si="102"/>
        <v>24163.630000000012</v>
      </c>
      <c r="T185" s="48"/>
      <c r="U185" s="49">
        <f t="shared" si="103"/>
        <v>56.210000000039869</v>
      </c>
      <c r="V185" s="51"/>
      <c r="W185" s="51"/>
      <c r="X185" s="51"/>
      <c r="Y185" s="51">
        <f t="shared" si="104"/>
        <v>56.210000000039869</v>
      </c>
      <c r="Z185" s="52"/>
      <c r="AA185" s="53">
        <f t="shared" si="105"/>
        <v>41.839999999995122</v>
      </c>
      <c r="AB185" s="54"/>
      <c r="AC185" s="54"/>
      <c r="AD185" s="54"/>
      <c r="AE185" s="54">
        <f t="shared" si="106"/>
        <v>41.839999999995122</v>
      </c>
      <c r="AF185" s="53"/>
      <c r="AG185" s="53">
        <f t="shared" si="126"/>
        <v>58.809999999997672</v>
      </c>
      <c r="AH185" s="54"/>
      <c r="AI185" s="54"/>
      <c r="AJ185" s="54"/>
      <c r="AK185" s="54">
        <f t="shared" si="127"/>
        <v>58.809999999997672</v>
      </c>
      <c r="AL185" s="53"/>
      <c r="AM185" s="53">
        <f t="shared" si="128"/>
        <v>0</v>
      </c>
      <c r="AN185" s="54"/>
      <c r="AO185" s="54"/>
      <c r="AP185" s="54"/>
      <c r="AQ185" s="54">
        <f t="shared" si="129"/>
        <v>0</v>
      </c>
      <c r="AR185" s="53"/>
      <c r="AS185" s="50">
        <f t="shared" si="131"/>
        <v>-5341412.7699999986</v>
      </c>
      <c r="AT185" s="50">
        <f t="shared" si="132"/>
        <v>886389.40000000014</v>
      </c>
      <c r="AU185" s="50">
        <f t="shared" si="133"/>
        <v>0</v>
      </c>
      <c r="AV185" s="50">
        <f t="shared" si="134"/>
        <v>-90809.080000000293</v>
      </c>
      <c r="AW185" s="50"/>
      <c r="AX185" s="50">
        <f t="shared" si="135"/>
        <v>-4545773.6399999997</v>
      </c>
      <c r="AY185" s="50">
        <f t="shared" si="136"/>
        <v>8300000</v>
      </c>
      <c r="AZ185" s="50">
        <f t="shared" si="137"/>
        <v>3754226.3600000003</v>
      </c>
    </row>
    <row r="186" spans="2:52" x14ac:dyDescent="0.3">
      <c r="B186" s="99">
        <f>B185+3</f>
        <v>44424</v>
      </c>
      <c r="C186" s="44">
        <f t="shared" si="98"/>
        <v>-4099006.2399999993</v>
      </c>
      <c r="D186" s="45">
        <v>121204.76</v>
      </c>
      <c r="E186" s="45">
        <v>-110000</v>
      </c>
      <c r="F186" s="45">
        <v>-22727.01</v>
      </c>
      <c r="G186" s="45">
        <f t="shared" si="113"/>
        <v>-4110528.4899999993</v>
      </c>
      <c r="H186" s="44">
        <v>4300000</v>
      </c>
      <c r="I186" s="46">
        <f t="shared" si="99"/>
        <v>-471087.88999999996</v>
      </c>
      <c r="J186" s="47">
        <v>381586.39</v>
      </c>
      <c r="K186" s="47">
        <f>110000+135000</f>
        <v>245000</v>
      </c>
      <c r="L186" s="47">
        <v>-895970.59</v>
      </c>
      <c r="M186" s="47">
        <f t="shared" si="100"/>
        <v>-740472.08999999985</v>
      </c>
      <c r="N186" s="46">
        <v>4000000</v>
      </c>
      <c r="O186" s="48">
        <f t="shared" si="101"/>
        <v>24163.630000000012</v>
      </c>
      <c r="P186" s="55">
        <f>122.88+10.18+30.54</f>
        <v>163.6</v>
      </c>
      <c r="Q186" s="55">
        <f>112000-135000</f>
        <v>-23000</v>
      </c>
      <c r="R186" s="55">
        <v>-20</v>
      </c>
      <c r="S186" s="55">
        <f t="shared" si="102"/>
        <v>1307.2300000000105</v>
      </c>
      <c r="T186" s="48"/>
      <c r="U186" s="49">
        <f t="shared" si="103"/>
        <v>56.210000000039869</v>
      </c>
      <c r="V186" s="51">
        <v>112244.6</v>
      </c>
      <c r="W186" s="51">
        <v>-112000</v>
      </c>
      <c r="X186" s="51">
        <v>-1.2</v>
      </c>
      <c r="Y186" s="51">
        <f t="shared" si="104"/>
        <v>299.61000000004134</v>
      </c>
      <c r="Z186" s="52"/>
      <c r="AA186" s="53">
        <f t="shared" si="105"/>
        <v>41.839999999995122</v>
      </c>
      <c r="AB186" s="54"/>
      <c r="AC186" s="54"/>
      <c r="AD186" s="54"/>
      <c r="AE186" s="54">
        <f t="shared" si="106"/>
        <v>41.839999999995122</v>
      </c>
      <c r="AF186" s="53"/>
      <c r="AG186" s="53">
        <f t="shared" si="126"/>
        <v>58.809999999997672</v>
      </c>
      <c r="AH186" s="54"/>
      <c r="AI186" s="54"/>
      <c r="AJ186" s="54"/>
      <c r="AK186" s="54">
        <f t="shared" si="127"/>
        <v>58.809999999997672</v>
      </c>
      <c r="AL186" s="53"/>
      <c r="AM186" s="53">
        <f t="shared" si="128"/>
        <v>0</v>
      </c>
      <c r="AN186" s="54"/>
      <c r="AO186" s="54"/>
      <c r="AP186" s="54"/>
      <c r="AQ186" s="54">
        <f t="shared" si="129"/>
        <v>0</v>
      </c>
      <c r="AR186" s="53"/>
      <c r="AS186" s="50">
        <f t="shared" si="131"/>
        <v>-4545832.4499999993</v>
      </c>
      <c r="AT186" s="50">
        <f t="shared" si="132"/>
        <v>615199.35</v>
      </c>
      <c r="AU186" s="50">
        <f t="shared" si="133"/>
        <v>0</v>
      </c>
      <c r="AV186" s="50">
        <f t="shared" si="134"/>
        <v>-918718.79999999993</v>
      </c>
      <c r="AW186" s="50"/>
      <c r="AX186" s="50">
        <f t="shared" si="135"/>
        <v>-4849293.0899999989</v>
      </c>
      <c r="AY186" s="50">
        <f t="shared" si="136"/>
        <v>8300000</v>
      </c>
      <c r="AZ186" s="50">
        <f t="shared" si="137"/>
        <v>3450706.9100000011</v>
      </c>
    </row>
    <row r="187" spans="2:52" x14ac:dyDescent="0.3">
      <c r="B187" s="99">
        <f>B186+1</f>
        <v>44425</v>
      </c>
      <c r="C187" s="44">
        <f t="shared" ref="C187:C250" si="139">G186</f>
        <v>-4110528.4899999993</v>
      </c>
      <c r="D187" s="45">
        <v>23142.3</v>
      </c>
      <c r="E187" s="45">
        <v>-40000</v>
      </c>
      <c r="F187" s="45"/>
      <c r="G187" s="45">
        <f t="shared" si="113"/>
        <v>-4127386.1899999995</v>
      </c>
      <c r="H187" s="44">
        <v>4300000</v>
      </c>
      <c r="I187" s="46">
        <f t="shared" ref="I187:I250" si="140">M186</f>
        <v>-740472.08999999985</v>
      </c>
      <c r="J187" s="47"/>
      <c r="K187" s="47">
        <v>40000</v>
      </c>
      <c r="L187" s="47">
        <f>-34982.4300000002+688</f>
        <v>-34294.430000000197</v>
      </c>
      <c r="M187" s="47">
        <f t="shared" ref="M187:M250" si="141">SUM(I187:L187)</f>
        <v>-734766.52</v>
      </c>
      <c r="N187" s="46">
        <v>4000000</v>
      </c>
      <c r="O187" s="48">
        <f t="shared" ref="O187:O250" si="142">S186</f>
        <v>1307.2300000000105</v>
      </c>
      <c r="P187" s="55"/>
      <c r="Q187" s="55"/>
      <c r="R187" s="55"/>
      <c r="S187" s="55">
        <f t="shared" ref="S187:S250" si="143">SUM(O187:R187)</f>
        <v>1307.2300000000105</v>
      </c>
      <c r="T187" s="48"/>
      <c r="U187" s="49">
        <f t="shared" ref="U187:U250" si="144">Y186</f>
        <v>299.61000000004134</v>
      </c>
      <c r="V187" s="51"/>
      <c r="W187" s="51"/>
      <c r="X187" s="51"/>
      <c r="Y187" s="51">
        <f t="shared" ref="Y187:Y250" si="145">SUM(U187:X187)</f>
        <v>299.61000000004134</v>
      </c>
      <c r="Z187" s="52"/>
      <c r="AA187" s="53">
        <f t="shared" ref="AA187:AA250" si="146">AE186</f>
        <v>41.839999999995122</v>
      </c>
      <c r="AB187" s="54"/>
      <c r="AC187" s="54"/>
      <c r="AD187" s="54"/>
      <c r="AE187" s="54">
        <f t="shared" ref="AE187:AE250" si="147">SUM(AA187:AD187)</f>
        <v>41.839999999995122</v>
      </c>
      <c r="AF187" s="53"/>
      <c r="AG187" s="53">
        <f t="shared" si="126"/>
        <v>58.809999999997672</v>
      </c>
      <c r="AH187" s="54"/>
      <c r="AI187" s="54"/>
      <c r="AJ187" s="54"/>
      <c r="AK187" s="54">
        <f t="shared" ref="AK187:AK250" si="148">SUM(AG187:AJ187)</f>
        <v>58.809999999997672</v>
      </c>
      <c r="AL187" s="53"/>
      <c r="AM187" s="53">
        <f t="shared" si="128"/>
        <v>0</v>
      </c>
      <c r="AN187" s="54"/>
      <c r="AO187" s="54"/>
      <c r="AP187" s="54"/>
      <c r="AQ187" s="54">
        <f t="shared" si="129"/>
        <v>0</v>
      </c>
      <c r="AR187" s="53"/>
      <c r="AS187" s="50">
        <f t="shared" si="131"/>
        <v>-4849351.8999999985</v>
      </c>
      <c r="AT187" s="50">
        <f t="shared" si="132"/>
        <v>23142.3</v>
      </c>
      <c r="AU187" s="50">
        <f t="shared" si="133"/>
        <v>0</v>
      </c>
      <c r="AV187" s="50">
        <f t="shared" si="134"/>
        <v>-34294.430000000197</v>
      </c>
      <c r="AW187" s="50"/>
      <c r="AX187" s="50">
        <f t="shared" si="135"/>
        <v>-4860445.2199999988</v>
      </c>
      <c r="AY187" s="50">
        <f t="shared" si="136"/>
        <v>8300000</v>
      </c>
      <c r="AZ187" s="50">
        <f t="shared" si="137"/>
        <v>3439554.7800000012</v>
      </c>
    </row>
    <row r="188" spans="2:52" x14ac:dyDescent="0.3">
      <c r="B188" s="99">
        <f t="shared" ref="B188:B189" si="149">B187+1</f>
        <v>44426</v>
      </c>
      <c r="C188" s="44">
        <f t="shared" si="139"/>
        <v>-4127386.1899999995</v>
      </c>
      <c r="D188" s="45">
        <f>16423.75+6750.29+138055.52</f>
        <v>161229.56</v>
      </c>
      <c r="E188" s="45">
        <v>-100000</v>
      </c>
      <c r="F188" s="45">
        <f>-0.85*2</f>
        <v>-1.7</v>
      </c>
      <c r="G188" s="45">
        <f t="shared" si="113"/>
        <v>-4066158.3299999996</v>
      </c>
      <c r="H188" s="44">
        <v>4300000</v>
      </c>
      <c r="I188" s="46">
        <f t="shared" si="140"/>
        <v>-734766.52</v>
      </c>
      <c r="J188" s="47"/>
      <c r="K188" s="47">
        <v>100000</v>
      </c>
      <c r="L188" s="47">
        <v>-24110.95</v>
      </c>
      <c r="M188" s="47">
        <f t="shared" si="141"/>
        <v>-658877.47</v>
      </c>
      <c r="N188" s="46">
        <v>4000000</v>
      </c>
      <c r="O188" s="48">
        <f t="shared" si="142"/>
        <v>1307.2300000000105</v>
      </c>
      <c r="P188" s="55"/>
      <c r="Q188" s="55"/>
      <c r="R188" s="55"/>
      <c r="S188" s="55">
        <f t="shared" si="143"/>
        <v>1307.2300000000105</v>
      </c>
      <c r="T188" s="48"/>
      <c r="U188" s="49">
        <f t="shared" si="144"/>
        <v>299.61000000004134</v>
      </c>
      <c r="V188" s="51"/>
      <c r="W188" s="51"/>
      <c r="X188" s="51"/>
      <c r="Y188" s="51">
        <f t="shared" si="145"/>
        <v>299.61000000004134</v>
      </c>
      <c r="Z188" s="52"/>
      <c r="AA188" s="53">
        <f t="shared" si="146"/>
        <v>41.839999999995122</v>
      </c>
      <c r="AB188" s="54"/>
      <c r="AC188" s="54"/>
      <c r="AD188" s="54"/>
      <c r="AE188" s="54">
        <f t="shared" si="147"/>
        <v>41.839999999995122</v>
      </c>
      <c r="AF188" s="53"/>
      <c r="AG188" s="53">
        <f t="shared" si="126"/>
        <v>58.809999999997672</v>
      </c>
      <c r="AH188" s="54"/>
      <c r="AI188" s="54"/>
      <c r="AJ188" s="54"/>
      <c r="AK188" s="54">
        <f t="shared" si="148"/>
        <v>58.809999999997672</v>
      </c>
      <c r="AL188" s="53"/>
      <c r="AM188" s="53">
        <f t="shared" si="128"/>
        <v>0</v>
      </c>
      <c r="AN188" s="54"/>
      <c r="AO188" s="54"/>
      <c r="AP188" s="54"/>
      <c r="AQ188" s="54">
        <f t="shared" si="129"/>
        <v>0</v>
      </c>
      <c r="AR188" s="53"/>
      <c r="AS188" s="50">
        <f t="shared" si="131"/>
        <v>-4860504.0299999984</v>
      </c>
      <c r="AT188" s="50">
        <f t="shared" si="132"/>
        <v>161229.56</v>
      </c>
      <c r="AU188" s="50">
        <f t="shared" si="133"/>
        <v>0</v>
      </c>
      <c r="AV188" s="50">
        <f t="shared" si="134"/>
        <v>-24112.65</v>
      </c>
      <c r="AW188" s="50"/>
      <c r="AX188" s="50">
        <f t="shared" si="135"/>
        <v>-4723328.3099999996</v>
      </c>
      <c r="AY188" s="50">
        <f t="shared" si="136"/>
        <v>8300000</v>
      </c>
      <c r="AZ188" s="50">
        <f t="shared" si="137"/>
        <v>3576671.6900000004</v>
      </c>
    </row>
    <row r="189" spans="2:52" x14ac:dyDescent="0.3">
      <c r="B189" s="99">
        <f t="shared" si="149"/>
        <v>44427</v>
      </c>
      <c r="C189" s="44">
        <f t="shared" si="139"/>
        <v>-4066158.3299999996</v>
      </c>
      <c r="D189" s="45"/>
      <c r="E189" s="45"/>
      <c r="F189" s="45">
        <v>-0.85</v>
      </c>
      <c r="G189" s="45">
        <f t="shared" si="113"/>
        <v>-4066159.1799999997</v>
      </c>
      <c r="H189" s="44">
        <v>4300000</v>
      </c>
      <c r="I189" s="46">
        <f t="shared" si="140"/>
        <v>-658877.47</v>
      </c>
      <c r="J189" s="47">
        <f>168875+103141.68</f>
        <v>272016.68</v>
      </c>
      <c r="K189" s="47"/>
      <c r="L189" s="47">
        <v>-13428.17</v>
      </c>
      <c r="M189" s="47">
        <f t="shared" si="141"/>
        <v>-400288.95999999996</v>
      </c>
      <c r="N189" s="46">
        <v>4000000</v>
      </c>
      <c r="O189" s="48">
        <f t="shared" si="142"/>
        <v>1307.2300000000105</v>
      </c>
      <c r="P189" s="55">
        <v>80621.58</v>
      </c>
      <c r="Q189" s="55"/>
      <c r="R189" s="55"/>
      <c r="S189" s="55">
        <f t="shared" si="143"/>
        <v>81928.810000000012</v>
      </c>
      <c r="T189" s="48"/>
      <c r="U189" s="49">
        <f t="shared" si="144"/>
        <v>299.61000000004134</v>
      </c>
      <c r="V189" s="51"/>
      <c r="W189" s="51"/>
      <c r="X189" s="51"/>
      <c r="Y189" s="51">
        <f t="shared" si="145"/>
        <v>299.61000000004134</v>
      </c>
      <c r="Z189" s="52"/>
      <c r="AA189" s="53">
        <f t="shared" si="146"/>
        <v>41.839999999995122</v>
      </c>
      <c r="AB189" s="54"/>
      <c r="AC189" s="54"/>
      <c r="AD189" s="54"/>
      <c r="AE189" s="54">
        <f t="shared" si="147"/>
        <v>41.839999999995122</v>
      </c>
      <c r="AF189" s="53"/>
      <c r="AG189" s="53">
        <f t="shared" si="126"/>
        <v>58.809999999997672</v>
      </c>
      <c r="AH189" s="54"/>
      <c r="AI189" s="54"/>
      <c r="AJ189" s="54"/>
      <c r="AK189" s="54">
        <f t="shared" si="148"/>
        <v>58.809999999997672</v>
      </c>
      <c r="AL189" s="53"/>
      <c r="AM189" s="53">
        <f t="shared" si="128"/>
        <v>0</v>
      </c>
      <c r="AN189" s="54"/>
      <c r="AO189" s="54"/>
      <c r="AP189" s="54"/>
      <c r="AQ189" s="54">
        <f t="shared" si="129"/>
        <v>0</v>
      </c>
      <c r="AR189" s="53"/>
      <c r="AS189" s="50">
        <f t="shared" si="131"/>
        <v>-4723387.1199999992</v>
      </c>
      <c r="AT189" s="50">
        <f t="shared" si="132"/>
        <v>352638.26</v>
      </c>
      <c r="AU189" s="50">
        <f t="shared" si="133"/>
        <v>0</v>
      </c>
      <c r="AV189" s="50">
        <f t="shared" si="134"/>
        <v>-13429.02</v>
      </c>
      <c r="AW189" s="50"/>
      <c r="AX189" s="50">
        <f t="shared" si="135"/>
        <v>-4384119.07</v>
      </c>
      <c r="AY189" s="50">
        <f t="shared" si="136"/>
        <v>8300000</v>
      </c>
      <c r="AZ189" s="50">
        <f t="shared" si="137"/>
        <v>3915880.9299999997</v>
      </c>
    </row>
    <row r="190" spans="2:52" x14ac:dyDescent="0.3">
      <c r="B190" s="99">
        <f>B189+1</f>
        <v>44428</v>
      </c>
      <c r="C190" s="44">
        <f t="shared" si="139"/>
        <v>-4066159.1799999997</v>
      </c>
      <c r="D190" s="45">
        <v>281888.36</v>
      </c>
      <c r="E190" s="45"/>
      <c r="F190" s="45">
        <v>-315869.38</v>
      </c>
      <c r="G190" s="45">
        <f t="shared" si="113"/>
        <v>-4100140.1999999997</v>
      </c>
      <c r="H190" s="44">
        <v>4300000</v>
      </c>
      <c r="I190" s="46">
        <f t="shared" si="140"/>
        <v>-400288.95999999996</v>
      </c>
      <c r="J190" s="47">
        <v>54730.25</v>
      </c>
      <c r="K190" s="47">
        <v>190000</v>
      </c>
      <c r="L190" s="47">
        <v>-951271.42</v>
      </c>
      <c r="M190" s="47">
        <f t="shared" si="141"/>
        <v>-1106830.1299999999</v>
      </c>
      <c r="N190" s="46">
        <v>4000000</v>
      </c>
      <c r="O190" s="48">
        <f t="shared" si="142"/>
        <v>81928.810000000012</v>
      </c>
      <c r="P190" s="55">
        <v>297.92</v>
      </c>
      <c r="Q190" s="55">
        <f>-190000+109000</f>
        <v>-81000</v>
      </c>
      <c r="R190" s="55">
        <v>-10</v>
      </c>
      <c r="S190" s="55">
        <f t="shared" si="143"/>
        <v>1216.7300000000105</v>
      </c>
      <c r="T190" s="48"/>
      <c r="U190" s="49">
        <f t="shared" si="144"/>
        <v>299.61000000004134</v>
      </c>
      <c r="V190" s="51">
        <v>109114.36</v>
      </c>
      <c r="W190" s="51">
        <f>-109000</f>
        <v>-109000</v>
      </c>
      <c r="X190" s="51">
        <v>-1.2</v>
      </c>
      <c r="Y190" s="51">
        <f t="shared" si="145"/>
        <v>412.77000000004483</v>
      </c>
      <c r="Z190" s="52"/>
      <c r="AA190" s="53">
        <f t="shared" si="146"/>
        <v>41.839999999995122</v>
      </c>
      <c r="AB190" s="54"/>
      <c r="AC190" s="54"/>
      <c r="AD190" s="54"/>
      <c r="AE190" s="54">
        <f t="shared" si="147"/>
        <v>41.839999999995122</v>
      </c>
      <c r="AF190" s="53"/>
      <c r="AG190" s="53">
        <f t="shared" si="126"/>
        <v>58.809999999997672</v>
      </c>
      <c r="AH190" s="54"/>
      <c r="AI190" s="54"/>
      <c r="AJ190" s="54"/>
      <c r="AK190" s="54">
        <f t="shared" si="148"/>
        <v>58.809999999997672</v>
      </c>
      <c r="AL190" s="53"/>
      <c r="AM190" s="53">
        <f t="shared" si="128"/>
        <v>0</v>
      </c>
      <c r="AN190" s="54"/>
      <c r="AO190" s="54"/>
      <c r="AP190" s="54"/>
      <c r="AQ190" s="54">
        <f t="shared" si="129"/>
        <v>0</v>
      </c>
      <c r="AR190" s="53"/>
      <c r="AS190" s="50">
        <f t="shared" si="131"/>
        <v>-4384177.88</v>
      </c>
      <c r="AT190" s="50">
        <f t="shared" si="132"/>
        <v>446030.88999999996</v>
      </c>
      <c r="AU190" s="50">
        <f t="shared" si="133"/>
        <v>0</v>
      </c>
      <c r="AV190" s="50">
        <f t="shared" si="134"/>
        <v>-1267152</v>
      </c>
      <c r="AW190" s="50"/>
      <c r="AX190" s="50">
        <f t="shared" si="135"/>
        <v>-5205240.18</v>
      </c>
      <c r="AY190" s="50">
        <f t="shared" si="136"/>
        <v>8300000</v>
      </c>
      <c r="AZ190" s="50">
        <f t="shared" si="137"/>
        <v>3094759.8200000003</v>
      </c>
    </row>
    <row r="191" spans="2:52" ht="14.25" customHeight="1" x14ac:dyDescent="0.3">
      <c r="B191" s="99">
        <f>B190+3</f>
        <v>44431</v>
      </c>
      <c r="C191" s="44">
        <f t="shared" si="139"/>
        <v>-4100140.1999999997</v>
      </c>
      <c r="D191" s="45"/>
      <c r="E191" s="45"/>
      <c r="F191" s="45">
        <v>-25150.46</v>
      </c>
      <c r="G191" s="45">
        <f t="shared" si="113"/>
        <v>-4125290.6599999997</v>
      </c>
      <c r="H191" s="44">
        <v>4300000</v>
      </c>
      <c r="I191" s="46">
        <f t="shared" si="140"/>
        <v>-1106830.1299999999</v>
      </c>
      <c r="J191" s="47"/>
      <c r="K191" s="47">
        <v>250000</v>
      </c>
      <c r="L191" s="47">
        <v>-87881.240000000107</v>
      </c>
      <c r="M191" s="47">
        <f t="shared" si="141"/>
        <v>-944711.37</v>
      </c>
      <c r="N191" s="46">
        <v>4000000</v>
      </c>
      <c r="O191" s="48">
        <f t="shared" si="142"/>
        <v>1216.7300000000105</v>
      </c>
      <c r="P191" s="55"/>
      <c r="Q191" s="55">
        <f>-250000+249700</f>
        <v>-300</v>
      </c>
      <c r="R191" s="55">
        <f>-20-10-176</f>
        <v>-206</v>
      </c>
      <c r="S191" s="55">
        <f t="shared" si="143"/>
        <v>710.73000000001048</v>
      </c>
      <c r="T191" s="48"/>
      <c r="U191" s="49">
        <f t="shared" si="144"/>
        <v>412.77000000004483</v>
      </c>
      <c r="V191" s="51">
        <v>249319.52</v>
      </c>
      <c r="W191" s="51">
        <v>-249700</v>
      </c>
      <c r="X191" s="51">
        <v>-1.2</v>
      </c>
      <c r="Y191" s="51">
        <f t="shared" si="145"/>
        <v>31.090000000037254</v>
      </c>
      <c r="Z191" s="52"/>
      <c r="AA191" s="53">
        <f t="shared" si="146"/>
        <v>41.839999999995122</v>
      </c>
      <c r="AB191" s="54"/>
      <c r="AC191" s="54"/>
      <c r="AD191" s="54"/>
      <c r="AE191" s="54">
        <f t="shared" si="147"/>
        <v>41.839999999995122</v>
      </c>
      <c r="AF191" s="53"/>
      <c r="AG191" s="53">
        <f t="shared" si="126"/>
        <v>58.809999999997672</v>
      </c>
      <c r="AH191" s="54"/>
      <c r="AI191" s="54"/>
      <c r="AJ191" s="54"/>
      <c r="AK191" s="54">
        <f t="shared" si="148"/>
        <v>58.809999999997672</v>
      </c>
      <c r="AL191" s="53"/>
      <c r="AM191" s="53">
        <f t="shared" si="128"/>
        <v>0</v>
      </c>
      <c r="AN191" s="54"/>
      <c r="AO191" s="54"/>
      <c r="AP191" s="54"/>
      <c r="AQ191" s="54">
        <f t="shared" si="129"/>
        <v>0</v>
      </c>
      <c r="AR191" s="53"/>
      <c r="AS191" s="50">
        <f t="shared" si="131"/>
        <v>-5205298.9899999993</v>
      </c>
      <c r="AT191" s="50">
        <f t="shared" si="132"/>
        <v>249319.52</v>
      </c>
      <c r="AU191" s="50">
        <f t="shared" si="133"/>
        <v>0</v>
      </c>
      <c r="AV191" s="50">
        <f t="shared" si="134"/>
        <v>-113238.9000000001</v>
      </c>
      <c r="AW191" s="50"/>
      <c r="AX191" s="50">
        <f t="shared" si="135"/>
        <v>-5069159.5599999996</v>
      </c>
      <c r="AY191" s="50">
        <f t="shared" si="136"/>
        <v>8300000</v>
      </c>
      <c r="AZ191" s="50">
        <f t="shared" si="137"/>
        <v>3230840.4400000004</v>
      </c>
    </row>
    <row r="192" spans="2:52" ht="14.25" customHeight="1" x14ac:dyDescent="0.3">
      <c r="B192" s="99">
        <f>B191+1</f>
        <v>44432</v>
      </c>
      <c r="C192" s="44">
        <f t="shared" si="139"/>
        <v>-4125290.6599999997</v>
      </c>
      <c r="D192" s="45">
        <v>53971</v>
      </c>
      <c r="E192" s="45"/>
      <c r="F192" s="45">
        <v>-25000</v>
      </c>
      <c r="G192" s="45">
        <f t="shared" si="113"/>
        <v>-4096319.6599999997</v>
      </c>
      <c r="H192" s="44">
        <v>4300000</v>
      </c>
      <c r="I192" s="46">
        <f t="shared" si="140"/>
        <v>-944711.37</v>
      </c>
      <c r="J192" s="47">
        <v>524170.9</v>
      </c>
      <c r="K192" s="47"/>
      <c r="L192" s="47">
        <f>-13280.66-2042.78</f>
        <v>-15323.44</v>
      </c>
      <c r="M192" s="47">
        <f t="shared" si="141"/>
        <v>-435863.91</v>
      </c>
      <c r="N192" s="46">
        <v>4000000</v>
      </c>
      <c r="O192" s="48">
        <f t="shared" si="142"/>
        <v>710.73000000001048</v>
      </c>
      <c r="P192" s="55"/>
      <c r="Q192" s="55">
        <v>22300</v>
      </c>
      <c r="R192" s="55"/>
      <c r="S192" s="55">
        <f t="shared" si="143"/>
        <v>23010.73000000001</v>
      </c>
      <c r="T192" s="48"/>
      <c r="U192" s="49">
        <f t="shared" si="144"/>
        <v>31.090000000037254</v>
      </c>
      <c r="V192" s="51">
        <v>22298.76</v>
      </c>
      <c r="W192" s="51">
        <v>-22300</v>
      </c>
      <c r="X192" s="51">
        <v>-1.2</v>
      </c>
      <c r="Y192" s="51">
        <f t="shared" si="145"/>
        <v>28.650000000034925</v>
      </c>
      <c r="Z192" s="52"/>
      <c r="AA192" s="53">
        <f t="shared" si="146"/>
        <v>41.839999999995122</v>
      </c>
      <c r="AB192" s="54"/>
      <c r="AC192" s="54"/>
      <c r="AD192" s="54"/>
      <c r="AE192" s="54">
        <f t="shared" si="147"/>
        <v>41.839999999995122</v>
      </c>
      <c r="AF192" s="53"/>
      <c r="AG192" s="53">
        <f t="shared" si="126"/>
        <v>58.809999999997672</v>
      </c>
      <c r="AH192" s="54"/>
      <c r="AI192" s="54"/>
      <c r="AJ192" s="54"/>
      <c r="AK192" s="54">
        <f t="shared" si="148"/>
        <v>58.809999999997672</v>
      </c>
      <c r="AL192" s="53"/>
      <c r="AM192" s="53">
        <f t="shared" si="128"/>
        <v>0</v>
      </c>
      <c r="AN192" s="54"/>
      <c r="AO192" s="54"/>
      <c r="AP192" s="54"/>
      <c r="AQ192" s="54">
        <f t="shared" si="129"/>
        <v>0</v>
      </c>
      <c r="AR192" s="53"/>
      <c r="AS192" s="50">
        <f t="shared" si="131"/>
        <v>-5069218.3699999992</v>
      </c>
      <c r="AT192" s="50">
        <f t="shared" si="132"/>
        <v>600440.66</v>
      </c>
      <c r="AU192" s="50">
        <f t="shared" si="133"/>
        <v>0</v>
      </c>
      <c r="AV192" s="50">
        <f t="shared" si="134"/>
        <v>-40324.639999999999</v>
      </c>
      <c r="AW192" s="50"/>
      <c r="AX192" s="50">
        <f t="shared" si="135"/>
        <v>-4509043.5399999991</v>
      </c>
      <c r="AY192" s="50">
        <f t="shared" si="136"/>
        <v>8300000</v>
      </c>
      <c r="AZ192" s="50">
        <f t="shared" si="137"/>
        <v>3790956.4600000009</v>
      </c>
    </row>
    <row r="193" spans="2:53" ht="14.25" customHeight="1" x14ac:dyDescent="0.3">
      <c r="B193" s="99">
        <f t="shared" ref="B193:B194" si="150">B192+1</f>
        <v>44433</v>
      </c>
      <c r="C193" s="44">
        <f t="shared" si="139"/>
        <v>-4096319.6599999997</v>
      </c>
      <c r="D193" s="45"/>
      <c r="E193" s="45">
        <v>100000</v>
      </c>
      <c r="F193" s="45">
        <v>-187794.24</v>
      </c>
      <c r="G193" s="45">
        <f t="shared" si="113"/>
        <v>-4184113.8999999994</v>
      </c>
      <c r="H193" s="44">
        <v>4300000</v>
      </c>
      <c r="I193" s="46">
        <f t="shared" si="140"/>
        <v>-435863.91</v>
      </c>
      <c r="J193" s="47">
        <v>68023.88</v>
      </c>
      <c r="K193" s="47">
        <v>-100000</v>
      </c>
      <c r="L193" s="47">
        <v>-173580.69</v>
      </c>
      <c r="M193" s="47">
        <f t="shared" si="141"/>
        <v>-641420.72</v>
      </c>
      <c r="N193" s="46">
        <v>4000000</v>
      </c>
      <c r="O193" s="48">
        <f t="shared" si="142"/>
        <v>23010.73000000001</v>
      </c>
      <c r="P193" s="55"/>
      <c r="Q193" s="55"/>
      <c r="R193" s="55">
        <f>-84-52.35</f>
        <v>-136.35</v>
      </c>
      <c r="S193" s="55">
        <f t="shared" si="143"/>
        <v>22874.380000000012</v>
      </c>
      <c r="T193" s="48"/>
      <c r="U193" s="49">
        <f t="shared" si="144"/>
        <v>28.650000000034925</v>
      </c>
      <c r="V193" s="51"/>
      <c r="W193" s="51"/>
      <c r="X193" s="51"/>
      <c r="Y193" s="51">
        <f t="shared" si="145"/>
        <v>28.650000000034925</v>
      </c>
      <c r="Z193" s="52"/>
      <c r="AA193" s="53">
        <f t="shared" si="146"/>
        <v>41.839999999995122</v>
      </c>
      <c r="AB193" s="54"/>
      <c r="AC193" s="54"/>
      <c r="AD193" s="54"/>
      <c r="AE193" s="54">
        <f t="shared" si="147"/>
        <v>41.839999999995122</v>
      </c>
      <c r="AF193" s="53"/>
      <c r="AG193" s="53">
        <f t="shared" si="126"/>
        <v>58.809999999997672</v>
      </c>
      <c r="AH193" s="54"/>
      <c r="AI193" s="54"/>
      <c r="AJ193" s="54"/>
      <c r="AK193" s="54">
        <f t="shared" si="148"/>
        <v>58.809999999997672</v>
      </c>
      <c r="AL193" s="53"/>
      <c r="AM193" s="53">
        <f t="shared" si="128"/>
        <v>0</v>
      </c>
      <c r="AN193" s="54"/>
      <c r="AO193" s="54"/>
      <c r="AP193" s="54"/>
      <c r="AQ193" s="54">
        <f t="shared" si="129"/>
        <v>0</v>
      </c>
      <c r="AR193" s="53"/>
      <c r="AS193" s="50">
        <f t="shared" si="131"/>
        <v>-4509102.3499999987</v>
      </c>
      <c r="AT193" s="50">
        <f t="shared" si="132"/>
        <v>68023.88</v>
      </c>
      <c r="AU193" s="50">
        <f t="shared" si="133"/>
        <v>0</v>
      </c>
      <c r="AV193" s="50">
        <f t="shared" si="134"/>
        <v>-361511.27999999997</v>
      </c>
      <c r="AW193" s="50"/>
      <c r="AX193" s="50">
        <f t="shared" si="135"/>
        <v>-4802530.9399999995</v>
      </c>
      <c r="AY193" s="50">
        <f t="shared" si="136"/>
        <v>8300000</v>
      </c>
      <c r="AZ193" s="50">
        <f t="shared" si="137"/>
        <v>3497469.0600000005</v>
      </c>
    </row>
    <row r="194" spans="2:53" ht="14.25" customHeight="1" x14ac:dyDescent="0.3">
      <c r="B194" s="99">
        <f t="shared" si="150"/>
        <v>44434</v>
      </c>
      <c r="C194" s="44">
        <f t="shared" si="139"/>
        <v>-4184113.8999999994</v>
      </c>
      <c r="D194" s="45">
        <v>75147.820000000007</v>
      </c>
      <c r="E194" s="45"/>
      <c r="F194" s="45"/>
      <c r="G194" s="45">
        <f t="shared" si="113"/>
        <v>-4108966.0799999996</v>
      </c>
      <c r="H194" s="44">
        <v>4300000</v>
      </c>
      <c r="I194" s="46">
        <f t="shared" si="140"/>
        <v>-641420.72</v>
      </c>
      <c r="J194" s="47">
        <f>70036.25</f>
        <v>70036.25</v>
      </c>
      <c r="K194" s="47"/>
      <c r="L194" s="47">
        <f>-76288.1200000001+4400</f>
        <v>-71888.120000000097</v>
      </c>
      <c r="M194" s="47">
        <f t="shared" si="141"/>
        <v>-643272.59000000008</v>
      </c>
      <c r="N194" s="46">
        <v>4000000</v>
      </c>
      <c r="O194" s="48">
        <f t="shared" si="142"/>
        <v>22874.380000000012</v>
      </c>
      <c r="P194" s="55"/>
      <c r="Q194" s="55"/>
      <c r="R194" s="55"/>
      <c r="S194" s="55">
        <f t="shared" si="143"/>
        <v>22874.380000000012</v>
      </c>
      <c r="T194" s="48"/>
      <c r="U194" s="49">
        <f t="shared" si="144"/>
        <v>28.650000000034925</v>
      </c>
      <c r="V194" s="51"/>
      <c r="W194" s="51"/>
      <c r="X194" s="51"/>
      <c r="Y194" s="51">
        <f t="shared" si="145"/>
        <v>28.650000000034925</v>
      </c>
      <c r="Z194" s="52"/>
      <c r="AA194" s="53">
        <f t="shared" si="146"/>
        <v>41.839999999995122</v>
      </c>
      <c r="AB194" s="54"/>
      <c r="AC194" s="54"/>
      <c r="AD194" s="54"/>
      <c r="AE194" s="54">
        <f t="shared" si="147"/>
        <v>41.839999999995122</v>
      </c>
      <c r="AF194" s="53"/>
      <c r="AG194" s="53">
        <f t="shared" si="126"/>
        <v>58.809999999997672</v>
      </c>
      <c r="AH194" s="54"/>
      <c r="AI194" s="54"/>
      <c r="AJ194" s="54"/>
      <c r="AK194" s="54">
        <f t="shared" si="148"/>
        <v>58.809999999997672</v>
      </c>
      <c r="AL194" s="53"/>
      <c r="AM194" s="53">
        <f t="shared" si="128"/>
        <v>0</v>
      </c>
      <c r="AN194" s="54"/>
      <c r="AO194" s="54"/>
      <c r="AP194" s="54"/>
      <c r="AQ194" s="54">
        <f t="shared" si="129"/>
        <v>0</v>
      </c>
      <c r="AR194" s="53"/>
      <c r="AS194" s="50">
        <f t="shared" si="131"/>
        <v>-4802589.7499999991</v>
      </c>
      <c r="AT194" s="50">
        <f t="shared" si="132"/>
        <v>145184.07</v>
      </c>
      <c r="AU194" s="50">
        <f t="shared" si="133"/>
        <v>0</v>
      </c>
      <c r="AV194" s="50">
        <f t="shared" si="134"/>
        <v>-71888.120000000097</v>
      </c>
      <c r="AW194" s="50"/>
      <c r="AX194" s="50">
        <f t="shared" si="135"/>
        <v>-4729234.99</v>
      </c>
      <c r="AY194" s="50">
        <f t="shared" si="136"/>
        <v>8300000</v>
      </c>
      <c r="AZ194" s="50">
        <f t="shared" si="137"/>
        <v>3570765.01</v>
      </c>
    </row>
    <row r="195" spans="2:53" ht="14.25" customHeight="1" x14ac:dyDescent="0.3">
      <c r="B195" s="99">
        <f>B194+1</f>
        <v>44435</v>
      </c>
      <c r="C195" s="44">
        <f t="shared" si="139"/>
        <v>-4108966.0799999996</v>
      </c>
      <c r="D195" s="45"/>
      <c r="E195" s="45"/>
      <c r="F195" s="45">
        <v>-0.85</v>
      </c>
      <c r="G195" s="45">
        <f t="shared" si="113"/>
        <v>-4108966.9299999997</v>
      </c>
      <c r="H195" s="44">
        <v>4300000</v>
      </c>
      <c r="I195" s="46">
        <f t="shared" si="140"/>
        <v>-643272.59000000008</v>
      </c>
      <c r="J195" s="47"/>
      <c r="K195" s="47"/>
      <c r="L195" s="47">
        <f>-(3662.72+3234+4885.2+16643.42)+3234</f>
        <v>-25191.339999999997</v>
      </c>
      <c r="M195" s="47">
        <f t="shared" si="141"/>
        <v>-668463.93000000005</v>
      </c>
      <c r="N195" s="46">
        <v>4000000</v>
      </c>
      <c r="O195" s="48">
        <f t="shared" si="142"/>
        <v>22874.380000000012</v>
      </c>
      <c r="P195" s="55"/>
      <c r="Q195" s="55"/>
      <c r="R195" s="55"/>
      <c r="S195" s="55">
        <f t="shared" si="143"/>
        <v>22874.380000000012</v>
      </c>
      <c r="T195" s="48"/>
      <c r="U195" s="49">
        <f t="shared" si="144"/>
        <v>28.650000000034925</v>
      </c>
      <c r="V195" s="51"/>
      <c r="W195" s="51"/>
      <c r="X195" s="51"/>
      <c r="Y195" s="51">
        <f t="shared" si="145"/>
        <v>28.650000000034925</v>
      </c>
      <c r="Z195" s="52"/>
      <c r="AA195" s="53">
        <f t="shared" si="146"/>
        <v>41.839999999995122</v>
      </c>
      <c r="AB195" s="54"/>
      <c r="AC195" s="54"/>
      <c r="AD195" s="54"/>
      <c r="AE195" s="54">
        <f t="shared" si="147"/>
        <v>41.839999999995122</v>
      </c>
      <c r="AF195" s="53"/>
      <c r="AG195" s="53">
        <f t="shared" si="126"/>
        <v>58.809999999997672</v>
      </c>
      <c r="AH195" s="54"/>
      <c r="AI195" s="54"/>
      <c r="AJ195" s="54"/>
      <c r="AK195" s="54">
        <f t="shared" si="148"/>
        <v>58.809999999997672</v>
      </c>
      <c r="AL195" s="53"/>
      <c r="AM195" s="53">
        <f t="shared" si="128"/>
        <v>0</v>
      </c>
      <c r="AN195" s="54"/>
      <c r="AO195" s="54"/>
      <c r="AP195" s="54"/>
      <c r="AQ195" s="54">
        <f t="shared" si="129"/>
        <v>0</v>
      </c>
      <c r="AR195" s="53"/>
      <c r="AS195" s="50">
        <f t="shared" si="131"/>
        <v>-4729293.8</v>
      </c>
      <c r="AT195" s="50">
        <f t="shared" si="132"/>
        <v>0</v>
      </c>
      <c r="AU195" s="50">
        <f t="shared" si="133"/>
        <v>0</v>
      </c>
      <c r="AV195" s="50">
        <f t="shared" si="134"/>
        <v>-25192.189999999995</v>
      </c>
      <c r="AW195" s="50"/>
      <c r="AX195" s="50">
        <f t="shared" si="135"/>
        <v>-4754427.18</v>
      </c>
      <c r="AY195" s="50">
        <f t="shared" si="136"/>
        <v>8300000</v>
      </c>
      <c r="AZ195" s="50">
        <f t="shared" si="137"/>
        <v>3545572.8200000003</v>
      </c>
    </row>
    <row r="196" spans="2:53" ht="14.25" customHeight="1" x14ac:dyDescent="0.3">
      <c r="B196" s="99">
        <f>B195+3</f>
        <v>44438</v>
      </c>
      <c r="C196" s="44">
        <f t="shared" si="139"/>
        <v>-4108966.9299999997</v>
      </c>
      <c r="D196" s="45">
        <v>132035.53</v>
      </c>
      <c r="E196" s="45"/>
      <c r="F196" s="45">
        <v>-183</v>
      </c>
      <c r="G196" s="45">
        <f t="shared" si="113"/>
        <v>-3977114.4</v>
      </c>
      <c r="H196" s="44">
        <v>4300000</v>
      </c>
      <c r="I196" s="46">
        <f t="shared" si="140"/>
        <v>-668463.93000000005</v>
      </c>
      <c r="J196" s="47">
        <v>579724.13</v>
      </c>
      <c r="K196" s="47">
        <v>65000</v>
      </c>
      <c r="L196" s="47">
        <v>-579870.44999999995</v>
      </c>
      <c r="M196" s="47">
        <f t="shared" si="141"/>
        <v>-603610.25</v>
      </c>
      <c r="N196" s="46">
        <v>4000000</v>
      </c>
      <c r="O196" s="48">
        <f t="shared" si="142"/>
        <v>22874.380000000012</v>
      </c>
      <c r="P196" s="55">
        <v>151026.75</v>
      </c>
      <c r="Q196" s="55">
        <f>-65000+42300</f>
        <v>-22700</v>
      </c>
      <c r="R196" s="55">
        <v>-10</v>
      </c>
      <c r="S196" s="55">
        <f t="shared" si="143"/>
        <v>151191.13</v>
      </c>
      <c r="T196" s="48"/>
      <c r="U196" s="49">
        <f t="shared" si="144"/>
        <v>28.650000000034925</v>
      </c>
      <c r="V196" s="51">
        <v>42300.07</v>
      </c>
      <c r="W196" s="51">
        <v>-42300</v>
      </c>
      <c r="X196" s="51"/>
      <c r="Y196" s="51">
        <f t="shared" si="145"/>
        <v>28.720000000037544</v>
      </c>
      <c r="Z196" s="52"/>
      <c r="AA196" s="53">
        <f t="shared" si="146"/>
        <v>41.839999999995122</v>
      </c>
      <c r="AB196" s="54"/>
      <c r="AC196" s="54"/>
      <c r="AD196" s="54"/>
      <c r="AE196" s="54">
        <f t="shared" si="147"/>
        <v>41.839999999995122</v>
      </c>
      <c r="AF196" s="53"/>
      <c r="AG196" s="53">
        <f t="shared" si="126"/>
        <v>58.809999999997672</v>
      </c>
      <c r="AH196" s="54"/>
      <c r="AI196" s="54"/>
      <c r="AJ196" s="54"/>
      <c r="AK196" s="54">
        <f t="shared" si="148"/>
        <v>58.809999999997672</v>
      </c>
      <c r="AL196" s="53"/>
      <c r="AM196" s="53">
        <f t="shared" si="128"/>
        <v>0</v>
      </c>
      <c r="AN196" s="54"/>
      <c r="AO196" s="54"/>
      <c r="AP196" s="54"/>
      <c r="AQ196" s="54">
        <f t="shared" si="129"/>
        <v>0</v>
      </c>
      <c r="AR196" s="53"/>
      <c r="AS196" s="50">
        <f t="shared" si="131"/>
        <v>-4754485.9899999993</v>
      </c>
      <c r="AT196" s="50">
        <f t="shared" si="132"/>
        <v>905086.48</v>
      </c>
      <c r="AU196" s="50">
        <f t="shared" si="133"/>
        <v>0</v>
      </c>
      <c r="AV196" s="50">
        <f t="shared" si="134"/>
        <v>-580063.44999999995</v>
      </c>
      <c r="AW196" s="50"/>
      <c r="AX196" s="50">
        <f t="shared" si="135"/>
        <v>-4429404.1500000013</v>
      </c>
      <c r="AY196" s="50">
        <f t="shared" si="136"/>
        <v>8300000</v>
      </c>
      <c r="AZ196" s="50">
        <f t="shared" si="137"/>
        <v>3870595.8499999987</v>
      </c>
    </row>
    <row r="197" spans="2:53" ht="14.25" customHeight="1" x14ac:dyDescent="0.3">
      <c r="B197" s="99">
        <f>B196+1</f>
        <v>44439</v>
      </c>
      <c r="C197" s="44">
        <f t="shared" si="139"/>
        <v>-3977114.4</v>
      </c>
      <c r="D197" s="45"/>
      <c r="E197" s="45"/>
      <c r="F197" s="45">
        <v>-87888.19</v>
      </c>
      <c r="G197" s="45">
        <f t="shared" si="113"/>
        <v>-4065002.59</v>
      </c>
      <c r="H197" s="44">
        <v>4300000</v>
      </c>
      <c r="I197" s="46">
        <f t="shared" si="140"/>
        <v>-603610.25</v>
      </c>
      <c r="J197" s="47">
        <f>20979.07+58396.04</f>
        <v>79375.11</v>
      </c>
      <c r="K197" s="47"/>
      <c r="L197" s="47">
        <v>-65916.570000000007</v>
      </c>
      <c r="M197" s="47">
        <f t="shared" si="141"/>
        <v>-590151.71</v>
      </c>
      <c r="N197" s="46">
        <v>4000000</v>
      </c>
      <c r="O197" s="48">
        <f t="shared" si="142"/>
        <v>151191.13</v>
      </c>
      <c r="P197" s="55"/>
      <c r="Q197" s="55"/>
      <c r="R197" s="55">
        <f>-90-990-2000</f>
        <v>-3080</v>
      </c>
      <c r="S197" s="55">
        <f t="shared" si="143"/>
        <v>148111.13</v>
      </c>
      <c r="T197" s="48"/>
      <c r="U197" s="49">
        <f t="shared" si="144"/>
        <v>28.720000000037544</v>
      </c>
      <c r="V197" s="51"/>
      <c r="W197" s="51"/>
      <c r="X197" s="51">
        <v>-1.2</v>
      </c>
      <c r="Y197" s="51">
        <f t="shared" si="145"/>
        <v>27.520000000037545</v>
      </c>
      <c r="Z197" s="52"/>
      <c r="AA197" s="53">
        <f t="shared" si="146"/>
        <v>41.839999999995122</v>
      </c>
      <c r="AB197" s="54"/>
      <c r="AC197" s="54"/>
      <c r="AD197" s="54"/>
      <c r="AE197" s="54">
        <f t="shared" si="147"/>
        <v>41.839999999995122</v>
      </c>
      <c r="AF197" s="53"/>
      <c r="AG197" s="53">
        <f t="shared" si="126"/>
        <v>58.809999999997672</v>
      </c>
      <c r="AH197" s="54"/>
      <c r="AI197" s="54"/>
      <c r="AJ197" s="54">
        <v>-56</v>
      </c>
      <c r="AK197" s="54">
        <f t="shared" si="148"/>
        <v>2.8099999999976717</v>
      </c>
      <c r="AL197" s="53"/>
      <c r="AM197" s="53">
        <f t="shared" si="128"/>
        <v>0</v>
      </c>
      <c r="AN197" s="54"/>
      <c r="AO197" s="54"/>
      <c r="AP197" s="54"/>
      <c r="AQ197" s="54">
        <f t="shared" si="129"/>
        <v>0</v>
      </c>
      <c r="AR197" s="53"/>
      <c r="AS197" s="50">
        <f t="shared" si="131"/>
        <v>-4429462.9600000009</v>
      </c>
      <c r="AT197" s="50">
        <f t="shared" si="132"/>
        <v>79375.11</v>
      </c>
      <c r="AU197" s="50">
        <f t="shared" si="133"/>
        <v>0</v>
      </c>
      <c r="AV197" s="50">
        <f t="shared" si="134"/>
        <v>-156941.96000000002</v>
      </c>
      <c r="AW197" s="50"/>
      <c r="AX197" s="50">
        <f t="shared" si="135"/>
        <v>-4506971</v>
      </c>
      <c r="AY197" s="50">
        <f t="shared" si="136"/>
        <v>8300000</v>
      </c>
      <c r="AZ197" s="50">
        <f t="shared" si="137"/>
        <v>3793029</v>
      </c>
    </row>
    <row r="198" spans="2:53" ht="14.25" customHeight="1" x14ac:dyDescent="0.3">
      <c r="B198" s="99">
        <f t="shared" ref="B198:B199" si="151">B197+1</f>
        <v>44440</v>
      </c>
      <c r="C198" s="44">
        <f t="shared" si="139"/>
        <v>-4065002.59</v>
      </c>
      <c r="D198" s="45"/>
      <c r="E198" s="45"/>
      <c r="F198" s="45">
        <f>-110375.91+37141.67</f>
        <v>-73234.240000000005</v>
      </c>
      <c r="G198" s="45">
        <f t="shared" si="113"/>
        <v>-4138236.83</v>
      </c>
      <c r="H198" s="44">
        <v>4300000</v>
      </c>
      <c r="I198" s="46">
        <f t="shared" si="140"/>
        <v>-590151.71</v>
      </c>
      <c r="J198" s="47"/>
      <c r="K198" s="47">
        <v>140000</v>
      </c>
      <c r="L198" s="47">
        <v>-1958048.11</v>
      </c>
      <c r="M198" s="47">
        <f t="shared" si="141"/>
        <v>-2408199.8200000003</v>
      </c>
      <c r="N198" s="46">
        <v>4000000</v>
      </c>
      <c r="O198" s="48">
        <f t="shared" si="142"/>
        <v>148111.13</v>
      </c>
      <c r="P198" s="55"/>
      <c r="Q198" s="55">
        <v>-140000</v>
      </c>
      <c r="R198" s="55">
        <f>-740.62-10-937.64</f>
        <v>-1688.26</v>
      </c>
      <c r="S198" s="55">
        <f t="shared" si="143"/>
        <v>6422.8700000000044</v>
      </c>
      <c r="T198" s="48"/>
      <c r="U198" s="49">
        <f t="shared" si="144"/>
        <v>27.520000000037545</v>
      </c>
      <c r="V198" s="51"/>
      <c r="W198" s="51"/>
      <c r="X198" s="51"/>
      <c r="Y198" s="51">
        <f t="shared" si="145"/>
        <v>27.520000000037545</v>
      </c>
      <c r="Z198" s="52"/>
      <c r="AA198" s="53">
        <f t="shared" si="146"/>
        <v>41.839999999995122</v>
      </c>
      <c r="AB198" s="54"/>
      <c r="AC198" s="54"/>
      <c r="AD198" s="54"/>
      <c r="AE198" s="54">
        <f t="shared" si="147"/>
        <v>41.839999999995122</v>
      </c>
      <c r="AF198" s="53"/>
      <c r="AG198" s="53">
        <f t="shared" si="126"/>
        <v>2.8099999999976717</v>
      </c>
      <c r="AH198" s="54"/>
      <c r="AI198" s="54"/>
      <c r="AJ198" s="54"/>
      <c r="AK198" s="54">
        <f t="shared" si="148"/>
        <v>2.8099999999976717</v>
      </c>
      <c r="AL198" s="53"/>
      <c r="AM198" s="53">
        <f t="shared" si="128"/>
        <v>0</v>
      </c>
      <c r="AN198" s="54"/>
      <c r="AO198" s="54"/>
      <c r="AP198" s="54"/>
      <c r="AQ198" s="54">
        <f t="shared" si="129"/>
        <v>0</v>
      </c>
      <c r="AR198" s="53"/>
      <c r="AS198" s="50">
        <f t="shared" si="131"/>
        <v>-4506973.8099999996</v>
      </c>
      <c r="AT198" s="50">
        <f t="shared" si="132"/>
        <v>0</v>
      </c>
      <c r="AU198" s="50">
        <f t="shared" si="133"/>
        <v>0</v>
      </c>
      <c r="AV198" s="50">
        <f t="shared" si="134"/>
        <v>-2032970.61</v>
      </c>
      <c r="AW198" s="50"/>
      <c r="AX198" s="50">
        <f t="shared" si="135"/>
        <v>-6539941.6100000003</v>
      </c>
      <c r="AY198" s="50">
        <f t="shared" si="136"/>
        <v>8300000</v>
      </c>
      <c r="AZ198" s="50">
        <f t="shared" si="137"/>
        <v>1760058.3899999997</v>
      </c>
    </row>
    <row r="199" spans="2:53" ht="14.25" customHeight="1" x14ac:dyDescent="0.3">
      <c r="B199" s="99">
        <f t="shared" si="151"/>
        <v>44441</v>
      </c>
      <c r="C199" s="44">
        <f t="shared" si="139"/>
        <v>-4138236.83</v>
      </c>
      <c r="D199" s="45">
        <v>46920.54</v>
      </c>
      <c r="E199" s="45"/>
      <c r="F199" s="45">
        <v>-54484.55</v>
      </c>
      <c r="G199" s="45">
        <f t="shared" si="113"/>
        <v>-4145800.84</v>
      </c>
      <c r="H199" s="44">
        <v>4300000</v>
      </c>
      <c r="I199" s="46">
        <f t="shared" si="140"/>
        <v>-2408199.8200000003</v>
      </c>
      <c r="J199" s="47">
        <v>0</v>
      </c>
      <c r="K199" s="47"/>
      <c r="L199" s="47">
        <v>-51650.4899999997</v>
      </c>
      <c r="M199" s="47">
        <f t="shared" si="141"/>
        <v>-2459850.31</v>
      </c>
      <c r="N199" s="46">
        <v>4000000</v>
      </c>
      <c r="O199" s="48">
        <f t="shared" si="142"/>
        <v>6422.8700000000044</v>
      </c>
      <c r="P199" s="55">
        <f>162.88+512.32</f>
        <v>675.2</v>
      </c>
      <c r="Q199" s="55"/>
      <c r="R199" s="55">
        <v>-2710.74</v>
      </c>
      <c r="S199" s="55">
        <f t="shared" si="143"/>
        <v>4387.3300000000045</v>
      </c>
      <c r="T199" s="48"/>
      <c r="U199" s="49">
        <f t="shared" si="144"/>
        <v>27.520000000037545</v>
      </c>
      <c r="V199" s="51"/>
      <c r="W199" s="51"/>
      <c r="X199" s="51">
        <v>-27.52</v>
      </c>
      <c r="Y199" s="51">
        <f t="shared" si="145"/>
        <v>3.7545078157563694E-11</v>
      </c>
      <c r="Z199" s="52"/>
      <c r="AA199" s="53">
        <f t="shared" si="146"/>
        <v>41.839999999995122</v>
      </c>
      <c r="AB199" s="54"/>
      <c r="AC199" s="54"/>
      <c r="AD199" s="54"/>
      <c r="AE199" s="54">
        <f t="shared" si="147"/>
        <v>41.839999999995122</v>
      </c>
      <c r="AF199" s="53"/>
      <c r="AG199" s="53">
        <f t="shared" si="126"/>
        <v>2.8099999999976717</v>
      </c>
      <c r="AH199" s="54"/>
      <c r="AI199" s="54"/>
      <c r="AJ199" s="54"/>
      <c r="AK199" s="54">
        <f t="shared" si="148"/>
        <v>2.8099999999976717</v>
      </c>
      <c r="AL199" s="53"/>
      <c r="AM199" s="53">
        <f t="shared" si="128"/>
        <v>0</v>
      </c>
      <c r="AN199" s="54"/>
      <c r="AO199" s="54"/>
      <c r="AP199" s="54"/>
      <c r="AQ199" s="54">
        <f t="shared" si="129"/>
        <v>0</v>
      </c>
      <c r="AR199" s="53"/>
      <c r="AS199" s="50">
        <f t="shared" si="131"/>
        <v>-6539944.4199999999</v>
      </c>
      <c r="AT199" s="50">
        <f t="shared" si="132"/>
        <v>47595.74</v>
      </c>
      <c r="AU199" s="50">
        <f t="shared" si="133"/>
        <v>0</v>
      </c>
      <c r="AV199" s="50">
        <f t="shared" si="134"/>
        <v>-108873.29999999971</v>
      </c>
      <c r="AW199" s="50"/>
      <c r="AX199" s="50">
        <f t="shared" si="135"/>
        <v>-6601219.1700000009</v>
      </c>
      <c r="AY199" s="50">
        <f t="shared" si="136"/>
        <v>8300000</v>
      </c>
      <c r="AZ199" s="50">
        <f t="shared" si="137"/>
        <v>1698780.8299999991</v>
      </c>
    </row>
    <row r="200" spans="2:53" ht="14.25" customHeight="1" x14ac:dyDescent="0.3">
      <c r="B200" s="99">
        <f>B199+1</f>
        <v>44442</v>
      </c>
      <c r="C200" s="44">
        <f t="shared" si="139"/>
        <v>-4145800.84</v>
      </c>
      <c r="D200" s="45">
        <v>2152.92</v>
      </c>
      <c r="E200" s="45">
        <v>230000</v>
      </c>
      <c r="F200" s="45">
        <v>-58824.31</v>
      </c>
      <c r="G200" s="45">
        <f t="shared" si="113"/>
        <v>-3972472.23</v>
      </c>
      <c r="H200" s="44">
        <v>4300000</v>
      </c>
      <c r="I200" s="46">
        <f t="shared" si="140"/>
        <v>-2459850.31</v>
      </c>
      <c r="J200" s="47">
        <v>94906.71</v>
      </c>
      <c r="K200" s="47"/>
      <c r="L200" s="47">
        <v>-369674.4</v>
      </c>
      <c r="M200" s="47">
        <f t="shared" si="141"/>
        <v>-2734618</v>
      </c>
      <c r="N200" s="46">
        <v>4000000</v>
      </c>
      <c r="O200" s="48">
        <f t="shared" si="142"/>
        <v>4387.3300000000045</v>
      </c>
      <c r="P200" s="55">
        <f>163.84+222.38+651.84+482.5</f>
        <v>1520.56</v>
      </c>
      <c r="Q200" s="55">
        <f>239800-230000</f>
        <v>9800</v>
      </c>
      <c r="R200" s="55">
        <f>-13913.72-482.5-14.77</f>
        <v>-14410.99</v>
      </c>
      <c r="S200" s="55">
        <f t="shared" si="143"/>
        <v>1296.9000000000051</v>
      </c>
      <c r="T200" s="48"/>
      <c r="U200" s="49">
        <f t="shared" si="144"/>
        <v>3.7545078157563694E-11</v>
      </c>
      <c r="V200" s="51">
        <f>239836.02+58967.83</f>
        <v>298803.84999999998</v>
      </c>
      <c r="W200" s="51">
        <v>-239800</v>
      </c>
      <c r="X200" s="51">
        <f>-27.43-1.2</f>
        <v>-28.63</v>
      </c>
      <c r="Y200" s="51">
        <f t="shared" si="145"/>
        <v>58975.220000000038</v>
      </c>
      <c r="Z200" s="52"/>
      <c r="AA200" s="53">
        <f t="shared" si="146"/>
        <v>41.839999999995122</v>
      </c>
      <c r="AB200" s="54"/>
      <c r="AC200" s="54"/>
      <c r="AD200" s="54"/>
      <c r="AE200" s="54">
        <f t="shared" si="147"/>
        <v>41.839999999995122</v>
      </c>
      <c r="AF200" s="53"/>
      <c r="AG200" s="53">
        <f t="shared" si="126"/>
        <v>2.8099999999976717</v>
      </c>
      <c r="AH200" s="54"/>
      <c r="AI200" s="54"/>
      <c r="AJ200" s="54"/>
      <c r="AK200" s="54">
        <f t="shared" si="148"/>
        <v>2.8099999999976717</v>
      </c>
      <c r="AL200" s="53"/>
      <c r="AM200" s="53">
        <f t="shared" si="128"/>
        <v>0</v>
      </c>
      <c r="AN200" s="54"/>
      <c r="AO200" s="54"/>
      <c r="AP200" s="54"/>
      <c r="AQ200" s="54">
        <f t="shared" si="129"/>
        <v>0</v>
      </c>
      <c r="AR200" s="53"/>
      <c r="AS200" s="50">
        <f t="shared" si="131"/>
        <v>-6601221.9800000004</v>
      </c>
      <c r="AT200" s="50">
        <f t="shared" si="132"/>
        <v>397384.04</v>
      </c>
      <c r="AU200" s="50">
        <f t="shared" si="133"/>
        <v>0</v>
      </c>
      <c r="AV200" s="50">
        <f t="shared" si="134"/>
        <v>-442938.33</v>
      </c>
      <c r="AW200" s="50"/>
      <c r="AX200" s="50">
        <f t="shared" si="135"/>
        <v>-6646773.4600000009</v>
      </c>
      <c r="AY200" s="50">
        <f t="shared" si="136"/>
        <v>8300000</v>
      </c>
      <c r="AZ200" s="50">
        <f t="shared" si="137"/>
        <v>1653226.5399999991</v>
      </c>
      <c r="BA200" s="15">
        <f>AX200</f>
        <v>-6646773.4600000009</v>
      </c>
    </row>
    <row r="201" spans="2:53" ht="14.25" customHeight="1" x14ac:dyDescent="0.3">
      <c r="B201" s="99">
        <f>B200+3</f>
        <v>44445</v>
      </c>
      <c r="C201" s="44">
        <f t="shared" si="139"/>
        <v>-3972472.23</v>
      </c>
      <c r="D201" s="45">
        <v>121058.53</v>
      </c>
      <c r="E201" s="45"/>
      <c r="F201" s="45">
        <v>-35297.589999999997</v>
      </c>
      <c r="G201" s="45">
        <f t="shared" si="113"/>
        <v>-3886711.29</v>
      </c>
      <c r="H201" s="44">
        <v>4300000</v>
      </c>
      <c r="I201" s="46">
        <f t="shared" si="140"/>
        <v>-2734618</v>
      </c>
      <c r="J201" s="47">
        <f>197085.05</f>
        <v>197085.05</v>
      </c>
      <c r="K201" s="47">
        <v>300000</v>
      </c>
      <c r="L201" s="47">
        <v>-63064.819999999803</v>
      </c>
      <c r="M201" s="47">
        <f t="shared" si="141"/>
        <v>-2300597.77</v>
      </c>
      <c r="N201" s="46">
        <v>4000000</v>
      </c>
      <c r="O201" s="48">
        <f t="shared" si="142"/>
        <v>1296.9000000000051</v>
      </c>
      <c r="P201" s="55">
        <f>143.36+10.18+305205.89</f>
        <v>305359.43</v>
      </c>
      <c r="Q201" s="55">
        <f>58900-300000</f>
        <v>-241100</v>
      </c>
      <c r="R201" s="55">
        <f>-20-59668.22</f>
        <v>-59688.22</v>
      </c>
      <c r="S201" s="55">
        <f t="shared" si="143"/>
        <v>5868.1100000000151</v>
      </c>
      <c r="T201" s="48"/>
      <c r="U201" s="49">
        <f t="shared" si="144"/>
        <v>58975.220000000038</v>
      </c>
      <c r="V201" s="51"/>
      <c r="W201" s="51">
        <v>-58900</v>
      </c>
      <c r="X201" s="51"/>
      <c r="Y201" s="51">
        <f t="shared" si="145"/>
        <v>75.220000000037544</v>
      </c>
      <c r="Z201" s="52"/>
      <c r="AA201" s="53">
        <f t="shared" si="146"/>
        <v>41.839999999995122</v>
      </c>
      <c r="AB201" s="54"/>
      <c r="AC201" s="54"/>
      <c r="AD201" s="54"/>
      <c r="AE201" s="54">
        <f t="shared" si="147"/>
        <v>41.839999999995122</v>
      </c>
      <c r="AF201" s="53"/>
      <c r="AG201" s="53">
        <f t="shared" si="126"/>
        <v>2.8099999999976717</v>
      </c>
      <c r="AH201" s="54"/>
      <c r="AI201" s="54"/>
      <c r="AJ201" s="54"/>
      <c r="AK201" s="54">
        <f t="shared" si="148"/>
        <v>2.8099999999976717</v>
      </c>
      <c r="AL201" s="53"/>
      <c r="AM201" s="53">
        <f t="shared" si="128"/>
        <v>0</v>
      </c>
      <c r="AN201" s="54"/>
      <c r="AO201" s="54"/>
      <c r="AP201" s="54"/>
      <c r="AQ201" s="54">
        <f t="shared" si="129"/>
        <v>0</v>
      </c>
      <c r="AR201" s="53"/>
      <c r="AS201" s="50">
        <f t="shared" si="131"/>
        <v>-6646776.2700000005</v>
      </c>
      <c r="AT201" s="50">
        <f t="shared" si="132"/>
        <v>623503.01</v>
      </c>
      <c r="AU201" s="50">
        <f t="shared" si="133"/>
        <v>0</v>
      </c>
      <c r="AV201" s="50">
        <f t="shared" si="134"/>
        <v>-158050.6299999998</v>
      </c>
      <c r="AW201" s="50"/>
      <c r="AX201" s="50">
        <f t="shared" si="135"/>
        <v>-6181321.080000001</v>
      </c>
      <c r="AY201" s="50">
        <f t="shared" si="136"/>
        <v>8300000</v>
      </c>
      <c r="AZ201" s="50">
        <f t="shared" si="137"/>
        <v>2118678.919999999</v>
      </c>
      <c r="BA201" s="15">
        <v>7300000</v>
      </c>
    </row>
    <row r="202" spans="2:53" ht="14.25" customHeight="1" x14ac:dyDescent="0.3">
      <c r="B202" s="99">
        <f>B201+1</f>
        <v>44446</v>
      </c>
      <c r="C202" s="44">
        <f t="shared" si="139"/>
        <v>-3886711.29</v>
      </c>
      <c r="D202" s="45"/>
      <c r="E202" s="45"/>
      <c r="F202" s="45"/>
      <c r="G202" s="45">
        <f t="shared" si="113"/>
        <v>-3886711.29</v>
      </c>
      <c r="H202" s="44">
        <v>4300000</v>
      </c>
      <c r="I202" s="46">
        <f t="shared" si="140"/>
        <v>-2300597.77</v>
      </c>
      <c r="J202" s="47"/>
      <c r="K202" s="47"/>
      <c r="L202" s="47"/>
      <c r="M202" s="47">
        <f t="shared" si="141"/>
        <v>-2300597.77</v>
      </c>
      <c r="N202" s="46">
        <v>4000000</v>
      </c>
      <c r="O202" s="48">
        <f t="shared" si="142"/>
        <v>5868.1100000000151</v>
      </c>
      <c r="P202" s="55"/>
      <c r="Q202" s="55"/>
      <c r="R202" s="55"/>
      <c r="S202" s="55">
        <f t="shared" si="143"/>
        <v>5868.1100000000151</v>
      </c>
      <c r="T202" s="48"/>
      <c r="U202" s="49">
        <f t="shared" si="144"/>
        <v>75.220000000037544</v>
      </c>
      <c r="V202" s="51"/>
      <c r="W202" s="51"/>
      <c r="X202" s="51"/>
      <c r="Y202" s="51">
        <f t="shared" si="145"/>
        <v>75.220000000037544</v>
      </c>
      <c r="Z202" s="52"/>
      <c r="AA202" s="53">
        <f t="shared" si="146"/>
        <v>41.839999999995122</v>
      </c>
      <c r="AB202" s="54"/>
      <c r="AC202" s="54"/>
      <c r="AD202" s="54"/>
      <c r="AE202" s="54">
        <f t="shared" si="147"/>
        <v>41.839999999995122</v>
      </c>
      <c r="AF202" s="53"/>
      <c r="AG202" s="53">
        <f t="shared" si="126"/>
        <v>2.8099999999976717</v>
      </c>
      <c r="AH202" s="54"/>
      <c r="AI202" s="54"/>
      <c r="AJ202" s="54"/>
      <c r="AK202" s="54">
        <f t="shared" si="148"/>
        <v>2.8099999999976717</v>
      </c>
      <c r="AL202" s="53"/>
      <c r="AM202" s="53">
        <f t="shared" si="128"/>
        <v>0</v>
      </c>
      <c r="AN202" s="54"/>
      <c r="AO202" s="54"/>
      <c r="AP202" s="54"/>
      <c r="AQ202" s="54">
        <f t="shared" si="129"/>
        <v>0</v>
      </c>
      <c r="AR202" s="53"/>
      <c r="AS202" s="50">
        <f t="shared" si="131"/>
        <v>-6181323.8900000006</v>
      </c>
      <c r="AT202" s="50">
        <f t="shared" si="132"/>
        <v>0</v>
      </c>
      <c r="AU202" s="50">
        <f t="shared" si="133"/>
        <v>0</v>
      </c>
      <c r="AV202" s="50">
        <f t="shared" si="134"/>
        <v>0</v>
      </c>
      <c r="AW202" s="50"/>
      <c r="AX202" s="50">
        <f t="shared" si="135"/>
        <v>-6181321.080000001</v>
      </c>
      <c r="AY202" s="50">
        <f t="shared" si="136"/>
        <v>8300000</v>
      </c>
      <c r="AZ202" s="50">
        <f t="shared" si="137"/>
        <v>2118678.919999999</v>
      </c>
      <c r="BA202" s="15">
        <f>BA201+BA200</f>
        <v>653226.53999999911</v>
      </c>
    </row>
    <row r="203" spans="2:53" ht="14.25" customHeight="1" x14ac:dyDescent="0.3">
      <c r="B203" s="99">
        <f t="shared" ref="B203:B204" si="152">B202+1</f>
        <v>44447</v>
      </c>
      <c r="C203" s="44">
        <f t="shared" si="139"/>
        <v>-3886711.29</v>
      </c>
      <c r="D203" s="45">
        <v>53971</v>
      </c>
      <c r="E203" s="45"/>
      <c r="F203" s="45">
        <v>-2143.9699999999998</v>
      </c>
      <c r="G203" s="45">
        <f t="shared" si="113"/>
        <v>-3834884.2600000002</v>
      </c>
      <c r="H203" s="44">
        <v>4300000</v>
      </c>
      <c r="I203" s="46">
        <f t="shared" si="140"/>
        <v>-2300597.77</v>
      </c>
      <c r="J203" s="47">
        <v>153171.73000000001</v>
      </c>
      <c r="K203" s="47">
        <v>-29200</v>
      </c>
      <c r="L203" s="47">
        <v>-154465.76</v>
      </c>
      <c r="M203" s="47">
        <f t="shared" si="141"/>
        <v>-2331091.7999999998</v>
      </c>
      <c r="N203" s="46">
        <v>4000000</v>
      </c>
      <c r="O203" s="48">
        <f t="shared" si="142"/>
        <v>5868.1100000000151</v>
      </c>
      <c r="P203" s="55"/>
      <c r="Q203" s="55"/>
      <c r="R203" s="55"/>
      <c r="S203" s="55">
        <f t="shared" si="143"/>
        <v>5868.1100000000151</v>
      </c>
      <c r="T203" s="48"/>
      <c r="U203" s="49">
        <f t="shared" si="144"/>
        <v>75.220000000037544</v>
      </c>
      <c r="V203" s="51"/>
      <c r="W203" s="51"/>
      <c r="X203" s="51">
        <v>-1.2</v>
      </c>
      <c r="Y203" s="51">
        <f t="shared" si="145"/>
        <v>74.020000000037541</v>
      </c>
      <c r="Z203" s="52"/>
      <c r="AA203" s="53">
        <f t="shared" si="146"/>
        <v>41.839999999995122</v>
      </c>
      <c r="AB203" s="54"/>
      <c r="AC203" s="54">
        <v>29200</v>
      </c>
      <c r="AD203" s="54">
        <v>-29077.72</v>
      </c>
      <c r="AE203" s="54">
        <f t="shared" si="147"/>
        <v>164.11999999999534</v>
      </c>
      <c r="AF203" s="53"/>
      <c r="AG203" s="53">
        <f t="shared" si="126"/>
        <v>2.8099999999976717</v>
      </c>
      <c r="AH203" s="54"/>
      <c r="AI203" s="54"/>
      <c r="AJ203" s="54"/>
      <c r="AK203" s="54">
        <f t="shared" si="148"/>
        <v>2.8099999999976717</v>
      </c>
      <c r="AL203" s="53"/>
      <c r="AM203" s="53">
        <f t="shared" si="128"/>
        <v>0</v>
      </c>
      <c r="AN203" s="54"/>
      <c r="AO203" s="54"/>
      <c r="AP203" s="54"/>
      <c r="AQ203" s="54">
        <f t="shared" si="129"/>
        <v>0</v>
      </c>
      <c r="AR203" s="53"/>
      <c r="AS203" s="50">
        <f t="shared" si="131"/>
        <v>-6181323.8900000006</v>
      </c>
      <c r="AT203" s="50">
        <f t="shared" si="132"/>
        <v>207142.73</v>
      </c>
      <c r="AU203" s="50">
        <f t="shared" si="133"/>
        <v>0</v>
      </c>
      <c r="AV203" s="50">
        <f t="shared" si="134"/>
        <v>-185688.65000000002</v>
      </c>
      <c r="AW203" s="50"/>
      <c r="AX203" s="50">
        <f t="shared" si="135"/>
        <v>-6159867</v>
      </c>
      <c r="AY203" s="50">
        <f t="shared" si="136"/>
        <v>8300000</v>
      </c>
      <c r="AZ203" s="50">
        <f t="shared" si="137"/>
        <v>2140133</v>
      </c>
      <c r="BA203" s="15">
        <v>-548382</v>
      </c>
    </row>
    <row r="204" spans="2:53" ht="14.25" customHeight="1" x14ac:dyDescent="0.3">
      <c r="B204" s="99">
        <f t="shared" si="152"/>
        <v>44448</v>
      </c>
      <c r="C204" s="44">
        <f t="shared" si="139"/>
        <v>-3834884.2600000002</v>
      </c>
      <c r="D204" s="45">
        <f>229106.5+29576.44</f>
        <v>258682.94</v>
      </c>
      <c r="E204" s="45"/>
      <c r="F204" s="45">
        <v>-935.2</v>
      </c>
      <c r="G204" s="45">
        <f t="shared" si="113"/>
        <v>-3577136.5200000005</v>
      </c>
      <c r="H204" s="44">
        <v>4300000</v>
      </c>
      <c r="I204" s="46">
        <f t="shared" si="140"/>
        <v>-2331091.7999999998</v>
      </c>
      <c r="J204" s="47"/>
      <c r="K204" s="47">
        <v>49900</v>
      </c>
      <c r="L204" s="47">
        <v>-81233.940000000206</v>
      </c>
      <c r="M204" s="47">
        <f t="shared" si="141"/>
        <v>-2362425.7400000002</v>
      </c>
      <c r="N204" s="46">
        <v>4000000</v>
      </c>
      <c r="O204" s="48">
        <f t="shared" si="142"/>
        <v>5868.1100000000151</v>
      </c>
      <c r="P204" s="55">
        <v>28709.99</v>
      </c>
      <c r="Q204" s="55"/>
      <c r="R204" s="55"/>
      <c r="S204" s="55">
        <f t="shared" si="143"/>
        <v>34578.10000000002</v>
      </c>
      <c r="T204" s="48"/>
      <c r="U204" s="49">
        <f t="shared" si="144"/>
        <v>74.020000000037541</v>
      </c>
      <c r="V204" s="51"/>
      <c r="W204" s="51"/>
      <c r="X204" s="51"/>
      <c r="Y204" s="51">
        <f t="shared" si="145"/>
        <v>74.020000000037541</v>
      </c>
      <c r="Z204" s="52"/>
      <c r="AA204" s="53">
        <f t="shared" si="146"/>
        <v>164.11999999999534</v>
      </c>
      <c r="AB204" s="54"/>
      <c r="AC204" s="54"/>
      <c r="AD204" s="54">
        <v>-70</v>
      </c>
      <c r="AE204" s="54">
        <f t="shared" si="147"/>
        <v>94.119999999995343</v>
      </c>
      <c r="AF204" s="53"/>
      <c r="AG204" s="53">
        <f t="shared" si="126"/>
        <v>2.8099999999976717</v>
      </c>
      <c r="AH204" s="54">
        <v>49989.38</v>
      </c>
      <c r="AI204" s="54">
        <v>-49900</v>
      </c>
      <c r="AJ204" s="54">
        <v>-10</v>
      </c>
      <c r="AK204" s="54">
        <f t="shared" si="148"/>
        <v>82.189999999995052</v>
      </c>
      <c r="AL204" s="53"/>
      <c r="AM204" s="53">
        <f t="shared" si="128"/>
        <v>0</v>
      </c>
      <c r="AN204" s="54"/>
      <c r="AO204" s="54"/>
      <c r="AP204" s="54"/>
      <c r="AQ204" s="54">
        <f t="shared" si="129"/>
        <v>0</v>
      </c>
      <c r="AR204" s="53"/>
      <c r="AS204" s="50">
        <f t="shared" si="131"/>
        <v>-6159869.8099999996</v>
      </c>
      <c r="AT204" s="50">
        <f t="shared" si="132"/>
        <v>337382.31</v>
      </c>
      <c r="AU204" s="50">
        <f t="shared" si="133"/>
        <v>0</v>
      </c>
      <c r="AV204" s="50">
        <f t="shared" si="134"/>
        <v>-82249.140000000203</v>
      </c>
      <c r="AW204" s="50"/>
      <c r="AX204" s="50">
        <f t="shared" si="135"/>
        <v>-5904733.8300000001</v>
      </c>
      <c r="AY204" s="50">
        <f t="shared" si="136"/>
        <v>8300000</v>
      </c>
      <c r="AZ204" s="50">
        <f t="shared" si="137"/>
        <v>2395266.17</v>
      </c>
      <c r="BA204" s="15">
        <f>BA202+BA203</f>
        <v>104844.53999999911</v>
      </c>
    </row>
    <row r="205" spans="2:53" ht="14.25" customHeight="1" x14ac:dyDescent="0.3">
      <c r="B205" s="99">
        <f>B204+1</f>
        <v>44449</v>
      </c>
      <c r="C205" s="44">
        <f t="shared" si="139"/>
        <v>-3577136.5200000005</v>
      </c>
      <c r="D205" s="45">
        <f>546296.98-2083.33</f>
        <v>544213.65</v>
      </c>
      <c r="E205" s="45"/>
      <c r="F205" s="45">
        <v>-26396.2</v>
      </c>
      <c r="G205" s="45">
        <f t="shared" si="113"/>
        <v>-3059319.0700000008</v>
      </c>
      <c r="H205" s="44">
        <v>4300000</v>
      </c>
      <c r="I205" s="46">
        <f t="shared" si="140"/>
        <v>-2362425.7400000002</v>
      </c>
      <c r="J205" s="47"/>
      <c r="K205" s="47">
        <v>133000</v>
      </c>
      <c r="L205" s="47">
        <v>-419318.58</v>
      </c>
      <c r="M205" s="47">
        <f t="shared" si="141"/>
        <v>-2648744.3200000003</v>
      </c>
      <c r="N205" s="46">
        <v>4000000</v>
      </c>
      <c r="O205" s="48">
        <f t="shared" si="142"/>
        <v>34578.10000000002</v>
      </c>
      <c r="P205" s="55"/>
      <c r="Q205" s="55">
        <f>100700-133000</f>
        <v>-32300</v>
      </c>
      <c r="R205" s="55">
        <f>-1748.62-10</f>
        <v>-1758.62</v>
      </c>
      <c r="S205" s="55">
        <f t="shared" si="143"/>
        <v>519.48000000002048</v>
      </c>
      <c r="T205" s="48"/>
      <c r="U205" s="49">
        <f t="shared" si="144"/>
        <v>74.020000000037541</v>
      </c>
      <c r="V205" s="51">
        <v>100715.93</v>
      </c>
      <c r="W205" s="51">
        <v>-100700</v>
      </c>
      <c r="X205" s="51">
        <v>-1.2</v>
      </c>
      <c r="Y205" s="51">
        <f t="shared" si="145"/>
        <v>88.750000000026191</v>
      </c>
      <c r="Z205" s="52"/>
      <c r="AA205" s="53">
        <f t="shared" si="146"/>
        <v>94.119999999995343</v>
      </c>
      <c r="AB205" s="54"/>
      <c r="AC205" s="54"/>
      <c r="AD205" s="54"/>
      <c r="AE205" s="54">
        <f t="shared" si="147"/>
        <v>94.119999999995343</v>
      </c>
      <c r="AF205" s="53"/>
      <c r="AG205" s="53">
        <f t="shared" si="126"/>
        <v>82.189999999995052</v>
      </c>
      <c r="AH205" s="54"/>
      <c r="AI205" s="54"/>
      <c r="AJ205" s="54"/>
      <c r="AK205" s="54">
        <f t="shared" si="148"/>
        <v>82.189999999995052</v>
      </c>
      <c r="AL205" s="53"/>
      <c r="AM205" s="53">
        <f t="shared" si="128"/>
        <v>0</v>
      </c>
      <c r="AN205" s="54"/>
      <c r="AO205" s="54"/>
      <c r="AP205" s="54"/>
      <c r="AQ205" s="54">
        <f t="shared" si="129"/>
        <v>0</v>
      </c>
      <c r="AR205" s="53"/>
      <c r="AS205" s="50">
        <f t="shared" si="131"/>
        <v>-5904816.0200000005</v>
      </c>
      <c r="AT205" s="50">
        <f t="shared" si="132"/>
        <v>644929.58000000007</v>
      </c>
      <c r="AU205" s="50">
        <f t="shared" si="133"/>
        <v>0</v>
      </c>
      <c r="AV205" s="50">
        <f t="shared" si="134"/>
        <v>-447474.60000000003</v>
      </c>
      <c r="AW205" s="50"/>
      <c r="AX205" s="50">
        <f t="shared" si="135"/>
        <v>-5707278.8499999996</v>
      </c>
      <c r="AY205" s="50">
        <f t="shared" si="136"/>
        <v>8300000</v>
      </c>
      <c r="AZ205" s="50">
        <f t="shared" si="137"/>
        <v>2592721.1500000004</v>
      </c>
    </row>
    <row r="206" spans="2:53" ht="17.25" customHeight="1" x14ac:dyDescent="0.3">
      <c r="B206" s="99">
        <f>B205+3</f>
        <v>44452</v>
      </c>
      <c r="C206" s="44">
        <f t="shared" si="139"/>
        <v>-3059319.0700000008</v>
      </c>
      <c r="D206" s="45">
        <v>228448.08000000002</v>
      </c>
      <c r="E206" s="45"/>
      <c r="F206" s="45">
        <v>-502629.72</v>
      </c>
      <c r="G206" s="45">
        <f t="shared" si="113"/>
        <v>-3333500.7100000009</v>
      </c>
      <c r="H206" s="44">
        <v>4300000</v>
      </c>
      <c r="I206" s="46">
        <f t="shared" si="140"/>
        <v>-2648744.3200000003</v>
      </c>
      <c r="J206" s="47"/>
      <c r="K206" s="47">
        <v>-10000</v>
      </c>
      <c r="L206" s="47">
        <f>-197373.95+10000</f>
        <v>-187373.95</v>
      </c>
      <c r="M206" s="47">
        <f t="shared" si="141"/>
        <v>-2846118.2700000005</v>
      </c>
      <c r="N206" s="46">
        <v>4000000</v>
      </c>
      <c r="O206" s="48">
        <f t="shared" si="142"/>
        <v>519.48000000002048</v>
      </c>
      <c r="P206" s="55"/>
      <c r="Q206" s="55">
        <v>10000</v>
      </c>
      <c r="R206" s="55">
        <f>-2500-10-360-5440</f>
        <v>-8310</v>
      </c>
      <c r="S206" s="55">
        <f t="shared" si="143"/>
        <v>2209.4800000000214</v>
      </c>
      <c r="T206" s="48"/>
      <c r="U206" s="49">
        <f t="shared" si="144"/>
        <v>88.750000000026191</v>
      </c>
      <c r="V206" s="51"/>
      <c r="W206" s="51"/>
      <c r="X206" s="51"/>
      <c r="Y206" s="51">
        <f t="shared" si="145"/>
        <v>88.750000000026191</v>
      </c>
      <c r="Z206" s="52"/>
      <c r="AA206" s="53">
        <f t="shared" si="146"/>
        <v>94.119999999995343</v>
      </c>
      <c r="AB206" s="54"/>
      <c r="AC206" s="54"/>
      <c r="AD206" s="54"/>
      <c r="AE206" s="54">
        <f t="shared" si="147"/>
        <v>94.119999999995343</v>
      </c>
      <c r="AF206" s="53"/>
      <c r="AG206" s="53">
        <f t="shared" si="126"/>
        <v>82.189999999995052</v>
      </c>
      <c r="AH206" s="54"/>
      <c r="AI206" s="54"/>
      <c r="AJ206" s="54"/>
      <c r="AK206" s="54">
        <f t="shared" si="148"/>
        <v>82.189999999995052</v>
      </c>
      <c r="AL206" s="53"/>
      <c r="AM206" s="53">
        <f t="shared" si="128"/>
        <v>0</v>
      </c>
      <c r="AN206" s="54"/>
      <c r="AO206" s="54"/>
      <c r="AP206" s="54"/>
      <c r="AQ206" s="54">
        <f t="shared" si="129"/>
        <v>0</v>
      </c>
      <c r="AR206" s="53"/>
      <c r="AS206" s="50">
        <f t="shared" si="131"/>
        <v>-5707361.04</v>
      </c>
      <c r="AT206" s="50">
        <f t="shared" si="132"/>
        <v>228448.08000000002</v>
      </c>
      <c r="AU206" s="50">
        <f t="shared" si="133"/>
        <v>0</v>
      </c>
      <c r="AV206" s="50">
        <f t="shared" si="134"/>
        <v>-698313.66999999993</v>
      </c>
      <c r="AW206" s="50"/>
      <c r="AX206" s="50">
        <f t="shared" si="135"/>
        <v>-6177144.4400000004</v>
      </c>
      <c r="AY206" s="50">
        <f t="shared" si="136"/>
        <v>8300000</v>
      </c>
      <c r="AZ206" s="50">
        <f t="shared" si="137"/>
        <v>2122855.5599999996</v>
      </c>
    </row>
    <row r="207" spans="2:53" ht="17.25" customHeight="1" x14ac:dyDescent="0.3">
      <c r="B207" s="99">
        <f>B206+1</f>
        <v>44453</v>
      </c>
      <c r="C207" s="44">
        <f t="shared" si="139"/>
        <v>-3333500.7100000009</v>
      </c>
      <c r="D207" s="45">
        <v>71150.81</v>
      </c>
      <c r="E207" s="45"/>
      <c r="F207" s="45"/>
      <c r="G207" s="45">
        <f t="shared" si="113"/>
        <v>-3262349.9000000008</v>
      </c>
      <c r="H207" s="44">
        <v>4300000</v>
      </c>
      <c r="I207" s="46">
        <f t="shared" si="140"/>
        <v>-2846118.2700000005</v>
      </c>
      <c r="J207" s="47"/>
      <c r="K207" s="47"/>
      <c r="L207" s="47">
        <v>-7455.9299999997602</v>
      </c>
      <c r="M207" s="47">
        <f t="shared" si="141"/>
        <v>-2853574.2</v>
      </c>
      <c r="N207" s="46">
        <v>4000000</v>
      </c>
      <c r="O207" s="48">
        <f t="shared" si="142"/>
        <v>2209.4800000000214</v>
      </c>
      <c r="P207" s="55">
        <v>107.53</v>
      </c>
      <c r="Q207" s="55"/>
      <c r="R207" s="55"/>
      <c r="S207" s="55">
        <f t="shared" si="143"/>
        <v>2317.0100000000216</v>
      </c>
      <c r="T207" s="48"/>
      <c r="U207" s="49">
        <f t="shared" si="144"/>
        <v>88.750000000026191</v>
      </c>
      <c r="V207" s="51"/>
      <c r="W207" s="51"/>
      <c r="X207" s="51"/>
      <c r="Y207" s="51">
        <f t="shared" si="145"/>
        <v>88.750000000026191</v>
      </c>
      <c r="Z207" s="52"/>
      <c r="AA207" s="53">
        <f t="shared" si="146"/>
        <v>94.119999999995343</v>
      </c>
      <c r="AB207" s="54"/>
      <c r="AC207" s="54"/>
      <c r="AD207" s="54"/>
      <c r="AE207" s="54">
        <f t="shared" si="147"/>
        <v>94.119999999995343</v>
      </c>
      <c r="AF207" s="53"/>
      <c r="AG207" s="53">
        <f t="shared" si="126"/>
        <v>82.189999999995052</v>
      </c>
      <c r="AH207" s="54"/>
      <c r="AI207" s="54"/>
      <c r="AJ207" s="54"/>
      <c r="AK207" s="54">
        <f t="shared" si="148"/>
        <v>82.189999999995052</v>
      </c>
      <c r="AL207" s="53"/>
      <c r="AM207" s="53">
        <f t="shared" si="128"/>
        <v>0</v>
      </c>
      <c r="AN207" s="54"/>
      <c r="AO207" s="54"/>
      <c r="AP207" s="54"/>
      <c r="AQ207" s="54">
        <f t="shared" si="129"/>
        <v>0</v>
      </c>
      <c r="AR207" s="53"/>
      <c r="AS207" s="50">
        <f t="shared" si="131"/>
        <v>-6177226.6300000008</v>
      </c>
      <c r="AT207" s="50">
        <f t="shared" si="132"/>
        <v>71258.34</v>
      </c>
      <c r="AU207" s="50">
        <f t="shared" si="133"/>
        <v>0</v>
      </c>
      <c r="AV207" s="50">
        <f t="shared" si="134"/>
        <v>-7455.9299999997602</v>
      </c>
      <c r="AW207" s="50"/>
      <c r="AX207" s="50">
        <f t="shared" si="135"/>
        <v>-6113342.0300000012</v>
      </c>
      <c r="AY207" s="50">
        <f t="shared" si="136"/>
        <v>8300000</v>
      </c>
      <c r="AZ207" s="50">
        <f t="shared" si="137"/>
        <v>2186657.9699999988</v>
      </c>
    </row>
    <row r="208" spans="2:53" ht="13.5" customHeight="1" x14ac:dyDescent="0.3">
      <c r="B208" s="99">
        <f t="shared" ref="B208:B209" si="153">B207+1</f>
        <v>44454</v>
      </c>
      <c r="C208" s="44">
        <f t="shared" si="139"/>
        <v>-3262349.9000000008</v>
      </c>
      <c r="D208" s="45"/>
      <c r="E208" s="45"/>
      <c r="F208" s="45">
        <v>-23677.18</v>
      </c>
      <c r="G208" s="45">
        <f t="shared" si="113"/>
        <v>-3286027.080000001</v>
      </c>
      <c r="H208" s="44">
        <v>4300000</v>
      </c>
      <c r="I208" s="46">
        <f t="shared" si="140"/>
        <v>-2853574.2</v>
      </c>
      <c r="J208" s="47">
        <v>426978.05</v>
      </c>
      <c r="K208" s="47"/>
      <c r="L208" s="47">
        <v>-612447.14</v>
      </c>
      <c r="M208" s="47">
        <f t="shared" si="141"/>
        <v>-3039043.2900000005</v>
      </c>
      <c r="N208" s="46">
        <v>4000000</v>
      </c>
      <c r="O208" s="48">
        <f t="shared" si="142"/>
        <v>2317.0100000000216</v>
      </c>
      <c r="P208" s="55"/>
      <c r="Q208" s="55"/>
      <c r="R208" s="55">
        <v>-800.01</v>
      </c>
      <c r="S208" s="55">
        <f t="shared" si="143"/>
        <v>1517.0000000000216</v>
      </c>
      <c r="T208" s="48"/>
      <c r="U208" s="49">
        <f t="shared" si="144"/>
        <v>88.750000000026191</v>
      </c>
      <c r="V208" s="51"/>
      <c r="W208" s="51"/>
      <c r="X208" s="51"/>
      <c r="Y208" s="51">
        <f t="shared" si="145"/>
        <v>88.750000000026191</v>
      </c>
      <c r="Z208" s="52"/>
      <c r="AA208" s="53">
        <f t="shared" si="146"/>
        <v>94.119999999995343</v>
      </c>
      <c r="AB208" s="54"/>
      <c r="AC208" s="54"/>
      <c r="AD208" s="54"/>
      <c r="AE208" s="54">
        <f t="shared" si="147"/>
        <v>94.119999999995343</v>
      </c>
      <c r="AF208" s="53"/>
      <c r="AG208" s="53">
        <f t="shared" si="126"/>
        <v>82.189999999995052</v>
      </c>
      <c r="AH208" s="54"/>
      <c r="AI208" s="54"/>
      <c r="AJ208" s="54"/>
      <c r="AK208" s="54">
        <f t="shared" si="148"/>
        <v>82.189999999995052</v>
      </c>
      <c r="AL208" s="53"/>
      <c r="AM208" s="53">
        <f t="shared" si="128"/>
        <v>0</v>
      </c>
      <c r="AN208" s="54"/>
      <c r="AO208" s="54"/>
      <c r="AP208" s="54"/>
      <c r="AQ208" s="54">
        <f t="shared" si="129"/>
        <v>0</v>
      </c>
      <c r="AR208" s="53"/>
      <c r="AS208" s="50">
        <f t="shared" si="131"/>
        <v>-6113424.2200000016</v>
      </c>
      <c r="AT208" s="50">
        <f t="shared" si="132"/>
        <v>426978.05</v>
      </c>
      <c r="AU208" s="50">
        <f t="shared" si="133"/>
        <v>0</v>
      </c>
      <c r="AV208" s="50">
        <f t="shared" si="134"/>
        <v>-636924.33000000007</v>
      </c>
      <c r="AW208" s="50"/>
      <c r="AX208" s="50">
        <f t="shared" si="135"/>
        <v>-6323288.3100000005</v>
      </c>
      <c r="AY208" s="50">
        <f t="shared" si="136"/>
        <v>8300000</v>
      </c>
      <c r="AZ208" s="50">
        <f t="shared" si="137"/>
        <v>1976711.6899999995</v>
      </c>
    </row>
    <row r="209" spans="2:55" ht="13.5" customHeight="1" x14ac:dyDescent="0.3">
      <c r="B209" s="99">
        <f t="shared" si="153"/>
        <v>44455</v>
      </c>
      <c r="C209" s="44">
        <f t="shared" si="139"/>
        <v>-3286027.080000001</v>
      </c>
      <c r="D209" s="45"/>
      <c r="E209" s="45"/>
      <c r="F209" s="45">
        <v>-735</v>
      </c>
      <c r="G209" s="45">
        <f t="shared" si="113"/>
        <v>-3286762.080000001</v>
      </c>
      <c r="H209" s="44">
        <v>4300000</v>
      </c>
      <c r="I209" s="46">
        <f t="shared" si="140"/>
        <v>-3039043.2900000005</v>
      </c>
      <c r="J209" s="47">
        <v>250638.96</v>
      </c>
      <c r="K209" s="47"/>
      <c r="L209" s="47">
        <v>-37257.119999999602</v>
      </c>
      <c r="M209" s="47">
        <f t="shared" si="141"/>
        <v>-2825661.45</v>
      </c>
      <c r="N209" s="46">
        <v>4000000</v>
      </c>
      <c r="O209" s="48">
        <f t="shared" si="142"/>
        <v>1517.0000000000216</v>
      </c>
      <c r="P209" s="55">
        <v>30995.22</v>
      </c>
      <c r="Q209" s="55"/>
      <c r="R209" s="55"/>
      <c r="S209" s="55">
        <f t="shared" si="143"/>
        <v>32512.220000000023</v>
      </c>
      <c r="T209" s="48"/>
      <c r="U209" s="49">
        <f t="shared" si="144"/>
        <v>88.750000000026191</v>
      </c>
      <c r="V209" s="51"/>
      <c r="W209" s="51"/>
      <c r="X209" s="51"/>
      <c r="Y209" s="51">
        <f t="shared" si="145"/>
        <v>88.750000000026191</v>
      </c>
      <c r="Z209" s="52"/>
      <c r="AA209" s="53">
        <f t="shared" si="146"/>
        <v>94.119999999995343</v>
      </c>
      <c r="AB209" s="54"/>
      <c r="AC209" s="54"/>
      <c r="AD209" s="54"/>
      <c r="AE209" s="54">
        <f t="shared" si="147"/>
        <v>94.119999999995343</v>
      </c>
      <c r="AF209" s="53"/>
      <c r="AG209" s="53">
        <f t="shared" si="126"/>
        <v>82.189999999995052</v>
      </c>
      <c r="AH209" s="54"/>
      <c r="AI209" s="54"/>
      <c r="AJ209" s="54"/>
      <c r="AK209" s="54">
        <f t="shared" si="148"/>
        <v>82.189999999995052</v>
      </c>
      <c r="AL209" s="53"/>
      <c r="AM209" s="53">
        <f t="shared" si="128"/>
        <v>0</v>
      </c>
      <c r="AN209" s="54"/>
      <c r="AO209" s="54"/>
      <c r="AP209" s="54"/>
      <c r="AQ209" s="54">
        <f t="shared" si="129"/>
        <v>0</v>
      </c>
      <c r="AR209" s="53"/>
      <c r="AS209" s="50">
        <f t="shared" si="131"/>
        <v>-6323370.5000000009</v>
      </c>
      <c r="AT209" s="50">
        <f t="shared" si="132"/>
        <v>281634.18</v>
      </c>
      <c r="AU209" s="50">
        <f t="shared" si="133"/>
        <v>0</v>
      </c>
      <c r="AV209" s="50">
        <f t="shared" si="134"/>
        <v>-37992.119999999602</v>
      </c>
      <c r="AW209" s="50"/>
      <c r="AX209" s="50">
        <f t="shared" si="135"/>
        <v>-6079646.2500000009</v>
      </c>
      <c r="AY209" s="50">
        <f t="shared" si="136"/>
        <v>8300000</v>
      </c>
      <c r="AZ209" s="50">
        <f t="shared" si="137"/>
        <v>2220353.7499999991</v>
      </c>
    </row>
    <row r="210" spans="2:55" s="58" customFormat="1" ht="13.5" customHeight="1" x14ac:dyDescent="0.3">
      <c r="B210" s="99">
        <f>B209+1</f>
        <v>44456</v>
      </c>
      <c r="C210" s="44">
        <f t="shared" si="139"/>
        <v>-3286762.080000001</v>
      </c>
      <c r="D210" s="45"/>
      <c r="E210" s="45"/>
      <c r="F210" s="45"/>
      <c r="G210" s="45">
        <f t="shared" si="113"/>
        <v>-3286762.080000001</v>
      </c>
      <c r="H210" s="44">
        <v>4300000</v>
      </c>
      <c r="I210" s="46">
        <f t="shared" si="140"/>
        <v>-2825661.45</v>
      </c>
      <c r="J210" s="47">
        <f>240197.04+83007.65</f>
        <v>323204.69</v>
      </c>
      <c r="K210" s="47"/>
      <c r="L210" s="47">
        <f>-12635.71-5790-2830.9</f>
        <v>-21256.61</v>
      </c>
      <c r="M210" s="47">
        <f t="shared" si="141"/>
        <v>-2523713.37</v>
      </c>
      <c r="N210" s="46">
        <v>4000000</v>
      </c>
      <c r="O210" s="48">
        <f t="shared" si="142"/>
        <v>32512.220000000023</v>
      </c>
      <c r="P210" s="55">
        <f>185.75+297.92</f>
        <v>483.67</v>
      </c>
      <c r="Q210" s="55"/>
      <c r="R210" s="55"/>
      <c r="S210" s="55">
        <f t="shared" si="143"/>
        <v>32995.890000000021</v>
      </c>
      <c r="T210" s="48"/>
      <c r="U210" s="49">
        <f t="shared" si="144"/>
        <v>88.750000000026191</v>
      </c>
      <c r="V210" s="51"/>
      <c r="W210" s="51"/>
      <c r="X210" s="51"/>
      <c r="Y210" s="51">
        <f t="shared" si="145"/>
        <v>88.750000000026191</v>
      </c>
      <c r="Z210" s="52"/>
      <c r="AA210" s="53">
        <f t="shared" si="146"/>
        <v>94.119999999995343</v>
      </c>
      <c r="AB210" s="54"/>
      <c r="AC210" s="54"/>
      <c r="AD210" s="54"/>
      <c r="AE210" s="54">
        <f t="shared" si="147"/>
        <v>94.119999999995343</v>
      </c>
      <c r="AF210" s="53"/>
      <c r="AG210" s="53">
        <f t="shared" si="126"/>
        <v>82.189999999995052</v>
      </c>
      <c r="AH210" s="54"/>
      <c r="AI210" s="54"/>
      <c r="AJ210" s="54"/>
      <c r="AK210" s="54">
        <f t="shared" si="148"/>
        <v>82.189999999995052</v>
      </c>
      <c r="AL210" s="53"/>
      <c r="AM210" s="53">
        <f t="shared" si="128"/>
        <v>0</v>
      </c>
      <c r="AN210" s="54"/>
      <c r="AO210" s="54"/>
      <c r="AP210" s="54"/>
      <c r="AQ210" s="54">
        <f t="shared" si="129"/>
        <v>0</v>
      </c>
      <c r="AR210" s="53"/>
      <c r="AS210" s="50">
        <f t="shared" si="131"/>
        <v>-6079728.4400000013</v>
      </c>
      <c r="AT210" s="50">
        <f t="shared" si="132"/>
        <v>323688.36</v>
      </c>
      <c r="AU210" s="50">
        <f t="shared" si="133"/>
        <v>0</v>
      </c>
      <c r="AV210" s="50">
        <f t="shared" si="134"/>
        <v>-21256.61</v>
      </c>
      <c r="AW210" s="50"/>
      <c r="AX210" s="50">
        <f t="shared" si="135"/>
        <v>-5777214.5000000009</v>
      </c>
      <c r="AY210" s="50">
        <f t="shared" si="136"/>
        <v>8300000</v>
      </c>
      <c r="AZ210" s="50">
        <f t="shared" si="137"/>
        <v>2522785.4999999991</v>
      </c>
    </row>
    <row r="211" spans="2:55" x14ac:dyDescent="0.3">
      <c r="B211" s="99">
        <f>B210+3</f>
        <v>44459</v>
      </c>
      <c r="C211" s="44">
        <f t="shared" si="139"/>
        <v>-3286762.080000001</v>
      </c>
      <c r="D211" s="45">
        <f>5163.63+84612.28</f>
        <v>89775.91</v>
      </c>
      <c r="E211" s="45"/>
      <c r="F211" s="45">
        <v>-722756.72</v>
      </c>
      <c r="G211" s="45">
        <f t="shared" si="113"/>
        <v>-3919742.8900000006</v>
      </c>
      <c r="H211" s="44">
        <v>4300000</v>
      </c>
      <c r="I211" s="46">
        <f t="shared" si="140"/>
        <v>-2523713.37</v>
      </c>
      <c r="J211" s="47">
        <v>374362.63</v>
      </c>
      <c r="K211" s="47"/>
      <c r="L211" s="47">
        <v>-364808.45999999996</v>
      </c>
      <c r="M211" s="47">
        <f t="shared" si="141"/>
        <v>-2514159.2000000002</v>
      </c>
      <c r="N211" s="46">
        <v>4000000</v>
      </c>
      <c r="O211" s="48">
        <f t="shared" si="142"/>
        <v>32995.890000000021</v>
      </c>
      <c r="P211" s="55"/>
      <c r="Q211" s="55"/>
      <c r="R211" s="55">
        <v>-967.69</v>
      </c>
      <c r="S211" s="55">
        <f t="shared" si="143"/>
        <v>32028.200000000023</v>
      </c>
      <c r="T211" s="48"/>
      <c r="U211" s="49">
        <f t="shared" si="144"/>
        <v>88.750000000026191</v>
      </c>
      <c r="V211" s="51"/>
      <c r="W211" s="51"/>
      <c r="X211" s="51"/>
      <c r="Y211" s="51">
        <f t="shared" si="145"/>
        <v>88.750000000026191</v>
      </c>
      <c r="Z211" s="52"/>
      <c r="AA211" s="53">
        <f t="shared" si="146"/>
        <v>94.119999999995343</v>
      </c>
      <c r="AB211" s="54"/>
      <c r="AC211" s="54"/>
      <c r="AD211" s="54"/>
      <c r="AE211" s="54">
        <f t="shared" si="147"/>
        <v>94.119999999995343</v>
      </c>
      <c r="AF211" s="53"/>
      <c r="AG211" s="53">
        <f t="shared" si="126"/>
        <v>82.189999999995052</v>
      </c>
      <c r="AH211" s="54"/>
      <c r="AI211" s="54"/>
      <c r="AJ211" s="54"/>
      <c r="AK211" s="54">
        <f t="shared" si="148"/>
        <v>82.189999999995052</v>
      </c>
      <c r="AL211" s="53"/>
      <c r="AM211" s="53">
        <f t="shared" si="128"/>
        <v>0</v>
      </c>
      <c r="AN211" s="54"/>
      <c r="AO211" s="54"/>
      <c r="AP211" s="54"/>
      <c r="AQ211" s="54">
        <f t="shared" si="129"/>
        <v>0</v>
      </c>
      <c r="AR211" s="53"/>
      <c r="AS211" s="50">
        <f t="shared" si="131"/>
        <v>-5777296.6900000013</v>
      </c>
      <c r="AT211" s="50">
        <f t="shared" si="132"/>
        <v>464138.54000000004</v>
      </c>
      <c r="AU211" s="50">
        <f t="shared" si="133"/>
        <v>0</v>
      </c>
      <c r="AV211" s="50">
        <f t="shared" si="134"/>
        <v>-1088532.8699999999</v>
      </c>
      <c r="AW211" s="50"/>
      <c r="AX211" s="50">
        <f t="shared" si="135"/>
        <v>-6401608.8300000001</v>
      </c>
      <c r="AY211" s="50">
        <f t="shared" si="136"/>
        <v>8300000</v>
      </c>
      <c r="AZ211" s="50">
        <f t="shared" si="137"/>
        <v>1898391.17</v>
      </c>
    </row>
    <row r="212" spans="2:55" x14ac:dyDescent="0.3">
      <c r="B212" s="99">
        <f>B211+1</f>
        <v>44460</v>
      </c>
      <c r="C212" s="44">
        <f t="shared" si="139"/>
        <v>-3919742.8900000006</v>
      </c>
      <c r="D212" s="45"/>
      <c r="E212" s="45"/>
      <c r="F212" s="45">
        <v>-156167.6</v>
      </c>
      <c r="G212" s="45">
        <f t="shared" si="113"/>
        <v>-4075910.4900000007</v>
      </c>
      <c r="H212" s="44">
        <v>4300000</v>
      </c>
      <c r="I212" s="46">
        <f t="shared" si="140"/>
        <v>-2514159.2000000002</v>
      </c>
      <c r="J212" s="47"/>
      <c r="K212" s="47"/>
      <c r="L212" s="47">
        <v>-4683.29</v>
      </c>
      <c r="M212" s="47">
        <f t="shared" si="141"/>
        <v>-2518842.4900000002</v>
      </c>
      <c r="N212" s="46">
        <v>4000000</v>
      </c>
      <c r="O212" s="48">
        <f t="shared" si="142"/>
        <v>32028.200000000023</v>
      </c>
      <c r="P212" s="55"/>
      <c r="Q212" s="55"/>
      <c r="R212" s="55"/>
      <c r="S212" s="55">
        <f t="shared" si="143"/>
        <v>32028.200000000023</v>
      </c>
      <c r="T212" s="48"/>
      <c r="U212" s="49">
        <f t="shared" si="144"/>
        <v>88.750000000026191</v>
      </c>
      <c r="V212" s="51">
        <v>153433.49</v>
      </c>
      <c r="W212" s="51"/>
      <c r="X212" s="51"/>
      <c r="Y212" s="51">
        <f t="shared" si="145"/>
        <v>153522.24000000002</v>
      </c>
      <c r="Z212" s="52"/>
      <c r="AA212" s="53">
        <f t="shared" si="146"/>
        <v>94.119999999995343</v>
      </c>
      <c r="AB212" s="54"/>
      <c r="AC212" s="54"/>
      <c r="AD212" s="54"/>
      <c r="AE212" s="54">
        <f t="shared" si="147"/>
        <v>94.119999999995343</v>
      </c>
      <c r="AF212" s="53"/>
      <c r="AG212" s="53">
        <f t="shared" si="126"/>
        <v>82.189999999995052</v>
      </c>
      <c r="AH212" s="54"/>
      <c r="AI212" s="54"/>
      <c r="AJ212" s="54"/>
      <c r="AK212" s="54">
        <f t="shared" si="148"/>
        <v>82.189999999995052</v>
      </c>
      <c r="AL212" s="53"/>
      <c r="AM212" s="53">
        <f t="shared" si="128"/>
        <v>0</v>
      </c>
      <c r="AN212" s="54"/>
      <c r="AO212" s="54"/>
      <c r="AP212" s="54"/>
      <c r="AQ212" s="54">
        <f t="shared" si="129"/>
        <v>0</v>
      </c>
      <c r="AR212" s="53"/>
      <c r="AS212" s="50">
        <f t="shared" si="131"/>
        <v>-6401691.0200000005</v>
      </c>
      <c r="AT212" s="50">
        <f t="shared" si="132"/>
        <v>153433.49</v>
      </c>
      <c r="AU212" s="50">
        <f t="shared" si="133"/>
        <v>0</v>
      </c>
      <c r="AV212" s="50">
        <f t="shared" si="134"/>
        <v>-160850.89000000001</v>
      </c>
      <c r="AW212" s="50"/>
      <c r="AX212" s="50">
        <f t="shared" si="135"/>
        <v>-6409026.2299999995</v>
      </c>
      <c r="AY212" s="50">
        <f t="shared" si="136"/>
        <v>8300000</v>
      </c>
      <c r="AZ212" s="50">
        <f t="shared" si="137"/>
        <v>1890973.7700000005</v>
      </c>
    </row>
    <row r="213" spans="2:55" x14ac:dyDescent="0.3">
      <c r="B213" s="99">
        <f t="shared" ref="B213:B214" si="154">B212+1</f>
        <v>44461</v>
      </c>
      <c r="C213" s="44">
        <f t="shared" si="139"/>
        <v>-4075910.4900000007</v>
      </c>
      <c r="D213" s="45">
        <v>323188.87</v>
      </c>
      <c r="E213" s="45"/>
      <c r="F213" s="45">
        <v>-39961.61</v>
      </c>
      <c r="G213" s="45">
        <f t="shared" ref="G213:G276" si="155">SUM(C213:F213)</f>
        <v>-3792683.2300000004</v>
      </c>
      <c r="H213" s="44">
        <v>4300000</v>
      </c>
      <c r="I213" s="46">
        <f t="shared" si="140"/>
        <v>-2518842.4900000002</v>
      </c>
      <c r="J213" s="47">
        <v>112678.39999999999</v>
      </c>
      <c r="K213" s="47"/>
      <c r="L213" s="47">
        <v>-21741.18</v>
      </c>
      <c r="M213" s="47">
        <f t="shared" si="141"/>
        <v>-2427905.2700000005</v>
      </c>
      <c r="N213" s="46">
        <v>4000000</v>
      </c>
      <c r="O213" s="48">
        <f t="shared" si="142"/>
        <v>32028.200000000023</v>
      </c>
      <c r="P213" s="55">
        <f>111916.12*2</f>
        <v>223832.24</v>
      </c>
      <c r="Q213" s="55">
        <v>153500</v>
      </c>
      <c r="R213" s="55"/>
      <c r="S213" s="55">
        <f t="shared" si="143"/>
        <v>409360.44</v>
      </c>
      <c r="T213" s="48"/>
      <c r="U213" s="49">
        <f t="shared" si="144"/>
        <v>153522.24000000002</v>
      </c>
      <c r="V213" s="51"/>
      <c r="W213" s="51">
        <v>-153500</v>
      </c>
      <c r="X213" s="51">
        <v>-1.2</v>
      </c>
      <c r="Y213" s="51">
        <f t="shared" si="145"/>
        <v>21.040000000019791</v>
      </c>
      <c r="Z213" s="52"/>
      <c r="AA213" s="53">
        <f t="shared" si="146"/>
        <v>94.119999999995343</v>
      </c>
      <c r="AB213" s="54"/>
      <c r="AC213" s="54"/>
      <c r="AD213" s="54"/>
      <c r="AE213" s="54">
        <f t="shared" si="147"/>
        <v>94.119999999995343</v>
      </c>
      <c r="AF213" s="53"/>
      <c r="AG213" s="53">
        <f t="shared" si="126"/>
        <v>82.189999999995052</v>
      </c>
      <c r="AH213" s="54"/>
      <c r="AI213" s="54"/>
      <c r="AJ213" s="54"/>
      <c r="AK213" s="54">
        <f t="shared" si="148"/>
        <v>82.189999999995052</v>
      </c>
      <c r="AL213" s="53"/>
      <c r="AM213" s="53">
        <f t="shared" si="128"/>
        <v>0</v>
      </c>
      <c r="AN213" s="54"/>
      <c r="AO213" s="54"/>
      <c r="AP213" s="54"/>
      <c r="AQ213" s="54">
        <f t="shared" si="129"/>
        <v>0</v>
      </c>
      <c r="AR213" s="53"/>
      <c r="AS213" s="50">
        <f t="shared" si="131"/>
        <v>-6409108.4199999999</v>
      </c>
      <c r="AT213" s="50">
        <f t="shared" si="132"/>
        <v>659699.51</v>
      </c>
      <c r="AU213" s="50">
        <f t="shared" si="133"/>
        <v>0</v>
      </c>
      <c r="AV213" s="50">
        <f t="shared" si="134"/>
        <v>-61703.99</v>
      </c>
      <c r="AW213" s="50"/>
      <c r="AX213" s="50">
        <f t="shared" si="135"/>
        <v>-5811030.71</v>
      </c>
      <c r="AY213" s="50">
        <f t="shared" si="136"/>
        <v>8300000</v>
      </c>
      <c r="AZ213" s="50">
        <f t="shared" si="137"/>
        <v>2488969.29</v>
      </c>
    </row>
    <row r="214" spans="2:55" x14ac:dyDescent="0.3">
      <c r="B214" s="99">
        <f t="shared" si="154"/>
        <v>44462</v>
      </c>
      <c r="C214" s="44">
        <f t="shared" si="139"/>
        <v>-3792683.2300000004</v>
      </c>
      <c r="D214" s="45"/>
      <c r="E214" s="45">
        <v>400000</v>
      </c>
      <c r="F214" s="45">
        <v>-39651.620000000003</v>
      </c>
      <c r="G214" s="45">
        <f t="shared" si="155"/>
        <v>-3432334.8500000006</v>
      </c>
      <c r="H214" s="44">
        <v>4300000</v>
      </c>
      <c r="I214" s="46">
        <f t="shared" si="140"/>
        <v>-2427905.2700000005</v>
      </c>
      <c r="J214" s="47">
        <f>2985403.5+168875</f>
        <v>3154278.5</v>
      </c>
      <c r="K214" s="47"/>
      <c r="L214" s="47">
        <v>-79250.429999999498</v>
      </c>
      <c r="M214" s="47">
        <f t="shared" si="141"/>
        <v>647122.80000000005</v>
      </c>
      <c r="N214" s="46">
        <v>4000000</v>
      </c>
      <c r="O214" s="48">
        <f t="shared" si="142"/>
        <v>409360.44</v>
      </c>
      <c r="P214" s="55"/>
      <c r="Q214" s="55">
        <v>-400000</v>
      </c>
      <c r="R214" s="55">
        <v>-10</v>
      </c>
      <c r="S214" s="55">
        <f t="shared" si="143"/>
        <v>9350.4400000000023</v>
      </c>
      <c r="T214" s="48"/>
      <c r="U214" s="49">
        <f t="shared" si="144"/>
        <v>21.040000000019791</v>
      </c>
      <c r="V214" s="51"/>
      <c r="W214" s="51"/>
      <c r="X214" s="51"/>
      <c r="Y214" s="51">
        <f t="shared" si="145"/>
        <v>21.040000000019791</v>
      </c>
      <c r="Z214" s="52"/>
      <c r="AA214" s="53">
        <f t="shared" si="146"/>
        <v>94.119999999995343</v>
      </c>
      <c r="AB214" s="54"/>
      <c r="AC214" s="54"/>
      <c r="AD214" s="54"/>
      <c r="AE214" s="54">
        <f t="shared" si="147"/>
        <v>94.119999999995343</v>
      </c>
      <c r="AF214" s="53"/>
      <c r="AG214" s="53">
        <f t="shared" si="126"/>
        <v>82.189999999995052</v>
      </c>
      <c r="AH214" s="54"/>
      <c r="AI214" s="54"/>
      <c r="AJ214" s="54"/>
      <c r="AK214" s="54">
        <f t="shared" si="148"/>
        <v>82.189999999995052</v>
      </c>
      <c r="AL214" s="53"/>
      <c r="AM214" s="53">
        <f t="shared" si="128"/>
        <v>0</v>
      </c>
      <c r="AN214" s="54"/>
      <c r="AO214" s="54"/>
      <c r="AP214" s="54"/>
      <c r="AQ214" s="54">
        <f t="shared" si="129"/>
        <v>0</v>
      </c>
      <c r="AR214" s="53"/>
      <c r="AS214" s="50">
        <f t="shared" ref="AS214:AS245" si="156">SUM(C214,I214,O214,U214,AA214,)</f>
        <v>-5811112.9000000004</v>
      </c>
      <c r="AT214" s="50">
        <f t="shared" ref="AT214:AT231" si="157">SUM(D214,J214,P214,V214,AB214,AH214)</f>
        <v>3154278.5</v>
      </c>
      <c r="AU214" s="50">
        <f t="shared" ref="AU214:AU231" si="158">SUM(E214,K214,Q214,W214,AC214,AI214)</f>
        <v>0</v>
      </c>
      <c r="AV214" s="50">
        <f t="shared" ref="AV214:AV231" si="159">SUM(F214,L214,R214,X214,AD214,AJ214)</f>
        <v>-118912.04999999949</v>
      </c>
      <c r="AW214" s="50"/>
      <c r="AX214" s="50">
        <f t="shared" si="135"/>
        <v>-2775664.2600000007</v>
      </c>
      <c r="AY214" s="50">
        <f t="shared" si="136"/>
        <v>8300000</v>
      </c>
      <c r="AZ214" s="50">
        <f t="shared" si="137"/>
        <v>5524335.7399999993</v>
      </c>
    </row>
    <row r="215" spans="2:55" x14ac:dyDescent="0.3">
      <c r="B215" s="99">
        <f>B214+1</f>
        <v>44463</v>
      </c>
      <c r="C215" s="44">
        <f t="shared" si="139"/>
        <v>-3432334.8500000006</v>
      </c>
      <c r="D215" s="45"/>
      <c r="E215" s="45">
        <v>640000</v>
      </c>
      <c r="F215" s="45"/>
      <c r="G215" s="45">
        <f t="shared" si="155"/>
        <v>-2792334.8500000006</v>
      </c>
      <c r="H215" s="44">
        <v>4300000</v>
      </c>
      <c r="I215" s="46">
        <f t="shared" si="140"/>
        <v>647122.80000000005</v>
      </c>
      <c r="J215" s="47">
        <f>53030.96+47782.17+3.04</f>
        <v>100816.17</v>
      </c>
      <c r="K215" s="47">
        <f>-640000+0.21</f>
        <v>-639999.79</v>
      </c>
      <c r="L215" s="47">
        <v>-6859.4000000000797</v>
      </c>
      <c r="M215" s="47">
        <f t="shared" si="141"/>
        <v>101079.77999999997</v>
      </c>
      <c r="N215" s="46">
        <v>4000000</v>
      </c>
      <c r="O215" s="48">
        <f t="shared" si="142"/>
        <v>9350.4400000000023</v>
      </c>
      <c r="P215" s="55">
        <v>61.44</v>
      </c>
      <c r="Q215" s="55"/>
      <c r="R215" s="55">
        <v>-597.24</v>
      </c>
      <c r="S215" s="55">
        <f t="shared" si="143"/>
        <v>8814.6400000000031</v>
      </c>
      <c r="T215" s="48"/>
      <c r="U215" s="49">
        <f t="shared" si="144"/>
        <v>21.040000000019791</v>
      </c>
      <c r="V215" s="51"/>
      <c r="W215" s="51"/>
      <c r="X215" s="51"/>
      <c r="Y215" s="51">
        <f t="shared" si="145"/>
        <v>21.040000000019791</v>
      </c>
      <c r="Z215" s="52"/>
      <c r="AA215" s="53">
        <f t="shared" si="146"/>
        <v>94.119999999995343</v>
      </c>
      <c r="AB215" s="54"/>
      <c r="AC215" s="54"/>
      <c r="AD215" s="54"/>
      <c r="AE215" s="54">
        <f t="shared" si="147"/>
        <v>94.119999999995343</v>
      </c>
      <c r="AF215" s="53"/>
      <c r="AG215" s="53">
        <f t="shared" si="126"/>
        <v>82.189999999995052</v>
      </c>
      <c r="AH215" s="54"/>
      <c r="AI215" s="54"/>
      <c r="AJ215" s="54"/>
      <c r="AK215" s="54">
        <f t="shared" si="148"/>
        <v>82.189999999995052</v>
      </c>
      <c r="AL215" s="53"/>
      <c r="AM215" s="53">
        <f t="shared" si="128"/>
        <v>0</v>
      </c>
      <c r="AN215" s="54"/>
      <c r="AO215" s="54"/>
      <c r="AP215" s="54"/>
      <c r="AQ215" s="54">
        <f t="shared" si="129"/>
        <v>0</v>
      </c>
      <c r="AR215" s="53"/>
      <c r="AS215" s="50">
        <f t="shared" si="156"/>
        <v>-2775746.4500000007</v>
      </c>
      <c r="AT215" s="50">
        <f t="shared" si="157"/>
        <v>100877.61</v>
      </c>
      <c r="AU215" s="50">
        <f t="shared" si="158"/>
        <v>0.2099999999627471</v>
      </c>
      <c r="AV215" s="50">
        <f t="shared" si="159"/>
        <v>-7456.6400000000795</v>
      </c>
      <c r="AW215" s="50"/>
      <c r="AX215" s="50">
        <f t="shared" si="135"/>
        <v>-2682243.0800000005</v>
      </c>
      <c r="AY215" s="50">
        <f t="shared" si="136"/>
        <v>8300000</v>
      </c>
      <c r="AZ215" s="50">
        <f t="shared" si="137"/>
        <v>5617756.9199999999</v>
      </c>
    </row>
    <row r="216" spans="2:55" x14ac:dyDescent="0.3">
      <c r="B216" s="99">
        <f>B215+3</f>
        <v>44466</v>
      </c>
      <c r="C216" s="44">
        <f t="shared" si="139"/>
        <v>-2792334.8500000006</v>
      </c>
      <c r="D216" s="45">
        <v>50097.120000000003</v>
      </c>
      <c r="E216" s="45"/>
      <c r="F216" s="45">
        <v>-121147.84</v>
      </c>
      <c r="G216" s="45">
        <f t="shared" si="155"/>
        <v>-2863385.5700000003</v>
      </c>
      <c r="H216" s="44">
        <v>4300000</v>
      </c>
      <c r="I216" s="46">
        <f t="shared" si="140"/>
        <v>101079.77999999997</v>
      </c>
      <c r="J216" s="47">
        <f>107508.93+131301.42+305092.11+55839.73+20896.72</f>
        <v>620638.90999999992</v>
      </c>
      <c r="K216" s="47"/>
      <c r="L216" s="47">
        <v>-133537.71</v>
      </c>
      <c r="M216" s="47">
        <f t="shared" si="141"/>
        <v>588180.98</v>
      </c>
      <c r="N216" s="46">
        <v>4000000</v>
      </c>
      <c r="O216" s="48">
        <f t="shared" si="142"/>
        <v>8814.6400000000031</v>
      </c>
      <c r="P216" s="55"/>
      <c r="Q216" s="55"/>
      <c r="R216" s="55"/>
      <c r="S216" s="55">
        <f t="shared" si="143"/>
        <v>8814.6400000000031</v>
      </c>
      <c r="T216" s="48"/>
      <c r="U216" s="49">
        <f t="shared" si="144"/>
        <v>21.040000000019791</v>
      </c>
      <c r="V216" s="51"/>
      <c r="W216" s="51"/>
      <c r="X216" s="51"/>
      <c r="Y216" s="51">
        <f t="shared" si="145"/>
        <v>21.040000000019791</v>
      </c>
      <c r="Z216" s="52"/>
      <c r="AA216" s="53">
        <f t="shared" si="146"/>
        <v>94.119999999995343</v>
      </c>
      <c r="AB216" s="54"/>
      <c r="AC216" s="54"/>
      <c r="AD216" s="54"/>
      <c r="AE216" s="54">
        <f t="shared" si="147"/>
        <v>94.119999999995343</v>
      </c>
      <c r="AF216" s="53"/>
      <c r="AG216" s="53">
        <f t="shared" si="126"/>
        <v>82.189999999995052</v>
      </c>
      <c r="AH216" s="54"/>
      <c r="AI216" s="54"/>
      <c r="AJ216" s="54"/>
      <c r="AK216" s="54">
        <f t="shared" si="148"/>
        <v>82.189999999995052</v>
      </c>
      <c r="AL216" s="53"/>
      <c r="AM216" s="53">
        <f t="shared" si="128"/>
        <v>0</v>
      </c>
      <c r="AN216" s="54"/>
      <c r="AO216" s="54"/>
      <c r="AP216" s="54"/>
      <c r="AQ216" s="54">
        <f t="shared" si="129"/>
        <v>0</v>
      </c>
      <c r="AR216" s="53"/>
      <c r="AS216" s="50">
        <f t="shared" si="156"/>
        <v>-2682325.2700000005</v>
      </c>
      <c r="AT216" s="50">
        <f t="shared" si="157"/>
        <v>670736.02999999991</v>
      </c>
      <c r="AU216" s="50">
        <f t="shared" si="158"/>
        <v>0</v>
      </c>
      <c r="AV216" s="50">
        <f t="shared" si="159"/>
        <v>-254685.55</v>
      </c>
      <c r="AW216" s="50"/>
      <c r="AX216" s="50">
        <f t="shared" si="135"/>
        <v>-2266192.6</v>
      </c>
      <c r="AY216" s="50">
        <f t="shared" si="136"/>
        <v>8300000</v>
      </c>
      <c r="AZ216" s="50">
        <f t="shared" si="137"/>
        <v>6033807.4000000004</v>
      </c>
      <c r="BC216" s="15">
        <f>AX216</f>
        <v>-2266192.6</v>
      </c>
    </row>
    <row r="217" spans="2:55" x14ac:dyDescent="0.3">
      <c r="B217" s="99">
        <f>B216+1</f>
        <v>44467</v>
      </c>
      <c r="C217" s="44">
        <f t="shared" si="139"/>
        <v>-2863385.5700000003</v>
      </c>
      <c r="D217" s="45">
        <v>60908.65</v>
      </c>
      <c r="E217" s="45"/>
      <c r="F217" s="45">
        <v>-1097.5999999999999</v>
      </c>
      <c r="G217" s="45">
        <f t="shared" si="155"/>
        <v>-2803574.5200000005</v>
      </c>
      <c r="H217" s="44">
        <v>4300000</v>
      </c>
      <c r="I217" s="46">
        <f t="shared" si="140"/>
        <v>588180.98</v>
      </c>
      <c r="J217" s="47"/>
      <c r="K217" s="47"/>
      <c r="L217" s="47">
        <v>-552591.15</v>
      </c>
      <c r="M217" s="47">
        <f t="shared" si="141"/>
        <v>35589.829999999958</v>
      </c>
      <c r="N217" s="46">
        <v>4000000</v>
      </c>
      <c r="O217" s="48">
        <f t="shared" si="142"/>
        <v>8814.6400000000031</v>
      </c>
      <c r="P217" s="55"/>
      <c r="Q217" s="55"/>
      <c r="R217" s="55"/>
      <c r="S217" s="55">
        <f t="shared" si="143"/>
        <v>8814.6400000000031</v>
      </c>
      <c r="T217" s="48"/>
      <c r="U217" s="49">
        <f t="shared" si="144"/>
        <v>21.040000000019791</v>
      </c>
      <c r="V217" s="51"/>
      <c r="W217" s="51"/>
      <c r="X217" s="51"/>
      <c r="Y217" s="51">
        <f t="shared" si="145"/>
        <v>21.040000000019791</v>
      </c>
      <c r="Z217" s="52"/>
      <c r="AA217" s="53">
        <f t="shared" si="146"/>
        <v>94.119999999995343</v>
      </c>
      <c r="AB217" s="54"/>
      <c r="AC217" s="54"/>
      <c r="AD217" s="54"/>
      <c r="AE217" s="54">
        <f t="shared" si="147"/>
        <v>94.119999999995343</v>
      </c>
      <c r="AF217" s="53"/>
      <c r="AG217" s="53">
        <f t="shared" si="126"/>
        <v>82.189999999995052</v>
      </c>
      <c r="AH217" s="54"/>
      <c r="AI217" s="54"/>
      <c r="AJ217" s="54"/>
      <c r="AK217" s="54">
        <f t="shared" si="148"/>
        <v>82.189999999995052</v>
      </c>
      <c r="AL217" s="53"/>
      <c r="AM217" s="53">
        <f t="shared" si="128"/>
        <v>0</v>
      </c>
      <c r="AN217" s="54"/>
      <c r="AO217" s="54"/>
      <c r="AP217" s="54"/>
      <c r="AQ217" s="54">
        <f t="shared" si="129"/>
        <v>0</v>
      </c>
      <c r="AR217" s="53"/>
      <c r="AS217" s="50">
        <f t="shared" si="156"/>
        <v>-2266274.79</v>
      </c>
      <c r="AT217" s="50">
        <f t="shared" si="157"/>
        <v>60908.65</v>
      </c>
      <c r="AU217" s="50">
        <f t="shared" si="158"/>
        <v>0</v>
      </c>
      <c r="AV217" s="50">
        <f t="shared" si="159"/>
        <v>-553688.75</v>
      </c>
      <c r="AW217" s="50"/>
      <c r="AX217" s="50">
        <f t="shared" si="135"/>
        <v>-2758972.7</v>
      </c>
      <c r="AY217" s="50">
        <f t="shared" si="136"/>
        <v>8300000</v>
      </c>
      <c r="AZ217" s="50">
        <f t="shared" si="137"/>
        <v>5541027.2999999998</v>
      </c>
      <c r="BC217" s="15">
        <v>1731755.1754999999</v>
      </c>
    </row>
    <row r="218" spans="2:55" x14ac:dyDescent="0.3">
      <c r="B218" s="99">
        <f t="shared" ref="B218:B219" si="160">B217+1</f>
        <v>44468</v>
      </c>
      <c r="C218" s="44">
        <f t="shared" si="139"/>
        <v>-2803574.5200000005</v>
      </c>
      <c r="D218" s="45">
        <f>8690.26</f>
        <v>8690.26</v>
      </c>
      <c r="E218" s="45">
        <v>228800</v>
      </c>
      <c r="F218" s="45">
        <f>-(2243.05+2.16+12622)</f>
        <v>-14867.21</v>
      </c>
      <c r="G218" s="45">
        <f t="shared" si="155"/>
        <v>-2580951.4700000007</v>
      </c>
      <c r="H218" s="44">
        <v>4300000</v>
      </c>
      <c r="I218" s="46">
        <f t="shared" si="140"/>
        <v>35589.829999999958</v>
      </c>
      <c r="J218" s="47">
        <f>303395.61+971.62</f>
        <v>304367.23</v>
      </c>
      <c r="K218" s="47"/>
      <c r="L218" s="47">
        <v>-101488.91</v>
      </c>
      <c r="M218" s="47">
        <f t="shared" si="141"/>
        <v>238468.14999999994</v>
      </c>
      <c r="N218" s="46">
        <v>4000000</v>
      </c>
      <c r="O218" s="48">
        <f t="shared" si="142"/>
        <v>8814.6400000000031</v>
      </c>
      <c r="P218" s="55"/>
      <c r="Q218" s="55"/>
      <c r="R218" s="55"/>
      <c r="S218" s="55">
        <f t="shared" si="143"/>
        <v>8814.6400000000031</v>
      </c>
      <c r="T218" s="48"/>
      <c r="U218" s="49">
        <f t="shared" si="144"/>
        <v>21.040000000019791</v>
      </c>
      <c r="V218" s="51"/>
      <c r="W218" s="51"/>
      <c r="X218" s="51"/>
      <c r="Y218" s="51">
        <f t="shared" si="145"/>
        <v>21.040000000019791</v>
      </c>
      <c r="Z218" s="52"/>
      <c r="AA218" s="53">
        <f t="shared" si="146"/>
        <v>94.119999999995343</v>
      </c>
      <c r="AB218" s="54"/>
      <c r="AC218" s="54"/>
      <c r="AD218" s="54"/>
      <c r="AE218" s="54">
        <f t="shared" si="147"/>
        <v>94.119999999995343</v>
      </c>
      <c r="AF218" s="53"/>
      <c r="AG218" s="53">
        <f t="shared" si="126"/>
        <v>82.189999999995052</v>
      </c>
      <c r="AH218" s="54">
        <v>228799.02</v>
      </c>
      <c r="AI218" s="54">
        <v>-228800</v>
      </c>
      <c r="AJ218" s="54">
        <v>-56</v>
      </c>
      <c r="AK218" s="54">
        <f t="shared" si="148"/>
        <v>25.209999999991851</v>
      </c>
      <c r="AL218" s="53"/>
      <c r="AM218" s="53">
        <f t="shared" si="128"/>
        <v>0</v>
      </c>
      <c r="AN218" s="54"/>
      <c r="AO218" s="54"/>
      <c r="AP218" s="54"/>
      <c r="AQ218" s="54">
        <f t="shared" si="129"/>
        <v>0</v>
      </c>
      <c r="AR218" s="53"/>
      <c r="AS218" s="50">
        <f t="shared" si="156"/>
        <v>-2759054.89</v>
      </c>
      <c r="AT218" s="50">
        <f t="shared" si="157"/>
        <v>541856.51</v>
      </c>
      <c r="AU218" s="50">
        <f t="shared" si="158"/>
        <v>0</v>
      </c>
      <c r="AV218" s="50">
        <f t="shared" si="159"/>
        <v>-116412.12</v>
      </c>
      <c r="AW218" s="50"/>
      <c r="AX218" s="50">
        <f t="shared" si="135"/>
        <v>-2333528.3100000005</v>
      </c>
      <c r="AY218" s="50">
        <f t="shared" si="136"/>
        <v>8300000</v>
      </c>
      <c r="AZ218" s="50">
        <f t="shared" si="137"/>
        <v>5966471.6899999995</v>
      </c>
      <c r="BC218" s="15">
        <v>-556533.31999999995</v>
      </c>
    </row>
    <row r="219" spans="2:55" x14ac:dyDescent="0.3">
      <c r="B219" s="99">
        <f t="shared" si="160"/>
        <v>44469</v>
      </c>
      <c r="C219" s="44">
        <f t="shared" si="139"/>
        <v>-2580951.4700000007</v>
      </c>
      <c r="D219" s="45">
        <f>31270.82+2177.82+6215.19+36601.5</f>
        <v>76265.33</v>
      </c>
      <c r="E219" s="45">
        <v>930000</v>
      </c>
      <c r="F219" s="45">
        <v>-118204.359999999</v>
      </c>
      <c r="G219" s="45">
        <f t="shared" si="155"/>
        <v>-1692890.4999999995</v>
      </c>
      <c r="H219" s="44">
        <v>4300000</v>
      </c>
      <c r="I219" s="46">
        <f t="shared" si="140"/>
        <v>238468.14999999994</v>
      </c>
      <c r="J219" s="47">
        <v>456180.1</v>
      </c>
      <c r="K219" s="47"/>
      <c r="L219" s="47">
        <v>-80456.529999999897</v>
      </c>
      <c r="M219" s="47">
        <f t="shared" si="141"/>
        <v>614191.72</v>
      </c>
      <c r="N219" s="46">
        <v>4000000</v>
      </c>
      <c r="O219" s="48">
        <f t="shared" si="142"/>
        <v>8814.6400000000031</v>
      </c>
      <c r="P219" s="55">
        <v>593970.17000000004</v>
      </c>
      <c r="Q219" s="55">
        <f>-930000+332000</f>
        <v>-598000</v>
      </c>
      <c r="R219" s="55">
        <f>-10-45-176-1045</f>
        <v>-1276</v>
      </c>
      <c r="S219" s="55">
        <f t="shared" si="143"/>
        <v>3508.8100000000559</v>
      </c>
      <c r="T219" s="48"/>
      <c r="U219" s="49">
        <f t="shared" si="144"/>
        <v>21.040000000019791</v>
      </c>
      <c r="V219" s="51">
        <v>332056.78000000003</v>
      </c>
      <c r="W219" s="51">
        <v>-332000</v>
      </c>
      <c r="X219" s="51">
        <v>-1.2</v>
      </c>
      <c r="Y219" s="51">
        <f t="shared" si="145"/>
        <v>76.62000000006519</v>
      </c>
      <c r="Z219" s="52"/>
      <c r="AA219" s="53">
        <f t="shared" si="146"/>
        <v>94.119999999995343</v>
      </c>
      <c r="AB219" s="54"/>
      <c r="AC219" s="54"/>
      <c r="AD219" s="54"/>
      <c r="AE219" s="54">
        <f t="shared" si="147"/>
        <v>94.119999999995343</v>
      </c>
      <c r="AF219" s="53"/>
      <c r="AG219" s="53">
        <f t="shared" si="126"/>
        <v>25.209999999991851</v>
      </c>
      <c r="AH219" s="54"/>
      <c r="AI219" s="54"/>
      <c r="AJ219" s="54"/>
      <c r="AK219" s="54">
        <f t="shared" si="148"/>
        <v>25.209999999991851</v>
      </c>
      <c r="AL219" s="53"/>
      <c r="AM219" s="53">
        <f t="shared" si="128"/>
        <v>0</v>
      </c>
      <c r="AN219" s="54"/>
      <c r="AO219" s="54"/>
      <c r="AP219" s="54"/>
      <c r="AQ219" s="54">
        <f t="shared" si="129"/>
        <v>0</v>
      </c>
      <c r="AR219" s="53"/>
      <c r="AS219" s="50">
        <f t="shared" si="156"/>
        <v>-2333553.5200000005</v>
      </c>
      <c r="AT219" s="50">
        <f t="shared" si="157"/>
        <v>1458472.3800000001</v>
      </c>
      <c r="AU219" s="50">
        <f t="shared" si="158"/>
        <v>0</v>
      </c>
      <c r="AV219" s="50">
        <f t="shared" si="159"/>
        <v>-199938.08999999892</v>
      </c>
      <c r="AW219" s="50"/>
      <c r="AX219" s="50">
        <f t="shared" si="135"/>
        <v>-1074994.0199999996</v>
      </c>
      <c r="AY219" s="50">
        <f t="shared" si="136"/>
        <v>8300000</v>
      </c>
      <c r="AZ219" s="50">
        <f t="shared" si="137"/>
        <v>7225005.9800000004</v>
      </c>
      <c r="BA219" s="15" t="s">
        <v>164</v>
      </c>
      <c r="BB219" s="15">
        <f>AX197</f>
        <v>-4506971</v>
      </c>
      <c r="BC219" s="15">
        <v>-250000</v>
      </c>
    </row>
    <row r="220" spans="2:55" x14ac:dyDescent="0.3">
      <c r="B220" s="99">
        <f>B219+1</f>
        <v>44470</v>
      </c>
      <c r="C220" s="44">
        <f t="shared" si="139"/>
        <v>-1692890.4999999995</v>
      </c>
      <c r="D220" s="45"/>
      <c r="E220" s="45">
        <v>-1400000</v>
      </c>
      <c r="F220" s="45">
        <v>-204234.5</v>
      </c>
      <c r="G220" s="45">
        <f t="shared" si="155"/>
        <v>-3297124.9999999995</v>
      </c>
      <c r="H220" s="44">
        <v>4300000</v>
      </c>
      <c r="I220" s="46">
        <f t="shared" si="140"/>
        <v>614191.72</v>
      </c>
      <c r="J220" s="47">
        <v>258.33</v>
      </c>
      <c r="K220" s="47">
        <v>1400000</v>
      </c>
      <c r="L220" s="47">
        <v>-1897367.47</v>
      </c>
      <c r="M220" s="47">
        <f t="shared" si="141"/>
        <v>117082.57999999984</v>
      </c>
      <c r="N220" s="46">
        <v>4000000</v>
      </c>
      <c r="O220" s="48">
        <f t="shared" si="142"/>
        <v>3508.8100000000559</v>
      </c>
      <c r="P220" s="55">
        <f>198.08+61.44+315.42</f>
        <v>574.94000000000005</v>
      </c>
      <c r="Q220" s="55"/>
      <c r="R220" s="55">
        <v>-158.44</v>
      </c>
      <c r="S220" s="55">
        <f t="shared" si="143"/>
        <v>3925.3100000000559</v>
      </c>
      <c r="T220" s="48"/>
      <c r="U220" s="49">
        <f t="shared" si="144"/>
        <v>76.62000000006519</v>
      </c>
      <c r="V220" s="51">
        <v>212769.21</v>
      </c>
      <c r="W220" s="51"/>
      <c r="X220" s="51"/>
      <c r="Y220" s="51">
        <f t="shared" si="145"/>
        <v>212845.83000000005</v>
      </c>
      <c r="Z220" s="52"/>
      <c r="AA220" s="53">
        <f t="shared" si="146"/>
        <v>94.119999999995343</v>
      </c>
      <c r="AB220" s="54"/>
      <c r="AC220" s="54"/>
      <c r="AD220" s="54"/>
      <c r="AE220" s="54">
        <f t="shared" si="147"/>
        <v>94.119999999995343</v>
      </c>
      <c r="AF220" s="53"/>
      <c r="AG220" s="53">
        <f t="shared" si="126"/>
        <v>25.209999999991851</v>
      </c>
      <c r="AH220" s="54"/>
      <c r="AI220" s="54"/>
      <c r="AJ220" s="54"/>
      <c r="AK220" s="54">
        <f t="shared" si="148"/>
        <v>25.209999999991851</v>
      </c>
      <c r="AL220" s="53"/>
      <c r="AM220" s="53">
        <f t="shared" si="128"/>
        <v>0</v>
      </c>
      <c r="AN220" s="54"/>
      <c r="AO220" s="54"/>
      <c r="AP220" s="54"/>
      <c r="AQ220" s="54">
        <f t="shared" si="129"/>
        <v>0</v>
      </c>
      <c r="AR220" s="53"/>
      <c r="AS220" s="50">
        <f t="shared" si="156"/>
        <v>-1075019.2299999995</v>
      </c>
      <c r="AT220" s="50">
        <f t="shared" si="157"/>
        <v>213602.47999999998</v>
      </c>
      <c r="AU220" s="50">
        <f t="shared" si="158"/>
        <v>0</v>
      </c>
      <c r="AV220" s="50">
        <f t="shared" si="159"/>
        <v>-2101760.4099999997</v>
      </c>
      <c r="AW220" s="50"/>
      <c r="AX220" s="50">
        <f t="shared" si="135"/>
        <v>-2963151.9499999997</v>
      </c>
      <c r="AY220" s="50">
        <f t="shared" si="136"/>
        <v>8300000</v>
      </c>
      <c r="AZ220" s="50">
        <f t="shared" si="137"/>
        <v>5336848.0500000007</v>
      </c>
      <c r="BA220" s="15" t="s">
        <v>165</v>
      </c>
      <c r="BB220" s="15">
        <f>SUM(AT198:AT219)-2985000</f>
        <v>7869345.6400000006</v>
      </c>
    </row>
    <row r="221" spans="2:55" x14ac:dyDescent="0.3">
      <c r="B221" s="99">
        <f>B220+3</f>
        <v>44473</v>
      </c>
      <c r="C221" s="44">
        <f t="shared" si="139"/>
        <v>-3297124.9999999995</v>
      </c>
      <c r="D221" s="45"/>
      <c r="E221" s="45"/>
      <c r="F221" s="45">
        <v>-60450.97</v>
      </c>
      <c r="G221" s="45">
        <f t="shared" si="155"/>
        <v>-3357575.9699999997</v>
      </c>
      <c r="H221" s="44">
        <v>4300000</v>
      </c>
      <c r="I221" s="46">
        <f t="shared" si="140"/>
        <v>117082.57999999984</v>
      </c>
      <c r="J221" s="47">
        <f>103425.72+8872.41+82588</f>
        <v>194886.13</v>
      </c>
      <c r="K221" s="47">
        <v>200000</v>
      </c>
      <c r="L221" s="47">
        <v>-509035.64</v>
      </c>
      <c r="M221" s="47">
        <f t="shared" si="141"/>
        <v>2933.0699999998324</v>
      </c>
      <c r="N221" s="46">
        <v>4000000</v>
      </c>
      <c r="O221" s="48">
        <f t="shared" si="142"/>
        <v>3925.3100000000559</v>
      </c>
      <c r="P221" s="55">
        <f>163.84+222.38+162.88+512.32+651.84+284.58</f>
        <v>1997.8400000000001</v>
      </c>
      <c r="Q221" s="55">
        <f>-200000+212800</f>
        <v>12800</v>
      </c>
      <c r="R221" s="55">
        <f>-15083.23-326.46</f>
        <v>-15409.689999999999</v>
      </c>
      <c r="S221" s="55">
        <f t="shared" si="143"/>
        <v>3313.4600000000573</v>
      </c>
      <c r="T221" s="48"/>
      <c r="U221" s="49">
        <f t="shared" si="144"/>
        <v>212845.83000000005</v>
      </c>
      <c r="V221" s="51"/>
      <c r="W221" s="51">
        <f>-212800</f>
        <v>-212800</v>
      </c>
      <c r="X221" s="51">
        <v>-45.83</v>
      </c>
      <c r="Y221" s="51">
        <f t="shared" si="145"/>
        <v>4.5403680815070402E-11</v>
      </c>
      <c r="Z221" s="52"/>
      <c r="AA221" s="53">
        <f t="shared" si="146"/>
        <v>94.119999999995343</v>
      </c>
      <c r="AB221" s="54"/>
      <c r="AC221" s="54"/>
      <c r="AD221" s="54"/>
      <c r="AE221" s="54">
        <f t="shared" si="147"/>
        <v>94.119999999995343</v>
      </c>
      <c r="AF221" s="53"/>
      <c r="AG221" s="53">
        <f t="shared" si="126"/>
        <v>25.209999999991851</v>
      </c>
      <c r="AH221" s="54"/>
      <c r="AI221" s="54"/>
      <c r="AJ221" s="54"/>
      <c r="AK221" s="54">
        <f t="shared" si="148"/>
        <v>25.209999999991851</v>
      </c>
      <c r="AL221" s="53"/>
      <c r="AM221" s="53">
        <f t="shared" si="128"/>
        <v>0</v>
      </c>
      <c r="AN221" s="54"/>
      <c r="AO221" s="54"/>
      <c r="AP221" s="54"/>
      <c r="AQ221" s="54">
        <f t="shared" si="129"/>
        <v>0</v>
      </c>
      <c r="AR221" s="53"/>
      <c r="AS221" s="50">
        <f t="shared" si="156"/>
        <v>-2963177.1599999997</v>
      </c>
      <c r="AT221" s="50">
        <f t="shared" si="157"/>
        <v>196883.97</v>
      </c>
      <c r="AU221" s="50">
        <f t="shared" si="158"/>
        <v>0</v>
      </c>
      <c r="AV221" s="50">
        <f t="shared" si="159"/>
        <v>-584942.12999999989</v>
      </c>
      <c r="AW221" s="50"/>
      <c r="AX221" s="50">
        <f t="shared" si="135"/>
        <v>-3351210.11</v>
      </c>
      <c r="AY221" s="50">
        <f t="shared" si="136"/>
        <v>8300000</v>
      </c>
      <c r="AZ221" s="50">
        <f t="shared" si="137"/>
        <v>4948789.8900000006</v>
      </c>
      <c r="BA221" s="15" t="s">
        <v>166</v>
      </c>
      <c r="BB221" s="15">
        <f>SUM(AV198:AV219)</f>
        <v>-7422368.8699999973</v>
      </c>
      <c r="BC221" s="15">
        <f>SUM(BC216:BC220)</f>
        <v>-1340970.7445</v>
      </c>
    </row>
    <row r="222" spans="2:55" x14ac:dyDescent="0.3">
      <c r="B222" s="99">
        <f>B221+1</f>
        <v>44474</v>
      </c>
      <c r="C222" s="44">
        <f t="shared" si="139"/>
        <v>-3357575.9699999997</v>
      </c>
      <c r="D222" s="45"/>
      <c r="E222" s="45">
        <v>-700000</v>
      </c>
      <c r="F222" s="45">
        <v>-23500.85</v>
      </c>
      <c r="G222" s="45">
        <f t="shared" si="155"/>
        <v>-4081076.82</v>
      </c>
      <c r="H222" s="44">
        <v>4300000</v>
      </c>
      <c r="I222" s="46">
        <f t="shared" si="140"/>
        <v>2933.0699999998324</v>
      </c>
      <c r="J222" s="47">
        <f>80864.29+5538.65+1750.27</f>
        <v>88153.209999999992</v>
      </c>
      <c r="K222" s="47">
        <v>700000</v>
      </c>
      <c r="L222" s="47">
        <v>-672359.21</v>
      </c>
      <c r="M222" s="47">
        <f t="shared" si="141"/>
        <v>118727.06999999983</v>
      </c>
      <c r="N222" s="46">
        <v>4000000</v>
      </c>
      <c r="O222" s="48">
        <f t="shared" si="142"/>
        <v>3313.4600000000573</v>
      </c>
      <c r="P222" s="55"/>
      <c r="Q222" s="55">
        <v>-20</v>
      </c>
      <c r="R222" s="55"/>
      <c r="S222" s="55">
        <f t="shared" si="143"/>
        <v>3293.4600000000573</v>
      </c>
      <c r="T222" s="48"/>
      <c r="U222" s="49">
        <f t="shared" si="144"/>
        <v>4.5403680815070402E-11</v>
      </c>
      <c r="V222" s="51"/>
      <c r="W222" s="51">
        <v>20</v>
      </c>
      <c r="X222" s="51">
        <f>-1.2-9.12</f>
        <v>-10.319999999999999</v>
      </c>
      <c r="Y222" s="51">
        <f t="shared" si="145"/>
        <v>9.6800000000454052</v>
      </c>
      <c r="Z222" s="52"/>
      <c r="AA222" s="53">
        <f t="shared" si="146"/>
        <v>94.119999999995343</v>
      </c>
      <c r="AB222" s="54"/>
      <c r="AC222" s="54"/>
      <c r="AD222" s="54"/>
      <c r="AE222" s="54">
        <f t="shared" si="147"/>
        <v>94.119999999995343</v>
      </c>
      <c r="AF222" s="53"/>
      <c r="AG222" s="53">
        <f t="shared" si="126"/>
        <v>25.209999999991851</v>
      </c>
      <c r="AH222" s="54"/>
      <c r="AI222" s="54"/>
      <c r="AJ222" s="54"/>
      <c r="AK222" s="54">
        <f t="shared" si="148"/>
        <v>25.209999999991851</v>
      </c>
      <c r="AL222" s="53"/>
      <c r="AM222" s="53">
        <f t="shared" si="128"/>
        <v>0</v>
      </c>
      <c r="AN222" s="54"/>
      <c r="AO222" s="54"/>
      <c r="AP222" s="54"/>
      <c r="AQ222" s="54">
        <f t="shared" si="129"/>
        <v>0</v>
      </c>
      <c r="AR222" s="53"/>
      <c r="AS222" s="50">
        <f t="shared" si="156"/>
        <v>-3351235.32</v>
      </c>
      <c r="AT222" s="50">
        <f t="shared" si="157"/>
        <v>88153.209999999992</v>
      </c>
      <c r="AU222" s="50">
        <f t="shared" si="158"/>
        <v>0</v>
      </c>
      <c r="AV222" s="50">
        <f t="shared" si="159"/>
        <v>-695870.37999999989</v>
      </c>
      <c r="AW222" s="50"/>
      <c r="AX222" s="50">
        <f t="shared" si="135"/>
        <v>-3958927.28</v>
      </c>
      <c r="AY222" s="50">
        <f t="shared" si="136"/>
        <v>8300000</v>
      </c>
      <c r="AZ222" s="50">
        <f t="shared" si="137"/>
        <v>4341072.7200000007</v>
      </c>
      <c r="BA222" s="15" t="s">
        <v>167</v>
      </c>
    </row>
    <row r="223" spans="2:55" x14ac:dyDescent="0.3">
      <c r="B223" s="99">
        <f t="shared" ref="B223:B224" si="161">B222+1</f>
        <v>44475</v>
      </c>
      <c r="C223" s="44">
        <f t="shared" si="139"/>
        <v>-4081076.82</v>
      </c>
      <c r="D223" s="45">
        <f>18019.2*2+17118.24+19634.1</f>
        <v>72790.739999999991</v>
      </c>
      <c r="E223" s="45"/>
      <c r="F223" s="45">
        <v>-28831</v>
      </c>
      <c r="G223" s="45">
        <f t="shared" si="155"/>
        <v>-4037117.08</v>
      </c>
      <c r="H223" s="44">
        <v>4300000</v>
      </c>
      <c r="I223" s="46">
        <f t="shared" si="140"/>
        <v>118727.06999999983</v>
      </c>
      <c r="J223" s="47"/>
      <c r="K223" s="47"/>
      <c r="L223" s="47">
        <v>-40813.25</v>
      </c>
      <c r="M223" s="47">
        <f t="shared" si="141"/>
        <v>77913.819999999832</v>
      </c>
      <c r="N223" s="46">
        <v>4000000</v>
      </c>
      <c r="O223" s="48">
        <f t="shared" si="142"/>
        <v>3293.4600000000573</v>
      </c>
      <c r="P223" s="55"/>
      <c r="Q223" s="55"/>
      <c r="R223" s="55">
        <v>-340</v>
      </c>
      <c r="S223" s="55">
        <f t="shared" si="143"/>
        <v>2953.4600000000573</v>
      </c>
      <c r="T223" s="48"/>
      <c r="U223" s="49">
        <f t="shared" si="144"/>
        <v>9.6800000000454052</v>
      </c>
      <c r="V223" s="51"/>
      <c r="W223" s="51"/>
      <c r="X223" s="51"/>
      <c r="Y223" s="51">
        <f t="shared" si="145"/>
        <v>9.6800000000454052</v>
      </c>
      <c r="Z223" s="52"/>
      <c r="AA223" s="53">
        <f t="shared" si="146"/>
        <v>94.119999999995343</v>
      </c>
      <c r="AB223" s="54"/>
      <c r="AC223" s="54"/>
      <c r="AD223" s="54"/>
      <c r="AE223" s="54">
        <f t="shared" si="147"/>
        <v>94.119999999995343</v>
      </c>
      <c r="AF223" s="53"/>
      <c r="AG223" s="53">
        <f t="shared" si="126"/>
        <v>25.209999999991851</v>
      </c>
      <c r="AH223" s="54"/>
      <c r="AI223" s="54"/>
      <c r="AJ223" s="54"/>
      <c r="AK223" s="54">
        <f t="shared" si="148"/>
        <v>25.209999999991851</v>
      </c>
      <c r="AL223" s="53"/>
      <c r="AM223" s="53">
        <f t="shared" si="128"/>
        <v>0</v>
      </c>
      <c r="AN223" s="54"/>
      <c r="AO223" s="54"/>
      <c r="AP223" s="54"/>
      <c r="AQ223" s="54">
        <f t="shared" si="129"/>
        <v>0</v>
      </c>
      <c r="AR223" s="53"/>
      <c r="AS223" s="50">
        <f t="shared" si="156"/>
        <v>-3958952.4899999998</v>
      </c>
      <c r="AT223" s="50">
        <f t="shared" si="157"/>
        <v>72790.739999999991</v>
      </c>
      <c r="AU223" s="50">
        <f t="shared" si="158"/>
        <v>0</v>
      </c>
      <c r="AV223" s="50">
        <f t="shared" si="159"/>
        <v>-69984.25</v>
      </c>
      <c r="AW223" s="50"/>
      <c r="AX223" s="50">
        <f t="shared" si="135"/>
        <v>-3956120.79</v>
      </c>
      <c r="AY223" s="50">
        <f t="shared" si="136"/>
        <v>8300000</v>
      </c>
      <c r="AZ223" s="50">
        <f t="shared" si="137"/>
        <v>4343879.21</v>
      </c>
    </row>
    <row r="224" spans="2:55" x14ac:dyDescent="0.3">
      <c r="B224" s="99">
        <f t="shared" si="161"/>
        <v>44476</v>
      </c>
      <c r="C224" s="44">
        <f t="shared" si="139"/>
        <v>-4037117.08</v>
      </c>
      <c r="D224" s="45">
        <v>53971</v>
      </c>
      <c r="E224" s="45"/>
      <c r="F224" s="45">
        <v>-213363.58</v>
      </c>
      <c r="G224" s="45">
        <f t="shared" si="155"/>
        <v>-4196509.66</v>
      </c>
      <c r="H224" s="44">
        <v>4300000</v>
      </c>
      <c r="I224" s="46">
        <f t="shared" si="140"/>
        <v>77913.819999999832</v>
      </c>
      <c r="J224" s="47"/>
      <c r="K224" s="47"/>
      <c r="L224" s="47">
        <v>-394181.23</v>
      </c>
      <c r="M224" s="47">
        <f t="shared" si="141"/>
        <v>-316267.41000000015</v>
      </c>
      <c r="N224" s="46">
        <v>4000000</v>
      </c>
      <c r="O224" s="48">
        <f t="shared" si="142"/>
        <v>2953.4600000000573</v>
      </c>
      <c r="P224" s="55">
        <f>284.58+16646.01</f>
        <v>16930.59</v>
      </c>
      <c r="Q224" s="55"/>
      <c r="R224" s="55">
        <f>-154.4-15502.79</f>
        <v>-15657.19</v>
      </c>
      <c r="S224" s="55">
        <f t="shared" si="143"/>
        <v>4226.860000000057</v>
      </c>
      <c r="T224" s="48"/>
      <c r="U224" s="49">
        <f t="shared" si="144"/>
        <v>9.6800000000454052</v>
      </c>
      <c r="V224" s="51"/>
      <c r="W224" s="51"/>
      <c r="X224" s="51"/>
      <c r="Y224" s="51">
        <f t="shared" si="145"/>
        <v>9.6800000000454052</v>
      </c>
      <c r="Z224" s="52"/>
      <c r="AA224" s="53">
        <f t="shared" si="146"/>
        <v>94.119999999995343</v>
      </c>
      <c r="AB224" s="54"/>
      <c r="AC224" s="54"/>
      <c r="AD224" s="54"/>
      <c r="AE224" s="54">
        <f t="shared" si="147"/>
        <v>94.119999999995343</v>
      </c>
      <c r="AF224" s="53"/>
      <c r="AG224" s="53">
        <f t="shared" si="126"/>
        <v>25.209999999991851</v>
      </c>
      <c r="AH224" s="54"/>
      <c r="AI224" s="54"/>
      <c r="AJ224" s="54"/>
      <c r="AK224" s="54">
        <f t="shared" si="148"/>
        <v>25.209999999991851</v>
      </c>
      <c r="AL224" s="53"/>
      <c r="AM224" s="53">
        <f t="shared" si="128"/>
        <v>0</v>
      </c>
      <c r="AN224" s="54"/>
      <c r="AO224" s="54"/>
      <c r="AP224" s="54"/>
      <c r="AQ224" s="54">
        <f t="shared" si="129"/>
        <v>0</v>
      </c>
      <c r="AR224" s="53"/>
      <c r="AS224" s="50">
        <f t="shared" si="156"/>
        <v>-3956146</v>
      </c>
      <c r="AT224" s="50">
        <f t="shared" si="157"/>
        <v>70901.59</v>
      </c>
      <c r="AU224" s="50">
        <f t="shared" si="158"/>
        <v>0</v>
      </c>
      <c r="AV224" s="50">
        <f t="shared" si="159"/>
        <v>-623201.99999999988</v>
      </c>
      <c r="AW224" s="50"/>
      <c r="AX224" s="50">
        <f t="shared" si="135"/>
        <v>-4508421.2</v>
      </c>
      <c r="AY224" s="50">
        <f t="shared" si="136"/>
        <v>8300000</v>
      </c>
      <c r="AZ224" s="50">
        <f t="shared" si="137"/>
        <v>3791578.8</v>
      </c>
    </row>
    <row r="225" spans="2:52" x14ac:dyDescent="0.3">
      <c r="B225" s="99">
        <f>B224+1</f>
        <v>44477</v>
      </c>
      <c r="C225" s="44">
        <f t="shared" si="139"/>
        <v>-4196509.66</v>
      </c>
      <c r="D225" s="45">
        <v>53971</v>
      </c>
      <c r="E225" s="45"/>
      <c r="F225" s="45"/>
      <c r="G225" s="45">
        <f t="shared" si="155"/>
        <v>-4142538.66</v>
      </c>
      <c r="H225" s="44">
        <v>4300000</v>
      </c>
      <c r="I225" s="46">
        <f t="shared" si="140"/>
        <v>-316267.41000000015</v>
      </c>
      <c r="J225" s="47">
        <v>153171.73000000001</v>
      </c>
      <c r="K225" s="47"/>
      <c r="L225" s="47">
        <v>-62443.959999999897</v>
      </c>
      <c r="M225" s="47">
        <f t="shared" si="141"/>
        <v>-225539.64000000004</v>
      </c>
      <c r="N225" s="46">
        <v>4000000</v>
      </c>
      <c r="O225" s="48">
        <f t="shared" si="142"/>
        <v>4226.860000000057</v>
      </c>
      <c r="P225" s="55"/>
      <c r="Q225" s="55"/>
      <c r="R225" s="55"/>
      <c r="S225" s="55">
        <f t="shared" si="143"/>
        <v>4226.860000000057</v>
      </c>
      <c r="T225" s="48"/>
      <c r="U225" s="49">
        <f t="shared" si="144"/>
        <v>9.6800000000454052</v>
      </c>
      <c r="V225" s="51"/>
      <c r="W225" s="51"/>
      <c r="X225" s="51"/>
      <c r="Y225" s="51">
        <f t="shared" si="145"/>
        <v>9.6800000000454052</v>
      </c>
      <c r="Z225" s="52"/>
      <c r="AA225" s="53">
        <f t="shared" si="146"/>
        <v>94.119999999995343</v>
      </c>
      <c r="AB225" s="54"/>
      <c r="AC225" s="54"/>
      <c r="AD225" s="54"/>
      <c r="AE225" s="54">
        <f t="shared" si="147"/>
        <v>94.119999999995343</v>
      </c>
      <c r="AF225" s="53"/>
      <c r="AG225" s="53">
        <f t="shared" si="126"/>
        <v>25.209999999991851</v>
      </c>
      <c r="AH225" s="54"/>
      <c r="AI225" s="54"/>
      <c r="AJ225" s="54"/>
      <c r="AK225" s="54">
        <f t="shared" si="148"/>
        <v>25.209999999991851</v>
      </c>
      <c r="AL225" s="53"/>
      <c r="AM225" s="53">
        <f t="shared" si="128"/>
        <v>0</v>
      </c>
      <c r="AN225" s="54"/>
      <c r="AO225" s="54"/>
      <c r="AP225" s="54"/>
      <c r="AQ225" s="54">
        <f t="shared" si="129"/>
        <v>0</v>
      </c>
      <c r="AR225" s="53"/>
      <c r="AS225" s="50">
        <f t="shared" si="156"/>
        <v>-4508446.41</v>
      </c>
      <c r="AT225" s="50">
        <f t="shared" si="157"/>
        <v>207142.73</v>
      </c>
      <c r="AU225" s="50">
        <f t="shared" si="158"/>
        <v>0</v>
      </c>
      <c r="AV225" s="50">
        <f t="shared" si="159"/>
        <v>-62443.959999999897</v>
      </c>
      <c r="AW225" s="50"/>
      <c r="AX225" s="50">
        <f t="shared" si="135"/>
        <v>-4363722.43</v>
      </c>
      <c r="AY225" s="50">
        <f t="shared" si="136"/>
        <v>8300000</v>
      </c>
      <c r="AZ225" s="50">
        <f t="shared" si="137"/>
        <v>3936277.5700000003</v>
      </c>
    </row>
    <row r="226" spans="2:52" x14ac:dyDescent="0.3">
      <c r="B226" s="99">
        <f>B225+3</f>
        <v>44480</v>
      </c>
      <c r="C226" s="44">
        <f t="shared" si="139"/>
        <v>-4142538.66</v>
      </c>
      <c r="D226" s="45">
        <v>97934.38</v>
      </c>
      <c r="E226" s="45"/>
      <c r="F226" s="45">
        <v>-13463.1</v>
      </c>
      <c r="G226" s="45">
        <f t="shared" si="155"/>
        <v>-4058067.3800000004</v>
      </c>
      <c r="H226" s="44">
        <v>4300000</v>
      </c>
      <c r="I226" s="46">
        <f t="shared" si="140"/>
        <v>-225539.64000000004</v>
      </c>
      <c r="J226" s="47"/>
      <c r="K226" s="47"/>
      <c r="L226" s="47">
        <v>-252018.71</v>
      </c>
      <c r="M226" s="47">
        <f t="shared" si="141"/>
        <v>-477558.35000000003</v>
      </c>
      <c r="N226" s="46">
        <v>4000000</v>
      </c>
      <c r="O226" s="48">
        <f t="shared" si="142"/>
        <v>4226.860000000057</v>
      </c>
      <c r="P226" s="55"/>
      <c r="Q226" s="55"/>
      <c r="R226" s="55"/>
      <c r="S226" s="55">
        <f t="shared" si="143"/>
        <v>4226.860000000057</v>
      </c>
      <c r="T226" s="48"/>
      <c r="U226" s="49">
        <f t="shared" si="144"/>
        <v>9.6800000000454052</v>
      </c>
      <c r="V226" s="51"/>
      <c r="W226" s="51"/>
      <c r="X226" s="51"/>
      <c r="Y226" s="51">
        <f t="shared" si="145"/>
        <v>9.6800000000454052</v>
      </c>
      <c r="Z226" s="52"/>
      <c r="AA226" s="53">
        <f t="shared" si="146"/>
        <v>94.119999999995343</v>
      </c>
      <c r="AB226" s="54"/>
      <c r="AC226" s="54"/>
      <c r="AD226" s="54">
        <v>-93.62</v>
      </c>
      <c r="AE226" s="54">
        <f t="shared" si="147"/>
        <v>0.49999999999533884</v>
      </c>
      <c r="AF226" s="53"/>
      <c r="AG226" s="53">
        <f t="shared" si="126"/>
        <v>25.209999999991851</v>
      </c>
      <c r="AH226" s="54"/>
      <c r="AI226" s="54"/>
      <c r="AJ226" s="54"/>
      <c r="AK226" s="54">
        <f t="shared" si="148"/>
        <v>25.209999999991851</v>
      </c>
      <c r="AL226" s="53"/>
      <c r="AM226" s="53">
        <f t="shared" si="128"/>
        <v>0</v>
      </c>
      <c r="AN226" s="54"/>
      <c r="AO226" s="54"/>
      <c r="AP226" s="54"/>
      <c r="AQ226" s="54">
        <f t="shared" si="129"/>
        <v>0</v>
      </c>
      <c r="AR226" s="53"/>
      <c r="AS226" s="50">
        <f t="shared" si="156"/>
        <v>-4363747.6399999997</v>
      </c>
      <c r="AT226" s="50">
        <f t="shared" si="157"/>
        <v>97934.38</v>
      </c>
      <c r="AU226" s="50">
        <f t="shared" si="158"/>
        <v>0</v>
      </c>
      <c r="AV226" s="50">
        <f t="shared" si="159"/>
        <v>-265575.43</v>
      </c>
      <c r="AW226" s="50"/>
      <c r="AX226" s="50">
        <f t="shared" si="135"/>
        <v>-4531363.4800000004</v>
      </c>
      <c r="AY226" s="50">
        <f t="shared" si="136"/>
        <v>8300000</v>
      </c>
      <c r="AZ226" s="50">
        <f t="shared" si="137"/>
        <v>3768636.5199999996</v>
      </c>
    </row>
    <row r="227" spans="2:52" x14ac:dyDescent="0.3">
      <c r="B227" s="99">
        <f>B226+1</f>
        <v>44481</v>
      </c>
      <c r="C227" s="44">
        <f t="shared" si="139"/>
        <v>-4058067.3800000004</v>
      </c>
      <c r="D227" s="45"/>
      <c r="E227" s="45"/>
      <c r="F227" s="45"/>
      <c r="G227" s="45">
        <f t="shared" si="155"/>
        <v>-4058067.3800000004</v>
      </c>
      <c r="H227" s="44">
        <v>4300000</v>
      </c>
      <c r="I227" s="46">
        <f t="shared" si="140"/>
        <v>-477558.35000000003</v>
      </c>
      <c r="J227" s="47"/>
      <c r="K227" s="47"/>
      <c r="L227" s="47"/>
      <c r="M227" s="47">
        <f t="shared" si="141"/>
        <v>-477558.35000000003</v>
      </c>
      <c r="N227" s="46">
        <v>4000000</v>
      </c>
      <c r="O227" s="48">
        <f t="shared" si="142"/>
        <v>4226.860000000057</v>
      </c>
      <c r="P227" s="55"/>
      <c r="Q227" s="55"/>
      <c r="R227" s="55"/>
      <c r="S227" s="55">
        <f t="shared" si="143"/>
        <v>4226.860000000057</v>
      </c>
      <c r="T227" s="48"/>
      <c r="U227" s="49">
        <f t="shared" si="144"/>
        <v>9.6800000000454052</v>
      </c>
      <c r="V227" s="51"/>
      <c r="W227" s="51"/>
      <c r="X227" s="51"/>
      <c r="Y227" s="51">
        <f t="shared" si="145"/>
        <v>9.6800000000454052</v>
      </c>
      <c r="Z227" s="52"/>
      <c r="AA227" s="53">
        <f t="shared" si="146"/>
        <v>0.49999999999533884</v>
      </c>
      <c r="AB227" s="54"/>
      <c r="AC227" s="54"/>
      <c r="AD227" s="54"/>
      <c r="AE227" s="54">
        <f t="shared" si="147"/>
        <v>0.49999999999533884</v>
      </c>
      <c r="AF227" s="53"/>
      <c r="AG227" s="53">
        <f t="shared" si="126"/>
        <v>25.209999999991851</v>
      </c>
      <c r="AH227" s="54"/>
      <c r="AI227" s="54"/>
      <c r="AJ227" s="54"/>
      <c r="AK227" s="54">
        <f t="shared" si="148"/>
        <v>25.209999999991851</v>
      </c>
      <c r="AL227" s="53"/>
      <c r="AM227" s="53">
        <f t="shared" si="128"/>
        <v>0</v>
      </c>
      <c r="AN227" s="54"/>
      <c r="AO227" s="54"/>
      <c r="AP227" s="54"/>
      <c r="AQ227" s="54">
        <f t="shared" si="129"/>
        <v>0</v>
      </c>
      <c r="AR227" s="53"/>
      <c r="AS227" s="50">
        <f t="shared" si="156"/>
        <v>-4531388.6900000004</v>
      </c>
      <c r="AT227" s="50">
        <f t="shared" si="157"/>
        <v>0</v>
      </c>
      <c r="AU227" s="50">
        <f t="shared" si="158"/>
        <v>0</v>
      </c>
      <c r="AV227" s="50">
        <f t="shared" si="159"/>
        <v>0</v>
      </c>
      <c r="AW227" s="50"/>
      <c r="AX227" s="50">
        <f t="shared" si="135"/>
        <v>-4531363.4800000004</v>
      </c>
      <c r="AY227" s="50">
        <f t="shared" si="136"/>
        <v>8300000</v>
      </c>
      <c r="AZ227" s="50">
        <f t="shared" si="137"/>
        <v>3768636.5199999996</v>
      </c>
    </row>
    <row r="228" spans="2:52" x14ac:dyDescent="0.3">
      <c r="B228" s="99">
        <f t="shared" ref="B228:B229" si="162">B227+1</f>
        <v>44482</v>
      </c>
      <c r="C228" s="44">
        <f t="shared" si="139"/>
        <v>-4058067.3800000004</v>
      </c>
      <c r="D228" s="45">
        <f>515811.24-27826.83</f>
        <v>487984.41</v>
      </c>
      <c r="E228" s="45"/>
      <c r="F228" s="45">
        <v>-47326.720000000001</v>
      </c>
      <c r="G228" s="45">
        <f t="shared" si="155"/>
        <v>-3617409.6900000004</v>
      </c>
      <c r="H228" s="44">
        <v>4300000</v>
      </c>
      <c r="I228" s="46">
        <f t="shared" si="140"/>
        <v>-477558.35000000003</v>
      </c>
      <c r="J228" s="47">
        <f>204981.68+50779.16</f>
        <v>255760.84</v>
      </c>
      <c r="K228" s="47"/>
      <c r="L228" s="47">
        <v>-57885.1</v>
      </c>
      <c r="M228" s="47">
        <f t="shared" si="141"/>
        <v>-279682.61000000004</v>
      </c>
      <c r="N228" s="46">
        <v>4000000</v>
      </c>
      <c r="O228" s="48">
        <f t="shared" si="142"/>
        <v>4226.860000000057</v>
      </c>
      <c r="P228" s="55"/>
      <c r="Q228" s="55"/>
      <c r="R228" s="55"/>
      <c r="S228" s="55">
        <f t="shared" si="143"/>
        <v>4226.860000000057</v>
      </c>
      <c r="T228" s="48"/>
      <c r="U228" s="49">
        <f t="shared" si="144"/>
        <v>9.6800000000454052</v>
      </c>
      <c r="V228" s="51">
        <v>17523.669999999998</v>
      </c>
      <c r="W228" s="51"/>
      <c r="X228" s="51"/>
      <c r="Y228" s="51">
        <f t="shared" si="145"/>
        <v>17533.350000000042</v>
      </c>
      <c r="Z228" s="52"/>
      <c r="AA228" s="53">
        <f t="shared" si="146"/>
        <v>0.49999999999533884</v>
      </c>
      <c r="AB228" s="54"/>
      <c r="AC228" s="54"/>
      <c r="AD228" s="54"/>
      <c r="AE228" s="54">
        <f t="shared" si="147"/>
        <v>0.49999999999533884</v>
      </c>
      <c r="AF228" s="53"/>
      <c r="AG228" s="53">
        <f t="shared" si="126"/>
        <v>25.209999999991851</v>
      </c>
      <c r="AH228" s="54"/>
      <c r="AI228" s="54"/>
      <c r="AJ228" s="54"/>
      <c r="AK228" s="54">
        <f t="shared" si="148"/>
        <v>25.209999999991851</v>
      </c>
      <c r="AL228" s="53"/>
      <c r="AM228" s="53">
        <f t="shared" si="128"/>
        <v>0</v>
      </c>
      <c r="AN228" s="54"/>
      <c r="AO228" s="54"/>
      <c r="AP228" s="54"/>
      <c r="AQ228" s="54">
        <f t="shared" si="129"/>
        <v>0</v>
      </c>
      <c r="AR228" s="53"/>
      <c r="AS228" s="50">
        <f t="shared" si="156"/>
        <v>-4531388.6900000004</v>
      </c>
      <c r="AT228" s="50">
        <f t="shared" si="157"/>
        <v>761268.92</v>
      </c>
      <c r="AU228" s="50">
        <f t="shared" si="158"/>
        <v>0</v>
      </c>
      <c r="AV228" s="50">
        <f t="shared" si="159"/>
        <v>-105211.82</v>
      </c>
      <c r="AW228" s="50"/>
      <c r="AX228" s="50">
        <f t="shared" si="135"/>
        <v>-3875306.3800000004</v>
      </c>
      <c r="AY228" s="50">
        <f t="shared" si="136"/>
        <v>8300000</v>
      </c>
      <c r="AZ228" s="50">
        <f t="shared" si="137"/>
        <v>4424693.6199999992</v>
      </c>
    </row>
    <row r="229" spans="2:52" x14ac:dyDescent="0.3">
      <c r="B229" s="99">
        <f t="shared" si="162"/>
        <v>44483</v>
      </c>
      <c r="C229" s="44">
        <f t="shared" si="139"/>
        <v>-3617409.6900000004</v>
      </c>
      <c r="D229" s="45">
        <v>27826.83</v>
      </c>
      <c r="E229" s="45"/>
      <c r="F229" s="45">
        <v>-1598.29</v>
      </c>
      <c r="G229" s="45">
        <f t="shared" si="155"/>
        <v>-3591181.1500000004</v>
      </c>
      <c r="H229" s="44">
        <v>4300000</v>
      </c>
      <c r="I229" s="46">
        <f t="shared" si="140"/>
        <v>-279682.61000000004</v>
      </c>
      <c r="J229" s="47"/>
      <c r="K229" s="47"/>
      <c r="L229" s="47">
        <v>-30649.53</v>
      </c>
      <c r="M229" s="47">
        <f t="shared" si="141"/>
        <v>-310332.14</v>
      </c>
      <c r="N229" s="46">
        <v>4000000</v>
      </c>
      <c r="O229" s="48">
        <f t="shared" si="142"/>
        <v>4226.860000000057</v>
      </c>
      <c r="P229" s="55"/>
      <c r="Q229" s="55"/>
      <c r="R229" s="55"/>
      <c r="S229" s="55">
        <f t="shared" si="143"/>
        <v>4226.860000000057</v>
      </c>
      <c r="T229" s="48"/>
      <c r="U229" s="49">
        <f t="shared" si="144"/>
        <v>17533.350000000042</v>
      </c>
      <c r="V229" s="51"/>
      <c r="W229" s="51"/>
      <c r="X229" s="51"/>
      <c r="Y229" s="51">
        <f t="shared" si="145"/>
        <v>17533.350000000042</v>
      </c>
      <c r="Z229" s="52"/>
      <c r="AA229" s="53">
        <f t="shared" si="146"/>
        <v>0.49999999999533884</v>
      </c>
      <c r="AB229" s="54"/>
      <c r="AC229" s="54"/>
      <c r="AD229" s="54"/>
      <c r="AE229" s="54">
        <f t="shared" si="147"/>
        <v>0.49999999999533884</v>
      </c>
      <c r="AF229" s="53"/>
      <c r="AG229" s="53">
        <f t="shared" si="126"/>
        <v>25.209999999991851</v>
      </c>
      <c r="AH229" s="54"/>
      <c r="AI229" s="54"/>
      <c r="AJ229" s="54"/>
      <c r="AK229" s="54">
        <f t="shared" si="148"/>
        <v>25.209999999991851</v>
      </c>
      <c r="AL229" s="53"/>
      <c r="AM229" s="53">
        <f t="shared" si="128"/>
        <v>0</v>
      </c>
      <c r="AN229" s="54"/>
      <c r="AO229" s="54"/>
      <c r="AP229" s="54"/>
      <c r="AQ229" s="54">
        <f t="shared" si="129"/>
        <v>0</v>
      </c>
      <c r="AR229" s="53"/>
      <c r="AS229" s="50">
        <f t="shared" si="156"/>
        <v>-3875331.5900000003</v>
      </c>
      <c r="AT229" s="50">
        <f t="shared" si="157"/>
        <v>27826.83</v>
      </c>
      <c r="AU229" s="50">
        <f t="shared" si="158"/>
        <v>0</v>
      </c>
      <c r="AV229" s="50">
        <f t="shared" si="159"/>
        <v>-32247.82</v>
      </c>
      <c r="AW229" s="50"/>
      <c r="AX229" s="50">
        <f t="shared" si="135"/>
        <v>-3879727.3700000006</v>
      </c>
      <c r="AY229" s="50">
        <f t="shared" si="136"/>
        <v>8300000</v>
      </c>
      <c r="AZ229" s="50">
        <f t="shared" si="137"/>
        <v>4420272.629999999</v>
      </c>
    </row>
    <row r="230" spans="2:52" x14ac:dyDescent="0.3">
      <c r="B230" s="99">
        <f>B229+1</f>
        <v>44484</v>
      </c>
      <c r="C230" s="44">
        <f t="shared" si="139"/>
        <v>-3591181.1500000004</v>
      </c>
      <c r="D230" s="45">
        <f>292903.4-50779.16</f>
        <v>242124.24000000002</v>
      </c>
      <c r="E230" s="45">
        <v>-500000</v>
      </c>
      <c r="F230" s="45">
        <v>-32018.669999999802</v>
      </c>
      <c r="G230" s="45">
        <f t="shared" si="155"/>
        <v>-3881075.58</v>
      </c>
      <c r="H230" s="44">
        <v>4300000</v>
      </c>
      <c r="I230" s="46">
        <f t="shared" si="140"/>
        <v>-310332.14</v>
      </c>
      <c r="J230" s="47">
        <v>50464.18</v>
      </c>
      <c r="K230" s="47">
        <f>500000+17500</f>
        <v>517500</v>
      </c>
      <c r="L230" s="47">
        <v>-671253.22</v>
      </c>
      <c r="M230" s="47">
        <f t="shared" si="141"/>
        <v>-413621.18</v>
      </c>
      <c r="N230" s="46">
        <v>4000000</v>
      </c>
      <c r="O230" s="48">
        <f t="shared" si="142"/>
        <v>4226.860000000057</v>
      </c>
      <c r="P230" s="55"/>
      <c r="Q230" s="55"/>
      <c r="R230" s="55"/>
      <c r="S230" s="55">
        <f t="shared" si="143"/>
        <v>4226.860000000057</v>
      </c>
      <c r="T230" s="48"/>
      <c r="U230" s="49">
        <f t="shared" si="144"/>
        <v>17533.350000000042</v>
      </c>
      <c r="V230" s="51">
        <v>9302.68</v>
      </c>
      <c r="W230" s="51">
        <v>-17500</v>
      </c>
      <c r="X230" s="51">
        <v>-10</v>
      </c>
      <c r="Y230" s="51">
        <f t="shared" si="145"/>
        <v>9326.0300000000425</v>
      </c>
      <c r="Z230" s="52"/>
      <c r="AA230" s="53">
        <f t="shared" si="146"/>
        <v>0.49999999999533884</v>
      </c>
      <c r="AB230" s="54"/>
      <c r="AC230" s="54"/>
      <c r="AD230" s="54"/>
      <c r="AE230" s="54">
        <f t="shared" si="147"/>
        <v>0.49999999999533884</v>
      </c>
      <c r="AF230" s="53"/>
      <c r="AG230" s="53">
        <f t="shared" si="126"/>
        <v>25.209999999991851</v>
      </c>
      <c r="AH230" s="54"/>
      <c r="AI230" s="54"/>
      <c r="AJ230" s="54"/>
      <c r="AK230" s="54">
        <f t="shared" si="148"/>
        <v>25.209999999991851</v>
      </c>
      <c r="AL230" s="53"/>
      <c r="AM230" s="53">
        <f t="shared" si="128"/>
        <v>0</v>
      </c>
      <c r="AN230" s="54"/>
      <c r="AO230" s="54"/>
      <c r="AP230" s="54"/>
      <c r="AQ230" s="54">
        <f t="shared" si="129"/>
        <v>0</v>
      </c>
      <c r="AR230" s="53"/>
      <c r="AS230" s="50">
        <f t="shared" si="156"/>
        <v>-3879752.5800000005</v>
      </c>
      <c r="AT230" s="50">
        <f t="shared" si="157"/>
        <v>301891.10000000003</v>
      </c>
      <c r="AU230" s="50">
        <f t="shared" si="158"/>
        <v>0</v>
      </c>
      <c r="AV230" s="50">
        <f t="shared" si="159"/>
        <v>-703281.88999999978</v>
      </c>
      <c r="AW230" s="50"/>
      <c r="AX230" s="50">
        <f t="shared" si="135"/>
        <v>-4281118.1599999992</v>
      </c>
      <c r="AY230" s="50">
        <f t="shared" si="136"/>
        <v>8300000</v>
      </c>
      <c r="AZ230" s="50">
        <f t="shared" si="137"/>
        <v>4018881.8400000008</v>
      </c>
    </row>
    <row r="231" spans="2:52" x14ac:dyDescent="0.3">
      <c r="B231" s="99">
        <f>B230+3</f>
        <v>44487</v>
      </c>
      <c r="C231" s="44">
        <f t="shared" si="139"/>
        <v>-3881075.58</v>
      </c>
      <c r="D231" s="45">
        <f>61043.79+50779.16</f>
        <v>111822.95000000001</v>
      </c>
      <c r="E231" s="45"/>
      <c r="F231" s="45">
        <v>-573.79999999999995</v>
      </c>
      <c r="G231" s="45">
        <f t="shared" si="155"/>
        <v>-3769826.4299999997</v>
      </c>
      <c r="H231" s="44">
        <v>4300000</v>
      </c>
      <c r="I231" s="46">
        <f t="shared" si="140"/>
        <v>-413621.18</v>
      </c>
      <c r="J231" s="47">
        <f>4478.27+84153.17+245627.3+19125.72</f>
        <v>353384.45999999996</v>
      </c>
      <c r="K231" s="47"/>
      <c r="L231" s="47">
        <v>-52113.339999999902</v>
      </c>
      <c r="M231" s="47">
        <f t="shared" si="141"/>
        <v>-112350.05999999994</v>
      </c>
      <c r="N231" s="46">
        <v>4000000</v>
      </c>
      <c r="O231" s="48">
        <f t="shared" si="142"/>
        <v>4226.860000000057</v>
      </c>
      <c r="P231" s="55">
        <f>61.44+157.12+284.58+880.1</f>
        <v>1383.24</v>
      </c>
      <c r="Q231" s="55"/>
      <c r="R231" s="55"/>
      <c r="S231" s="55">
        <f t="shared" si="143"/>
        <v>5610.1000000000568</v>
      </c>
      <c r="T231" s="48"/>
      <c r="U231" s="49">
        <f t="shared" si="144"/>
        <v>9326.0300000000425</v>
      </c>
      <c r="V231" s="51">
        <v>75410.350000000006</v>
      </c>
      <c r="W231" s="51"/>
      <c r="X231" s="51"/>
      <c r="Y231" s="51">
        <f t="shared" si="145"/>
        <v>84736.380000000048</v>
      </c>
      <c r="Z231" s="52"/>
      <c r="AA231" s="53">
        <f t="shared" si="146"/>
        <v>0.49999999999533884</v>
      </c>
      <c r="AB231" s="54"/>
      <c r="AC231" s="54"/>
      <c r="AD231" s="54"/>
      <c r="AE231" s="54">
        <f t="shared" si="147"/>
        <v>0.49999999999533884</v>
      </c>
      <c r="AF231" s="53"/>
      <c r="AG231" s="53">
        <f t="shared" si="126"/>
        <v>25.209999999991851</v>
      </c>
      <c r="AH231" s="54"/>
      <c r="AI231" s="54"/>
      <c r="AJ231" s="54"/>
      <c r="AK231" s="54">
        <f t="shared" si="148"/>
        <v>25.209999999991851</v>
      </c>
      <c r="AL231" s="53"/>
      <c r="AM231" s="53">
        <f t="shared" si="128"/>
        <v>0</v>
      </c>
      <c r="AN231" s="54"/>
      <c r="AO231" s="54"/>
      <c r="AP231" s="54"/>
      <c r="AQ231" s="54">
        <f t="shared" si="129"/>
        <v>0</v>
      </c>
      <c r="AR231" s="53"/>
      <c r="AS231" s="50">
        <f t="shared" si="156"/>
        <v>-4281143.3699999992</v>
      </c>
      <c r="AT231" s="50">
        <f t="shared" si="157"/>
        <v>542001</v>
      </c>
      <c r="AU231" s="50">
        <f t="shared" si="158"/>
        <v>0</v>
      </c>
      <c r="AV231" s="50">
        <f t="shared" si="159"/>
        <v>-52687.139999999905</v>
      </c>
      <c r="AW231" s="50"/>
      <c r="AX231" s="50">
        <f t="shared" si="135"/>
        <v>-3791804.3</v>
      </c>
      <c r="AY231" s="50">
        <f t="shared" si="136"/>
        <v>8300000</v>
      </c>
      <c r="AZ231" s="50">
        <f t="shared" si="137"/>
        <v>4508195.7</v>
      </c>
    </row>
    <row r="232" spans="2:52" x14ac:dyDescent="0.3">
      <c r="B232" s="99">
        <f>B231+1</f>
        <v>44488</v>
      </c>
      <c r="C232" s="44">
        <f t="shared" si="139"/>
        <v>-3769826.4299999997</v>
      </c>
      <c r="D232" s="45">
        <v>82514.990000000005</v>
      </c>
      <c r="E232" s="45"/>
      <c r="F232" s="45">
        <v>-2359.6999999999998</v>
      </c>
      <c r="G232" s="45">
        <f t="shared" si="155"/>
        <v>-3689671.1399999997</v>
      </c>
      <c r="H232" s="44">
        <v>4300000</v>
      </c>
      <c r="I232" s="46">
        <f t="shared" si="140"/>
        <v>-112350.05999999994</v>
      </c>
      <c r="J232" s="47">
        <v>168875</v>
      </c>
      <c r="K232" s="47">
        <v>100000</v>
      </c>
      <c r="L232" s="47">
        <f>-8222.44-9286.11-1017</f>
        <v>-18525.550000000003</v>
      </c>
      <c r="M232" s="47">
        <f t="shared" si="141"/>
        <v>137999.39000000007</v>
      </c>
      <c r="N232" s="46">
        <v>4000000</v>
      </c>
      <c r="O232" s="48">
        <f t="shared" si="142"/>
        <v>5610.1000000000568</v>
      </c>
      <c r="P232" s="55"/>
      <c r="Q232" s="55"/>
      <c r="R232" s="55"/>
      <c r="S232" s="55">
        <f t="shared" si="143"/>
        <v>5610.1000000000568</v>
      </c>
      <c r="T232" s="48"/>
      <c r="U232" s="49">
        <f t="shared" si="144"/>
        <v>84736.380000000048</v>
      </c>
      <c r="V232" s="51">
        <v>56909.7</v>
      </c>
      <c r="W232" s="51">
        <v>-100000</v>
      </c>
      <c r="X232" s="51">
        <f>-422.8-386-1.2*2-10</f>
        <v>-821.19999999999993</v>
      </c>
      <c r="Y232" s="51">
        <f t="shared" si="145"/>
        <v>40824.880000000048</v>
      </c>
      <c r="Z232" s="52"/>
      <c r="AA232" s="53">
        <f t="shared" si="146"/>
        <v>0.49999999999533884</v>
      </c>
      <c r="AB232" s="54"/>
      <c r="AC232" s="54"/>
      <c r="AD232" s="54"/>
      <c r="AE232" s="54">
        <f t="shared" si="147"/>
        <v>0.49999999999533884</v>
      </c>
      <c r="AF232" s="53"/>
      <c r="AG232" s="53">
        <f t="shared" si="126"/>
        <v>25.209999999991851</v>
      </c>
      <c r="AH232" s="54"/>
      <c r="AI232" s="54"/>
      <c r="AJ232" s="54"/>
      <c r="AK232" s="54">
        <f t="shared" si="148"/>
        <v>25.209999999991851</v>
      </c>
      <c r="AL232" s="53"/>
      <c r="AM232" s="53">
        <f t="shared" si="128"/>
        <v>0</v>
      </c>
      <c r="AN232" s="54"/>
      <c r="AO232" s="54"/>
      <c r="AP232" s="54"/>
      <c r="AQ232" s="54">
        <f t="shared" si="129"/>
        <v>0</v>
      </c>
      <c r="AR232" s="53"/>
      <c r="AS232" s="50">
        <f t="shared" si="156"/>
        <v>-3791829.51</v>
      </c>
      <c r="AT232" s="50">
        <f t="shared" ref="AT232:AT264" si="163">SUM(D232,J232,P232,V232,AB232,AH232)</f>
        <v>308299.69</v>
      </c>
      <c r="AU232" s="50">
        <v>0</v>
      </c>
      <c r="AV232" s="50">
        <f t="shared" ref="AV232:AV264" si="164">SUM(F232,L232,R232,X232,AD232,AJ232)</f>
        <v>-21706.450000000004</v>
      </c>
      <c r="AW232" s="50"/>
      <c r="AX232" s="50">
        <f t="shared" si="135"/>
        <v>-3505211.0599999996</v>
      </c>
      <c r="AY232" s="50">
        <f t="shared" si="136"/>
        <v>8300000</v>
      </c>
      <c r="AZ232" s="50">
        <f t="shared" si="137"/>
        <v>4794788.9400000004</v>
      </c>
    </row>
    <row r="233" spans="2:52" x14ac:dyDescent="0.3">
      <c r="B233" s="99">
        <f t="shared" ref="B233:B234" si="165">B232+1</f>
        <v>44489</v>
      </c>
      <c r="C233" s="44">
        <f t="shared" si="139"/>
        <v>-3689671.1399999997</v>
      </c>
      <c r="D233" s="45">
        <f>100431.54+29576.44+11282.29+2177.82</f>
        <v>143468.09</v>
      </c>
      <c r="E233" s="45">
        <f>40000-250000</f>
        <v>-210000</v>
      </c>
      <c r="F233" s="45">
        <v>-396790.14</v>
      </c>
      <c r="G233" s="45">
        <f t="shared" si="155"/>
        <v>-4152993.19</v>
      </c>
      <c r="H233" s="44">
        <v>4300000</v>
      </c>
      <c r="I233" s="46">
        <f t="shared" si="140"/>
        <v>137999.39000000007</v>
      </c>
      <c r="J233" s="47"/>
      <c r="K233" s="47">
        <v>250000</v>
      </c>
      <c r="L233" s="47">
        <v>-837484.42</v>
      </c>
      <c r="M233" s="47">
        <f t="shared" si="141"/>
        <v>-449485.02999999997</v>
      </c>
      <c r="N233" s="46">
        <v>4000000</v>
      </c>
      <c r="O233" s="48">
        <f t="shared" si="142"/>
        <v>5610.1000000000568</v>
      </c>
      <c r="P233" s="55"/>
      <c r="Q233" s="55"/>
      <c r="R233" s="55"/>
      <c r="S233" s="55">
        <f t="shared" si="143"/>
        <v>5610.1000000000568</v>
      </c>
      <c r="T233" s="48"/>
      <c r="U233" s="49">
        <f t="shared" si="144"/>
        <v>40824.880000000048</v>
      </c>
      <c r="V233" s="51">
        <v>22467.69</v>
      </c>
      <c r="W233" s="51">
        <v>-40000</v>
      </c>
      <c r="X233" s="51">
        <v>-20</v>
      </c>
      <c r="Y233" s="51">
        <f t="shared" si="145"/>
        <v>23272.570000000051</v>
      </c>
      <c r="Z233" s="52"/>
      <c r="AA233" s="53">
        <f t="shared" si="146"/>
        <v>0.49999999999533884</v>
      </c>
      <c r="AB233" s="54"/>
      <c r="AC233" s="54"/>
      <c r="AD233" s="54"/>
      <c r="AE233" s="54">
        <f t="shared" si="147"/>
        <v>0.49999999999533884</v>
      </c>
      <c r="AF233" s="53"/>
      <c r="AG233" s="53">
        <f t="shared" ref="AG233:AG296" si="166">AK232</f>
        <v>25.209999999991851</v>
      </c>
      <c r="AH233" s="54"/>
      <c r="AI233" s="54"/>
      <c r="AJ233" s="54"/>
      <c r="AK233" s="54">
        <f t="shared" si="148"/>
        <v>25.209999999991851</v>
      </c>
      <c r="AL233" s="53"/>
      <c r="AM233" s="53">
        <f t="shared" si="128"/>
        <v>0</v>
      </c>
      <c r="AN233" s="54"/>
      <c r="AO233" s="54"/>
      <c r="AP233" s="54"/>
      <c r="AQ233" s="54">
        <f t="shared" si="129"/>
        <v>0</v>
      </c>
      <c r="AR233" s="53"/>
      <c r="AS233" s="50">
        <f t="shared" si="156"/>
        <v>-3505236.2699999996</v>
      </c>
      <c r="AT233" s="50">
        <f t="shared" si="163"/>
        <v>165935.78</v>
      </c>
      <c r="AU233" s="50">
        <v>500000</v>
      </c>
      <c r="AV233" s="50">
        <f t="shared" si="164"/>
        <v>-1234294.56</v>
      </c>
      <c r="AW233" s="50"/>
      <c r="AX233" s="50">
        <f t="shared" si="135"/>
        <v>-4573569.84</v>
      </c>
      <c r="AY233" s="50">
        <f t="shared" si="136"/>
        <v>8300000</v>
      </c>
      <c r="AZ233" s="50">
        <f t="shared" si="137"/>
        <v>3726430.16</v>
      </c>
    </row>
    <row r="234" spans="2:52" x14ac:dyDescent="0.3">
      <c r="B234" s="99">
        <f t="shared" si="165"/>
        <v>44490</v>
      </c>
      <c r="C234" s="44">
        <f t="shared" si="139"/>
        <v>-4152993.19</v>
      </c>
      <c r="D234" s="45">
        <v>210645.57</v>
      </c>
      <c r="E234" s="45"/>
      <c r="F234" s="45">
        <v>-4.25</v>
      </c>
      <c r="G234" s="45">
        <f t="shared" si="155"/>
        <v>-3942351.87</v>
      </c>
      <c r="H234" s="44">
        <v>4300000</v>
      </c>
      <c r="I234" s="46">
        <f t="shared" si="140"/>
        <v>-449485.02999999997</v>
      </c>
      <c r="J234" s="47">
        <v>130104.59</v>
      </c>
      <c r="K234" s="47"/>
      <c r="L234" s="47">
        <v>-54276.720000000103</v>
      </c>
      <c r="M234" s="47">
        <f t="shared" si="141"/>
        <v>-373657.16000000003</v>
      </c>
      <c r="N234" s="46">
        <v>4000000</v>
      </c>
      <c r="O234" s="48">
        <f t="shared" si="142"/>
        <v>5610.1000000000568</v>
      </c>
      <c r="P234" s="55">
        <f>185.75+297.92</f>
        <v>483.67</v>
      </c>
      <c r="Q234" s="55"/>
      <c r="R234" s="55"/>
      <c r="S234" s="55">
        <f t="shared" si="143"/>
        <v>6093.7700000000568</v>
      </c>
      <c r="T234" s="48"/>
      <c r="U234" s="49">
        <f t="shared" si="144"/>
        <v>23272.570000000051</v>
      </c>
      <c r="V234" s="51"/>
      <c r="W234" s="51"/>
      <c r="X234" s="51"/>
      <c r="Y234" s="51">
        <f t="shared" si="145"/>
        <v>23272.570000000051</v>
      </c>
      <c r="Z234" s="52"/>
      <c r="AA234" s="53">
        <f t="shared" si="146"/>
        <v>0.49999999999533884</v>
      </c>
      <c r="AB234" s="54"/>
      <c r="AC234" s="54"/>
      <c r="AD234" s="54"/>
      <c r="AE234" s="54">
        <f t="shared" si="147"/>
        <v>0.49999999999533884</v>
      </c>
      <c r="AF234" s="53"/>
      <c r="AG234" s="53">
        <f t="shared" si="166"/>
        <v>25.209999999991851</v>
      </c>
      <c r="AH234" s="54"/>
      <c r="AI234" s="54"/>
      <c r="AJ234" s="54"/>
      <c r="AK234" s="54">
        <f t="shared" si="148"/>
        <v>25.209999999991851</v>
      </c>
      <c r="AL234" s="53"/>
      <c r="AM234" s="53">
        <f t="shared" si="128"/>
        <v>0</v>
      </c>
      <c r="AN234" s="54"/>
      <c r="AO234" s="54"/>
      <c r="AP234" s="54"/>
      <c r="AQ234" s="54">
        <f t="shared" si="129"/>
        <v>0</v>
      </c>
      <c r="AR234" s="53"/>
      <c r="AS234" s="50">
        <f t="shared" si="156"/>
        <v>-4573595.05</v>
      </c>
      <c r="AT234" s="50">
        <f t="shared" si="163"/>
        <v>341233.83</v>
      </c>
      <c r="AU234" s="50">
        <f t="shared" ref="AU234:AU297" si="167">SUM(E234,K234,Q234,W234,AC234,AI234)</f>
        <v>0</v>
      </c>
      <c r="AV234" s="50">
        <f t="shared" si="164"/>
        <v>-54280.970000000103</v>
      </c>
      <c r="AW234" s="50"/>
      <c r="AX234" s="50">
        <f t="shared" si="135"/>
        <v>-4286616.9799999995</v>
      </c>
      <c r="AY234" s="50">
        <f t="shared" si="136"/>
        <v>8300000</v>
      </c>
      <c r="AZ234" s="50">
        <f t="shared" si="137"/>
        <v>4013383.0200000005</v>
      </c>
    </row>
    <row r="235" spans="2:52" x14ac:dyDescent="0.3">
      <c r="B235" s="99">
        <f>B234+1</f>
        <v>44491</v>
      </c>
      <c r="C235" s="44">
        <f t="shared" si="139"/>
        <v>-3942351.87</v>
      </c>
      <c r="D235" s="45"/>
      <c r="E235" s="45"/>
      <c r="F235" s="45">
        <v>-3.4</v>
      </c>
      <c r="G235" s="45">
        <f t="shared" si="155"/>
        <v>-3942355.27</v>
      </c>
      <c r="H235" s="44">
        <v>4300000</v>
      </c>
      <c r="I235" s="46">
        <f t="shared" si="140"/>
        <v>-373657.16000000003</v>
      </c>
      <c r="J235" s="47"/>
      <c r="K235" s="47"/>
      <c r="L235" s="47">
        <f>-(8856.07+5771+2173+2473.3)</f>
        <v>-19273.37</v>
      </c>
      <c r="M235" s="47">
        <f t="shared" si="141"/>
        <v>-392930.53</v>
      </c>
      <c r="N235" s="46">
        <v>4000000</v>
      </c>
      <c r="O235" s="48">
        <f t="shared" si="142"/>
        <v>6093.7700000000568</v>
      </c>
      <c r="P235" s="55"/>
      <c r="Q235" s="55"/>
      <c r="R235" s="55"/>
      <c r="S235" s="55">
        <f t="shared" si="143"/>
        <v>6093.7700000000568</v>
      </c>
      <c r="T235" s="48"/>
      <c r="U235" s="49">
        <f t="shared" si="144"/>
        <v>23272.570000000051</v>
      </c>
      <c r="V235" s="51">
        <v>22298.76</v>
      </c>
      <c r="W235" s="51"/>
      <c r="X235" s="51"/>
      <c r="Y235" s="51">
        <f t="shared" si="145"/>
        <v>45571.330000000045</v>
      </c>
      <c r="Z235" s="52"/>
      <c r="AA235" s="53">
        <f t="shared" si="146"/>
        <v>0.49999999999533884</v>
      </c>
      <c r="AB235" s="54"/>
      <c r="AC235" s="54"/>
      <c r="AD235" s="54"/>
      <c r="AE235" s="54">
        <f t="shared" si="147"/>
        <v>0.49999999999533884</v>
      </c>
      <c r="AF235" s="53"/>
      <c r="AG235" s="53">
        <f t="shared" si="166"/>
        <v>25.209999999991851</v>
      </c>
      <c r="AH235" s="54"/>
      <c r="AI235" s="54"/>
      <c r="AJ235" s="54"/>
      <c r="AK235" s="54">
        <f t="shared" si="148"/>
        <v>25.209999999991851</v>
      </c>
      <c r="AL235" s="53"/>
      <c r="AM235" s="53">
        <f t="shared" si="128"/>
        <v>0</v>
      </c>
      <c r="AN235" s="54"/>
      <c r="AO235" s="54"/>
      <c r="AP235" s="54"/>
      <c r="AQ235" s="54">
        <f t="shared" si="129"/>
        <v>0</v>
      </c>
      <c r="AR235" s="53"/>
      <c r="AS235" s="50">
        <f t="shared" si="156"/>
        <v>-4286642.1899999995</v>
      </c>
      <c r="AT235" s="50">
        <f t="shared" si="163"/>
        <v>22298.76</v>
      </c>
      <c r="AU235" s="50">
        <f t="shared" si="167"/>
        <v>0</v>
      </c>
      <c r="AV235" s="50">
        <f t="shared" si="164"/>
        <v>-19276.77</v>
      </c>
      <c r="AW235" s="50"/>
      <c r="AX235" s="50">
        <f t="shared" si="135"/>
        <v>-4283594.9899999993</v>
      </c>
      <c r="AY235" s="50">
        <f t="shared" si="136"/>
        <v>8300000</v>
      </c>
      <c r="AZ235" s="50">
        <f t="shared" si="137"/>
        <v>4016405.0100000007</v>
      </c>
    </row>
    <row r="236" spans="2:52" x14ac:dyDescent="0.3">
      <c r="B236" s="99">
        <f>B235+3</f>
        <v>44494</v>
      </c>
      <c r="C236" s="44">
        <f t="shared" si="139"/>
        <v>-3942355.27</v>
      </c>
      <c r="D236" s="45">
        <v>18938.93</v>
      </c>
      <c r="E236" s="45">
        <v>930000</v>
      </c>
      <c r="F236" s="45">
        <v>-99576.3</v>
      </c>
      <c r="G236" s="45">
        <f t="shared" si="155"/>
        <v>-3092992.6399999997</v>
      </c>
      <c r="H236" s="44">
        <v>4300000</v>
      </c>
      <c r="I236" s="46">
        <f t="shared" si="140"/>
        <v>-392930.53</v>
      </c>
      <c r="J236" s="47">
        <v>986277.3</v>
      </c>
      <c r="K236" s="47">
        <v>-500000</v>
      </c>
      <c r="L236" s="47">
        <v>-75046.070000000007</v>
      </c>
      <c r="M236" s="47">
        <f t="shared" si="141"/>
        <v>18300.700000000012</v>
      </c>
      <c r="N236" s="46">
        <v>4000000</v>
      </c>
      <c r="O236" s="48">
        <f t="shared" si="142"/>
        <v>6093.7700000000568</v>
      </c>
      <c r="P236" s="55"/>
      <c r="Q236" s="55">
        <f>426390-430000</f>
        <v>-3610</v>
      </c>
      <c r="R236" s="55">
        <f>-84-10</f>
        <v>-94</v>
      </c>
      <c r="S236" s="55">
        <f t="shared" si="143"/>
        <v>2389.7700000000568</v>
      </c>
      <c r="T236" s="48"/>
      <c r="U236" s="49">
        <f t="shared" si="144"/>
        <v>45571.330000000045</v>
      </c>
      <c r="V236" s="51">
        <v>380873.8</v>
      </c>
      <c r="W236" s="51">
        <v>-426390</v>
      </c>
      <c r="X236" s="51">
        <f>-1.2-52.35</f>
        <v>-53.550000000000004</v>
      </c>
      <c r="Y236" s="51">
        <f t="shared" si="145"/>
        <v>1.5800000000046523</v>
      </c>
      <c r="Z236" s="52"/>
      <c r="AA236" s="53">
        <f t="shared" si="146"/>
        <v>0.49999999999533884</v>
      </c>
      <c r="AB236" s="54"/>
      <c r="AC236" s="54"/>
      <c r="AD236" s="54"/>
      <c r="AE236" s="54">
        <f t="shared" si="147"/>
        <v>0.49999999999533884</v>
      </c>
      <c r="AF236" s="53"/>
      <c r="AG236" s="53">
        <f t="shared" si="166"/>
        <v>25.209999999991851</v>
      </c>
      <c r="AH236" s="54"/>
      <c r="AI236" s="54"/>
      <c r="AJ236" s="54"/>
      <c r="AK236" s="54">
        <f t="shared" si="148"/>
        <v>25.209999999991851</v>
      </c>
      <c r="AL236" s="53"/>
      <c r="AM236" s="53">
        <f t="shared" si="128"/>
        <v>0</v>
      </c>
      <c r="AN236" s="54"/>
      <c r="AO236" s="54"/>
      <c r="AP236" s="54"/>
      <c r="AQ236" s="54">
        <f t="shared" si="129"/>
        <v>0</v>
      </c>
      <c r="AR236" s="53"/>
      <c r="AS236" s="50">
        <f t="shared" si="156"/>
        <v>-4283620.1999999993</v>
      </c>
      <c r="AT236" s="50">
        <f t="shared" si="163"/>
        <v>1386090.03</v>
      </c>
      <c r="AU236" s="50">
        <f t="shared" si="167"/>
        <v>0</v>
      </c>
      <c r="AV236" s="50">
        <f t="shared" si="164"/>
        <v>-174769.91999999998</v>
      </c>
      <c r="AW236" s="50"/>
      <c r="AX236" s="50">
        <f t="shared" si="135"/>
        <v>-3072274.8799999994</v>
      </c>
      <c r="AY236" s="50">
        <f t="shared" si="136"/>
        <v>8300000</v>
      </c>
      <c r="AZ236" s="50">
        <f t="shared" si="137"/>
        <v>5227725.120000001</v>
      </c>
    </row>
    <row r="237" spans="2:52" x14ac:dyDescent="0.3">
      <c r="B237" s="99">
        <f>B236+1</f>
        <v>44495</v>
      </c>
      <c r="C237" s="44">
        <f t="shared" si="139"/>
        <v>-3092992.6399999997</v>
      </c>
      <c r="D237" s="45"/>
      <c r="E237" s="45"/>
      <c r="F237" s="45">
        <v>-462743.39</v>
      </c>
      <c r="G237" s="45">
        <f t="shared" si="155"/>
        <v>-3555736.03</v>
      </c>
      <c r="H237" s="44">
        <v>4300000</v>
      </c>
      <c r="I237" s="46">
        <f t="shared" si="140"/>
        <v>18300.700000000012</v>
      </c>
      <c r="J237" s="47"/>
      <c r="K237" s="47"/>
      <c r="L237" s="47">
        <v>-8043.6500000000096</v>
      </c>
      <c r="M237" s="47">
        <f t="shared" si="141"/>
        <v>10257.050000000003</v>
      </c>
      <c r="N237" s="46">
        <v>4000000</v>
      </c>
      <c r="O237" s="48">
        <f t="shared" si="142"/>
        <v>2389.7700000000568</v>
      </c>
      <c r="P237" s="55"/>
      <c r="Q237" s="55"/>
      <c r="R237" s="55"/>
      <c r="S237" s="55">
        <f t="shared" si="143"/>
        <v>2389.7700000000568</v>
      </c>
      <c r="T237" s="48"/>
      <c r="U237" s="49">
        <f t="shared" si="144"/>
        <v>1.5800000000046523</v>
      </c>
      <c r="V237" s="51"/>
      <c r="W237" s="51"/>
      <c r="X237" s="51"/>
      <c r="Y237" s="51">
        <f t="shared" si="145"/>
        <v>1.5800000000046523</v>
      </c>
      <c r="Z237" s="52"/>
      <c r="AA237" s="53">
        <f t="shared" si="146"/>
        <v>0.49999999999533884</v>
      </c>
      <c r="AB237" s="54"/>
      <c r="AC237" s="54"/>
      <c r="AD237" s="54"/>
      <c r="AE237" s="54">
        <f t="shared" si="147"/>
        <v>0.49999999999533884</v>
      </c>
      <c r="AF237" s="53"/>
      <c r="AG237" s="53">
        <f t="shared" si="166"/>
        <v>25.209999999991851</v>
      </c>
      <c r="AH237" s="54"/>
      <c r="AI237" s="54"/>
      <c r="AJ237" s="54"/>
      <c r="AK237" s="54">
        <f t="shared" si="148"/>
        <v>25.209999999991851</v>
      </c>
      <c r="AL237" s="53"/>
      <c r="AM237" s="53">
        <f t="shared" si="128"/>
        <v>0</v>
      </c>
      <c r="AN237" s="54"/>
      <c r="AO237" s="54"/>
      <c r="AP237" s="54"/>
      <c r="AQ237" s="54">
        <f t="shared" si="129"/>
        <v>0</v>
      </c>
      <c r="AR237" s="53"/>
      <c r="AS237" s="50">
        <f t="shared" si="156"/>
        <v>-3072300.0899999994</v>
      </c>
      <c r="AT237" s="50">
        <f t="shared" si="163"/>
        <v>0</v>
      </c>
      <c r="AU237" s="50">
        <f t="shared" si="167"/>
        <v>0</v>
      </c>
      <c r="AV237" s="50">
        <f t="shared" si="164"/>
        <v>-470787.04000000004</v>
      </c>
      <c r="AW237" s="50"/>
      <c r="AX237" s="50">
        <f t="shared" si="135"/>
        <v>-3543061.92</v>
      </c>
      <c r="AY237" s="50">
        <f t="shared" si="136"/>
        <v>8300000</v>
      </c>
      <c r="AZ237" s="50">
        <f t="shared" si="137"/>
        <v>4756938.08</v>
      </c>
    </row>
    <row r="238" spans="2:52" x14ac:dyDescent="0.3">
      <c r="B238" s="99">
        <f t="shared" ref="B238:B239" si="168">B237+1</f>
        <v>44496</v>
      </c>
      <c r="C238" s="44">
        <f t="shared" si="139"/>
        <v>-3555736.03</v>
      </c>
      <c r="D238" s="45">
        <v>235543.87</v>
      </c>
      <c r="E238" s="45"/>
      <c r="F238" s="45">
        <v>-1557.53</v>
      </c>
      <c r="G238" s="45">
        <f t="shared" si="155"/>
        <v>-3321749.6899999995</v>
      </c>
      <c r="H238" s="44">
        <v>4300000</v>
      </c>
      <c r="I238" s="46">
        <f t="shared" si="140"/>
        <v>10257.050000000003</v>
      </c>
      <c r="J238" s="47">
        <v>121104.92000000001</v>
      </c>
      <c r="K238" s="47"/>
      <c r="L238" s="47">
        <v>-19537</v>
      </c>
      <c r="M238" s="47">
        <f t="shared" si="141"/>
        <v>111824.97000000003</v>
      </c>
      <c r="N238" s="46">
        <v>4000000</v>
      </c>
      <c r="O238" s="48">
        <f t="shared" si="142"/>
        <v>2389.7700000000568</v>
      </c>
      <c r="P238" s="55">
        <f>5680.24+24634.66</f>
        <v>30314.9</v>
      </c>
      <c r="Q238" s="55"/>
      <c r="R238" s="55"/>
      <c r="S238" s="55">
        <f t="shared" si="143"/>
        <v>32704.670000000056</v>
      </c>
      <c r="T238" s="48"/>
      <c r="U238" s="49">
        <f t="shared" si="144"/>
        <v>1.5800000000046523</v>
      </c>
      <c r="V238" s="51"/>
      <c r="W238" s="51"/>
      <c r="X238" s="51"/>
      <c r="Y238" s="51">
        <f t="shared" si="145"/>
        <v>1.5800000000046523</v>
      </c>
      <c r="Z238" s="52"/>
      <c r="AA238" s="53">
        <f t="shared" si="146"/>
        <v>0.49999999999533884</v>
      </c>
      <c r="AB238" s="54"/>
      <c r="AC238" s="54"/>
      <c r="AD238" s="54"/>
      <c r="AE238" s="54">
        <f t="shared" si="147"/>
        <v>0.49999999999533884</v>
      </c>
      <c r="AF238" s="53"/>
      <c r="AG238" s="53">
        <f t="shared" si="166"/>
        <v>25.209999999991851</v>
      </c>
      <c r="AH238" s="54"/>
      <c r="AI238" s="54"/>
      <c r="AJ238" s="54"/>
      <c r="AK238" s="54">
        <f t="shared" si="148"/>
        <v>25.209999999991851</v>
      </c>
      <c r="AL238" s="53"/>
      <c r="AM238" s="53">
        <f t="shared" si="128"/>
        <v>0</v>
      </c>
      <c r="AN238" s="54"/>
      <c r="AO238" s="54"/>
      <c r="AP238" s="54"/>
      <c r="AQ238" s="54">
        <f t="shared" si="129"/>
        <v>0</v>
      </c>
      <c r="AR238" s="53"/>
      <c r="AS238" s="50">
        <f t="shared" si="156"/>
        <v>-3543087.13</v>
      </c>
      <c r="AT238" s="50">
        <f t="shared" si="163"/>
        <v>386963.69000000006</v>
      </c>
      <c r="AU238" s="50">
        <f t="shared" si="167"/>
        <v>0</v>
      </c>
      <c r="AV238" s="50">
        <f t="shared" si="164"/>
        <v>-21094.53</v>
      </c>
      <c r="AW238" s="50"/>
      <c r="AX238" s="50">
        <f t="shared" si="135"/>
        <v>-3177192.7599999993</v>
      </c>
      <c r="AY238" s="50">
        <f t="shared" si="136"/>
        <v>8300000</v>
      </c>
      <c r="AZ238" s="50">
        <f t="shared" si="137"/>
        <v>5122807.24</v>
      </c>
    </row>
    <row r="239" spans="2:52" x14ac:dyDescent="0.3">
      <c r="B239" s="99">
        <f t="shared" si="168"/>
        <v>44497</v>
      </c>
      <c r="C239" s="44">
        <f t="shared" si="139"/>
        <v>-3321749.6899999995</v>
      </c>
      <c r="D239" s="45"/>
      <c r="E239" s="45"/>
      <c r="F239" s="45"/>
      <c r="G239" s="45">
        <f t="shared" si="155"/>
        <v>-3321749.6899999995</v>
      </c>
      <c r="H239" s="44">
        <v>4300000</v>
      </c>
      <c r="I239" s="46">
        <f t="shared" si="140"/>
        <v>111824.97000000003</v>
      </c>
      <c r="J239" s="47"/>
      <c r="K239" s="47">
        <v>443000</v>
      </c>
      <c r="L239" s="47">
        <v>-195210.26</v>
      </c>
      <c r="M239" s="47">
        <f t="shared" si="141"/>
        <v>359614.70999999996</v>
      </c>
      <c r="N239" s="46">
        <v>4000000</v>
      </c>
      <c r="O239" s="48">
        <f t="shared" si="142"/>
        <v>32704.670000000056</v>
      </c>
      <c r="P239" s="55"/>
      <c r="Q239" s="55"/>
      <c r="R239" s="55"/>
      <c r="S239" s="55">
        <f t="shared" si="143"/>
        <v>32704.670000000056</v>
      </c>
      <c r="T239" s="48"/>
      <c r="U239" s="49">
        <f t="shared" si="144"/>
        <v>1.5800000000046523</v>
      </c>
      <c r="V239" s="51"/>
      <c r="W239" s="51"/>
      <c r="X239" s="51"/>
      <c r="Y239" s="51">
        <f t="shared" si="145"/>
        <v>1.5800000000046523</v>
      </c>
      <c r="Z239" s="52"/>
      <c r="AA239" s="53">
        <f t="shared" si="146"/>
        <v>0.49999999999533884</v>
      </c>
      <c r="AB239" s="54"/>
      <c r="AC239" s="54"/>
      <c r="AD239" s="54"/>
      <c r="AE239" s="54">
        <f t="shared" si="147"/>
        <v>0.49999999999533884</v>
      </c>
      <c r="AF239" s="53"/>
      <c r="AG239" s="53">
        <f t="shared" si="166"/>
        <v>25.209999999991851</v>
      </c>
      <c r="AH239" s="54">
        <v>443565.25</v>
      </c>
      <c r="AI239" s="54">
        <v>-443000</v>
      </c>
      <c r="AJ239" s="54"/>
      <c r="AK239" s="54">
        <f t="shared" si="148"/>
        <v>590.45999999996275</v>
      </c>
      <c r="AL239" s="53"/>
      <c r="AM239" s="53">
        <f t="shared" si="128"/>
        <v>0</v>
      </c>
      <c r="AN239" s="54"/>
      <c r="AO239" s="54"/>
      <c r="AP239" s="54"/>
      <c r="AQ239" s="54">
        <f t="shared" si="129"/>
        <v>0</v>
      </c>
      <c r="AR239" s="53"/>
      <c r="AS239" s="50">
        <f t="shared" si="156"/>
        <v>-3177217.9699999993</v>
      </c>
      <c r="AT239" s="50">
        <f t="shared" si="163"/>
        <v>443565.25</v>
      </c>
      <c r="AU239" s="50">
        <f t="shared" si="167"/>
        <v>0</v>
      </c>
      <c r="AV239" s="50">
        <f t="shared" si="164"/>
        <v>-195210.26</v>
      </c>
      <c r="AW239" s="50"/>
      <c r="AX239" s="50">
        <f t="shared" si="135"/>
        <v>-2928837.7699999996</v>
      </c>
      <c r="AY239" s="50">
        <f t="shared" si="136"/>
        <v>8300000</v>
      </c>
      <c r="AZ239" s="50">
        <f t="shared" si="137"/>
        <v>5371162.2300000004</v>
      </c>
    </row>
    <row r="240" spans="2:52" x14ac:dyDescent="0.3">
      <c r="B240" s="99">
        <f>B239+1</f>
        <v>44498</v>
      </c>
      <c r="C240" s="44">
        <f t="shared" si="139"/>
        <v>-3321749.6899999995</v>
      </c>
      <c r="D240" s="45">
        <v>146596.29999999999</v>
      </c>
      <c r="E240" s="45">
        <f>1590000-5000</f>
        <v>1585000</v>
      </c>
      <c r="F240" s="45">
        <f>-74601.39+5000</f>
        <v>-69601.39</v>
      </c>
      <c r="G240" s="45">
        <f t="shared" si="155"/>
        <v>-1659754.7799999996</v>
      </c>
      <c r="H240" s="44">
        <v>4300000</v>
      </c>
      <c r="I240" s="46">
        <f t="shared" si="140"/>
        <v>359614.70999999996</v>
      </c>
      <c r="J240" s="47">
        <v>1011108.58</v>
      </c>
      <c r="K240" s="47">
        <v>-1200000</v>
      </c>
      <c r="L240" s="47">
        <v>-89786.84</v>
      </c>
      <c r="M240" s="47">
        <f t="shared" si="141"/>
        <v>80936.450000000041</v>
      </c>
      <c r="N240" s="46">
        <v>4000000</v>
      </c>
      <c r="O240" s="48">
        <f t="shared" si="142"/>
        <v>32704.670000000056</v>
      </c>
      <c r="P240" s="55">
        <v>43771.64</v>
      </c>
      <c r="Q240" s="55">
        <f>318400-390000</f>
        <v>-71600</v>
      </c>
      <c r="R240" s="55">
        <v>-1558.80000000006</v>
      </c>
      <c r="S240" s="55">
        <f t="shared" si="143"/>
        <v>3317.5099999999957</v>
      </c>
      <c r="T240" s="48"/>
      <c r="U240" s="49">
        <f t="shared" si="144"/>
        <v>1.5800000000046523</v>
      </c>
      <c r="V240" s="51">
        <v>318444.31</v>
      </c>
      <c r="W240" s="51">
        <v>-318400</v>
      </c>
      <c r="X240" s="51">
        <v>-1.2</v>
      </c>
      <c r="Y240" s="51">
        <f t="shared" si="145"/>
        <v>44.690000000013967</v>
      </c>
      <c r="Z240" s="52"/>
      <c r="AA240" s="53">
        <f t="shared" si="146"/>
        <v>0.49999999999533884</v>
      </c>
      <c r="AB240" s="54"/>
      <c r="AC240" s="54">
        <v>5000</v>
      </c>
      <c r="AD240" s="54">
        <v>-4756.8</v>
      </c>
      <c r="AE240" s="54">
        <f t="shared" si="147"/>
        <v>243.69999999999527</v>
      </c>
      <c r="AF240" s="53"/>
      <c r="AG240" s="53">
        <f t="shared" si="166"/>
        <v>590.45999999996275</v>
      </c>
      <c r="AH240" s="54"/>
      <c r="AI240" s="54"/>
      <c r="AJ240" s="54">
        <v>-70</v>
      </c>
      <c r="AK240" s="54">
        <f t="shared" si="148"/>
        <v>520.45999999996275</v>
      </c>
      <c r="AL240" s="53"/>
      <c r="AM240" s="53">
        <f t="shared" si="128"/>
        <v>0</v>
      </c>
      <c r="AN240" s="54"/>
      <c r="AO240" s="54"/>
      <c r="AP240" s="54"/>
      <c r="AQ240" s="54">
        <f t="shared" si="129"/>
        <v>0</v>
      </c>
      <c r="AR240" s="53"/>
      <c r="AS240" s="50">
        <f t="shared" si="156"/>
        <v>-2929428.2299999995</v>
      </c>
      <c r="AT240" s="50">
        <f t="shared" si="163"/>
        <v>1519920.8299999998</v>
      </c>
      <c r="AU240" s="50">
        <f t="shared" si="167"/>
        <v>0</v>
      </c>
      <c r="AV240" s="50">
        <f t="shared" si="164"/>
        <v>-165775.03000000003</v>
      </c>
      <c r="AW240" s="50"/>
      <c r="AX240" s="50">
        <f t="shared" si="135"/>
        <v>-1574691.9699999997</v>
      </c>
      <c r="AY240" s="50">
        <f t="shared" si="136"/>
        <v>8300000</v>
      </c>
      <c r="AZ240" s="50">
        <f t="shared" si="137"/>
        <v>6725308.0300000003</v>
      </c>
    </row>
    <row r="241" spans="2:55" x14ac:dyDescent="0.3">
      <c r="B241" s="99">
        <f>B240+3</f>
        <v>44501</v>
      </c>
      <c r="C241" s="44">
        <f t="shared" si="139"/>
        <v>-1659754.7799999996</v>
      </c>
      <c r="D241" s="45"/>
      <c r="E241" s="45">
        <f>150000-2000000-18000</f>
        <v>-1868000</v>
      </c>
      <c r="F241" s="45">
        <f>-127518.970000001+18000</f>
        <v>-109518.97000000101</v>
      </c>
      <c r="G241" s="45">
        <f t="shared" si="155"/>
        <v>-3637273.7500000005</v>
      </c>
      <c r="H241" s="44">
        <v>4300000</v>
      </c>
      <c r="I241" s="46">
        <f t="shared" si="140"/>
        <v>80936.450000000041</v>
      </c>
      <c r="J241" s="47"/>
      <c r="K241" s="47">
        <v>2000000</v>
      </c>
      <c r="L241" s="47">
        <f>-2064300.16+3353.93</f>
        <v>-2060946.23</v>
      </c>
      <c r="M241" s="47">
        <f t="shared" si="141"/>
        <v>19990.219999999972</v>
      </c>
      <c r="N241" s="46">
        <v>4000000</v>
      </c>
      <c r="O241" s="48">
        <f t="shared" si="142"/>
        <v>3317.5099999999957</v>
      </c>
      <c r="P241" s="55">
        <v>151535.89000000001</v>
      </c>
      <c r="Q241" s="55">
        <v>-150000</v>
      </c>
      <c r="R241" s="55">
        <f>-(1161.46+200+1794.22+10)</f>
        <v>-3165.6800000000003</v>
      </c>
      <c r="S241" s="55">
        <f t="shared" si="143"/>
        <v>1687.720000000023</v>
      </c>
      <c r="T241" s="48"/>
      <c r="U241" s="49">
        <f t="shared" si="144"/>
        <v>44.690000000013967</v>
      </c>
      <c r="V241" s="51"/>
      <c r="W241" s="51"/>
      <c r="X241" s="51"/>
      <c r="Y241" s="51">
        <f t="shared" si="145"/>
        <v>44.690000000013967</v>
      </c>
      <c r="Z241" s="52"/>
      <c r="AA241" s="53">
        <f t="shared" si="146"/>
        <v>243.69999999999527</v>
      </c>
      <c r="AB241" s="54"/>
      <c r="AC241" s="54">
        <v>18000</v>
      </c>
      <c r="AD241" s="54">
        <v>-18024.14</v>
      </c>
      <c r="AE241" s="54">
        <f t="shared" si="147"/>
        <v>219.55999999999767</v>
      </c>
      <c r="AF241" s="53"/>
      <c r="AG241" s="53">
        <f t="shared" si="166"/>
        <v>520.45999999996275</v>
      </c>
      <c r="AH241" s="54"/>
      <c r="AI241" s="54"/>
      <c r="AJ241" s="54"/>
      <c r="AK241" s="54">
        <f t="shared" si="148"/>
        <v>520.45999999996275</v>
      </c>
      <c r="AL241" s="53"/>
      <c r="AM241" s="53">
        <f t="shared" si="128"/>
        <v>0</v>
      </c>
      <c r="AN241" s="54"/>
      <c r="AO241" s="54"/>
      <c r="AP241" s="54"/>
      <c r="AQ241" s="54">
        <f t="shared" si="129"/>
        <v>0</v>
      </c>
      <c r="AR241" s="53"/>
      <c r="AS241" s="50">
        <f t="shared" si="156"/>
        <v>-1575212.4299999997</v>
      </c>
      <c r="AT241" s="50">
        <f t="shared" si="163"/>
        <v>151535.89000000001</v>
      </c>
      <c r="AU241" s="50">
        <f t="shared" si="167"/>
        <v>0</v>
      </c>
      <c r="AV241" s="50">
        <f t="shared" si="164"/>
        <v>-2191655.0200000014</v>
      </c>
      <c r="AW241" s="50"/>
      <c r="AX241" s="50">
        <f t="shared" si="135"/>
        <v>-3614811.1</v>
      </c>
      <c r="AY241" s="50">
        <f t="shared" si="136"/>
        <v>8300000</v>
      </c>
      <c r="AZ241" s="50">
        <f t="shared" si="137"/>
        <v>4685188.9000000004</v>
      </c>
    </row>
    <row r="242" spans="2:55" x14ac:dyDescent="0.3">
      <c r="B242" s="99">
        <f>B241+1</f>
        <v>44502</v>
      </c>
      <c r="C242" s="44">
        <f t="shared" si="139"/>
        <v>-3637273.7500000005</v>
      </c>
      <c r="D242" s="45"/>
      <c r="E242" s="45"/>
      <c r="F242" s="45"/>
      <c r="G242" s="45">
        <f t="shared" si="155"/>
        <v>-3637273.7500000005</v>
      </c>
      <c r="H242" s="44">
        <v>4300000</v>
      </c>
      <c r="I242" s="46">
        <f t="shared" si="140"/>
        <v>19990.219999999972</v>
      </c>
      <c r="J242" s="47"/>
      <c r="K242" s="47"/>
      <c r="L242" s="47"/>
      <c r="M242" s="47">
        <f t="shared" si="141"/>
        <v>19990.219999999972</v>
      </c>
      <c r="N242" s="46">
        <v>4000000</v>
      </c>
      <c r="O242" s="48">
        <f t="shared" si="142"/>
        <v>1687.720000000023</v>
      </c>
      <c r="P242" s="55"/>
      <c r="Q242" s="55"/>
      <c r="R242" s="55"/>
      <c r="S242" s="55">
        <f t="shared" si="143"/>
        <v>1687.720000000023</v>
      </c>
      <c r="T242" s="48"/>
      <c r="U242" s="49">
        <f t="shared" si="144"/>
        <v>44.690000000013967</v>
      </c>
      <c r="V242" s="51"/>
      <c r="W242" s="51"/>
      <c r="X242" s="51"/>
      <c r="Y242" s="51">
        <f t="shared" si="145"/>
        <v>44.690000000013967</v>
      </c>
      <c r="Z242" s="52"/>
      <c r="AA242" s="53">
        <f t="shared" si="146"/>
        <v>219.55999999999767</v>
      </c>
      <c r="AB242" s="54"/>
      <c r="AC242" s="54"/>
      <c r="AD242" s="54"/>
      <c r="AE242" s="54">
        <f t="shared" si="147"/>
        <v>219.55999999999767</v>
      </c>
      <c r="AF242" s="53"/>
      <c r="AG242" s="53">
        <f t="shared" si="166"/>
        <v>520.45999999996275</v>
      </c>
      <c r="AH242" s="54"/>
      <c r="AI242" s="54"/>
      <c r="AJ242" s="54"/>
      <c r="AK242" s="54">
        <f t="shared" si="148"/>
        <v>520.45999999996275</v>
      </c>
      <c r="AL242" s="53"/>
      <c r="AM242" s="53">
        <f t="shared" si="128"/>
        <v>0</v>
      </c>
      <c r="AN242" s="54"/>
      <c r="AO242" s="54"/>
      <c r="AP242" s="54"/>
      <c r="AQ242" s="54">
        <f t="shared" si="129"/>
        <v>0</v>
      </c>
      <c r="AR242" s="53"/>
      <c r="AS242" s="50">
        <f t="shared" si="156"/>
        <v>-3615331.56</v>
      </c>
      <c r="AT242" s="50">
        <f t="shared" si="163"/>
        <v>0</v>
      </c>
      <c r="AU242" s="50">
        <f t="shared" si="167"/>
        <v>0</v>
      </c>
      <c r="AV242" s="50">
        <f t="shared" si="164"/>
        <v>0</v>
      </c>
      <c r="AW242" s="50"/>
      <c r="AX242" s="50">
        <f t="shared" si="135"/>
        <v>-3614811.1</v>
      </c>
      <c r="AY242" s="50">
        <f t="shared" si="136"/>
        <v>8300000</v>
      </c>
      <c r="AZ242" s="50">
        <f t="shared" si="137"/>
        <v>4685188.9000000004</v>
      </c>
    </row>
    <row r="243" spans="2:55" x14ac:dyDescent="0.3">
      <c r="B243" s="99">
        <f t="shared" ref="B243:B244" si="169">B242+1</f>
        <v>44503</v>
      </c>
      <c r="C243" s="44">
        <f t="shared" si="139"/>
        <v>-3637273.7500000005</v>
      </c>
      <c r="D243" s="45">
        <v>17534.93</v>
      </c>
      <c r="E243" s="45">
        <v>-200000</v>
      </c>
      <c r="F243" s="45">
        <v>-359819.21</v>
      </c>
      <c r="G243" s="45">
        <f t="shared" si="155"/>
        <v>-4179558.0300000003</v>
      </c>
      <c r="H243" s="44">
        <v>4300000</v>
      </c>
      <c r="I243" s="46">
        <f t="shared" si="140"/>
        <v>19990.219999999972</v>
      </c>
      <c r="J243" s="47"/>
      <c r="K243" s="47">
        <v>200000</v>
      </c>
      <c r="L243" s="47">
        <v>-374556.85</v>
      </c>
      <c r="M243" s="47">
        <f t="shared" si="141"/>
        <v>-154566.63</v>
      </c>
      <c r="N243" s="46">
        <v>4000000</v>
      </c>
      <c r="O243" s="48">
        <f t="shared" si="142"/>
        <v>1687.720000000023</v>
      </c>
      <c r="P243" s="55"/>
      <c r="Q243" s="55"/>
      <c r="R243" s="55">
        <v>-329.01</v>
      </c>
      <c r="S243" s="55">
        <f t="shared" si="143"/>
        <v>1358.710000000023</v>
      </c>
      <c r="T243" s="48"/>
      <c r="U243" s="49">
        <f t="shared" si="144"/>
        <v>44.690000000013967</v>
      </c>
      <c r="V243" s="51"/>
      <c r="W243" s="51"/>
      <c r="X243" s="51">
        <v>-44.69</v>
      </c>
      <c r="Y243" s="51">
        <f t="shared" si="145"/>
        <v>1.396927018504357E-11</v>
      </c>
      <c r="Z243" s="52"/>
      <c r="AA243" s="53">
        <f t="shared" si="146"/>
        <v>219.55999999999767</v>
      </c>
      <c r="AB243" s="54"/>
      <c r="AC243" s="54"/>
      <c r="AD243" s="54"/>
      <c r="AE243" s="54">
        <f t="shared" si="147"/>
        <v>219.55999999999767</v>
      </c>
      <c r="AF243" s="53"/>
      <c r="AG243" s="53">
        <f t="shared" si="166"/>
        <v>520.45999999996275</v>
      </c>
      <c r="AH243" s="54"/>
      <c r="AI243" s="54"/>
      <c r="AJ243" s="54"/>
      <c r="AK243" s="54">
        <f t="shared" si="148"/>
        <v>520.45999999996275</v>
      </c>
      <c r="AL243" s="53"/>
      <c r="AM243" s="53">
        <f t="shared" si="128"/>
        <v>0</v>
      </c>
      <c r="AN243" s="54"/>
      <c r="AO243" s="54"/>
      <c r="AP243" s="54"/>
      <c r="AQ243" s="54">
        <f t="shared" si="129"/>
        <v>0</v>
      </c>
      <c r="AR243" s="53"/>
      <c r="AS243" s="50">
        <f t="shared" si="156"/>
        <v>-3615331.56</v>
      </c>
      <c r="AT243" s="50">
        <f t="shared" si="163"/>
        <v>17534.93</v>
      </c>
      <c r="AU243" s="50">
        <f t="shared" si="167"/>
        <v>0</v>
      </c>
      <c r="AV243" s="50">
        <f t="shared" si="164"/>
        <v>-734749.76</v>
      </c>
      <c r="AW243" s="50"/>
      <c r="AX243" s="50">
        <f t="shared" si="135"/>
        <v>-4332025.9300000006</v>
      </c>
      <c r="AY243" s="50">
        <f t="shared" si="136"/>
        <v>8300000</v>
      </c>
      <c r="AZ243" s="50">
        <f t="shared" si="137"/>
        <v>3967974.0699999994</v>
      </c>
    </row>
    <row r="244" spans="2:55" x14ac:dyDescent="0.3">
      <c r="B244" s="99">
        <f t="shared" si="169"/>
        <v>44504</v>
      </c>
      <c r="C244" s="44">
        <f t="shared" si="139"/>
        <v>-4179558.0300000003</v>
      </c>
      <c r="D244" s="45"/>
      <c r="E244" s="45"/>
      <c r="F244" s="45">
        <f>-62851.65+20484.95+35634.53</f>
        <v>-6732.1699999999983</v>
      </c>
      <c r="G244" s="45">
        <f t="shared" si="155"/>
        <v>-4186290.2</v>
      </c>
      <c r="H244" s="44">
        <v>4300000</v>
      </c>
      <c r="I244" s="46">
        <f t="shared" si="140"/>
        <v>-154566.63</v>
      </c>
      <c r="J244" s="47">
        <v>130268.23</v>
      </c>
      <c r="K244" s="47"/>
      <c r="L244" s="47">
        <v>-93497.18</v>
      </c>
      <c r="M244" s="47">
        <f t="shared" si="141"/>
        <v>-117795.58</v>
      </c>
      <c r="N244" s="46">
        <v>4000000</v>
      </c>
      <c r="O244" s="48">
        <f t="shared" si="142"/>
        <v>1358.710000000023</v>
      </c>
      <c r="P244" s="55"/>
      <c r="Q244" s="55">
        <v>-50</v>
      </c>
      <c r="R244" s="55">
        <v>-151.5</v>
      </c>
      <c r="S244" s="55">
        <f t="shared" si="143"/>
        <v>1157.210000000023</v>
      </c>
      <c r="T244" s="48"/>
      <c r="U244" s="49">
        <f t="shared" si="144"/>
        <v>1.396927018504357E-11</v>
      </c>
      <c r="V244" s="51"/>
      <c r="W244" s="51">
        <v>50</v>
      </c>
      <c r="X244" s="51">
        <v>-10.26</v>
      </c>
      <c r="Y244" s="51">
        <f t="shared" si="145"/>
        <v>39.740000000013971</v>
      </c>
      <c r="Z244" s="52"/>
      <c r="AA244" s="53">
        <f t="shared" si="146"/>
        <v>219.55999999999767</v>
      </c>
      <c r="AB244" s="54"/>
      <c r="AC244" s="54"/>
      <c r="AD244" s="54"/>
      <c r="AE244" s="54">
        <f t="shared" si="147"/>
        <v>219.55999999999767</v>
      </c>
      <c r="AF244" s="53"/>
      <c r="AG244" s="53">
        <f t="shared" si="166"/>
        <v>520.45999999996275</v>
      </c>
      <c r="AH244" s="54"/>
      <c r="AI244" s="54"/>
      <c r="AJ244" s="54"/>
      <c r="AK244" s="54">
        <f t="shared" si="148"/>
        <v>520.45999999996275</v>
      </c>
      <c r="AL244" s="53"/>
      <c r="AM244" s="53">
        <f t="shared" si="128"/>
        <v>0</v>
      </c>
      <c r="AN244" s="54"/>
      <c r="AO244" s="54"/>
      <c r="AP244" s="54"/>
      <c r="AQ244" s="54">
        <f t="shared" si="129"/>
        <v>0</v>
      </c>
      <c r="AR244" s="53"/>
      <c r="AS244" s="50">
        <f t="shared" si="156"/>
        <v>-4332546.3900000006</v>
      </c>
      <c r="AT244" s="50">
        <f t="shared" si="163"/>
        <v>130268.23</v>
      </c>
      <c r="AU244" s="50">
        <f t="shared" si="167"/>
        <v>0</v>
      </c>
      <c r="AV244" s="50">
        <f t="shared" si="164"/>
        <v>-100391.10999999999</v>
      </c>
      <c r="AW244" s="50"/>
      <c r="AX244" s="50">
        <f t="shared" si="135"/>
        <v>-4302148.8100000005</v>
      </c>
      <c r="AY244" s="50">
        <f t="shared" si="136"/>
        <v>8300000</v>
      </c>
      <c r="AZ244" s="50">
        <f t="shared" si="137"/>
        <v>3997851.1899999995</v>
      </c>
    </row>
    <row r="245" spans="2:55" x14ac:dyDescent="0.3">
      <c r="B245" s="99">
        <f>B244+1</f>
        <v>44505</v>
      </c>
      <c r="C245" s="44">
        <f t="shared" si="139"/>
        <v>-4186290.2</v>
      </c>
      <c r="D245" s="45"/>
      <c r="E245" s="45"/>
      <c r="F245" s="45">
        <v>-529.35</v>
      </c>
      <c r="G245" s="45">
        <f t="shared" si="155"/>
        <v>-4186819.5500000003</v>
      </c>
      <c r="H245" s="44">
        <v>4300000</v>
      </c>
      <c r="I245" s="46">
        <f t="shared" si="140"/>
        <v>-117795.58</v>
      </c>
      <c r="J245" s="47">
        <f>131301.42+42339.12</f>
        <v>173640.54</v>
      </c>
      <c r="K245" s="47"/>
      <c r="L245" s="47">
        <v>-894543.54</v>
      </c>
      <c r="M245" s="47">
        <f t="shared" si="141"/>
        <v>-838698.58000000007</v>
      </c>
      <c r="N245" s="46">
        <v>4000000</v>
      </c>
      <c r="O245" s="48">
        <f t="shared" si="142"/>
        <v>1157.210000000023</v>
      </c>
      <c r="P245" s="55"/>
      <c r="Q245" s="55"/>
      <c r="R245" s="55"/>
      <c r="S245" s="55">
        <f t="shared" si="143"/>
        <v>1157.210000000023</v>
      </c>
      <c r="T245" s="48"/>
      <c r="U245" s="49">
        <f t="shared" si="144"/>
        <v>39.740000000013971</v>
      </c>
      <c r="V245" s="51"/>
      <c r="W245" s="51"/>
      <c r="X245" s="51"/>
      <c r="Y245" s="51">
        <f t="shared" si="145"/>
        <v>39.740000000013971</v>
      </c>
      <c r="Z245" s="52"/>
      <c r="AA245" s="53">
        <f t="shared" si="146"/>
        <v>219.55999999999767</v>
      </c>
      <c r="AB245" s="54"/>
      <c r="AC245" s="54"/>
      <c r="AD245" s="54"/>
      <c r="AE245" s="54">
        <f t="shared" si="147"/>
        <v>219.55999999999767</v>
      </c>
      <c r="AF245" s="53"/>
      <c r="AG245" s="53">
        <f t="shared" si="166"/>
        <v>520.45999999996275</v>
      </c>
      <c r="AH245" s="54"/>
      <c r="AI245" s="54"/>
      <c r="AJ245" s="54"/>
      <c r="AK245" s="54">
        <f t="shared" si="148"/>
        <v>520.45999999996275</v>
      </c>
      <c r="AL245" s="53"/>
      <c r="AM245" s="53">
        <f t="shared" ref="AM245:AM308" si="170">AQ244</f>
        <v>0</v>
      </c>
      <c r="AN245" s="54"/>
      <c r="AO245" s="54"/>
      <c r="AP245" s="54"/>
      <c r="AQ245" s="54">
        <f t="shared" ref="AQ245:AQ308" si="171">SUM(AM245:AP245)</f>
        <v>0</v>
      </c>
      <c r="AR245" s="53"/>
      <c r="AS245" s="50">
        <f t="shared" si="156"/>
        <v>-4302669.2700000005</v>
      </c>
      <c r="AT245" s="50">
        <f t="shared" si="163"/>
        <v>173640.54</v>
      </c>
      <c r="AU245" s="50">
        <f t="shared" si="167"/>
        <v>0</v>
      </c>
      <c r="AV245" s="50">
        <f t="shared" si="164"/>
        <v>-895072.89</v>
      </c>
      <c r="AW245" s="50"/>
      <c r="AX245" s="50">
        <f t="shared" si="135"/>
        <v>-5023581.1600000011</v>
      </c>
      <c r="AY245" s="50">
        <f t="shared" si="136"/>
        <v>8300000</v>
      </c>
      <c r="AZ245" s="50">
        <f t="shared" si="137"/>
        <v>3276418.8399999989</v>
      </c>
    </row>
    <row r="246" spans="2:55" x14ac:dyDescent="0.3">
      <c r="B246" s="99">
        <f>B245+3</f>
        <v>44508</v>
      </c>
      <c r="C246" s="44">
        <f t="shared" si="139"/>
        <v>-4186819.5500000003</v>
      </c>
      <c r="D246" s="45">
        <v>232329.32</v>
      </c>
      <c r="E246" s="45"/>
      <c r="F246" s="45">
        <v>-2.5499999999999998</v>
      </c>
      <c r="G246" s="45">
        <f t="shared" si="155"/>
        <v>-3954492.7800000003</v>
      </c>
      <c r="H246" s="44">
        <v>4300000</v>
      </c>
      <c r="I246" s="46">
        <f t="shared" si="140"/>
        <v>-838698.58000000007</v>
      </c>
      <c r="J246" s="47"/>
      <c r="K246" s="47"/>
      <c r="L246" s="47">
        <v>-101764.52</v>
      </c>
      <c r="M246" s="47">
        <f t="shared" si="141"/>
        <v>-940463.10000000009</v>
      </c>
      <c r="N246" s="46">
        <v>4000000</v>
      </c>
      <c r="O246" s="48">
        <f t="shared" si="142"/>
        <v>1157.210000000023</v>
      </c>
      <c r="P246" s="55">
        <f>157.12+880.1</f>
        <v>1037.22</v>
      </c>
      <c r="Q246" s="55"/>
      <c r="R246" s="55"/>
      <c r="S246" s="55">
        <f t="shared" si="143"/>
        <v>2194.430000000023</v>
      </c>
      <c r="T246" s="48"/>
      <c r="U246" s="49">
        <f t="shared" si="144"/>
        <v>39.740000000013971</v>
      </c>
      <c r="V246" s="51"/>
      <c r="W246" s="51"/>
      <c r="X246" s="51"/>
      <c r="Y246" s="51">
        <f t="shared" si="145"/>
        <v>39.740000000013971</v>
      </c>
      <c r="Z246" s="52"/>
      <c r="AA246" s="53">
        <f t="shared" si="146"/>
        <v>219.55999999999767</v>
      </c>
      <c r="AB246" s="54"/>
      <c r="AC246" s="54"/>
      <c r="AD246" s="54"/>
      <c r="AE246" s="54">
        <f t="shared" si="147"/>
        <v>219.55999999999767</v>
      </c>
      <c r="AF246" s="53"/>
      <c r="AG246" s="53">
        <f t="shared" si="166"/>
        <v>520.45999999996275</v>
      </c>
      <c r="AH246" s="54"/>
      <c r="AI246" s="54"/>
      <c r="AJ246" s="54"/>
      <c r="AK246" s="54">
        <f t="shared" si="148"/>
        <v>520.45999999996275</v>
      </c>
      <c r="AL246" s="53"/>
      <c r="AM246" s="53">
        <f t="shared" si="170"/>
        <v>0</v>
      </c>
      <c r="AN246" s="54"/>
      <c r="AO246" s="54"/>
      <c r="AP246" s="54"/>
      <c r="AQ246" s="54">
        <f t="shared" si="171"/>
        <v>0</v>
      </c>
      <c r="AR246" s="53"/>
      <c r="AS246" s="50">
        <f t="shared" ref="AS246:AS251" si="172">SUM(C246,I246,O246,U246,AA246,)</f>
        <v>-5024101.620000001</v>
      </c>
      <c r="AT246" s="50">
        <f t="shared" si="163"/>
        <v>233366.54</v>
      </c>
      <c r="AU246" s="50">
        <f t="shared" si="167"/>
        <v>0</v>
      </c>
      <c r="AV246" s="50">
        <f t="shared" si="164"/>
        <v>-101767.07</v>
      </c>
      <c r="AW246" s="50"/>
      <c r="AX246" s="50">
        <f t="shared" ref="AX246:AX309" si="173">SUM(G246,M246,S246,Y246,AE246,AK246)</f>
        <v>-4891981.6900000013</v>
      </c>
      <c r="AY246" s="50">
        <f t="shared" ref="AY246:AY309" si="174">SUM(H246,N246,T246,Z246,AF246,AL246)</f>
        <v>8300000</v>
      </c>
      <c r="AZ246" s="50">
        <f t="shared" ref="AZ246:AZ309" si="175">AX246+AY246</f>
        <v>3408018.3099999987</v>
      </c>
    </row>
    <row r="247" spans="2:55" x14ac:dyDescent="0.3">
      <c r="B247" s="99">
        <f>B246+1</f>
        <v>44509</v>
      </c>
      <c r="C247" s="44">
        <f t="shared" si="139"/>
        <v>-3954492.7800000003</v>
      </c>
      <c r="D247" s="45"/>
      <c r="E247" s="45">
        <v>-100000</v>
      </c>
      <c r="F247" s="45">
        <v>-18463</v>
      </c>
      <c r="G247" s="45">
        <f t="shared" si="155"/>
        <v>-4072955.7800000003</v>
      </c>
      <c r="H247" s="44">
        <v>4300000</v>
      </c>
      <c r="I247" s="46">
        <f t="shared" si="140"/>
        <v>-940463.10000000009</v>
      </c>
      <c r="J247" s="47">
        <v>86690.22</v>
      </c>
      <c r="K247" s="47">
        <v>100000</v>
      </c>
      <c r="L247" s="47">
        <v>-236050.95</v>
      </c>
      <c r="M247" s="47">
        <f t="shared" si="141"/>
        <v>-989823.83000000007</v>
      </c>
      <c r="N247" s="46">
        <v>4000000</v>
      </c>
      <c r="O247" s="48">
        <f t="shared" si="142"/>
        <v>2194.430000000023</v>
      </c>
      <c r="P247" s="55"/>
      <c r="Q247" s="55"/>
      <c r="R247" s="55">
        <v>-636.79999999999995</v>
      </c>
      <c r="S247" s="55">
        <f t="shared" si="143"/>
        <v>1557.6300000000231</v>
      </c>
      <c r="T247" s="48"/>
      <c r="U247" s="49">
        <f t="shared" si="144"/>
        <v>39.740000000013971</v>
      </c>
      <c r="V247" s="51"/>
      <c r="W247" s="51"/>
      <c r="X247" s="51"/>
      <c r="Y247" s="51">
        <f t="shared" si="145"/>
        <v>39.740000000013971</v>
      </c>
      <c r="Z247" s="52"/>
      <c r="AA247" s="53">
        <f t="shared" si="146"/>
        <v>219.55999999999767</v>
      </c>
      <c r="AB247" s="54"/>
      <c r="AC247" s="54"/>
      <c r="AD247" s="54"/>
      <c r="AE247" s="54">
        <f t="shared" si="147"/>
        <v>219.55999999999767</v>
      </c>
      <c r="AF247" s="53"/>
      <c r="AG247" s="53">
        <f t="shared" si="166"/>
        <v>520.45999999996275</v>
      </c>
      <c r="AH247" s="54"/>
      <c r="AI247" s="54"/>
      <c r="AJ247" s="54"/>
      <c r="AK247" s="54">
        <f t="shared" si="148"/>
        <v>520.45999999996275</v>
      </c>
      <c r="AL247" s="53"/>
      <c r="AM247" s="53">
        <f t="shared" si="170"/>
        <v>0</v>
      </c>
      <c r="AN247" s="54"/>
      <c r="AO247" s="54"/>
      <c r="AP247" s="54"/>
      <c r="AQ247" s="54">
        <f t="shared" si="171"/>
        <v>0</v>
      </c>
      <c r="AR247" s="53"/>
      <c r="AS247" s="50">
        <f t="shared" si="172"/>
        <v>-4892502.1500000013</v>
      </c>
      <c r="AT247" s="50">
        <f t="shared" si="163"/>
        <v>86690.22</v>
      </c>
      <c r="AU247" s="50">
        <f t="shared" si="167"/>
        <v>0</v>
      </c>
      <c r="AV247" s="50">
        <f t="shared" si="164"/>
        <v>-255150.75</v>
      </c>
      <c r="AW247" s="50"/>
      <c r="AX247" s="50">
        <f t="shared" si="173"/>
        <v>-5060442.2200000007</v>
      </c>
      <c r="AY247" s="50">
        <f t="shared" si="174"/>
        <v>8300000</v>
      </c>
      <c r="AZ247" s="50">
        <f t="shared" si="175"/>
        <v>3239557.7799999993</v>
      </c>
    </row>
    <row r="248" spans="2:55" x14ac:dyDescent="0.3">
      <c r="B248" s="99">
        <f t="shared" ref="B248:B249" si="176">B247+1</f>
        <v>44510</v>
      </c>
      <c r="C248" s="44">
        <f t="shared" si="139"/>
        <v>-4072955.7800000003</v>
      </c>
      <c r="D248" s="45">
        <f>118786.39+381798.53+67555.18+338.2</f>
        <v>568478.30000000005</v>
      </c>
      <c r="E248" s="45">
        <v>-300000</v>
      </c>
      <c r="F248" s="45">
        <f>-102651.02-6860</f>
        <v>-109511.02</v>
      </c>
      <c r="G248" s="45">
        <f t="shared" si="155"/>
        <v>-3913988.5000000005</v>
      </c>
      <c r="H248" s="44">
        <v>4300000</v>
      </c>
      <c r="I248" s="46">
        <f t="shared" si="140"/>
        <v>-989823.83000000007</v>
      </c>
      <c r="J248" s="47">
        <v>58396.04</v>
      </c>
      <c r="K248" s="47">
        <v>300000</v>
      </c>
      <c r="L248" s="47">
        <v>-230000.44</v>
      </c>
      <c r="M248" s="47">
        <f t="shared" si="141"/>
        <v>-861428.23</v>
      </c>
      <c r="N248" s="46">
        <v>4000000</v>
      </c>
      <c r="O248" s="48">
        <f t="shared" si="142"/>
        <v>1557.6300000000231</v>
      </c>
      <c r="P248" s="55">
        <f>512.32+651.84</f>
        <v>1164.1600000000001</v>
      </c>
      <c r="Q248" s="55"/>
      <c r="R248" s="55"/>
      <c r="S248" s="55">
        <f t="shared" si="143"/>
        <v>2721.7900000000232</v>
      </c>
      <c r="T248" s="48"/>
      <c r="U248" s="49">
        <f t="shared" si="144"/>
        <v>39.740000000013971</v>
      </c>
      <c r="V248" s="51"/>
      <c r="W248" s="51"/>
      <c r="X248" s="51"/>
      <c r="Y248" s="51">
        <f t="shared" si="145"/>
        <v>39.740000000013971</v>
      </c>
      <c r="Z248" s="52"/>
      <c r="AA248" s="53">
        <f t="shared" si="146"/>
        <v>219.55999999999767</v>
      </c>
      <c r="AB248" s="54"/>
      <c r="AC248" s="54"/>
      <c r="AD248" s="54"/>
      <c r="AE248" s="54">
        <f t="shared" si="147"/>
        <v>219.55999999999767</v>
      </c>
      <c r="AF248" s="53"/>
      <c r="AG248" s="53">
        <f t="shared" si="166"/>
        <v>520.45999999996275</v>
      </c>
      <c r="AH248" s="54"/>
      <c r="AI248" s="54"/>
      <c r="AJ248" s="54"/>
      <c r="AK248" s="54">
        <f t="shared" si="148"/>
        <v>520.45999999996275</v>
      </c>
      <c r="AL248" s="53"/>
      <c r="AM248" s="53">
        <f t="shared" si="170"/>
        <v>0</v>
      </c>
      <c r="AN248" s="54"/>
      <c r="AO248" s="54"/>
      <c r="AP248" s="54"/>
      <c r="AQ248" s="54">
        <f t="shared" si="171"/>
        <v>0</v>
      </c>
      <c r="AR248" s="53"/>
      <c r="AS248" s="50">
        <f t="shared" si="172"/>
        <v>-5060962.6800000006</v>
      </c>
      <c r="AT248" s="50">
        <f t="shared" si="163"/>
        <v>628038.50000000012</v>
      </c>
      <c r="AU248" s="50">
        <f t="shared" si="167"/>
        <v>0</v>
      </c>
      <c r="AV248" s="50">
        <f t="shared" si="164"/>
        <v>-339511.46</v>
      </c>
      <c r="AW248" s="50"/>
      <c r="AX248" s="50">
        <f t="shared" si="173"/>
        <v>-4771915.1800000006</v>
      </c>
      <c r="AY248" s="50">
        <f t="shared" si="174"/>
        <v>8300000</v>
      </c>
      <c r="AZ248" s="50">
        <f t="shared" si="175"/>
        <v>3528084.8199999994</v>
      </c>
    </row>
    <row r="249" spans="2:55" x14ac:dyDescent="0.3">
      <c r="B249" s="99">
        <f t="shared" si="176"/>
        <v>44511</v>
      </c>
      <c r="C249" s="44">
        <f t="shared" si="139"/>
        <v>-3913988.5000000005</v>
      </c>
      <c r="D249" s="45">
        <f>131522.44</f>
        <v>131522.44</v>
      </c>
      <c r="E249" s="45">
        <v>-300000</v>
      </c>
      <c r="F249" s="45">
        <f>-10062.87</f>
        <v>-10062.870000000001</v>
      </c>
      <c r="G249" s="45">
        <f t="shared" si="155"/>
        <v>-4092528.9300000006</v>
      </c>
      <c r="H249" s="44">
        <v>4300000</v>
      </c>
      <c r="I249" s="46">
        <f t="shared" si="140"/>
        <v>-861428.23</v>
      </c>
      <c r="J249" s="47"/>
      <c r="K249" s="47">
        <v>300000</v>
      </c>
      <c r="L249" s="47">
        <v>-432685.02</v>
      </c>
      <c r="M249" s="47">
        <f t="shared" si="141"/>
        <v>-994113.25</v>
      </c>
      <c r="N249" s="46">
        <v>4000000</v>
      </c>
      <c r="O249" s="48">
        <f t="shared" si="142"/>
        <v>2721.7900000000232</v>
      </c>
      <c r="P249" s="55"/>
      <c r="Q249" s="55"/>
      <c r="R249" s="55"/>
      <c r="S249" s="55">
        <f t="shared" si="143"/>
        <v>2721.7900000000232</v>
      </c>
      <c r="T249" s="48"/>
      <c r="U249" s="49">
        <f t="shared" si="144"/>
        <v>39.740000000013971</v>
      </c>
      <c r="V249" s="51"/>
      <c r="W249" s="51"/>
      <c r="X249" s="51"/>
      <c r="Y249" s="51">
        <f t="shared" si="145"/>
        <v>39.740000000013971</v>
      </c>
      <c r="Z249" s="52"/>
      <c r="AA249" s="53">
        <f t="shared" si="146"/>
        <v>219.55999999999767</v>
      </c>
      <c r="AB249" s="54"/>
      <c r="AC249" s="54"/>
      <c r="AD249" s="54">
        <v>-45</v>
      </c>
      <c r="AE249" s="54">
        <f t="shared" si="147"/>
        <v>174.55999999999767</v>
      </c>
      <c r="AF249" s="53"/>
      <c r="AG249" s="53">
        <f t="shared" si="166"/>
        <v>520.45999999996275</v>
      </c>
      <c r="AH249" s="54"/>
      <c r="AI249" s="54"/>
      <c r="AJ249" s="54"/>
      <c r="AK249" s="54">
        <f t="shared" si="148"/>
        <v>520.45999999996275</v>
      </c>
      <c r="AL249" s="53"/>
      <c r="AM249" s="53">
        <f t="shared" si="170"/>
        <v>0</v>
      </c>
      <c r="AN249" s="54"/>
      <c r="AO249" s="54"/>
      <c r="AP249" s="54"/>
      <c r="AQ249" s="54">
        <f t="shared" si="171"/>
        <v>0</v>
      </c>
      <c r="AR249" s="53"/>
      <c r="AS249" s="50">
        <f t="shared" si="172"/>
        <v>-4772435.6400000006</v>
      </c>
      <c r="AT249" s="50">
        <f t="shared" si="163"/>
        <v>131522.44</v>
      </c>
      <c r="AU249" s="50">
        <f t="shared" si="167"/>
        <v>0</v>
      </c>
      <c r="AV249" s="50">
        <f t="shared" si="164"/>
        <v>-442792.89</v>
      </c>
      <c r="AW249" s="50"/>
      <c r="AX249" s="50">
        <f t="shared" si="173"/>
        <v>-5083185.6300000008</v>
      </c>
      <c r="AY249" s="50">
        <f t="shared" si="174"/>
        <v>8300000</v>
      </c>
      <c r="AZ249" s="50">
        <f t="shared" si="175"/>
        <v>3216814.3699999992</v>
      </c>
    </row>
    <row r="250" spans="2:55" x14ac:dyDescent="0.3">
      <c r="B250" s="99">
        <f>B249+1</f>
        <v>44512</v>
      </c>
      <c r="C250" s="44">
        <f t="shared" si="139"/>
        <v>-4092528.9300000006</v>
      </c>
      <c r="D250" s="45">
        <f>19634.1+17343.48+17681.34</f>
        <v>54658.92</v>
      </c>
      <c r="E250" s="45"/>
      <c r="F250" s="45">
        <v>-39603.769999999997</v>
      </c>
      <c r="G250" s="45">
        <f t="shared" si="155"/>
        <v>-4077473.7800000007</v>
      </c>
      <c r="H250" s="44">
        <v>4300000</v>
      </c>
      <c r="I250" s="46">
        <f t="shared" si="140"/>
        <v>-994113.25</v>
      </c>
      <c r="J250" s="47">
        <v>406885.73</v>
      </c>
      <c r="K250" s="47"/>
      <c r="L250" s="47">
        <v>-499639.15</v>
      </c>
      <c r="M250" s="47">
        <f t="shared" si="141"/>
        <v>-1086866.67</v>
      </c>
      <c r="N250" s="46">
        <v>4000000</v>
      </c>
      <c r="O250" s="48">
        <f t="shared" si="142"/>
        <v>2721.7900000000232</v>
      </c>
      <c r="P250" s="55">
        <v>549.09999999997694</v>
      </c>
      <c r="Q250" s="55"/>
      <c r="R250" s="55"/>
      <c r="S250" s="55">
        <f t="shared" si="143"/>
        <v>3270.8900000000003</v>
      </c>
      <c r="T250" s="48"/>
      <c r="U250" s="49">
        <f t="shared" si="144"/>
        <v>39.740000000013971</v>
      </c>
      <c r="V250" s="51"/>
      <c r="W250" s="51"/>
      <c r="X250" s="51"/>
      <c r="Y250" s="51">
        <f t="shared" si="145"/>
        <v>39.740000000013971</v>
      </c>
      <c r="Z250" s="52"/>
      <c r="AA250" s="53">
        <f t="shared" si="146"/>
        <v>174.55999999999767</v>
      </c>
      <c r="AB250" s="54"/>
      <c r="AC250" s="54"/>
      <c r="AD250" s="54"/>
      <c r="AE250" s="54">
        <f t="shared" si="147"/>
        <v>174.55999999999767</v>
      </c>
      <c r="AF250" s="53"/>
      <c r="AG250" s="53">
        <f t="shared" si="166"/>
        <v>520.45999999996275</v>
      </c>
      <c r="AH250" s="54"/>
      <c r="AI250" s="54"/>
      <c r="AJ250" s="54"/>
      <c r="AK250" s="54">
        <f t="shared" si="148"/>
        <v>520.45999999996275</v>
      </c>
      <c r="AL250" s="53"/>
      <c r="AM250" s="53">
        <f t="shared" si="170"/>
        <v>0</v>
      </c>
      <c r="AN250" s="54"/>
      <c r="AO250" s="54"/>
      <c r="AP250" s="54"/>
      <c r="AQ250" s="54">
        <f t="shared" si="171"/>
        <v>0</v>
      </c>
      <c r="AR250" s="53"/>
      <c r="AS250" s="50">
        <f t="shared" si="172"/>
        <v>-5083706.0900000008</v>
      </c>
      <c r="AT250" s="50">
        <f t="shared" si="163"/>
        <v>462093.74999999994</v>
      </c>
      <c r="AU250" s="50">
        <f t="shared" si="167"/>
        <v>0</v>
      </c>
      <c r="AV250" s="50">
        <f t="shared" si="164"/>
        <v>-539242.92000000004</v>
      </c>
      <c r="AW250" s="50"/>
      <c r="AX250" s="50">
        <f t="shared" si="173"/>
        <v>-5160334.8000000017</v>
      </c>
      <c r="AY250" s="50">
        <f t="shared" si="174"/>
        <v>8300000</v>
      </c>
      <c r="AZ250" s="50">
        <f t="shared" si="175"/>
        <v>3139665.1999999983</v>
      </c>
    </row>
    <row r="251" spans="2:55" x14ac:dyDescent="0.3">
      <c r="B251" s="99">
        <f>B250+3</f>
        <v>44515</v>
      </c>
      <c r="C251" s="44">
        <f t="shared" ref="C251:C314" si="177">G250</f>
        <v>-4077473.7800000007</v>
      </c>
      <c r="D251" s="45"/>
      <c r="E251" s="45"/>
      <c r="F251" s="45"/>
      <c r="G251" s="45">
        <f t="shared" si="155"/>
        <v>-4077473.7800000007</v>
      </c>
      <c r="H251" s="44">
        <v>4300000</v>
      </c>
      <c r="I251" s="46">
        <f t="shared" ref="I251:I314" si="178">M250</f>
        <v>-1086866.67</v>
      </c>
      <c r="J251" s="47"/>
      <c r="K251" s="47"/>
      <c r="L251" s="47"/>
      <c r="M251" s="47">
        <f t="shared" ref="M251:M314" si="179">SUM(I251:L251)</f>
        <v>-1086866.67</v>
      </c>
      <c r="N251" s="46">
        <v>4000000</v>
      </c>
      <c r="O251" s="48">
        <f t="shared" ref="O251:O314" si="180">S250</f>
        <v>3270.8900000000003</v>
      </c>
      <c r="P251" s="55"/>
      <c r="Q251" s="55"/>
      <c r="R251" s="55"/>
      <c r="S251" s="55">
        <f t="shared" ref="S251:S314" si="181">SUM(O251:R251)</f>
        <v>3270.8900000000003</v>
      </c>
      <c r="T251" s="48"/>
      <c r="U251" s="49">
        <f t="shared" ref="U251:U314" si="182">Y250</f>
        <v>39.740000000013971</v>
      </c>
      <c r="V251" s="51"/>
      <c r="W251" s="51"/>
      <c r="X251" s="51"/>
      <c r="Y251" s="51">
        <f t="shared" ref="Y251:Y314" si="183">SUM(U251:X251)</f>
        <v>39.740000000013971</v>
      </c>
      <c r="Z251" s="52"/>
      <c r="AA251" s="53">
        <f t="shared" ref="AA251:AA314" si="184">AE250</f>
        <v>174.55999999999767</v>
      </c>
      <c r="AB251" s="54"/>
      <c r="AC251" s="54"/>
      <c r="AD251" s="54"/>
      <c r="AE251" s="54">
        <f t="shared" ref="AE251:AE314" si="185">SUM(AA251:AD251)</f>
        <v>174.55999999999767</v>
      </c>
      <c r="AF251" s="53"/>
      <c r="AG251" s="53">
        <f t="shared" si="166"/>
        <v>520.45999999996275</v>
      </c>
      <c r="AH251" s="54"/>
      <c r="AI251" s="54"/>
      <c r="AJ251" s="54"/>
      <c r="AK251" s="54">
        <f t="shared" ref="AK251:AK314" si="186">SUM(AG251:AJ251)</f>
        <v>520.45999999996275</v>
      </c>
      <c r="AL251" s="53"/>
      <c r="AM251" s="53">
        <f t="shared" si="170"/>
        <v>0</v>
      </c>
      <c r="AN251" s="54"/>
      <c r="AO251" s="54"/>
      <c r="AP251" s="54"/>
      <c r="AQ251" s="54">
        <f t="shared" si="171"/>
        <v>0</v>
      </c>
      <c r="AR251" s="53"/>
      <c r="AS251" s="50">
        <f t="shared" si="172"/>
        <v>-5160855.2600000016</v>
      </c>
      <c r="AT251" s="50">
        <f t="shared" si="163"/>
        <v>0</v>
      </c>
      <c r="AU251" s="50">
        <f t="shared" si="167"/>
        <v>0</v>
      </c>
      <c r="AV251" s="50">
        <f t="shared" si="164"/>
        <v>0</v>
      </c>
      <c r="AW251" s="50"/>
      <c r="AX251" s="50">
        <f t="shared" si="173"/>
        <v>-5160334.8000000017</v>
      </c>
      <c r="AY251" s="50">
        <f t="shared" si="174"/>
        <v>8300000</v>
      </c>
      <c r="AZ251" s="50">
        <f t="shared" si="175"/>
        <v>3139665.1999999983</v>
      </c>
    </row>
    <row r="252" spans="2:55" x14ac:dyDescent="0.3">
      <c r="B252" s="99">
        <f>B251+1</f>
        <v>44516</v>
      </c>
      <c r="C252" s="44">
        <f t="shared" si="177"/>
        <v>-4077473.7800000007</v>
      </c>
      <c r="D252" s="45">
        <v>408048.01999999996</v>
      </c>
      <c r="E252" s="45"/>
      <c r="F252" s="45">
        <v>-24940.2</v>
      </c>
      <c r="G252" s="45">
        <f t="shared" si="155"/>
        <v>-3694365.9600000009</v>
      </c>
      <c r="H252" s="44">
        <v>4300000</v>
      </c>
      <c r="I252" s="46">
        <f t="shared" si="178"/>
        <v>-1086866.67</v>
      </c>
      <c r="J252" s="47"/>
      <c r="K252" s="47">
        <f>380000+65000</f>
        <v>445000</v>
      </c>
      <c r="L252" s="47">
        <v>-105852.01</v>
      </c>
      <c r="M252" s="47">
        <f t="shared" si="179"/>
        <v>-747718.67999999993</v>
      </c>
      <c r="N252" s="46">
        <v>4000000</v>
      </c>
      <c r="O252" s="48">
        <f t="shared" si="180"/>
        <v>3270.8900000000003</v>
      </c>
      <c r="P252" s="55">
        <f>122.88+30.54+381883.81</f>
        <v>382037.23</v>
      </c>
      <c r="Q252" s="55">
        <v>-380000</v>
      </c>
      <c r="R252" s="55">
        <f>-176-10</f>
        <v>-186</v>
      </c>
      <c r="S252" s="55">
        <f t="shared" si="181"/>
        <v>5122.1199999999953</v>
      </c>
      <c r="T252" s="48"/>
      <c r="U252" s="49">
        <f t="shared" si="182"/>
        <v>39.740000000013971</v>
      </c>
      <c r="V252" s="51">
        <v>65056.82</v>
      </c>
      <c r="W252" s="51">
        <v>-65000</v>
      </c>
      <c r="X252" s="51">
        <v>-10</v>
      </c>
      <c r="Y252" s="51">
        <f t="shared" si="183"/>
        <v>86.560000000012224</v>
      </c>
      <c r="Z252" s="52"/>
      <c r="AA252" s="53">
        <f t="shared" si="184"/>
        <v>174.55999999999767</v>
      </c>
      <c r="AB252" s="54"/>
      <c r="AC252" s="54"/>
      <c r="AD252" s="54"/>
      <c r="AE252" s="54">
        <f t="shared" si="185"/>
        <v>174.55999999999767</v>
      </c>
      <c r="AF252" s="53"/>
      <c r="AG252" s="53">
        <f t="shared" si="166"/>
        <v>520.45999999996275</v>
      </c>
      <c r="AH252" s="54"/>
      <c r="AI252" s="54"/>
      <c r="AJ252" s="54"/>
      <c r="AK252" s="54">
        <f t="shared" si="186"/>
        <v>520.45999999996275</v>
      </c>
      <c r="AL252" s="53"/>
      <c r="AM252" s="53">
        <f t="shared" si="170"/>
        <v>0</v>
      </c>
      <c r="AN252" s="54"/>
      <c r="AO252" s="54"/>
      <c r="AP252" s="54"/>
      <c r="AQ252" s="54">
        <f t="shared" si="171"/>
        <v>0</v>
      </c>
      <c r="AR252" s="53"/>
      <c r="AS252" s="50">
        <f t="shared" ref="AS252:AS315" si="187">SUM(C252,I252,O252,U252,AA252,AG252)</f>
        <v>-5160334.8000000017</v>
      </c>
      <c r="AT252" s="50">
        <f t="shared" si="163"/>
        <v>855142.07</v>
      </c>
      <c r="AU252" s="50">
        <f t="shared" si="167"/>
        <v>0</v>
      </c>
      <c r="AV252" s="50">
        <f t="shared" si="164"/>
        <v>-130988.20999999999</v>
      </c>
      <c r="AW252" s="50"/>
      <c r="AX252" s="50">
        <f t="shared" si="173"/>
        <v>-4436180.9400000013</v>
      </c>
      <c r="AY252" s="50">
        <f t="shared" si="174"/>
        <v>8300000</v>
      </c>
      <c r="AZ252" s="50">
        <f t="shared" si="175"/>
        <v>3863819.0599999987</v>
      </c>
    </row>
    <row r="253" spans="2:55" x14ac:dyDescent="0.3">
      <c r="B253" s="99">
        <f t="shared" ref="B253:B254" si="188">B252+1</f>
        <v>44517</v>
      </c>
      <c r="C253" s="44">
        <f t="shared" si="177"/>
        <v>-3694365.9600000009</v>
      </c>
      <c r="D253" s="45">
        <v>119176.88</v>
      </c>
      <c r="E253" s="45"/>
      <c r="F253" s="45">
        <v>-14007.65</v>
      </c>
      <c r="G253" s="45">
        <f t="shared" si="155"/>
        <v>-3589196.7300000009</v>
      </c>
      <c r="H253" s="44">
        <v>4300000</v>
      </c>
      <c r="I253" s="46">
        <f t="shared" si="178"/>
        <v>-747718.67999999993</v>
      </c>
      <c r="J253" s="47">
        <v>107508.93</v>
      </c>
      <c r="K253" s="47"/>
      <c r="L253" s="47">
        <v>-143455.01999999999</v>
      </c>
      <c r="M253" s="47">
        <f t="shared" si="179"/>
        <v>-783664.77</v>
      </c>
      <c r="N253" s="46">
        <v>4000000</v>
      </c>
      <c r="O253" s="48">
        <f t="shared" si="180"/>
        <v>5122.1199999999953</v>
      </c>
      <c r="P253" s="55">
        <f>3547+503.23</f>
        <v>4050.23</v>
      </c>
      <c r="Q253" s="55"/>
      <c r="R253" s="55"/>
      <c r="S253" s="55">
        <f t="shared" si="181"/>
        <v>9172.3499999999949</v>
      </c>
      <c r="T253" s="48"/>
      <c r="U253" s="49">
        <f t="shared" si="182"/>
        <v>86.560000000012224</v>
      </c>
      <c r="V253" s="51"/>
      <c r="W253" s="51"/>
      <c r="X253" s="51"/>
      <c r="Y253" s="51">
        <f t="shared" si="183"/>
        <v>86.560000000012224</v>
      </c>
      <c r="Z253" s="52"/>
      <c r="AA253" s="53">
        <f t="shared" si="184"/>
        <v>174.55999999999767</v>
      </c>
      <c r="AB253" s="54"/>
      <c r="AC253" s="54"/>
      <c r="AD253" s="54"/>
      <c r="AE253" s="54">
        <f t="shared" si="185"/>
        <v>174.55999999999767</v>
      </c>
      <c r="AF253" s="53"/>
      <c r="AG253" s="53">
        <f t="shared" si="166"/>
        <v>520.45999999996275</v>
      </c>
      <c r="AH253" s="54"/>
      <c r="AI253" s="54"/>
      <c r="AJ253" s="54"/>
      <c r="AK253" s="54">
        <f t="shared" si="186"/>
        <v>520.45999999996275</v>
      </c>
      <c r="AL253" s="53"/>
      <c r="AM253" s="53">
        <f t="shared" si="170"/>
        <v>0</v>
      </c>
      <c r="AN253" s="54"/>
      <c r="AO253" s="54"/>
      <c r="AP253" s="54"/>
      <c r="AQ253" s="54">
        <f t="shared" si="171"/>
        <v>0</v>
      </c>
      <c r="AR253" s="53"/>
      <c r="AS253" s="50">
        <f t="shared" si="187"/>
        <v>-4436180.9400000013</v>
      </c>
      <c r="AT253" s="50">
        <f t="shared" si="163"/>
        <v>230736.04</v>
      </c>
      <c r="AU253" s="50">
        <f t="shared" si="167"/>
        <v>0</v>
      </c>
      <c r="AV253" s="50">
        <f t="shared" si="164"/>
        <v>-157462.66999999998</v>
      </c>
      <c r="AW253" s="50"/>
      <c r="AX253" s="50">
        <f t="shared" si="173"/>
        <v>-4362907.5700000022</v>
      </c>
      <c r="AY253" s="50">
        <f t="shared" si="174"/>
        <v>8300000</v>
      </c>
      <c r="AZ253" s="50">
        <f t="shared" si="175"/>
        <v>3937092.4299999978</v>
      </c>
    </row>
    <row r="254" spans="2:55" x14ac:dyDescent="0.3">
      <c r="B254" s="99">
        <f t="shared" si="188"/>
        <v>44518</v>
      </c>
      <c r="C254" s="44">
        <f t="shared" si="177"/>
        <v>-3589196.7300000009</v>
      </c>
      <c r="D254" s="45"/>
      <c r="E254" s="45"/>
      <c r="F254" s="45">
        <v>-0.85</v>
      </c>
      <c r="G254" s="45">
        <f t="shared" si="155"/>
        <v>-3589197.580000001</v>
      </c>
      <c r="H254" s="44">
        <v>4300000</v>
      </c>
      <c r="I254" s="46">
        <f t="shared" si="178"/>
        <v>-783664.77</v>
      </c>
      <c r="J254" s="47">
        <v>245440.91</v>
      </c>
      <c r="K254" s="47"/>
      <c r="L254" s="47">
        <v>-41956.42</v>
      </c>
      <c r="M254" s="47">
        <f t="shared" si="179"/>
        <v>-580180.28</v>
      </c>
      <c r="N254" s="46">
        <v>4000000</v>
      </c>
      <c r="O254" s="48">
        <f t="shared" si="180"/>
        <v>9172.3499999999949</v>
      </c>
      <c r="P254" s="55"/>
      <c r="Q254" s="55"/>
      <c r="R254" s="55"/>
      <c r="S254" s="55">
        <f t="shared" si="181"/>
        <v>9172.3499999999949</v>
      </c>
      <c r="T254" s="48"/>
      <c r="U254" s="49">
        <f t="shared" si="182"/>
        <v>86.560000000012224</v>
      </c>
      <c r="V254" s="51">
        <v>30666.43</v>
      </c>
      <c r="W254" s="51"/>
      <c r="X254" s="51"/>
      <c r="Y254" s="51">
        <f t="shared" si="183"/>
        <v>30752.990000000013</v>
      </c>
      <c r="Z254" s="52"/>
      <c r="AA254" s="53">
        <f t="shared" si="184"/>
        <v>174.55999999999767</v>
      </c>
      <c r="AB254" s="54"/>
      <c r="AC254" s="54"/>
      <c r="AD254" s="54"/>
      <c r="AE254" s="54">
        <f t="shared" si="185"/>
        <v>174.55999999999767</v>
      </c>
      <c r="AF254" s="53"/>
      <c r="AG254" s="53">
        <f t="shared" si="166"/>
        <v>520.45999999996275</v>
      </c>
      <c r="AH254" s="54"/>
      <c r="AI254" s="54"/>
      <c r="AJ254" s="54"/>
      <c r="AK254" s="54">
        <f t="shared" si="186"/>
        <v>520.45999999996275</v>
      </c>
      <c r="AL254" s="53"/>
      <c r="AM254" s="53">
        <f t="shared" si="170"/>
        <v>0</v>
      </c>
      <c r="AN254" s="54"/>
      <c r="AO254" s="54"/>
      <c r="AP254" s="54"/>
      <c r="AQ254" s="54">
        <f t="shared" si="171"/>
        <v>0</v>
      </c>
      <c r="AR254" s="53"/>
      <c r="AS254" s="50">
        <f t="shared" si="187"/>
        <v>-4362907.5700000022</v>
      </c>
      <c r="AT254" s="50">
        <f t="shared" si="163"/>
        <v>276107.34000000003</v>
      </c>
      <c r="AU254" s="50">
        <f t="shared" si="167"/>
        <v>0</v>
      </c>
      <c r="AV254" s="50">
        <f t="shared" si="164"/>
        <v>-41957.27</v>
      </c>
      <c r="AW254" s="50"/>
      <c r="AX254" s="50">
        <f t="shared" si="173"/>
        <v>-4128757.5000000009</v>
      </c>
      <c r="AY254" s="50">
        <f t="shared" si="174"/>
        <v>8300000</v>
      </c>
      <c r="AZ254" s="50">
        <f t="shared" si="175"/>
        <v>4171242.4999999991</v>
      </c>
    </row>
    <row r="255" spans="2:55" x14ac:dyDescent="0.3">
      <c r="B255" s="99">
        <f>B254+1</f>
        <v>44519</v>
      </c>
      <c r="C255" s="44">
        <f t="shared" si="177"/>
        <v>-3589197.580000001</v>
      </c>
      <c r="D255" s="45"/>
      <c r="E255" s="45">
        <f>30000-200000</f>
        <v>-170000</v>
      </c>
      <c r="F255" s="45">
        <v>-397455.97</v>
      </c>
      <c r="G255" s="45">
        <f t="shared" si="155"/>
        <v>-4156653.5500000007</v>
      </c>
      <c r="H255" s="44">
        <v>4300000</v>
      </c>
      <c r="I255" s="46">
        <f t="shared" si="178"/>
        <v>-580180.28</v>
      </c>
      <c r="J255" s="47"/>
      <c r="K255" s="47">
        <v>200000</v>
      </c>
      <c r="L255" s="47">
        <v>-795011.96</v>
      </c>
      <c r="M255" s="47">
        <f t="shared" si="179"/>
        <v>-1175192.24</v>
      </c>
      <c r="N255" s="46">
        <v>4000000</v>
      </c>
      <c r="O255" s="48">
        <f t="shared" si="180"/>
        <v>9172.3499999999949</v>
      </c>
      <c r="P255" s="55"/>
      <c r="Q255" s="55"/>
      <c r="R255" s="55"/>
      <c r="S255" s="55">
        <f t="shared" si="181"/>
        <v>9172.3499999999949</v>
      </c>
      <c r="T255" s="48"/>
      <c r="U255" s="49">
        <f t="shared" si="182"/>
        <v>30752.990000000013</v>
      </c>
      <c r="V255" s="51"/>
      <c r="W255" s="51">
        <v>-30000</v>
      </c>
      <c r="X255" s="51">
        <v>-10</v>
      </c>
      <c r="Y255" s="51">
        <f t="shared" si="183"/>
        <v>742.99000000001251</v>
      </c>
      <c r="Z255" s="52"/>
      <c r="AA255" s="53">
        <f t="shared" si="184"/>
        <v>174.55999999999767</v>
      </c>
      <c r="AB255" s="54"/>
      <c r="AC255" s="54"/>
      <c r="AD255" s="54"/>
      <c r="AE255" s="54">
        <f t="shared" si="185"/>
        <v>174.55999999999767</v>
      </c>
      <c r="AF255" s="53"/>
      <c r="AG255" s="53">
        <f t="shared" si="166"/>
        <v>520.45999999996275</v>
      </c>
      <c r="AH255" s="54"/>
      <c r="AI255" s="54"/>
      <c r="AJ255" s="54"/>
      <c r="AK255" s="54">
        <f t="shared" si="186"/>
        <v>520.45999999996275</v>
      </c>
      <c r="AL255" s="53"/>
      <c r="AM255" s="53">
        <f t="shared" si="170"/>
        <v>0</v>
      </c>
      <c r="AN255" s="54"/>
      <c r="AO255" s="54"/>
      <c r="AP255" s="54"/>
      <c r="AQ255" s="54">
        <f t="shared" si="171"/>
        <v>0</v>
      </c>
      <c r="AR255" s="53"/>
      <c r="AS255" s="50">
        <f t="shared" si="187"/>
        <v>-4128757.5000000009</v>
      </c>
      <c r="AT255" s="50">
        <f t="shared" si="163"/>
        <v>0</v>
      </c>
      <c r="AU255" s="50">
        <f t="shared" si="167"/>
        <v>0</v>
      </c>
      <c r="AV255" s="50">
        <f t="shared" si="164"/>
        <v>-1192477.93</v>
      </c>
      <c r="AW255" s="50"/>
      <c r="AX255" s="50">
        <f t="shared" si="173"/>
        <v>-5321235.4300000016</v>
      </c>
      <c r="AY255" s="50">
        <f t="shared" si="174"/>
        <v>8300000</v>
      </c>
      <c r="AZ255" s="50">
        <f t="shared" si="175"/>
        <v>2978764.5699999984</v>
      </c>
      <c r="BB255" s="15">
        <f>AX255</f>
        <v>-5321235.4300000016</v>
      </c>
      <c r="BC255" s="15">
        <f>SUM(AV241:AV255)</f>
        <v>-7123219.9500000002</v>
      </c>
    </row>
    <row r="256" spans="2:55" x14ac:dyDescent="0.3">
      <c r="B256" s="99">
        <f>B255+3</f>
        <v>44522</v>
      </c>
      <c r="C256" s="44">
        <f t="shared" si="177"/>
        <v>-4156653.5500000007</v>
      </c>
      <c r="D256" s="45">
        <v>60228.25</v>
      </c>
      <c r="E256" s="45"/>
      <c r="F256" s="45"/>
      <c r="G256" s="45">
        <f t="shared" si="155"/>
        <v>-4096425.3000000007</v>
      </c>
      <c r="H256" s="44">
        <v>4300000</v>
      </c>
      <c r="I256" s="46">
        <f t="shared" si="178"/>
        <v>-1175192.24</v>
      </c>
      <c r="J256" s="47">
        <f>50779.16</f>
        <v>50779.16</v>
      </c>
      <c r="K256" s="47">
        <v>259000</v>
      </c>
      <c r="L256" s="47">
        <v>-54987.709999999897</v>
      </c>
      <c r="M256" s="47">
        <f t="shared" si="179"/>
        <v>-920400.78999999992</v>
      </c>
      <c r="N256" s="46">
        <v>4000000</v>
      </c>
      <c r="O256" s="48">
        <f t="shared" si="180"/>
        <v>9172.3499999999949</v>
      </c>
      <c r="P256" s="55">
        <f>27159.27+29023.02+2240.73</f>
        <v>58423.020000000004</v>
      </c>
      <c r="Q256" s="55">
        <f>-259000+192800</f>
        <v>-66200</v>
      </c>
      <c r="R256" s="55">
        <v>-10</v>
      </c>
      <c r="S256" s="55">
        <f t="shared" si="181"/>
        <v>1385.3699999999953</v>
      </c>
      <c r="T256" s="48"/>
      <c r="U256" s="49">
        <f t="shared" si="182"/>
        <v>742.99000000001251</v>
      </c>
      <c r="V256" s="51">
        <f>192084.67</f>
        <v>192084.67</v>
      </c>
      <c r="W256" s="51">
        <v>-192800</v>
      </c>
      <c r="X256" s="51"/>
      <c r="Y256" s="51">
        <f t="shared" si="183"/>
        <v>27.660000000032596</v>
      </c>
      <c r="Z256" s="52"/>
      <c r="AA256" s="53">
        <f t="shared" si="184"/>
        <v>174.55999999999767</v>
      </c>
      <c r="AB256" s="54"/>
      <c r="AC256" s="54"/>
      <c r="AD256" s="54"/>
      <c r="AE256" s="54">
        <f t="shared" si="185"/>
        <v>174.55999999999767</v>
      </c>
      <c r="AF256" s="53"/>
      <c r="AG256" s="53">
        <f t="shared" si="166"/>
        <v>520.45999999996275</v>
      </c>
      <c r="AH256" s="54"/>
      <c r="AI256" s="54"/>
      <c r="AJ256" s="54"/>
      <c r="AK256" s="54">
        <f t="shared" si="186"/>
        <v>520.45999999996275</v>
      </c>
      <c r="AL256" s="53"/>
      <c r="AM256" s="53">
        <f t="shared" si="170"/>
        <v>0</v>
      </c>
      <c r="AN256" s="54"/>
      <c r="AO256" s="54"/>
      <c r="AP256" s="54"/>
      <c r="AQ256" s="54">
        <f t="shared" si="171"/>
        <v>0</v>
      </c>
      <c r="AR256" s="53"/>
      <c r="AS256" s="50">
        <f t="shared" si="187"/>
        <v>-5321235.4300000016</v>
      </c>
      <c r="AT256" s="50">
        <f t="shared" si="163"/>
        <v>361515.1</v>
      </c>
      <c r="AU256" s="50">
        <f t="shared" si="167"/>
        <v>0</v>
      </c>
      <c r="AV256" s="50">
        <f t="shared" si="164"/>
        <v>-54997.709999999897</v>
      </c>
      <c r="AW256" s="50"/>
      <c r="AX256" s="50">
        <f t="shared" si="173"/>
        <v>-5014718.040000001</v>
      </c>
      <c r="AY256" s="50">
        <f t="shared" si="174"/>
        <v>8300000</v>
      </c>
      <c r="AZ256" s="50">
        <f t="shared" si="175"/>
        <v>3285281.959999999</v>
      </c>
      <c r="BB256" s="15">
        <v>7300000</v>
      </c>
      <c r="BC256" s="15">
        <v>-2075000</v>
      </c>
    </row>
    <row r="257" spans="2:55" x14ac:dyDescent="0.3">
      <c r="B257" s="99">
        <f>B256+1</f>
        <v>44523</v>
      </c>
      <c r="C257" s="44">
        <f t="shared" si="177"/>
        <v>-4096425.3000000007</v>
      </c>
      <c r="D257" s="45"/>
      <c r="E257" s="45">
        <v>430000</v>
      </c>
      <c r="F257" s="45">
        <v>-3790.3</v>
      </c>
      <c r="G257" s="45">
        <f t="shared" si="155"/>
        <v>-3670215.6000000006</v>
      </c>
      <c r="H257" s="44">
        <v>4300000</v>
      </c>
      <c r="I257" s="46">
        <f t="shared" si="178"/>
        <v>-920400.78999999992</v>
      </c>
      <c r="J257" s="47"/>
      <c r="K257" s="47"/>
      <c r="L257" s="47">
        <v>-9267.7999999999993</v>
      </c>
      <c r="M257" s="47">
        <f t="shared" si="179"/>
        <v>-929668.59</v>
      </c>
      <c r="N257" s="46">
        <v>4000000</v>
      </c>
      <c r="O257" s="48">
        <f t="shared" si="180"/>
        <v>1385.3699999999953</v>
      </c>
      <c r="P257" s="55"/>
      <c r="Q257" s="55">
        <f>432900-430000</f>
        <v>2900</v>
      </c>
      <c r="R257" s="55">
        <v>-10</v>
      </c>
      <c r="S257" s="55">
        <f t="shared" si="181"/>
        <v>4275.3699999999953</v>
      </c>
      <c r="T257" s="48"/>
      <c r="U257" s="49">
        <f t="shared" si="182"/>
        <v>27.660000000032596</v>
      </c>
      <c r="V257" s="51">
        <v>432948.82</v>
      </c>
      <c r="W257" s="51">
        <v>-432900</v>
      </c>
      <c r="X257" s="51">
        <f>-1.2*2</f>
        <v>-2.4</v>
      </c>
      <c r="Y257" s="51">
        <f t="shared" si="183"/>
        <v>74.080000000039576</v>
      </c>
      <c r="Z257" s="52"/>
      <c r="AA257" s="53">
        <f t="shared" si="184"/>
        <v>174.55999999999767</v>
      </c>
      <c r="AB257" s="54"/>
      <c r="AC257" s="54"/>
      <c r="AD257" s="54"/>
      <c r="AE257" s="54">
        <f t="shared" si="185"/>
        <v>174.55999999999767</v>
      </c>
      <c r="AF257" s="53"/>
      <c r="AG257" s="53">
        <f t="shared" si="166"/>
        <v>520.45999999996275</v>
      </c>
      <c r="AH257" s="54"/>
      <c r="AI257" s="54"/>
      <c r="AJ257" s="54"/>
      <c r="AK257" s="54">
        <f t="shared" si="186"/>
        <v>520.45999999996275</v>
      </c>
      <c r="AL257" s="53"/>
      <c r="AM257" s="53">
        <f t="shared" si="170"/>
        <v>0</v>
      </c>
      <c r="AN257" s="54"/>
      <c r="AO257" s="54"/>
      <c r="AP257" s="54"/>
      <c r="AQ257" s="54">
        <f t="shared" si="171"/>
        <v>0</v>
      </c>
      <c r="AR257" s="53"/>
      <c r="AS257" s="50">
        <f t="shared" si="187"/>
        <v>-5014718.040000001</v>
      </c>
      <c r="AT257" s="50">
        <f t="shared" si="163"/>
        <v>432948.82</v>
      </c>
      <c r="AU257" s="50">
        <f t="shared" si="167"/>
        <v>0</v>
      </c>
      <c r="AV257" s="50">
        <f t="shared" si="164"/>
        <v>-13070.499999999998</v>
      </c>
      <c r="AW257" s="50"/>
      <c r="AX257" s="50">
        <f t="shared" si="173"/>
        <v>-4594839.7200000007</v>
      </c>
      <c r="AY257" s="50">
        <f t="shared" si="174"/>
        <v>8300000</v>
      </c>
      <c r="AZ257" s="50">
        <f t="shared" si="175"/>
        <v>3705160.2799999993</v>
      </c>
      <c r="BB257" s="15">
        <f>SUM(BB255:BB256)</f>
        <v>1978764.5699999984</v>
      </c>
      <c r="BC257" s="15">
        <f>SUM(BC255:BC256)</f>
        <v>-9198219.9499999993</v>
      </c>
    </row>
    <row r="258" spans="2:55" x14ac:dyDescent="0.3">
      <c r="B258" s="99">
        <f t="shared" ref="B258:B259" si="189">B257+1</f>
        <v>44524</v>
      </c>
      <c r="C258" s="44">
        <f t="shared" si="177"/>
        <v>-3670215.6000000006</v>
      </c>
      <c r="D258" s="45"/>
      <c r="E258" s="45"/>
      <c r="F258" s="45"/>
      <c r="G258" s="45">
        <f t="shared" si="155"/>
        <v>-3670215.6000000006</v>
      </c>
      <c r="H258" s="44">
        <v>4300000</v>
      </c>
      <c r="I258" s="46">
        <f t="shared" si="178"/>
        <v>-929668.59</v>
      </c>
      <c r="J258" s="47">
        <v>50677.74</v>
      </c>
      <c r="K258" s="47"/>
      <c r="L258" s="47">
        <v>-62923.25</v>
      </c>
      <c r="M258" s="47">
        <f t="shared" si="179"/>
        <v>-941914.1</v>
      </c>
      <c r="N258" s="46">
        <v>4000000</v>
      </c>
      <c r="O258" s="48">
        <f t="shared" si="180"/>
        <v>4275.3699999999953</v>
      </c>
      <c r="P258" s="55"/>
      <c r="Q258" s="55"/>
      <c r="R258" s="55">
        <v>-278.60000000000002</v>
      </c>
      <c r="S258" s="55">
        <f t="shared" si="181"/>
        <v>3996.7699999999954</v>
      </c>
      <c r="T258" s="48"/>
      <c r="U258" s="49">
        <f t="shared" si="182"/>
        <v>74.080000000039576</v>
      </c>
      <c r="V258" s="51"/>
      <c r="W258" s="51"/>
      <c r="X258" s="51"/>
      <c r="Y258" s="51">
        <f t="shared" si="183"/>
        <v>74.080000000039576</v>
      </c>
      <c r="Z258" s="52"/>
      <c r="AA258" s="53">
        <f t="shared" si="184"/>
        <v>174.55999999999767</v>
      </c>
      <c r="AB258" s="54"/>
      <c r="AC258" s="54">
        <v>400</v>
      </c>
      <c r="AD258" s="54">
        <f>-310-217</f>
        <v>-527</v>
      </c>
      <c r="AE258" s="54">
        <f t="shared" si="185"/>
        <v>47.559999999997672</v>
      </c>
      <c r="AF258" s="53"/>
      <c r="AG258" s="53">
        <f t="shared" si="166"/>
        <v>520.45999999996275</v>
      </c>
      <c r="AH258" s="54"/>
      <c r="AI258" s="54">
        <v>-400</v>
      </c>
      <c r="AJ258" s="54"/>
      <c r="AK258" s="54">
        <f t="shared" si="186"/>
        <v>120.45999999996275</v>
      </c>
      <c r="AL258" s="53"/>
      <c r="AM258" s="53">
        <f t="shared" si="170"/>
        <v>0</v>
      </c>
      <c r="AN258" s="54"/>
      <c r="AO258" s="54"/>
      <c r="AP258" s="54"/>
      <c r="AQ258" s="54">
        <f t="shared" si="171"/>
        <v>0</v>
      </c>
      <c r="AR258" s="53"/>
      <c r="AS258" s="50">
        <f t="shared" si="187"/>
        <v>-4594839.7200000007</v>
      </c>
      <c r="AT258" s="50">
        <f t="shared" si="163"/>
        <v>50677.74</v>
      </c>
      <c r="AU258" s="50">
        <f t="shared" si="167"/>
        <v>0</v>
      </c>
      <c r="AV258" s="50">
        <f t="shared" si="164"/>
        <v>-63728.85</v>
      </c>
      <c r="AW258" s="50"/>
      <c r="AX258" s="50">
        <f t="shared" si="173"/>
        <v>-4607890.830000001</v>
      </c>
      <c r="AY258" s="50">
        <f t="shared" si="174"/>
        <v>8300000</v>
      </c>
      <c r="AZ258" s="50">
        <f t="shared" si="175"/>
        <v>3692109.169999999</v>
      </c>
    </row>
    <row r="259" spans="2:55" x14ac:dyDescent="0.3">
      <c r="B259" s="99">
        <f t="shared" si="189"/>
        <v>44525</v>
      </c>
      <c r="C259" s="44">
        <f t="shared" si="177"/>
        <v>-3670215.6000000006</v>
      </c>
      <c r="D259" s="45"/>
      <c r="E259" s="45"/>
      <c r="F259" s="45">
        <v>-68995.06</v>
      </c>
      <c r="G259" s="45">
        <f t="shared" si="155"/>
        <v>-3739210.6600000006</v>
      </c>
      <c r="H259" s="44">
        <v>4300000</v>
      </c>
      <c r="I259" s="46">
        <f t="shared" si="178"/>
        <v>-941914.1</v>
      </c>
      <c r="J259" s="47">
        <f>283406.29+19411.39+51831.62+78134.29+160543.69+17757.79</f>
        <v>611085.07000000007</v>
      </c>
      <c r="K259" s="47"/>
      <c r="L259" s="47">
        <f>-1000-22196.22-10054.38-18407.22-4553.3</f>
        <v>-56211.12</v>
      </c>
      <c r="M259" s="47">
        <f t="shared" si="179"/>
        <v>-387040.14999999991</v>
      </c>
      <c r="N259" s="46">
        <v>4000000</v>
      </c>
      <c r="O259" s="48">
        <f t="shared" si="180"/>
        <v>3996.7699999999954</v>
      </c>
      <c r="P259" s="55">
        <f>19896.2+948.86</f>
        <v>20845.060000000001</v>
      </c>
      <c r="Q259" s="55"/>
      <c r="R259" s="55">
        <v>-84</v>
      </c>
      <c r="S259" s="55">
        <f t="shared" si="181"/>
        <v>24757.829999999998</v>
      </c>
      <c r="T259" s="48"/>
      <c r="U259" s="49">
        <f t="shared" si="182"/>
        <v>74.080000000039576</v>
      </c>
      <c r="V259" s="51"/>
      <c r="W259" s="51"/>
      <c r="X259" s="51"/>
      <c r="Y259" s="51">
        <f t="shared" si="183"/>
        <v>74.080000000039576</v>
      </c>
      <c r="Z259" s="52"/>
      <c r="AA259" s="53">
        <f t="shared" si="184"/>
        <v>47.559999999997672</v>
      </c>
      <c r="AB259" s="54"/>
      <c r="AC259" s="54"/>
      <c r="AD259" s="54"/>
      <c r="AE259" s="54">
        <f t="shared" si="185"/>
        <v>47.559999999997672</v>
      </c>
      <c r="AF259" s="53"/>
      <c r="AG259" s="53">
        <f t="shared" si="166"/>
        <v>120.45999999996275</v>
      </c>
      <c r="AH259" s="54"/>
      <c r="AI259" s="54"/>
      <c r="AJ259" s="54"/>
      <c r="AK259" s="54">
        <f t="shared" si="186"/>
        <v>120.45999999996275</v>
      </c>
      <c r="AL259" s="53"/>
      <c r="AM259" s="53">
        <f t="shared" si="170"/>
        <v>0</v>
      </c>
      <c r="AN259" s="54"/>
      <c r="AO259" s="54"/>
      <c r="AP259" s="54"/>
      <c r="AQ259" s="54">
        <f t="shared" si="171"/>
        <v>0</v>
      </c>
      <c r="AR259" s="53"/>
      <c r="AS259" s="50">
        <f t="shared" si="187"/>
        <v>-4607890.830000001</v>
      </c>
      <c r="AT259" s="50">
        <f t="shared" si="163"/>
        <v>631930.13000000012</v>
      </c>
      <c r="AU259" s="50">
        <f t="shared" si="167"/>
        <v>0</v>
      </c>
      <c r="AV259" s="50">
        <f t="shared" si="164"/>
        <v>-125290.18</v>
      </c>
      <c r="AW259" s="50"/>
      <c r="AX259" s="50">
        <f t="shared" si="173"/>
        <v>-4101250.8800000004</v>
      </c>
      <c r="AY259" s="50">
        <f t="shared" si="174"/>
        <v>8300000</v>
      </c>
      <c r="AZ259" s="50">
        <f t="shared" si="175"/>
        <v>4198749.1199999992</v>
      </c>
    </row>
    <row r="260" spans="2:55" x14ac:dyDescent="0.3">
      <c r="B260" s="99">
        <f>B259+1</f>
        <v>44526</v>
      </c>
      <c r="C260" s="44">
        <f t="shared" si="177"/>
        <v>-3739210.6600000006</v>
      </c>
      <c r="D260" s="45">
        <v>108104.23</v>
      </c>
      <c r="E260" s="45">
        <v>-90000</v>
      </c>
      <c r="F260" s="45">
        <f>-549182.97+90000</f>
        <v>-459182.97</v>
      </c>
      <c r="G260" s="45">
        <f t="shared" si="155"/>
        <v>-4180289.4000000004</v>
      </c>
      <c r="H260" s="44">
        <v>4300000</v>
      </c>
      <c r="I260" s="46">
        <f t="shared" si="178"/>
        <v>-387040.14999999991</v>
      </c>
      <c r="J260" s="47">
        <v>202358.99</v>
      </c>
      <c r="K260" s="47">
        <f>250000+24000+90000</f>
        <v>364000</v>
      </c>
      <c r="L260" s="47">
        <v>-165134.68</v>
      </c>
      <c r="M260" s="47">
        <f t="shared" si="179"/>
        <v>14184.160000000091</v>
      </c>
      <c r="N260" s="46">
        <v>4000000</v>
      </c>
      <c r="O260" s="48">
        <f t="shared" si="180"/>
        <v>24757.829999999998</v>
      </c>
      <c r="P260" s="55"/>
      <c r="Q260" s="55">
        <v>-24000</v>
      </c>
      <c r="R260" s="55">
        <v>-10</v>
      </c>
      <c r="S260" s="55">
        <f t="shared" si="181"/>
        <v>747.82999999999811</v>
      </c>
      <c r="T260" s="48"/>
      <c r="U260" s="49">
        <f t="shared" si="182"/>
        <v>74.080000000039576</v>
      </c>
      <c r="V260" s="51"/>
      <c r="W260" s="51"/>
      <c r="X260" s="51"/>
      <c r="Y260" s="51">
        <f t="shared" si="183"/>
        <v>74.080000000039576</v>
      </c>
      <c r="Z260" s="52"/>
      <c r="AA260" s="53">
        <f t="shared" si="184"/>
        <v>47.559999999997672</v>
      </c>
      <c r="AB260" s="54"/>
      <c r="AC260" s="54">
        <v>0</v>
      </c>
      <c r="AD260" s="54"/>
      <c r="AE260" s="54">
        <f t="shared" si="185"/>
        <v>47.559999999997672</v>
      </c>
      <c r="AF260" s="53"/>
      <c r="AG260" s="53">
        <f t="shared" si="166"/>
        <v>120.45999999996275</v>
      </c>
      <c r="AH260" s="54">
        <f>242683.28+7686.25</f>
        <v>250369.53</v>
      </c>
      <c r="AI260" s="54">
        <v>-250000</v>
      </c>
      <c r="AJ260" s="54"/>
      <c r="AK260" s="54">
        <f t="shared" si="186"/>
        <v>489.98999999996158</v>
      </c>
      <c r="AL260" s="53"/>
      <c r="AM260" s="53">
        <f t="shared" si="170"/>
        <v>0</v>
      </c>
      <c r="AN260" s="54"/>
      <c r="AO260" s="54"/>
      <c r="AP260" s="54"/>
      <c r="AQ260" s="54">
        <f t="shared" si="171"/>
        <v>0</v>
      </c>
      <c r="AR260" s="53"/>
      <c r="AS260" s="50">
        <f t="shared" si="187"/>
        <v>-4101250.8800000004</v>
      </c>
      <c r="AT260" s="50">
        <f t="shared" si="163"/>
        <v>560832.75</v>
      </c>
      <c r="AU260" s="50">
        <f t="shared" si="167"/>
        <v>0</v>
      </c>
      <c r="AV260" s="50">
        <f t="shared" si="164"/>
        <v>-624327.64999999991</v>
      </c>
      <c r="AW260" s="50"/>
      <c r="AX260" s="50">
        <f t="shared" si="173"/>
        <v>-4164745.7800000003</v>
      </c>
      <c r="AY260" s="50">
        <f t="shared" si="174"/>
        <v>8300000</v>
      </c>
      <c r="AZ260" s="50">
        <f t="shared" si="175"/>
        <v>4135254.2199999997</v>
      </c>
    </row>
    <row r="261" spans="2:55" x14ac:dyDescent="0.3">
      <c r="B261" s="99">
        <f>B260+3</f>
        <v>44529</v>
      </c>
      <c r="C261" s="44">
        <f t="shared" si="177"/>
        <v>-4180289.4000000004</v>
      </c>
      <c r="D261" s="45">
        <v>11111.29</v>
      </c>
      <c r="E261" s="45">
        <v>100000</v>
      </c>
      <c r="F261" s="45">
        <v>-33317.82</v>
      </c>
      <c r="G261" s="45">
        <f t="shared" si="155"/>
        <v>-4102495.93</v>
      </c>
      <c r="H261" s="44">
        <v>4300000</v>
      </c>
      <c r="I261" s="46">
        <f t="shared" si="178"/>
        <v>14184.160000000091</v>
      </c>
      <c r="J261" s="47">
        <f>168875+129297.84</f>
        <v>298172.83999999997</v>
      </c>
      <c r="K261" s="47">
        <v>-105000</v>
      </c>
      <c r="L261" s="47">
        <v>-929856.2</v>
      </c>
      <c r="M261" s="47">
        <f t="shared" si="179"/>
        <v>-722499.2</v>
      </c>
      <c r="N261" s="46">
        <v>4000000</v>
      </c>
      <c r="O261" s="48">
        <f t="shared" si="180"/>
        <v>747.82999999999811</v>
      </c>
      <c r="P261" s="55">
        <v>297.92</v>
      </c>
      <c r="Q261" s="55"/>
      <c r="R261" s="55">
        <v>-300</v>
      </c>
      <c r="S261" s="55">
        <f t="shared" si="181"/>
        <v>745.74999999999818</v>
      </c>
      <c r="T261" s="48"/>
      <c r="U261" s="49">
        <f t="shared" si="182"/>
        <v>74.080000000039576</v>
      </c>
      <c r="V261" s="51"/>
      <c r="W261" s="51"/>
      <c r="X261" s="51"/>
      <c r="Y261" s="51">
        <f t="shared" si="183"/>
        <v>74.080000000039576</v>
      </c>
      <c r="Z261" s="52"/>
      <c r="AA261" s="53">
        <f t="shared" si="184"/>
        <v>47.559999999997672</v>
      </c>
      <c r="AB261" s="54"/>
      <c r="AC261" s="54">
        <v>5000</v>
      </c>
      <c r="AD261" s="54">
        <v>-3130.46</v>
      </c>
      <c r="AE261" s="54">
        <f t="shared" si="185"/>
        <v>1917.0999999999976</v>
      </c>
      <c r="AF261" s="53"/>
      <c r="AG261" s="53">
        <f t="shared" si="166"/>
        <v>489.98999999996158</v>
      </c>
      <c r="AH261" s="54"/>
      <c r="AI261" s="54"/>
      <c r="AJ261" s="54"/>
      <c r="AK261" s="54">
        <f t="shared" si="186"/>
        <v>489.98999999996158</v>
      </c>
      <c r="AL261" s="53"/>
      <c r="AM261" s="53">
        <f t="shared" si="170"/>
        <v>0</v>
      </c>
      <c r="AN261" s="54"/>
      <c r="AO261" s="54"/>
      <c r="AP261" s="54"/>
      <c r="AQ261" s="54">
        <f t="shared" si="171"/>
        <v>0</v>
      </c>
      <c r="AR261" s="53"/>
      <c r="AS261" s="50">
        <f t="shared" si="187"/>
        <v>-4164745.7800000003</v>
      </c>
      <c r="AT261" s="50">
        <f t="shared" si="163"/>
        <v>309582.04999999993</v>
      </c>
      <c r="AU261" s="50">
        <f t="shared" si="167"/>
        <v>0</v>
      </c>
      <c r="AV261" s="50">
        <f t="shared" si="164"/>
        <v>-966604.47999999986</v>
      </c>
      <c r="AW261" s="50"/>
      <c r="AX261" s="50">
        <f t="shared" si="173"/>
        <v>-4821768.21</v>
      </c>
      <c r="AY261" s="50">
        <f t="shared" si="174"/>
        <v>8300000</v>
      </c>
      <c r="AZ261" s="50">
        <f t="shared" si="175"/>
        <v>3478231.79</v>
      </c>
    </row>
    <row r="262" spans="2:55" x14ac:dyDescent="0.3">
      <c r="B262" s="99">
        <f>B261+1</f>
        <v>44530</v>
      </c>
      <c r="C262" s="44">
        <f t="shared" si="177"/>
        <v>-4102495.93</v>
      </c>
      <c r="D262" s="45">
        <v>156438.59</v>
      </c>
      <c r="E262" s="45">
        <v>400000</v>
      </c>
      <c r="F262" s="45">
        <v>-117394.39</v>
      </c>
      <c r="G262" s="45">
        <f t="shared" si="155"/>
        <v>-3663451.7300000004</v>
      </c>
      <c r="H262" s="44">
        <v>4300000</v>
      </c>
      <c r="I262" s="46">
        <f t="shared" si="178"/>
        <v>-722499.2</v>
      </c>
      <c r="J262" s="47">
        <v>692941.8899999999</v>
      </c>
      <c r="K262" s="47">
        <f>-403000+529000</f>
        <v>126000</v>
      </c>
      <c r="L262" s="47">
        <v>-67939.199999999895</v>
      </c>
      <c r="M262" s="47">
        <f t="shared" si="179"/>
        <v>28503.490000000049</v>
      </c>
      <c r="N262" s="46">
        <v>4000000</v>
      </c>
      <c r="O262" s="48">
        <f t="shared" si="180"/>
        <v>745.74999999999818</v>
      </c>
      <c r="P262" s="55">
        <v>528782.1</v>
      </c>
      <c r="Q262" s="55">
        <v>-529000</v>
      </c>
      <c r="R262" s="55">
        <v>-10</v>
      </c>
      <c r="S262" s="55">
        <f t="shared" si="181"/>
        <v>517.84999999997672</v>
      </c>
      <c r="T262" s="48"/>
      <c r="U262" s="49">
        <f t="shared" si="182"/>
        <v>74.080000000039576</v>
      </c>
      <c r="V262" s="51">
        <v>96477.8</v>
      </c>
      <c r="W262" s="51"/>
      <c r="X262" s="51"/>
      <c r="Y262" s="51">
        <f t="shared" si="183"/>
        <v>96551.880000000048</v>
      </c>
      <c r="Z262" s="52"/>
      <c r="AA262" s="53">
        <f t="shared" si="184"/>
        <v>1917.0999999999976</v>
      </c>
      <c r="AB262" s="54"/>
      <c r="AC262" s="54">
        <v>3000</v>
      </c>
      <c r="AD262" s="54">
        <v>-3081.1</v>
      </c>
      <c r="AE262" s="54">
        <f t="shared" si="185"/>
        <v>1835.9999999999977</v>
      </c>
      <c r="AF262" s="53"/>
      <c r="AG262" s="53">
        <f t="shared" si="166"/>
        <v>489.98999999996158</v>
      </c>
      <c r="AH262" s="54"/>
      <c r="AI262" s="54"/>
      <c r="AJ262" s="54"/>
      <c r="AK262" s="54">
        <f t="shared" si="186"/>
        <v>489.98999999996158</v>
      </c>
      <c r="AL262" s="53"/>
      <c r="AM262" s="53">
        <f t="shared" si="170"/>
        <v>0</v>
      </c>
      <c r="AN262" s="54"/>
      <c r="AO262" s="54"/>
      <c r="AP262" s="54"/>
      <c r="AQ262" s="54">
        <f t="shared" si="171"/>
        <v>0</v>
      </c>
      <c r="AR262" s="53"/>
      <c r="AS262" s="50">
        <f t="shared" si="187"/>
        <v>-4821768.21</v>
      </c>
      <c r="AT262" s="50">
        <f t="shared" si="163"/>
        <v>1474640.38</v>
      </c>
      <c r="AU262" s="50">
        <f t="shared" si="167"/>
        <v>0</v>
      </c>
      <c r="AV262" s="50">
        <f t="shared" si="164"/>
        <v>-188424.68999999992</v>
      </c>
      <c r="AW262" s="50"/>
      <c r="AX262" s="50">
        <f t="shared" si="173"/>
        <v>-3535552.5200000005</v>
      </c>
      <c r="AY262" s="50">
        <f t="shared" si="174"/>
        <v>8300000</v>
      </c>
      <c r="AZ262" s="50">
        <f t="shared" si="175"/>
        <v>4764447.4799999995</v>
      </c>
    </row>
    <row r="263" spans="2:55" x14ac:dyDescent="0.3">
      <c r="B263" s="99">
        <f t="shared" ref="B263:B264" si="190">B262+1</f>
        <v>44531</v>
      </c>
      <c r="C263" s="44">
        <f t="shared" si="177"/>
        <v>-3663451.7300000004</v>
      </c>
      <c r="D263" s="45"/>
      <c r="E263" s="45">
        <v>-250000</v>
      </c>
      <c r="F263" s="45">
        <v>-29299.619999999599</v>
      </c>
      <c r="G263" s="45">
        <f t="shared" si="155"/>
        <v>-3942751.35</v>
      </c>
      <c r="H263" s="44">
        <v>4300000</v>
      </c>
      <c r="I263" s="46">
        <f t="shared" si="178"/>
        <v>28503.490000000049</v>
      </c>
      <c r="J263" s="47">
        <f>131301.42+4550</f>
        <v>135851.42000000001</v>
      </c>
      <c r="K263" s="47">
        <f>250000-10400</f>
        <v>239600</v>
      </c>
      <c r="L263" s="47">
        <v>-2042337.71</v>
      </c>
      <c r="M263" s="47">
        <f t="shared" si="179"/>
        <v>-1638382.7999999998</v>
      </c>
      <c r="N263" s="46">
        <v>4000000</v>
      </c>
      <c r="O263" s="48">
        <f t="shared" si="180"/>
        <v>517.84999999997672</v>
      </c>
      <c r="P263" s="55">
        <f>50138.42+26894.89</f>
        <v>77033.31</v>
      </c>
      <c r="Q263" s="55"/>
      <c r="R263" s="55"/>
      <c r="S263" s="55">
        <f t="shared" si="181"/>
        <v>77551.159999999974</v>
      </c>
      <c r="T263" s="48"/>
      <c r="U263" s="49">
        <f t="shared" si="182"/>
        <v>96551.880000000048</v>
      </c>
      <c r="V263" s="51"/>
      <c r="W263" s="51"/>
      <c r="X263" s="51"/>
      <c r="Y263" s="51">
        <f t="shared" si="183"/>
        <v>96551.880000000048</v>
      </c>
      <c r="Z263" s="52"/>
      <c r="AA263" s="53">
        <f t="shared" si="184"/>
        <v>1835.9999999999977</v>
      </c>
      <c r="AB263" s="54"/>
      <c r="AC263" s="54">
        <f>10400+340</f>
        <v>10740</v>
      </c>
      <c r="AD263" s="54">
        <v>-12408.94</v>
      </c>
      <c r="AE263" s="54">
        <f t="shared" si="185"/>
        <v>167.05999999999767</v>
      </c>
      <c r="AF263" s="53"/>
      <c r="AG263" s="53">
        <f t="shared" si="166"/>
        <v>489.98999999996158</v>
      </c>
      <c r="AH263" s="54">
        <v>0.11</v>
      </c>
      <c r="AI263" s="54">
        <v>-340</v>
      </c>
      <c r="AJ263" s="54">
        <v>-60</v>
      </c>
      <c r="AK263" s="54">
        <f t="shared" si="186"/>
        <v>90.099999999961597</v>
      </c>
      <c r="AL263" s="53"/>
      <c r="AM263" s="53">
        <f t="shared" si="170"/>
        <v>0</v>
      </c>
      <c r="AN263" s="54"/>
      <c r="AO263" s="54"/>
      <c r="AP263" s="54"/>
      <c r="AQ263" s="54">
        <f t="shared" si="171"/>
        <v>0</v>
      </c>
      <c r="AR263" s="53"/>
      <c r="AS263" s="50">
        <f t="shared" si="187"/>
        <v>-3535552.5200000005</v>
      </c>
      <c r="AT263" s="50">
        <f t="shared" si="163"/>
        <v>212884.84</v>
      </c>
      <c r="AU263" s="50">
        <f t="shared" si="167"/>
        <v>0</v>
      </c>
      <c r="AV263" s="50">
        <f t="shared" si="164"/>
        <v>-2084106.2699999996</v>
      </c>
      <c r="AW263" s="50"/>
      <c r="AX263" s="50">
        <f t="shared" si="173"/>
        <v>-5406773.9500000011</v>
      </c>
      <c r="AY263" s="50">
        <f t="shared" si="174"/>
        <v>8300000</v>
      </c>
      <c r="AZ263" s="50">
        <f t="shared" si="175"/>
        <v>2893226.0499999989</v>
      </c>
    </row>
    <row r="264" spans="2:55" x14ac:dyDescent="0.3">
      <c r="B264" s="99">
        <f t="shared" si="190"/>
        <v>44532</v>
      </c>
      <c r="C264" s="44">
        <f t="shared" si="177"/>
        <v>-3942751.35</v>
      </c>
      <c r="D264" s="45">
        <v>125180.33</v>
      </c>
      <c r="E264" s="45"/>
      <c r="F264" s="45">
        <v>-287272.44</v>
      </c>
      <c r="G264" s="45">
        <f t="shared" si="155"/>
        <v>-4104843.46</v>
      </c>
      <c r="H264" s="44">
        <v>4300000</v>
      </c>
      <c r="I264" s="46">
        <f t="shared" si="178"/>
        <v>-1638382.7999999998</v>
      </c>
      <c r="J264" s="47">
        <v>524097.49999999994</v>
      </c>
      <c r="K264" s="47">
        <v>-42000</v>
      </c>
      <c r="L264" s="47">
        <v>-194716.23</v>
      </c>
      <c r="M264" s="47">
        <f t="shared" si="179"/>
        <v>-1351001.5299999998</v>
      </c>
      <c r="N264" s="46">
        <v>4000000</v>
      </c>
      <c r="O264" s="48">
        <f t="shared" si="180"/>
        <v>77551.159999999974</v>
      </c>
      <c r="P264" s="55"/>
      <c r="Q264" s="55"/>
      <c r="R264" s="55">
        <v>-13995.23</v>
      </c>
      <c r="S264" s="55">
        <f t="shared" si="181"/>
        <v>63555.929999999978</v>
      </c>
      <c r="T264" s="48"/>
      <c r="U264" s="49">
        <f t="shared" si="182"/>
        <v>96551.880000000048</v>
      </c>
      <c r="V264" s="51"/>
      <c r="W264" s="51"/>
      <c r="X264" s="51">
        <v>-54.95</v>
      </c>
      <c r="Y264" s="51">
        <f t="shared" si="183"/>
        <v>96496.930000000051</v>
      </c>
      <c r="Z264" s="52"/>
      <c r="AA264" s="53">
        <f t="shared" si="184"/>
        <v>167.05999999999767</v>
      </c>
      <c r="AB264" s="54"/>
      <c r="AC264" s="54">
        <v>42000</v>
      </c>
      <c r="AD264" s="54">
        <f>-13069.33-28957.74</f>
        <v>-42027.07</v>
      </c>
      <c r="AE264" s="54">
        <f t="shared" si="185"/>
        <v>139.98999999999796</v>
      </c>
      <c r="AF264" s="53"/>
      <c r="AG264" s="53">
        <f t="shared" si="166"/>
        <v>90.099999999961597</v>
      </c>
      <c r="AH264" s="54"/>
      <c r="AI264" s="54"/>
      <c r="AJ264" s="54"/>
      <c r="AK264" s="54">
        <f t="shared" si="186"/>
        <v>90.099999999961597</v>
      </c>
      <c r="AL264" s="53"/>
      <c r="AM264" s="53">
        <f t="shared" si="170"/>
        <v>0</v>
      </c>
      <c r="AN264" s="54"/>
      <c r="AO264" s="54"/>
      <c r="AP264" s="54"/>
      <c r="AQ264" s="54">
        <f t="shared" si="171"/>
        <v>0</v>
      </c>
      <c r="AR264" s="53"/>
      <c r="AS264" s="50">
        <f t="shared" si="187"/>
        <v>-5406773.9500000011</v>
      </c>
      <c r="AT264" s="50">
        <f t="shared" si="163"/>
        <v>649277.82999999996</v>
      </c>
      <c r="AU264" s="50">
        <f t="shared" si="167"/>
        <v>0</v>
      </c>
      <c r="AV264" s="50">
        <f t="shared" si="164"/>
        <v>-538065.92000000004</v>
      </c>
      <c r="AW264" s="50"/>
      <c r="AX264" s="50">
        <f t="shared" si="173"/>
        <v>-5295562.040000001</v>
      </c>
      <c r="AY264" s="50">
        <f t="shared" si="174"/>
        <v>8300000</v>
      </c>
      <c r="AZ264" s="50">
        <f t="shared" si="175"/>
        <v>3004437.959999999</v>
      </c>
    </row>
    <row r="265" spans="2:55" x14ac:dyDescent="0.3">
      <c r="B265" s="99">
        <f>B264+1</f>
        <v>44533</v>
      </c>
      <c r="C265" s="44">
        <f t="shared" si="177"/>
        <v>-4104843.46</v>
      </c>
      <c r="D265" s="45">
        <v>78318.13</v>
      </c>
      <c r="E265" s="45"/>
      <c r="F265" s="45">
        <v>-0.85</v>
      </c>
      <c r="G265" s="45">
        <f t="shared" si="155"/>
        <v>-4026526.18</v>
      </c>
      <c r="H265" s="44">
        <v>4300000</v>
      </c>
      <c r="I265" s="46">
        <f t="shared" si="178"/>
        <v>-1351001.5299999998</v>
      </c>
      <c r="J265" s="47"/>
      <c r="K265" s="47"/>
      <c r="L265" s="47">
        <v>-352450.55</v>
      </c>
      <c r="M265" s="47">
        <f t="shared" si="179"/>
        <v>-1703452.0799999998</v>
      </c>
      <c r="N265" s="46">
        <v>4000000</v>
      </c>
      <c r="O265" s="48">
        <f t="shared" si="180"/>
        <v>63555.929999999978</v>
      </c>
      <c r="P265" s="55"/>
      <c r="Q265" s="55"/>
      <c r="R265" s="55"/>
      <c r="S265" s="55">
        <f t="shared" si="181"/>
        <v>63555.929999999978</v>
      </c>
      <c r="T265" s="48"/>
      <c r="U265" s="49">
        <f t="shared" si="182"/>
        <v>96496.930000000051</v>
      </c>
      <c r="V265" s="51">
        <v>129071.2</v>
      </c>
      <c r="W265" s="51"/>
      <c r="X265" s="51"/>
      <c r="Y265" s="51">
        <f t="shared" si="183"/>
        <v>225568.13000000006</v>
      </c>
      <c r="Z265" s="52"/>
      <c r="AA265" s="53">
        <f t="shared" si="184"/>
        <v>139.98999999999796</v>
      </c>
      <c r="AB265" s="54"/>
      <c r="AC265" s="54"/>
      <c r="AD265" s="54"/>
      <c r="AE265" s="54">
        <f t="shared" si="185"/>
        <v>139.98999999999796</v>
      </c>
      <c r="AF265" s="53"/>
      <c r="AG265" s="53">
        <f t="shared" si="166"/>
        <v>90.099999999961597</v>
      </c>
      <c r="AH265" s="54"/>
      <c r="AI265" s="54"/>
      <c r="AJ265" s="54"/>
      <c r="AK265" s="54">
        <f t="shared" si="186"/>
        <v>90.099999999961597</v>
      </c>
      <c r="AL265" s="53"/>
      <c r="AM265" s="53">
        <f t="shared" si="170"/>
        <v>0</v>
      </c>
      <c r="AN265" s="54"/>
      <c r="AO265" s="54"/>
      <c r="AP265" s="54"/>
      <c r="AQ265" s="54">
        <f t="shared" si="171"/>
        <v>0</v>
      </c>
      <c r="AR265" s="53"/>
      <c r="AS265" s="50">
        <f t="shared" si="187"/>
        <v>-5295562.040000001</v>
      </c>
      <c r="AT265" s="50">
        <v>207387</v>
      </c>
      <c r="AU265" s="50">
        <f t="shared" si="167"/>
        <v>0</v>
      </c>
      <c r="AV265" s="50">
        <v>-102444.95</v>
      </c>
      <c r="AW265" s="50"/>
      <c r="AX265" s="50">
        <f>AS265+AT265+AU265+AV265</f>
        <v>-5190619.9900000012</v>
      </c>
      <c r="AY265" s="50">
        <f t="shared" si="174"/>
        <v>8300000</v>
      </c>
      <c r="AZ265" s="50">
        <f t="shared" si="175"/>
        <v>3109380.0099999988</v>
      </c>
    </row>
    <row r="266" spans="2:55" x14ac:dyDescent="0.3">
      <c r="B266" s="99">
        <f>B265+3</f>
        <v>44536</v>
      </c>
      <c r="C266" s="44">
        <f t="shared" si="177"/>
        <v>-4026526.18</v>
      </c>
      <c r="D266" s="45">
        <v>47290.52</v>
      </c>
      <c r="E266" s="45"/>
      <c r="F266" s="45"/>
      <c r="G266" s="45">
        <f t="shared" si="155"/>
        <v>-3979235.66</v>
      </c>
      <c r="H266" s="44">
        <v>4300000</v>
      </c>
      <c r="I266" s="46">
        <f t="shared" si="178"/>
        <v>-1703452.0799999998</v>
      </c>
      <c r="J266" s="47">
        <v>70508.59</v>
      </c>
      <c r="K266" s="47">
        <v>270000</v>
      </c>
      <c r="L266" s="47">
        <v>-425205.05</v>
      </c>
      <c r="M266" s="47">
        <f t="shared" si="179"/>
        <v>-1788148.5399999998</v>
      </c>
      <c r="N266" s="46">
        <v>4000000</v>
      </c>
      <c r="O266" s="48">
        <f t="shared" si="180"/>
        <v>63555.929999999978</v>
      </c>
      <c r="P266" s="55">
        <v>1899.01000000002</v>
      </c>
      <c r="Q266" s="55">
        <f>-270000+225000</f>
        <v>-45000</v>
      </c>
      <c r="R266" s="55">
        <v>-10</v>
      </c>
      <c r="S266" s="55">
        <f t="shared" si="181"/>
        <v>20444.939999999995</v>
      </c>
      <c r="T266" s="48"/>
      <c r="U266" s="49">
        <f t="shared" si="182"/>
        <v>225568.13000000006</v>
      </c>
      <c r="V266" s="51"/>
      <c r="W266" s="51">
        <v>-225000</v>
      </c>
      <c r="X266" s="51"/>
      <c r="Y266" s="51">
        <f t="shared" si="183"/>
        <v>568.13000000006286</v>
      </c>
      <c r="Z266" s="52"/>
      <c r="AA266" s="53">
        <f t="shared" si="184"/>
        <v>139.98999999999796</v>
      </c>
      <c r="AB266" s="54"/>
      <c r="AC266" s="54"/>
      <c r="AD266" s="54"/>
      <c r="AE266" s="54">
        <f t="shared" si="185"/>
        <v>139.98999999999796</v>
      </c>
      <c r="AF266" s="53"/>
      <c r="AG266" s="53">
        <f t="shared" si="166"/>
        <v>90.099999999961597</v>
      </c>
      <c r="AH266" s="54"/>
      <c r="AI266" s="54"/>
      <c r="AJ266" s="54"/>
      <c r="AK266" s="54">
        <f t="shared" si="186"/>
        <v>90.099999999961597</v>
      </c>
      <c r="AL266" s="53"/>
      <c r="AM266" s="53">
        <f t="shared" si="170"/>
        <v>0</v>
      </c>
      <c r="AN266" s="54"/>
      <c r="AO266" s="54"/>
      <c r="AP266" s="54"/>
      <c r="AQ266" s="54">
        <f t="shared" si="171"/>
        <v>0</v>
      </c>
      <c r="AR266" s="53"/>
      <c r="AS266" s="50">
        <f t="shared" si="187"/>
        <v>-5440624.1100000003</v>
      </c>
      <c r="AT266" s="50">
        <f t="shared" ref="AT266:AT329" si="191">SUM(D266,J266,P266,V266,AB266,AH266)</f>
        <v>119698.12000000001</v>
      </c>
      <c r="AU266" s="50">
        <f t="shared" si="167"/>
        <v>0</v>
      </c>
      <c r="AV266" s="50">
        <f t="shared" ref="AV266:AV329" si="192">SUM(F266,L266,R266,X266,AD266,AJ266)</f>
        <v>-425215.05</v>
      </c>
      <c r="AW266" s="50"/>
      <c r="AX266" s="50">
        <f t="shared" si="173"/>
        <v>-5746141.04</v>
      </c>
      <c r="AY266" s="50">
        <f t="shared" si="174"/>
        <v>8300000</v>
      </c>
      <c r="AZ266" s="50">
        <f t="shared" si="175"/>
        <v>2553858.96</v>
      </c>
    </row>
    <row r="267" spans="2:55" x14ac:dyDescent="0.3">
      <c r="B267" s="99">
        <f>B266+1</f>
        <v>44537</v>
      </c>
      <c r="C267" s="44">
        <f t="shared" si="177"/>
        <v>-3979235.66</v>
      </c>
      <c r="D267" s="45"/>
      <c r="E267" s="45">
        <v>-200000</v>
      </c>
      <c r="F267" s="45">
        <v>-193.6</v>
      </c>
      <c r="G267" s="45">
        <f t="shared" si="155"/>
        <v>-4179429.2600000002</v>
      </c>
      <c r="H267" s="44">
        <v>4300000</v>
      </c>
      <c r="I267" s="46">
        <f t="shared" si="178"/>
        <v>-1788148.5399999998</v>
      </c>
      <c r="J267" s="47">
        <v>16978.62</v>
      </c>
      <c r="K267" s="47">
        <v>200000</v>
      </c>
      <c r="L267" s="47">
        <v>-1478784.09</v>
      </c>
      <c r="M267" s="47">
        <f t="shared" si="179"/>
        <v>-3049954.01</v>
      </c>
      <c r="N267" s="46">
        <v>4000000</v>
      </c>
      <c r="O267" s="48">
        <f t="shared" si="180"/>
        <v>20444.939999999995</v>
      </c>
      <c r="P267" s="55"/>
      <c r="Q267" s="55"/>
      <c r="R267" s="55"/>
      <c r="S267" s="55">
        <f t="shared" si="181"/>
        <v>20444.939999999995</v>
      </c>
      <c r="T267" s="48"/>
      <c r="U267" s="49">
        <f t="shared" si="182"/>
        <v>568.13000000006286</v>
      </c>
      <c r="V267" s="51"/>
      <c r="W267" s="51"/>
      <c r="X267" s="51">
        <v>-1.2</v>
      </c>
      <c r="Y267" s="51">
        <f t="shared" si="183"/>
        <v>566.93000000006282</v>
      </c>
      <c r="Z267" s="52"/>
      <c r="AA267" s="53">
        <f t="shared" si="184"/>
        <v>139.98999999999796</v>
      </c>
      <c r="AB267" s="54"/>
      <c r="AC267" s="54"/>
      <c r="AD267" s="54"/>
      <c r="AE267" s="54">
        <f t="shared" si="185"/>
        <v>139.98999999999796</v>
      </c>
      <c r="AF267" s="53"/>
      <c r="AG267" s="53">
        <f t="shared" si="166"/>
        <v>90.099999999961597</v>
      </c>
      <c r="AH267" s="54"/>
      <c r="AI267" s="54"/>
      <c r="AJ267" s="54"/>
      <c r="AK267" s="54">
        <f t="shared" si="186"/>
        <v>90.099999999961597</v>
      </c>
      <c r="AL267" s="53"/>
      <c r="AM267" s="53">
        <f t="shared" si="170"/>
        <v>0</v>
      </c>
      <c r="AN267" s="54"/>
      <c r="AO267" s="54"/>
      <c r="AP267" s="54"/>
      <c r="AQ267" s="54">
        <f t="shared" si="171"/>
        <v>0</v>
      </c>
      <c r="AR267" s="53"/>
      <c r="AS267" s="50">
        <f t="shared" si="187"/>
        <v>-5746141.04</v>
      </c>
      <c r="AT267" s="50">
        <f t="shared" si="191"/>
        <v>16978.62</v>
      </c>
      <c r="AU267" s="50">
        <f t="shared" si="167"/>
        <v>0</v>
      </c>
      <c r="AV267" s="50">
        <f t="shared" si="192"/>
        <v>-1478978.8900000001</v>
      </c>
      <c r="AW267" s="50"/>
      <c r="AX267" s="50">
        <f t="shared" si="173"/>
        <v>-7208141.3099999996</v>
      </c>
      <c r="AY267" s="50">
        <f t="shared" si="174"/>
        <v>8300000</v>
      </c>
      <c r="AZ267" s="50">
        <f t="shared" si="175"/>
        <v>1091858.6900000004</v>
      </c>
    </row>
    <row r="268" spans="2:55" x14ac:dyDescent="0.3">
      <c r="B268" s="99">
        <f t="shared" ref="B268:B269" si="193">B267+1</f>
        <v>44538</v>
      </c>
      <c r="C268" s="44">
        <f t="shared" si="177"/>
        <v>-4179429.2600000002</v>
      </c>
      <c r="D268" s="45"/>
      <c r="E268" s="45"/>
      <c r="F268" s="45"/>
      <c r="G268" s="45">
        <f t="shared" si="155"/>
        <v>-4179429.2600000002</v>
      </c>
      <c r="H268" s="44">
        <v>4300000</v>
      </c>
      <c r="I268" s="46">
        <f t="shared" si="178"/>
        <v>-3049954.01</v>
      </c>
      <c r="J268" s="47"/>
      <c r="K268" s="69"/>
      <c r="L268" s="47"/>
      <c r="M268" s="47">
        <f t="shared" si="179"/>
        <v>-3049954.01</v>
      </c>
      <c r="N268" s="46">
        <v>4000000</v>
      </c>
      <c r="O268" s="48">
        <f t="shared" si="180"/>
        <v>20444.939999999995</v>
      </c>
      <c r="P268" s="55"/>
      <c r="Q268" s="55"/>
      <c r="R268" s="55"/>
      <c r="S268" s="55">
        <f t="shared" si="181"/>
        <v>20444.939999999995</v>
      </c>
      <c r="T268" s="48"/>
      <c r="U268" s="49">
        <f t="shared" si="182"/>
        <v>566.93000000006282</v>
      </c>
      <c r="V268" s="51"/>
      <c r="W268" s="51"/>
      <c r="X268" s="51"/>
      <c r="Y268" s="51">
        <f t="shared" si="183"/>
        <v>566.93000000006282</v>
      </c>
      <c r="Z268" s="52"/>
      <c r="AA268" s="53">
        <f t="shared" si="184"/>
        <v>139.98999999999796</v>
      </c>
      <c r="AB268" s="54"/>
      <c r="AC268" s="54"/>
      <c r="AD268" s="54"/>
      <c r="AE268" s="54">
        <f t="shared" si="185"/>
        <v>139.98999999999796</v>
      </c>
      <c r="AF268" s="53"/>
      <c r="AG268" s="53">
        <f t="shared" si="166"/>
        <v>90.099999999961597</v>
      </c>
      <c r="AH268" s="54"/>
      <c r="AI268" s="54"/>
      <c r="AJ268" s="54"/>
      <c r="AK268" s="54">
        <f t="shared" si="186"/>
        <v>90.099999999961597</v>
      </c>
      <c r="AL268" s="53"/>
      <c r="AM268" s="53">
        <f t="shared" si="170"/>
        <v>0</v>
      </c>
      <c r="AN268" s="54"/>
      <c r="AO268" s="54"/>
      <c r="AP268" s="54"/>
      <c r="AQ268" s="54">
        <f t="shared" si="171"/>
        <v>0</v>
      </c>
      <c r="AR268" s="53"/>
      <c r="AS268" s="50">
        <f t="shared" si="187"/>
        <v>-7208141.3099999996</v>
      </c>
      <c r="AT268" s="50">
        <f t="shared" si="191"/>
        <v>0</v>
      </c>
      <c r="AU268" s="50">
        <f t="shared" si="167"/>
        <v>0</v>
      </c>
      <c r="AV268" s="50">
        <f t="shared" si="192"/>
        <v>0</v>
      </c>
      <c r="AW268" s="50"/>
      <c r="AX268" s="50">
        <f t="shared" si="173"/>
        <v>-7208141.3099999996</v>
      </c>
      <c r="AY268" s="50">
        <f t="shared" si="174"/>
        <v>8300000</v>
      </c>
      <c r="AZ268" s="50">
        <f t="shared" si="175"/>
        <v>1091858.6900000004</v>
      </c>
    </row>
    <row r="269" spans="2:55" x14ac:dyDescent="0.3">
      <c r="B269" s="99">
        <f t="shared" si="193"/>
        <v>44539</v>
      </c>
      <c r="C269" s="44">
        <f t="shared" si="177"/>
        <v>-4179429.2600000002</v>
      </c>
      <c r="D269" s="45">
        <f>127512.45+2083.33+225683.91+129263.11</f>
        <v>484542.8</v>
      </c>
      <c r="E269" s="45"/>
      <c r="F269" s="45">
        <v>-172597.68</v>
      </c>
      <c r="G269" s="45">
        <f t="shared" si="155"/>
        <v>-3867484.1400000006</v>
      </c>
      <c r="H269" s="44">
        <v>4300000</v>
      </c>
      <c r="I269" s="46">
        <f t="shared" si="178"/>
        <v>-3049954.01</v>
      </c>
      <c r="J269" s="47">
        <v>100748.04</v>
      </c>
      <c r="K269" s="47"/>
      <c r="L269" s="47">
        <v>-63089.370000000301</v>
      </c>
      <c r="M269" s="47">
        <f t="shared" si="179"/>
        <v>-3012295.34</v>
      </c>
      <c r="N269" s="46">
        <v>4000000</v>
      </c>
      <c r="O269" s="48">
        <f t="shared" si="180"/>
        <v>20444.939999999995</v>
      </c>
      <c r="P269" s="55">
        <v>157.12</v>
      </c>
      <c r="Q269" s="55"/>
      <c r="R269" s="55">
        <v>-105.6</v>
      </c>
      <c r="S269" s="55">
        <f t="shared" si="181"/>
        <v>20496.459999999995</v>
      </c>
      <c r="T269" s="48"/>
      <c r="U269" s="49">
        <f t="shared" si="182"/>
        <v>566.93000000006282</v>
      </c>
      <c r="V269" s="51"/>
      <c r="W269" s="51"/>
      <c r="X269" s="51"/>
      <c r="Y269" s="51">
        <f t="shared" si="183"/>
        <v>566.93000000006282</v>
      </c>
      <c r="Z269" s="52"/>
      <c r="AA269" s="53">
        <f t="shared" si="184"/>
        <v>139.98999999999796</v>
      </c>
      <c r="AB269" s="54"/>
      <c r="AC269" s="54"/>
      <c r="AD269" s="54"/>
      <c r="AE269" s="54">
        <f t="shared" si="185"/>
        <v>139.98999999999796</v>
      </c>
      <c r="AF269" s="53"/>
      <c r="AG269" s="53">
        <f t="shared" si="166"/>
        <v>90.099999999961597</v>
      </c>
      <c r="AH269" s="54"/>
      <c r="AI269" s="54"/>
      <c r="AJ269" s="54"/>
      <c r="AK269" s="54">
        <f t="shared" si="186"/>
        <v>90.099999999961597</v>
      </c>
      <c r="AL269" s="53"/>
      <c r="AM269" s="53">
        <f t="shared" si="170"/>
        <v>0</v>
      </c>
      <c r="AN269" s="54"/>
      <c r="AO269" s="54"/>
      <c r="AP269" s="54"/>
      <c r="AQ269" s="54">
        <f t="shared" si="171"/>
        <v>0</v>
      </c>
      <c r="AR269" s="53"/>
      <c r="AS269" s="50">
        <f t="shared" si="187"/>
        <v>-7208141.3099999996</v>
      </c>
      <c r="AT269" s="50">
        <f t="shared" si="191"/>
        <v>585447.96</v>
      </c>
      <c r="AU269" s="50">
        <f t="shared" si="167"/>
        <v>0</v>
      </c>
      <c r="AV269" s="50">
        <f t="shared" si="192"/>
        <v>-235792.65000000029</v>
      </c>
      <c r="AW269" s="50"/>
      <c r="AX269" s="50">
        <f t="shared" si="173"/>
        <v>-6858486.0000000009</v>
      </c>
      <c r="AY269" s="50">
        <f t="shared" si="174"/>
        <v>8300000</v>
      </c>
      <c r="AZ269" s="50">
        <f t="shared" si="175"/>
        <v>1441513.9999999991</v>
      </c>
    </row>
    <row r="270" spans="2:55" x14ac:dyDescent="0.3">
      <c r="B270" s="99">
        <f>B269+1</f>
        <v>44540</v>
      </c>
      <c r="C270" s="44">
        <f t="shared" si="177"/>
        <v>-3867484.1400000006</v>
      </c>
      <c r="D270" s="45">
        <v>623319.67000000004</v>
      </c>
      <c r="E270" s="45"/>
      <c r="F270" s="45">
        <v>-8337.98</v>
      </c>
      <c r="G270" s="45">
        <f t="shared" si="155"/>
        <v>-3252502.4500000007</v>
      </c>
      <c r="H270" s="44">
        <v>4300000</v>
      </c>
      <c r="I270" s="46">
        <f t="shared" si="178"/>
        <v>-3012295.34</v>
      </c>
      <c r="J270" s="47">
        <f>102266.84+15851.36+300</f>
        <v>118418.2</v>
      </c>
      <c r="K270" s="47"/>
      <c r="L270" s="47">
        <v>-164752.45000000001</v>
      </c>
      <c r="M270" s="47">
        <f t="shared" si="179"/>
        <v>-3058629.59</v>
      </c>
      <c r="N270" s="46">
        <v>4000000</v>
      </c>
      <c r="O270" s="48">
        <f t="shared" si="180"/>
        <v>20496.459999999995</v>
      </c>
      <c r="P270" s="55"/>
      <c r="Q270" s="55"/>
      <c r="R270" s="55">
        <v>-1641.09</v>
      </c>
      <c r="S270" s="55">
        <f t="shared" si="181"/>
        <v>18855.369999999995</v>
      </c>
      <c r="T270" s="48"/>
      <c r="U270" s="49">
        <f t="shared" si="182"/>
        <v>566.93000000006282</v>
      </c>
      <c r="V270" s="51"/>
      <c r="W270" s="51"/>
      <c r="X270" s="51"/>
      <c r="Y270" s="51">
        <f t="shared" si="183"/>
        <v>566.93000000006282</v>
      </c>
      <c r="Z270" s="52"/>
      <c r="AA270" s="53">
        <f t="shared" si="184"/>
        <v>139.98999999999796</v>
      </c>
      <c r="AB270" s="54"/>
      <c r="AC270" s="54"/>
      <c r="AD270" s="54">
        <v>-62.5</v>
      </c>
      <c r="AE270" s="54">
        <f t="shared" si="185"/>
        <v>77.489999999997963</v>
      </c>
      <c r="AF270" s="53"/>
      <c r="AG270" s="53">
        <f t="shared" si="166"/>
        <v>90.099999999961597</v>
      </c>
      <c r="AH270" s="54"/>
      <c r="AI270" s="54"/>
      <c r="AJ270" s="54"/>
      <c r="AK270" s="54">
        <f t="shared" si="186"/>
        <v>90.099999999961597</v>
      </c>
      <c r="AL270" s="53"/>
      <c r="AM270" s="53">
        <f t="shared" si="170"/>
        <v>0</v>
      </c>
      <c r="AN270" s="54"/>
      <c r="AO270" s="54"/>
      <c r="AP270" s="54"/>
      <c r="AQ270" s="54">
        <f t="shared" si="171"/>
        <v>0</v>
      </c>
      <c r="AR270" s="53"/>
      <c r="AS270" s="50">
        <f t="shared" si="187"/>
        <v>-6858486.0000000009</v>
      </c>
      <c r="AT270" s="50">
        <f t="shared" si="191"/>
        <v>741737.87</v>
      </c>
      <c r="AU270" s="50">
        <f t="shared" si="167"/>
        <v>0</v>
      </c>
      <c r="AV270" s="50">
        <f t="shared" si="192"/>
        <v>-174794.02000000002</v>
      </c>
      <c r="AW270" s="50"/>
      <c r="AX270" s="50">
        <f t="shared" si="173"/>
        <v>-6291542.1500000013</v>
      </c>
      <c r="AY270" s="50">
        <f t="shared" si="174"/>
        <v>8300000</v>
      </c>
      <c r="AZ270" s="50">
        <f t="shared" si="175"/>
        <v>2008457.8499999987</v>
      </c>
    </row>
    <row r="271" spans="2:55" x14ac:dyDescent="0.3">
      <c r="B271" s="99">
        <f>B270+3</f>
        <v>44543</v>
      </c>
      <c r="C271" s="44">
        <f t="shared" si="177"/>
        <v>-3252502.4500000007</v>
      </c>
      <c r="D271" s="45"/>
      <c r="E271" s="45"/>
      <c r="F271" s="45">
        <v>-32446.42</v>
      </c>
      <c r="G271" s="45">
        <f t="shared" si="155"/>
        <v>-3284948.8700000006</v>
      </c>
      <c r="H271" s="44">
        <v>4300000</v>
      </c>
      <c r="I271" s="46">
        <f t="shared" si="178"/>
        <v>-3058629.59</v>
      </c>
      <c r="J271" s="47">
        <f>209459.95+50779.16</f>
        <v>260239.11000000002</v>
      </c>
      <c r="K271" s="47"/>
      <c r="L271" s="47">
        <f>-76931.67+50</f>
        <v>-76881.67</v>
      </c>
      <c r="M271" s="47">
        <f t="shared" si="179"/>
        <v>-2875272.15</v>
      </c>
      <c r="N271" s="46">
        <v>4000000</v>
      </c>
      <c r="O271" s="48">
        <f t="shared" si="180"/>
        <v>18855.369999999995</v>
      </c>
      <c r="P271" s="55"/>
      <c r="Q271" s="55">
        <v>49000</v>
      </c>
      <c r="R271" s="55">
        <v>-3600</v>
      </c>
      <c r="S271" s="55">
        <f t="shared" si="181"/>
        <v>64255.369999999995</v>
      </c>
      <c r="T271" s="48"/>
      <c r="U271" s="49">
        <f t="shared" si="182"/>
        <v>566.93000000006282</v>
      </c>
      <c r="V271" s="51">
        <f>21022.4+28142.79+26371.85</f>
        <v>75537.040000000008</v>
      </c>
      <c r="W271" s="51">
        <v>-49000</v>
      </c>
      <c r="X271" s="51"/>
      <c r="Y271" s="51">
        <f t="shared" si="183"/>
        <v>27103.970000000074</v>
      </c>
      <c r="Z271" s="52"/>
      <c r="AA271" s="53">
        <f t="shared" si="184"/>
        <v>77.489999999997963</v>
      </c>
      <c r="AB271" s="54"/>
      <c r="AC271" s="54"/>
      <c r="AD271" s="54"/>
      <c r="AE271" s="54">
        <f t="shared" si="185"/>
        <v>77.489999999997963</v>
      </c>
      <c r="AF271" s="53"/>
      <c r="AG271" s="53">
        <f t="shared" si="166"/>
        <v>90.099999999961597</v>
      </c>
      <c r="AH271" s="54"/>
      <c r="AI271" s="54"/>
      <c r="AJ271" s="54"/>
      <c r="AK271" s="54">
        <f t="shared" si="186"/>
        <v>90.099999999961597</v>
      </c>
      <c r="AL271" s="53"/>
      <c r="AM271" s="53">
        <f t="shared" si="170"/>
        <v>0</v>
      </c>
      <c r="AN271" s="54"/>
      <c r="AO271" s="54"/>
      <c r="AP271" s="54"/>
      <c r="AQ271" s="54">
        <f t="shared" si="171"/>
        <v>0</v>
      </c>
      <c r="AR271" s="53"/>
      <c r="AS271" s="50">
        <f t="shared" si="187"/>
        <v>-6291542.1500000013</v>
      </c>
      <c r="AT271" s="50">
        <f t="shared" si="191"/>
        <v>335776.15</v>
      </c>
      <c r="AU271" s="50">
        <f t="shared" si="167"/>
        <v>0</v>
      </c>
      <c r="AV271" s="50">
        <f t="shared" si="192"/>
        <v>-112928.09</v>
      </c>
      <c r="AW271" s="50"/>
      <c r="AX271" s="50">
        <f t="shared" si="173"/>
        <v>-6068694.0900000008</v>
      </c>
      <c r="AY271" s="50">
        <f t="shared" si="174"/>
        <v>8300000</v>
      </c>
      <c r="AZ271" s="50">
        <f t="shared" si="175"/>
        <v>2231305.9099999992</v>
      </c>
    </row>
    <row r="272" spans="2:55" x14ac:dyDescent="0.3">
      <c r="B272" s="99">
        <f>B271+1</f>
        <v>44544</v>
      </c>
      <c r="C272" s="44">
        <f t="shared" si="177"/>
        <v>-3284948.8700000006</v>
      </c>
      <c r="D272" s="45"/>
      <c r="E272" s="45"/>
      <c r="F272" s="45">
        <v>-2497.71</v>
      </c>
      <c r="G272" s="45">
        <f t="shared" si="155"/>
        <v>-3287446.5800000005</v>
      </c>
      <c r="H272" s="44">
        <v>4300000</v>
      </c>
      <c r="I272" s="46">
        <f t="shared" si="178"/>
        <v>-2875272.15</v>
      </c>
      <c r="J272" s="47">
        <v>168875</v>
      </c>
      <c r="K272" s="47">
        <v>-2600</v>
      </c>
      <c r="L272" s="47">
        <v>-97745.539999999906</v>
      </c>
      <c r="M272" s="47">
        <f t="shared" si="179"/>
        <v>-2806742.69</v>
      </c>
      <c r="N272" s="46">
        <v>4000000</v>
      </c>
      <c r="O272" s="48">
        <f t="shared" si="180"/>
        <v>64255.369999999995</v>
      </c>
      <c r="P272" s="55"/>
      <c r="Q272" s="55"/>
      <c r="R272" s="55">
        <v>-176</v>
      </c>
      <c r="S272" s="55">
        <f t="shared" si="181"/>
        <v>64079.369999999995</v>
      </c>
      <c r="T272" s="48"/>
      <c r="U272" s="49">
        <f t="shared" si="182"/>
        <v>27103.970000000074</v>
      </c>
      <c r="V272" s="51"/>
      <c r="W272" s="51"/>
      <c r="X272" s="51">
        <v>-1.2</v>
      </c>
      <c r="Y272" s="51">
        <f t="shared" si="183"/>
        <v>27102.770000000073</v>
      </c>
      <c r="Z272" s="52"/>
      <c r="AA272" s="53">
        <f t="shared" si="184"/>
        <v>77.489999999997963</v>
      </c>
      <c r="AB272" s="54"/>
      <c r="AC272" s="54">
        <v>2600</v>
      </c>
      <c r="AD272" s="54">
        <v>-2566.33</v>
      </c>
      <c r="AE272" s="54">
        <f t="shared" si="185"/>
        <v>111.15999999999804</v>
      </c>
      <c r="AF272" s="53"/>
      <c r="AG272" s="53">
        <f t="shared" si="166"/>
        <v>90.099999999961597</v>
      </c>
      <c r="AH272" s="54"/>
      <c r="AI272" s="54"/>
      <c r="AJ272" s="54"/>
      <c r="AK272" s="54">
        <f t="shared" si="186"/>
        <v>90.099999999961597</v>
      </c>
      <c r="AL272" s="53"/>
      <c r="AM272" s="53">
        <f t="shared" si="170"/>
        <v>0</v>
      </c>
      <c r="AN272" s="54"/>
      <c r="AO272" s="54"/>
      <c r="AP272" s="54"/>
      <c r="AQ272" s="54">
        <f t="shared" si="171"/>
        <v>0</v>
      </c>
      <c r="AR272" s="53"/>
      <c r="AS272" s="50">
        <f t="shared" si="187"/>
        <v>-6068694.0900000008</v>
      </c>
      <c r="AT272" s="50">
        <f t="shared" si="191"/>
        <v>168875</v>
      </c>
      <c r="AU272" s="50">
        <f t="shared" si="167"/>
        <v>0</v>
      </c>
      <c r="AV272" s="50">
        <f t="shared" si="192"/>
        <v>-102986.77999999991</v>
      </c>
      <c r="AW272" s="50"/>
      <c r="AX272" s="50">
        <f t="shared" si="173"/>
        <v>-6002805.8700000001</v>
      </c>
      <c r="AY272" s="50">
        <f t="shared" si="174"/>
        <v>8300000</v>
      </c>
      <c r="AZ272" s="50">
        <f t="shared" si="175"/>
        <v>2297194.13</v>
      </c>
    </row>
    <row r="273" spans="2:55" x14ac:dyDescent="0.3">
      <c r="B273" s="99">
        <f t="shared" ref="B273:B274" si="194">B272+1</f>
        <v>44545</v>
      </c>
      <c r="C273" s="44">
        <f t="shared" si="177"/>
        <v>-3287446.5800000005</v>
      </c>
      <c r="D273" s="45">
        <v>306416.89</v>
      </c>
      <c r="E273" s="45"/>
      <c r="F273" s="45">
        <v>-31922.38</v>
      </c>
      <c r="G273" s="45">
        <f t="shared" si="155"/>
        <v>-3012952.0700000003</v>
      </c>
      <c r="H273" s="44">
        <v>4300000</v>
      </c>
      <c r="I273" s="46">
        <f t="shared" si="178"/>
        <v>-2806742.69</v>
      </c>
      <c r="J273" s="47">
        <f>27216.5+35585.1+56363.94+305277.98+20909.45</f>
        <v>445352.97000000003</v>
      </c>
      <c r="K273" s="47">
        <f>630000-10000</f>
        <v>620000</v>
      </c>
      <c r="L273" s="47">
        <f>-656767.63+10000</f>
        <v>-646767.63</v>
      </c>
      <c r="M273" s="47">
        <f t="shared" si="179"/>
        <v>-2388157.3499999996</v>
      </c>
      <c r="N273" s="46">
        <v>4000000</v>
      </c>
      <c r="O273" s="48">
        <f t="shared" si="180"/>
        <v>64079.369999999995</v>
      </c>
      <c r="P273" s="55">
        <f>29558.76+1704.99</f>
        <v>31263.75</v>
      </c>
      <c r="Q273" s="55">
        <f>539000-630000</f>
        <v>-91000</v>
      </c>
      <c r="R273" s="55">
        <v>-10</v>
      </c>
      <c r="S273" s="55">
        <f t="shared" si="181"/>
        <v>4333.1199999999953</v>
      </c>
      <c r="T273" s="48"/>
      <c r="U273" s="49">
        <f t="shared" si="182"/>
        <v>27102.770000000073</v>
      </c>
      <c r="V273" s="51">
        <f>1124244.17+512120.68</f>
        <v>1636364.8499999999</v>
      </c>
      <c r="W273" s="51">
        <v>-539000</v>
      </c>
      <c r="X273" s="51">
        <v>-1.2</v>
      </c>
      <c r="Y273" s="51">
        <f t="shared" si="183"/>
        <v>1124466.42</v>
      </c>
      <c r="Z273" s="52"/>
      <c r="AA273" s="53">
        <f t="shared" si="184"/>
        <v>111.15999999999804</v>
      </c>
      <c r="AB273" s="54"/>
      <c r="AC273" s="54">
        <v>10000</v>
      </c>
      <c r="AD273" s="54">
        <f>-680-1400-3600-4400</f>
        <v>-10080</v>
      </c>
      <c r="AE273" s="54">
        <f t="shared" si="185"/>
        <v>31.159999999998035</v>
      </c>
      <c r="AF273" s="53"/>
      <c r="AG273" s="53">
        <f t="shared" si="166"/>
        <v>90.099999999961597</v>
      </c>
      <c r="AH273" s="54"/>
      <c r="AI273" s="54"/>
      <c r="AJ273" s="54"/>
      <c r="AK273" s="54">
        <f t="shared" si="186"/>
        <v>90.099999999961597</v>
      </c>
      <c r="AL273" s="53"/>
      <c r="AM273" s="53">
        <f t="shared" si="170"/>
        <v>0</v>
      </c>
      <c r="AN273" s="54"/>
      <c r="AO273" s="54"/>
      <c r="AP273" s="54"/>
      <c r="AQ273" s="54">
        <f t="shared" si="171"/>
        <v>0</v>
      </c>
      <c r="AR273" s="53"/>
      <c r="AS273" s="50">
        <f t="shared" si="187"/>
        <v>-6002805.8700000001</v>
      </c>
      <c r="AT273" s="50">
        <f t="shared" si="191"/>
        <v>2419398.46</v>
      </c>
      <c r="AU273" s="50">
        <f t="shared" si="167"/>
        <v>0</v>
      </c>
      <c r="AV273" s="50">
        <f t="shared" si="192"/>
        <v>-688781.21</v>
      </c>
      <c r="AW273" s="50"/>
      <c r="AX273" s="50">
        <f t="shared" si="173"/>
        <v>-4272188.62</v>
      </c>
      <c r="AY273" s="50">
        <f t="shared" si="174"/>
        <v>8300000</v>
      </c>
      <c r="AZ273" s="50">
        <f t="shared" si="175"/>
        <v>4027811.38</v>
      </c>
    </row>
    <row r="274" spans="2:55" x14ac:dyDescent="0.3">
      <c r="B274" s="99">
        <f t="shared" si="194"/>
        <v>44546</v>
      </c>
      <c r="C274" s="44">
        <f t="shared" si="177"/>
        <v>-3012952.0700000003</v>
      </c>
      <c r="D274" s="45">
        <f>52778.09+37840.32</f>
        <v>90618.41</v>
      </c>
      <c r="E274" s="45"/>
      <c r="F274" s="45">
        <v>-54259.040000000001</v>
      </c>
      <c r="G274" s="45">
        <f t="shared" si="155"/>
        <v>-2976592.7</v>
      </c>
      <c r="H274" s="44">
        <v>4300000</v>
      </c>
      <c r="I274" s="46">
        <f t="shared" si="178"/>
        <v>-2388157.3499999996</v>
      </c>
      <c r="J274" s="47">
        <v>488876.99000000005</v>
      </c>
      <c r="K274" s="47">
        <v>1100000</v>
      </c>
      <c r="L274" s="47">
        <v>-142748.28</v>
      </c>
      <c r="M274" s="47">
        <f t="shared" si="179"/>
        <v>-942028.63999999966</v>
      </c>
      <c r="N274" s="46">
        <v>4000000</v>
      </c>
      <c r="O274" s="48">
        <f t="shared" si="180"/>
        <v>4333.1199999999953</v>
      </c>
      <c r="P274" s="55"/>
      <c r="Q274" s="55">
        <f>1124000-1100000</f>
        <v>24000</v>
      </c>
      <c r="R274" s="55">
        <v>-622.44000000000005</v>
      </c>
      <c r="S274" s="55">
        <f t="shared" si="181"/>
        <v>27710.679999999997</v>
      </c>
      <c r="T274" s="48"/>
      <c r="U274" s="49">
        <f t="shared" si="182"/>
        <v>1124466.42</v>
      </c>
      <c r="V274" s="51"/>
      <c r="W274" s="51">
        <v>-1124000</v>
      </c>
      <c r="X274" s="51"/>
      <c r="Y274" s="51">
        <f t="shared" si="183"/>
        <v>466.41999999992549</v>
      </c>
      <c r="Z274" s="52"/>
      <c r="AA274" s="53">
        <f t="shared" si="184"/>
        <v>31.159999999998035</v>
      </c>
      <c r="AB274" s="54"/>
      <c r="AC274" s="54"/>
      <c r="AD274" s="54"/>
      <c r="AE274" s="54">
        <f t="shared" si="185"/>
        <v>31.159999999998035</v>
      </c>
      <c r="AF274" s="53"/>
      <c r="AG274" s="53">
        <f t="shared" si="166"/>
        <v>90.099999999961597</v>
      </c>
      <c r="AH274" s="54"/>
      <c r="AI274" s="54"/>
      <c r="AJ274" s="54"/>
      <c r="AK274" s="54">
        <f t="shared" si="186"/>
        <v>90.099999999961597</v>
      </c>
      <c r="AL274" s="53"/>
      <c r="AM274" s="53">
        <f t="shared" si="170"/>
        <v>0</v>
      </c>
      <c r="AN274" s="54"/>
      <c r="AO274" s="54"/>
      <c r="AP274" s="54"/>
      <c r="AQ274" s="54">
        <f t="shared" si="171"/>
        <v>0</v>
      </c>
      <c r="AR274" s="53"/>
      <c r="AS274" s="50">
        <f t="shared" si="187"/>
        <v>-4272188.62</v>
      </c>
      <c r="AT274" s="50">
        <f t="shared" si="191"/>
        <v>579495.4</v>
      </c>
      <c r="AU274" s="50">
        <f t="shared" si="167"/>
        <v>0</v>
      </c>
      <c r="AV274" s="50">
        <f t="shared" si="192"/>
        <v>-197629.76</v>
      </c>
      <c r="AW274" s="50"/>
      <c r="AX274" s="50">
        <f t="shared" si="173"/>
        <v>-3890322.9799999995</v>
      </c>
      <c r="AY274" s="50">
        <f t="shared" si="174"/>
        <v>8300000</v>
      </c>
      <c r="AZ274" s="50">
        <f t="shared" si="175"/>
        <v>4409677.0200000005</v>
      </c>
    </row>
    <row r="275" spans="2:55" x14ac:dyDescent="0.3">
      <c r="B275" s="99">
        <f>B274+1</f>
        <v>44547</v>
      </c>
      <c r="C275" s="44">
        <f t="shared" si="177"/>
        <v>-2976592.7</v>
      </c>
      <c r="D275" s="45">
        <f>39309.9+17449.34+22222.59+20008</f>
        <v>98989.83</v>
      </c>
      <c r="E275" s="45">
        <v>-1000000</v>
      </c>
      <c r="F275" s="45">
        <v>-27535.040000000001</v>
      </c>
      <c r="G275" s="45">
        <f t="shared" si="155"/>
        <v>-3905137.91</v>
      </c>
      <c r="H275" s="44">
        <v>4300000</v>
      </c>
      <c r="I275" s="46">
        <f t="shared" si="178"/>
        <v>-942028.63999999966</v>
      </c>
      <c r="J275" s="47">
        <f>175577.69+52706.34+31736.02+42580.09</f>
        <v>302600.14</v>
      </c>
      <c r="K275" s="47">
        <f>1000000-2900</f>
        <v>997100</v>
      </c>
      <c r="L275" s="47">
        <f>-817609.5+2900</f>
        <v>-814709.5</v>
      </c>
      <c r="M275" s="47">
        <f t="shared" si="179"/>
        <v>-457037.99999999965</v>
      </c>
      <c r="N275" s="46">
        <v>4000000</v>
      </c>
      <c r="O275" s="48">
        <f t="shared" si="180"/>
        <v>27710.679999999997</v>
      </c>
      <c r="P275" s="55"/>
      <c r="Q275" s="55"/>
      <c r="R275" s="55">
        <v>-255</v>
      </c>
      <c r="S275" s="55">
        <f t="shared" si="181"/>
        <v>27455.679999999997</v>
      </c>
      <c r="T275" s="48"/>
      <c r="U275" s="49">
        <f t="shared" si="182"/>
        <v>466.41999999992549</v>
      </c>
      <c r="V275" s="51"/>
      <c r="W275" s="51"/>
      <c r="X275" s="51"/>
      <c r="Y275" s="51">
        <f t="shared" si="183"/>
        <v>466.41999999992549</v>
      </c>
      <c r="Z275" s="52"/>
      <c r="AA275" s="53">
        <f t="shared" si="184"/>
        <v>31.159999999998035</v>
      </c>
      <c r="AB275" s="54"/>
      <c r="AC275" s="54">
        <v>2900</v>
      </c>
      <c r="AD275" s="54">
        <f>-310</f>
        <v>-310</v>
      </c>
      <c r="AE275" s="54">
        <f t="shared" si="185"/>
        <v>2621.159999999998</v>
      </c>
      <c r="AF275" s="53"/>
      <c r="AG275" s="53">
        <f t="shared" si="166"/>
        <v>90.099999999961597</v>
      </c>
      <c r="AH275" s="54"/>
      <c r="AI275" s="54"/>
      <c r="AJ275" s="54"/>
      <c r="AK275" s="54">
        <f t="shared" si="186"/>
        <v>90.099999999961597</v>
      </c>
      <c r="AL275" s="53"/>
      <c r="AM275" s="53">
        <f t="shared" si="170"/>
        <v>0</v>
      </c>
      <c r="AN275" s="54"/>
      <c r="AO275" s="54"/>
      <c r="AP275" s="54"/>
      <c r="AQ275" s="54">
        <f t="shared" si="171"/>
        <v>0</v>
      </c>
      <c r="AR275" s="53"/>
      <c r="AS275" s="50">
        <f t="shared" si="187"/>
        <v>-3890322.9799999995</v>
      </c>
      <c r="AT275" s="50">
        <f t="shared" si="191"/>
        <v>401589.97000000003</v>
      </c>
      <c r="AU275" s="50">
        <f t="shared" si="167"/>
        <v>0</v>
      </c>
      <c r="AV275" s="50">
        <f t="shared" si="192"/>
        <v>-842809.54</v>
      </c>
      <c r="AW275" s="50"/>
      <c r="AX275" s="50">
        <f t="shared" si="173"/>
        <v>-4331542.5500000007</v>
      </c>
      <c r="AY275" s="50">
        <f t="shared" si="174"/>
        <v>8300000</v>
      </c>
      <c r="AZ275" s="50">
        <f t="shared" si="175"/>
        <v>3968457.4499999993</v>
      </c>
    </row>
    <row r="276" spans="2:55" x14ac:dyDescent="0.3">
      <c r="B276" s="99">
        <f>B275+3</f>
        <v>44550</v>
      </c>
      <c r="C276" s="44">
        <f t="shared" si="177"/>
        <v>-3905137.91</v>
      </c>
      <c r="D276" s="45">
        <v>323066.28000000003</v>
      </c>
      <c r="E276" s="45"/>
      <c r="F276" s="45">
        <v>-411058.37</v>
      </c>
      <c r="G276" s="45">
        <f t="shared" si="155"/>
        <v>-3993130</v>
      </c>
      <c r="H276" s="44">
        <v>4300000</v>
      </c>
      <c r="I276" s="46">
        <f t="shared" si="178"/>
        <v>-457037.99999999965</v>
      </c>
      <c r="J276" s="47">
        <v>481430.41000000003</v>
      </c>
      <c r="K276" s="47"/>
      <c r="L276" s="47">
        <v>-715809.570000001</v>
      </c>
      <c r="M276" s="47">
        <f t="shared" si="179"/>
        <v>-691417.16000000061</v>
      </c>
      <c r="N276" s="46">
        <v>4000000</v>
      </c>
      <c r="O276" s="48">
        <f t="shared" si="180"/>
        <v>27455.679999999997</v>
      </c>
      <c r="P276" s="55">
        <v>50138.42</v>
      </c>
      <c r="Q276" s="55"/>
      <c r="R276" s="55">
        <v>-970</v>
      </c>
      <c r="S276" s="55">
        <f t="shared" si="181"/>
        <v>76624.099999999991</v>
      </c>
      <c r="T276" s="48"/>
      <c r="U276" s="49">
        <f t="shared" si="182"/>
        <v>466.41999999992549</v>
      </c>
      <c r="V276" s="51"/>
      <c r="W276" s="51"/>
      <c r="X276" s="51"/>
      <c r="Y276" s="51">
        <f t="shared" si="183"/>
        <v>466.41999999992549</v>
      </c>
      <c r="Z276" s="52"/>
      <c r="AA276" s="53">
        <f t="shared" si="184"/>
        <v>2621.159999999998</v>
      </c>
      <c r="AB276" s="54"/>
      <c r="AC276" s="54"/>
      <c r="AD276" s="54">
        <v>-2552.67</v>
      </c>
      <c r="AE276" s="54">
        <f t="shared" si="185"/>
        <v>68.489999999997963</v>
      </c>
      <c r="AF276" s="53"/>
      <c r="AG276" s="53">
        <f t="shared" si="166"/>
        <v>90.099999999961597</v>
      </c>
      <c r="AH276" s="54"/>
      <c r="AI276" s="54"/>
      <c r="AJ276" s="54"/>
      <c r="AK276" s="54">
        <f t="shared" si="186"/>
        <v>90.099999999961597</v>
      </c>
      <c r="AL276" s="53"/>
      <c r="AM276" s="53">
        <f t="shared" si="170"/>
        <v>0</v>
      </c>
      <c r="AN276" s="54"/>
      <c r="AO276" s="54"/>
      <c r="AP276" s="54"/>
      <c r="AQ276" s="54">
        <f t="shared" si="171"/>
        <v>0</v>
      </c>
      <c r="AR276" s="53"/>
      <c r="AS276" s="50">
        <f t="shared" si="187"/>
        <v>-4331542.5500000007</v>
      </c>
      <c r="AT276" s="50">
        <f t="shared" si="191"/>
        <v>854635.1100000001</v>
      </c>
      <c r="AU276" s="50">
        <f t="shared" si="167"/>
        <v>0</v>
      </c>
      <c r="AV276" s="50">
        <f t="shared" si="192"/>
        <v>-1130390.6100000008</v>
      </c>
      <c r="AW276" s="50"/>
      <c r="AX276" s="50">
        <f t="shared" si="173"/>
        <v>-4607298.0500000007</v>
      </c>
      <c r="AY276" s="50">
        <f t="shared" si="174"/>
        <v>8300000</v>
      </c>
      <c r="AZ276" s="50">
        <f t="shared" si="175"/>
        <v>3692701.9499999993</v>
      </c>
      <c r="BC276" s="15" t="s">
        <v>166</v>
      </c>
    </row>
    <row r="277" spans="2:55" x14ac:dyDescent="0.3">
      <c r="B277" s="99">
        <f>B276+1</f>
        <v>44551</v>
      </c>
      <c r="C277" s="44">
        <f t="shared" si="177"/>
        <v>-3993130</v>
      </c>
      <c r="D277" s="45"/>
      <c r="E277" s="45"/>
      <c r="F277" s="45">
        <v>-28303.35</v>
      </c>
      <c r="G277" s="45">
        <f t="shared" ref="G277:G340" si="195">SUM(C277:F277)</f>
        <v>-4021433.35</v>
      </c>
      <c r="H277" s="44">
        <v>4300000</v>
      </c>
      <c r="I277" s="46">
        <f t="shared" si="178"/>
        <v>-691417.16000000061</v>
      </c>
      <c r="J277" s="47">
        <v>489.44</v>
      </c>
      <c r="K277" s="47"/>
      <c r="L277" s="47">
        <v>-27355.229999999301</v>
      </c>
      <c r="M277" s="47">
        <f t="shared" si="179"/>
        <v>-718282.95</v>
      </c>
      <c r="N277" s="46">
        <v>4000000</v>
      </c>
      <c r="O277" s="48">
        <f t="shared" si="180"/>
        <v>76624.099999999991</v>
      </c>
      <c r="P277" s="55"/>
      <c r="Q277" s="55"/>
      <c r="R277" s="55"/>
      <c r="S277" s="55">
        <f t="shared" si="181"/>
        <v>76624.099999999991</v>
      </c>
      <c r="T277" s="48"/>
      <c r="U277" s="49">
        <f t="shared" si="182"/>
        <v>466.41999999992549</v>
      </c>
      <c r="V277" s="51"/>
      <c r="W277" s="51"/>
      <c r="X277" s="51"/>
      <c r="Y277" s="51">
        <f t="shared" si="183"/>
        <v>466.41999999992549</v>
      </c>
      <c r="Z277" s="52"/>
      <c r="AA277" s="53">
        <f t="shared" si="184"/>
        <v>68.489999999997963</v>
      </c>
      <c r="AB277" s="54"/>
      <c r="AC277" s="54"/>
      <c r="AD277" s="54"/>
      <c r="AE277" s="54">
        <f t="shared" si="185"/>
        <v>68.489999999997963</v>
      </c>
      <c r="AF277" s="53"/>
      <c r="AG277" s="53">
        <f t="shared" si="166"/>
        <v>90.099999999961597</v>
      </c>
      <c r="AH277" s="54"/>
      <c r="AI277" s="54"/>
      <c r="AJ277" s="54"/>
      <c r="AK277" s="54">
        <f t="shared" si="186"/>
        <v>90.099999999961597</v>
      </c>
      <c r="AL277" s="53"/>
      <c r="AM277" s="53">
        <f t="shared" si="170"/>
        <v>0</v>
      </c>
      <c r="AN277" s="54"/>
      <c r="AO277" s="54"/>
      <c r="AP277" s="54"/>
      <c r="AQ277" s="54">
        <f t="shared" si="171"/>
        <v>0</v>
      </c>
      <c r="AR277" s="53"/>
      <c r="AS277" s="50">
        <f t="shared" si="187"/>
        <v>-4607298.0500000007</v>
      </c>
      <c r="AT277" s="50">
        <f t="shared" si="191"/>
        <v>489.44</v>
      </c>
      <c r="AU277" s="50">
        <f t="shared" si="167"/>
        <v>0</v>
      </c>
      <c r="AV277" s="50">
        <f t="shared" si="192"/>
        <v>-55658.579999999303</v>
      </c>
      <c r="AW277" s="50"/>
      <c r="AX277" s="50">
        <f t="shared" si="173"/>
        <v>-4662467.1900000004</v>
      </c>
      <c r="AY277" s="50">
        <f t="shared" si="174"/>
        <v>8300000</v>
      </c>
      <c r="AZ277" s="50">
        <f t="shared" si="175"/>
        <v>3637532.8099999996</v>
      </c>
      <c r="BB277" s="15" t="s">
        <v>168</v>
      </c>
      <c r="BC277" s="15">
        <f>SUM(AV220:AV240)</f>
        <v>-7654402.7599999998</v>
      </c>
    </row>
    <row r="278" spans="2:55" x14ac:dyDescent="0.3">
      <c r="B278" s="99">
        <f t="shared" ref="B278:B279" si="196">B277+1</f>
        <v>44552</v>
      </c>
      <c r="C278" s="44">
        <f t="shared" si="177"/>
        <v>-4021433.35</v>
      </c>
      <c r="D278" s="45">
        <v>570778.78999999992</v>
      </c>
      <c r="E278" s="45"/>
      <c r="F278" s="45">
        <v>-70</v>
      </c>
      <c r="G278" s="45">
        <f t="shared" si="195"/>
        <v>-3450724.56</v>
      </c>
      <c r="H278" s="44">
        <v>4300000</v>
      </c>
      <c r="I278" s="46">
        <f t="shared" si="178"/>
        <v>-718282.95</v>
      </c>
      <c r="J278" s="47">
        <f>87952.8+9291.15</f>
        <v>97243.95</v>
      </c>
      <c r="K278" s="47">
        <v>50000</v>
      </c>
      <c r="L278" s="47">
        <v>-193321.35</v>
      </c>
      <c r="M278" s="47">
        <f t="shared" si="179"/>
        <v>-764360.35</v>
      </c>
      <c r="N278" s="46">
        <v>4000000</v>
      </c>
      <c r="O278" s="48">
        <f t="shared" si="180"/>
        <v>76624.099999999991</v>
      </c>
      <c r="P278" s="55">
        <v>112.64000000001001</v>
      </c>
      <c r="Q278" s="55">
        <v>-50000</v>
      </c>
      <c r="R278" s="55">
        <f>-335.17-238.01-10</f>
        <v>-583.18000000000006</v>
      </c>
      <c r="S278" s="55">
        <f t="shared" si="181"/>
        <v>26153.560000000005</v>
      </c>
      <c r="T278" s="48"/>
      <c r="U278" s="49">
        <f t="shared" si="182"/>
        <v>466.41999999992549</v>
      </c>
      <c r="V278" s="51"/>
      <c r="W278" s="51"/>
      <c r="X278" s="51"/>
      <c r="Y278" s="51">
        <f t="shared" si="183"/>
        <v>466.41999999992549</v>
      </c>
      <c r="Z278" s="52"/>
      <c r="AA278" s="53">
        <f t="shared" si="184"/>
        <v>68.489999999997963</v>
      </c>
      <c r="AB278" s="54"/>
      <c r="AC278" s="54"/>
      <c r="AD278" s="54"/>
      <c r="AE278" s="54">
        <f t="shared" si="185"/>
        <v>68.489999999997963</v>
      </c>
      <c r="AF278" s="53"/>
      <c r="AG278" s="53">
        <f t="shared" si="166"/>
        <v>90.099999999961597</v>
      </c>
      <c r="AH278" s="54"/>
      <c r="AI278" s="54"/>
      <c r="AJ278" s="54"/>
      <c r="AK278" s="54">
        <f t="shared" si="186"/>
        <v>90.099999999961597</v>
      </c>
      <c r="AL278" s="53"/>
      <c r="AM278" s="53">
        <f t="shared" si="170"/>
        <v>0</v>
      </c>
      <c r="AN278" s="54"/>
      <c r="AO278" s="54"/>
      <c r="AP278" s="54"/>
      <c r="AQ278" s="54">
        <f t="shared" si="171"/>
        <v>0</v>
      </c>
      <c r="AR278" s="53"/>
      <c r="AS278" s="50">
        <f t="shared" si="187"/>
        <v>-4662467.1900000004</v>
      </c>
      <c r="AT278" s="50">
        <f t="shared" si="191"/>
        <v>668135.37999999989</v>
      </c>
      <c r="AU278" s="50">
        <f t="shared" si="167"/>
        <v>0</v>
      </c>
      <c r="AV278" s="50">
        <f t="shared" si="192"/>
        <v>-193974.53</v>
      </c>
      <c r="AW278" s="50"/>
      <c r="AX278" s="50">
        <f t="shared" si="173"/>
        <v>-4188306.34</v>
      </c>
      <c r="AY278" s="50">
        <f t="shared" si="174"/>
        <v>8300000</v>
      </c>
      <c r="AZ278" s="50">
        <f t="shared" si="175"/>
        <v>4111693.66</v>
      </c>
      <c r="BB278" s="15" t="s">
        <v>169</v>
      </c>
      <c r="BC278" s="15">
        <f>SUM(AV241:AV262)</f>
        <v>-9159664.0099999998</v>
      </c>
    </row>
    <row r="279" spans="2:55" x14ac:dyDescent="0.3">
      <c r="B279" s="99">
        <f t="shared" si="196"/>
        <v>44553</v>
      </c>
      <c r="C279" s="44">
        <f t="shared" si="177"/>
        <v>-3450724.56</v>
      </c>
      <c r="D279" s="45">
        <v>140157.79</v>
      </c>
      <c r="E279" s="45"/>
      <c r="F279" s="45">
        <v>-8020</v>
      </c>
      <c r="G279" s="45">
        <f t="shared" si="195"/>
        <v>-3318586.77</v>
      </c>
      <c r="H279" s="44">
        <v>4300000</v>
      </c>
      <c r="I279" s="46">
        <f t="shared" si="178"/>
        <v>-764360.35</v>
      </c>
      <c r="J279" s="47">
        <f>237784.16+106963.12+106756.36</f>
        <v>451503.64</v>
      </c>
      <c r="K279" s="47"/>
      <c r="L279" s="47">
        <v>-37022.400000000001</v>
      </c>
      <c r="M279" s="47">
        <f t="shared" si="179"/>
        <v>-349879.11</v>
      </c>
      <c r="N279" s="46">
        <v>4000000</v>
      </c>
      <c r="O279" s="48">
        <f t="shared" si="180"/>
        <v>26153.560000000005</v>
      </c>
      <c r="P279" s="55"/>
      <c r="Q279" s="55"/>
      <c r="R279" s="55"/>
      <c r="S279" s="55">
        <f t="shared" si="181"/>
        <v>26153.560000000005</v>
      </c>
      <c r="T279" s="48"/>
      <c r="U279" s="49">
        <f t="shared" si="182"/>
        <v>466.41999999992549</v>
      </c>
      <c r="V279" s="51"/>
      <c r="W279" s="51"/>
      <c r="X279" s="51"/>
      <c r="Y279" s="51">
        <f t="shared" si="183"/>
        <v>466.41999999992549</v>
      </c>
      <c r="Z279" s="52"/>
      <c r="AA279" s="53">
        <f t="shared" si="184"/>
        <v>68.489999999997963</v>
      </c>
      <c r="AB279" s="54"/>
      <c r="AC279" s="54"/>
      <c r="AD279" s="54">
        <v>-25</v>
      </c>
      <c r="AE279" s="54">
        <f t="shared" si="185"/>
        <v>43.489999999997963</v>
      </c>
      <c r="AF279" s="53"/>
      <c r="AG279" s="53">
        <f t="shared" si="166"/>
        <v>90.099999999961597</v>
      </c>
      <c r="AH279" s="54"/>
      <c r="AI279" s="54"/>
      <c r="AJ279" s="54"/>
      <c r="AK279" s="54">
        <f t="shared" si="186"/>
        <v>90.099999999961597</v>
      </c>
      <c r="AL279" s="53"/>
      <c r="AM279" s="53">
        <f t="shared" si="170"/>
        <v>0</v>
      </c>
      <c r="AN279" s="54"/>
      <c r="AO279" s="54"/>
      <c r="AP279" s="54"/>
      <c r="AQ279" s="54">
        <f t="shared" si="171"/>
        <v>0</v>
      </c>
      <c r="AR279" s="53"/>
      <c r="AS279" s="50">
        <f t="shared" si="187"/>
        <v>-4188306.34</v>
      </c>
      <c r="AT279" s="50">
        <f t="shared" si="191"/>
        <v>591661.43000000005</v>
      </c>
      <c r="AU279" s="50">
        <f t="shared" si="167"/>
        <v>0</v>
      </c>
      <c r="AV279" s="50">
        <f t="shared" si="192"/>
        <v>-45067.4</v>
      </c>
      <c r="AW279" s="50"/>
      <c r="AX279" s="50">
        <f t="shared" si="173"/>
        <v>-3641712.3099999996</v>
      </c>
      <c r="AY279" s="50">
        <f t="shared" si="174"/>
        <v>8300000</v>
      </c>
      <c r="AZ279" s="50">
        <f t="shared" si="175"/>
        <v>4658287.6900000004</v>
      </c>
      <c r="BB279" s="15" t="s">
        <v>170</v>
      </c>
      <c r="BC279" s="15">
        <f>SUM(AV263:AV285)</f>
        <v>-9494180.6799999997</v>
      </c>
    </row>
    <row r="280" spans="2:55" x14ac:dyDescent="0.3">
      <c r="B280" s="99">
        <f>B279+1</f>
        <v>44554</v>
      </c>
      <c r="C280" s="44">
        <f t="shared" si="177"/>
        <v>-3318586.77</v>
      </c>
      <c r="D280" s="45">
        <f>15441.28+63340.4+189564.32</f>
        <v>268346</v>
      </c>
      <c r="E280" s="45"/>
      <c r="F280" s="45"/>
      <c r="G280" s="45">
        <f t="shared" si="195"/>
        <v>-3050240.77</v>
      </c>
      <c r="H280" s="44">
        <v>4300000</v>
      </c>
      <c r="I280" s="46">
        <f t="shared" si="178"/>
        <v>-349879.11</v>
      </c>
      <c r="J280" s="47">
        <v>1196.43</v>
      </c>
      <c r="K280" s="47"/>
      <c r="L280" s="47"/>
      <c r="M280" s="47">
        <f t="shared" si="179"/>
        <v>-348682.68</v>
      </c>
      <c r="N280" s="46">
        <v>4000000</v>
      </c>
      <c r="O280" s="48">
        <f t="shared" si="180"/>
        <v>26153.560000000005</v>
      </c>
      <c r="P280" s="55"/>
      <c r="Q280" s="55"/>
      <c r="R280" s="55"/>
      <c r="S280" s="55">
        <f t="shared" si="181"/>
        <v>26153.560000000005</v>
      </c>
      <c r="T280" s="48"/>
      <c r="U280" s="49">
        <f t="shared" si="182"/>
        <v>466.41999999992549</v>
      </c>
      <c r="V280" s="51"/>
      <c r="W280" s="51"/>
      <c r="X280" s="51"/>
      <c r="Y280" s="51">
        <f t="shared" si="183"/>
        <v>466.41999999992549</v>
      </c>
      <c r="Z280" s="52"/>
      <c r="AA280" s="53">
        <f t="shared" si="184"/>
        <v>43.489999999997963</v>
      </c>
      <c r="AB280" s="54"/>
      <c r="AC280" s="54"/>
      <c r="AD280" s="54"/>
      <c r="AE280" s="54">
        <f t="shared" si="185"/>
        <v>43.489999999997963</v>
      </c>
      <c r="AF280" s="53"/>
      <c r="AG280" s="53">
        <f t="shared" si="166"/>
        <v>90.099999999961597</v>
      </c>
      <c r="AH280" s="54"/>
      <c r="AI280" s="54"/>
      <c r="AJ280" s="54"/>
      <c r="AK280" s="54">
        <f t="shared" si="186"/>
        <v>90.099999999961597</v>
      </c>
      <c r="AL280" s="53"/>
      <c r="AM280" s="53">
        <f t="shared" si="170"/>
        <v>0</v>
      </c>
      <c r="AN280" s="54"/>
      <c r="AO280" s="54"/>
      <c r="AP280" s="54"/>
      <c r="AQ280" s="54">
        <f t="shared" si="171"/>
        <v>0</v>
      </c>
      <c r="AR280" s="53"/>
      <c r="AS280" s="50">
        <f t="shared" si="187"/>
        <v>-3641712.3099999996</v>
      </c>
      <c r="AT280" s="50">
        <f t="shared" si="191"/>
        <v>269542.43</v>
      </c>
      <c r="AU280" s="50">
        <f t="shared" si="167"/>
        <v>0</v>
      </c>
      <c r="AV280" s="50">
        <f t="shared" si="192"/>
        <v>0</v>
      </c>
      <c r="AW280" s="50"/>
      <c r="AX280" s="50">
        <f t="shared" si="173"/>
        <v>-3372169.88</v>
      </c>
      <c r="AY280" s="50">
        <f t="shared" si="174"/>
        <v>8300000</v>
      </c>
      <c r="AZ280" s="50">
        <f t="shared" si="175"/>
        <v>4927830.12</v>
      </c>
    </row>
    <row r="281" spans="2:55" x14ac:dyDescent="0.3">
      <c r="B281" s="99">
        <f>B280+3</f>
        <v>44557</v>
      </c>
      <c r="C281" s="44">
        <f t="shared" si="177"/>
        <v>-3050240.77</v>
      </c>
      <c r="D281" s="45">
        <f>111487.39-48000</f>
        <v>63487.39</v>
      </c>
      <c r="E281" s="45">
        <v>48000</v>
      </c>
      <c r="F281" s="45">
        <v>-73933.09</v>
      </c>
      <c r="G281" s="45">
        <f t="shared" si="195"/>
        <v>-3012686.4699999997</v>
      </c>
      <c r="H281" s="44">
        <v>4300000</v>
      </c>
      <c r="I281" s="46">
        <f t="shared" si="178"/>
        <v>-348682.68</v>
      </c>
      <c r="J281" s="47">
        <f>153171.73+119.15</f>
        <v>153290.88</v>
      </c>
      <c r="K281" s="47">
        <v>1100000</v>
      </c>
      <c r="L281" s="47">
        <v>-89719.45</v>
      </c>
      <c r="M281" s="47">
        <f t="shared" si="179"/>
        <v>814888.75</v>
      </c>
      <c r="N281" s="46">
        <v>4000000</v>
      </c>
      <c r="O281" s="48">
        <f t="shared" si="180"/>
        <v>26153.560000000005</v>
      </c>
      <c r="P281" s="55">
        <f>268.8</f>
        <v>268.8</v>
      </c>
      <c r="Q281" s="55">
        <f>22200-48000</f>
        <v>-25800</v>
      </c>
      <c r="R281" s="55">
        <v>-94</v>
      </c>
      <c r="S281" s="55">
        <f t="shared" si="181"/>
        <v>528.36000000000422</v>
      </c>
      <c r="T281" s="48"/>
      <c r="U281" s="49">
        <f t="shared" si="182"/>
        <v>466.41999999992549</v>
      </c>
      <c r="V281" s="51">
        <v>21773.200000000001</v>
      </c>
      <c r="W281" s="51">
        <v>-22200</v>
      </c>
      <c r="X281" s="51">
        <v>-0.2</v>
      </c>
      <c r="Y281" s="51">
        <f t="shared" si="183"/>
        <v>39.419999999926219</v>
      </c>
      <c r="Z281" s="52"/>
      <c r="AA281" s="53">
        <f t="shared" si="184"/>
        <v>43.489999999997963</v>
      </c>
      <c r="AB281" s="54"/>
      <c r="AC281" s="54">
        <f>1104000-1100000</f>
        <v>4000</v>
      </c>
      <c r="AD281" s="54">
        <f>-198.39-744.71+0.02</f>
        <v>-943.08</v>
      </c>
      <c r="AE281" s="54">
        <f t="shared" si="185"/>
        <v>3100.409999999998</v>
      </c>
      <c r="AF281" s="53"/>
      <c r="AG281" s="53">
        <f t="shared" si="166"/>
        <v>90.099999999961597</v>
      </c>
      <c r="AH281" s="54">
        <f>45552+173361.6+885649.68+0.32</f>
        <v>1104563.6000000001</v>
      </c>
      <c r="AI281" s="54">
        <v>-1104000</v>
      </c>
      <c r="AJ281" s="54"/>
      <c r="AK281" s="54">
        <f t="shared" si="186"/>
        <v>653.69999999995343</v>
      </c>
      <c r="AL281" s="53"/>
      <c r="AM281" s="53">
        <f t="shared" si="170"/>
        <v>0</v>
      </c>
      <c r="AN281" s="54"/>
      <c r="AO281" s="54"/>
      <c r="AP281" s="54"/>
      <c r="AQ281" s="54">
        <f t="shared" si="171"/>
        <v>0</v>
      </c>
      <c r="AR281" s="53"/>
      <c r="AS281" s="50">
        <f t="shared" si="187"/>
        <v>-3372169.88</v>
      </c>
      <c r="AT281" s="50">
        <f t="shared" si="191"/>
        <v>1343383.87</v>
      </c>
      <c r="AU281" s="50">
        <f t="shared" si="167"/>
        <v>0</v>
      </c>
      <c r="AV281" s="50">
        <f t="shared" si="192"/>
        <v>-164689.81999999998</v>
      </c>
      <c r="AW281" s="50"/>
      <c r="AX281" s="50">
        <f>SUM(G281,M281,S281,Y281,AE281,AK281)</f>
        <v>-2193475.83</v>
      </c>
      <c r="AY281" s="50">
        <f t="shared" si="174"/>
        <v>8300000</v>
      </c>
      <c r="AZ281" s="50">
        <f t="shared" si="175"/>
        <v>6106524.1699999999</v>
      </c>
    </row>
    <row r="282" spans="2:55" x14ac:dyDescent="0.3">
      <c r="B282" s="99">
        <f>B281+1</f>
        <v>44558</v>
      </c>
      <c r="C282" s="44">
        <f t="shared" si="177"/>
        <v>-3012686.4699999997</v>
      </c>
      <c r="D282" s="45">
        <v>286966.52</v>
      </c>
      <c r="E282" s="45"/>
      <c r="F282" s="45">
        <v>-1328.29</v>
      </c>
      <c r="G282" s="45">
        <f t="shared" si="195"/>
        <v>-2727048.2399999998</v>
      </c>
      <c r="H282" s="44">
        <v>4300000</v>
      </c>
      <c r="I282" s="46">
        <f t="shared" si="178"/>
        <v>814888.75</v>
      </c>
      <c r="J282" s="47"/>
      <c r="K282" s="47"/>
      <c r="L282" s="47">
        <f>-555176.56-0.54</f>
        <v>-555177.10000000009</v>
      </c>
      <c r="M282" s="47">
        <f t="shared" si="179"/>
        <v>259711.64999999991</v>
      </c>
      <c r="N282" s="46">
        <v>4000000</v>
      </c>
      <c r="O282" s="48">
        <f t="shared" si="180"/>
        <v>528.36000000000422</v>
      </c>
      <c r="P282" s="55"/>
      <c r="Q282" s="55"/>
      <c r="R282" s="55"/>
      <c r="S282" s="55">
        <f t="shared" si="181"/>
        <v>528.36000000000422</v>
      </c>
      <c r="T282" s="48"/>
      <c r="U282" s="49">
        <f t="shared" si="182"/>
        <v>39.419999999926219</v>
      </c>
      <c r="V282" s="51"/>
      <c r="W282" s="51"/>
      <c r="X282" s="51">
        <v>-2.2000000000000002</v>
      </c>
      <c r="Y282" s="51">
        <f t="shared" si="183"/>
        <v>37.219999999926216</v>
      </c>
      <c r="Z282" s="52"/>
      <c r="AA282" s="53">
        <f t="shared" si="184"/>
        <v>3100.409999999998</v>
      </c>
      <c r="AB282" s="54"/>
      <c r="AC282" s="54"/>
      <c r="AD282" s="54"/>
      <c r="AE282" s="54">
        <f t="shared" si="185"/>
        <v>3100.409999999998</v>
      </c>
      <c r="AF282" s="53"/>
      <c r="AG282" s="53">
        <f t="shared" si="166"/>
        <v>653.69999999995343</v>
      </c>
      <c r="AH282" s="54"/>
      <c r="AI282" s="54"/>
      <c r="AJ282" s="54"/>
      <c r="AK282" s="54">
        <f t="shared" si="186"/>
        <v>653.69999999995343</v>
      </c>
      <c r="AL282" s="53"/>
      <c r="AM282" s="53">
        <f t="shared" si="170"/>
        <v>0</v>
      </c>
      <c r="AN282" s="54"/>
      <c r="AO282" s="54"/>
      <c r="AP282" s="54"/>
      <c r="AQ282" s="54">
        <f t="shared" si="171"/>
        <v>0</v>
      </c>
      <c r="AR282" s="53"/>
      <c r="AS282" s="50">
        <f t="shared" si="187"/>
        <v>-2193475.83</v>
      </c>
      <c r="AT282" s="50">
        <f t="shared" si="191"/>
        <v>286966.52</v>
      </c>
      <c r="AU282" s="50">
        <f t="shared" si="167"/>
        <v>0</v>
      </c>
      <c r="AV282" s="50">
        <f t="shared" si="192"/>
        <v>-556507.59000000008</v>
      </c>
      <c r="AW282" s="50"/>
      <c r="AX282" s="50">
        <f t="shared" si="173"/>
        <v>-2463016.9000000004</v>
      </c>
      <c r="AY282" s="50">
        <f t="shared" si="174"/>
        <v>8300000</v>
      </c>
      <c r="AZ282" s="50">
        <f t="shared" si="175"/>
        <v>5836983.0999999996</v>
      </c>
    </row>
    <row r="283" spans="2:55" x14ac:dyDescent="0.3">
      <c r="B283" s="99">
        <f t="shared" ref="B283:B284" si="197">B282+1</f>
        <v>44559</v>
      </c>
      <c r="C283" s="44">
        <f t="shared" si="177"/>
        <v>-2727048.2399999998</v>
      </c>
      <c r="D283" s="45"/>
      <c r="E283" s="45"/>
      <c r="F283" s="45">
        <v>-26760.92</v>
      </c>
      <c r="G283" s="45">
        <f t="shared" si="195"/>
        <v>-2753809.1599999997</v>
      </c>
      <c r="H283" s="44">
        <v>4300000</v>
      </c>
      <c r="I283" s="46">
        <f t="shared" si="178"/>
        <v>259711.64999999991</v>
      </c>
      <c r="J283" s="47">
        <v>26678.39</v>
      </c>
      <c r="K283" s="47"/>
      <c r="L283" s="47">
        <f>-92256.85-55256.84</f>
        <v>-147513.69</v>
      </c>
      <c r="M283" s="47">
        <f t="shared" si="179"/>
        <v>138876.34999999992</v>
      </c>
      <c r="N283" s="46">
        <v>4000000</v>
      </c>
      <c r="O283" s="48">
        <f t="shared" si="180"/>
        <v>528.36000000000422</v>
      </c>
      <c r="P283" s="55"/>
      <c r="Q283" s="55"/>
      <c r="R283" s="55"/>
      <c r="S283" s="55">
        <f t="shared" si="181"/>
        <v>528.36000000000422</v>
      </c>
      <c r="T283" s="48"/>
      <c r="U283" s="49">
        <f t="shared" si="182"/>
        <v>37.219999999926216</v>
      </c>
      <c r="V283" s="51">
        <v>26356.83</v>
      </c>
      <c r="W283" s="51"/>
      <c r="X283" s="51"/>
      <c r="Y283" s="51">
        <f t="shared" si="183"/>
        <v>26394.049999999927</v>
      </c>
      <c r="Z283" s="52"/>
      <c r="AA283" s="53">
        <f t="shared" si="184"/>
        <v>3100.409999999998</v>
      </c>
      <c r="AB283" s="54"/>
      <c r="AC283" s="54"/>
      <c r="AD283" s="54"/>
      <c r="AE283" s="54">
        <f t="shared" si="185"/>
        <v>3100.409999999998</v>
      </c>
      <c r="AF283" s="53"/>
      <c r="AG283" s="53">
        <f t="shared" si="166"/>
        <v>653.69999999995343</v>
      </c>
      <c r="AH283" s="54"/>
      <c r="AI283" s="54"/>
      <c r="AJ283" s="54">
        <v>-60</v>
      </c>
      <c r="AK283" s="54">
        <f t="shared" si="186"/>
        <v>593.69999999995343</v>
      </c>
      <c r="AL283" s="53"/>
      <c r="AM283" s="53">
        <f t="shared" si="170"/>
        <v>0</v>
      </c>
      <c r="AN283" s="54"/>
      <c r="AO283" s="54"/>
      <c r="AP283" s="54"/>
      <c r="AQ283" s="54">
        <f t="shared" si="171"/>
        <v>0</v>
      </c>
      <c r="AR283" s="53"/>
      <c r="AS283" s="50">
        <f t="shared" si="187"/>
        <v>-2463016.9000000004</v>
      </c>
      <c r="AT283" s="50">
        <f t="shared" si="191"/>
        <v>53035.22</v>
      </c>
      <c r="AU283" s="50">
        <f t="shared" si="167"/>
        <v>0</v>
      </c>
      <c r="AV283" s="50">
        <f t="shared" si="192"/>
        <v>-174334.61</v>
      </c>
      <c r="AW283" s="50"/>
      <c r="AX283" s="50">
        <f t="shared" ref="AX283" si="198">SUM(G283,M283,S283,Y283,AE283,AK283)</f>
        <v>-2584316.29</v>
      </c>
      <c r="AY283" s="50">
        <f t="shared" si="174"/>
        <v>8300000</v>
      </c>
      <c r="AZ283" s="50">
        <f t="shared" si="175"/>
        <v>5715683.71</v>
      </c>
    </row>
    <row r="284" spans="2:55" x14ac:dyDescent="0.3">
      <c r="B284" s="99">
        <f t="shared" si="197"/>
        <v>44560</v>
      </c>
      <c r="C284" s="44">
        <f t="shared" si="177"/>
        <v>-2753809.1599999997</v>
      </c>
      <c r="D284" s="45">
        <f>1810138.51-1110000</f>
        <v>700138.51</v>
      </c>
      <c r="E284" s="45">
        <f>700000+410000</f>
        <v>1110000</v>
      </c>
      <c r="F284" s="45">
        <v>-120743.62</v>
      </c>
      <c r="G284" s="45">
        <f t="shared" si="195"/>
        <v>-1064414.2699999996</v>
      </c>
      <c r="H284" s="44">
        <v>4300000</v>
      </c>
      <c r="I284" s="46">
        <f t="shared" si="178"/>
        <v>138876.34999999992</v>
      </c>
      <c r="J284" s="47">
        <v>672629.3</v>
      </c>
      <c r="K284" s="47">
        <f>-700000</f>
        <v>-700000</v>
      </c>
      <c r="L284" s="47">
        <v>-65013.249999999898</v>
      </c>
      <c r="M284" s="47">
        <f t="shared" si="179"/>
        <v>46492.400000000009</v>
      </c>
      <c r="N284" s="46">
        <v>4000000</v>
      </c>
      <c r="O284" s="48">
        <f t="shared" si="180"/>
        <v>528.36000000000422</v>
      </c>
      <c r="P284" s="55">
        <v>383228.94</v>
      </c>
      <c r="Q284" s="55">
        <f>31400-410000</f>
        <v>-378600</v>
      </c>
      <c r="R284" s="55">
        <v>-1243.8</v>
      </c>
      <c r="S284" s="55">
        <f t="shared" si="181"/>
        <v>3913.4999999999882</v>
      </c>
      <c r="T284" s="48"/>
      <c r="U284" s="49">
        <f t="shared" si="182"/>
        <v>26394.049999999927</v>
      </c>
      <c r="V284" s="51">
        <v>5067.8999999999996</v>
      </c>
      <c r="W284" s="51">
        <v>-31400</v>
      </c>
      <c r="X284" s="51">
        <v>-1.2</v>
      </c>
      <c r="Y284" s="51">
        <f t="shared" si="183"/>
        <v>60.749999999924327</v>
      </c>
      <c r="Z284" s="52"/>
      <c r="AA284" s="53">
        <f t="shared" si="184"/>
        <v>3100.409999999998</v>
      </c>
      <c r="AB284" s="54"/>
      <c r="AC284" s="54"/>
      <c r="AD284" s="54">
        <v>-2022.54</v>
      </c>
      <c r="AE284" s="54">
        <f t="shared" si="185"/>
        <v>1077.8699999999981</v>
      </c>
      <c r="AF284" s="53"/>
      <c r="AG284" s="53">
        <f t="shared" si="166"/>
        <v>593.69999999995343</v>
      </c>
      <c r="AH284" s="54"/>
      <c r="AI284" s="54"/>
      <c r="AJ284" s="54"/>
      <c r="AK284" s="54">
        <f t="shared" si="186"/>
        <v>593.69999999995343</v>
      </c>
      <c r="AL284" s="53"/>
      <c r="AM284" s="53">
        <f t="shared" si="170"/>
        <v>0</v>
      </c>
      <c r="AN284" s="54"/>
      <c r="AO284" s="54"/>
      <c r="AP284" s="54"/>
      <c r="AQ284" s="54">
        <f t="shared" si="171"/>
        <v>0</v>
      </c>
      <c r="AR284" s="53"/>
      <c r="AS284" s="50">
        <f t="shared" si="187"/>
        <v>-2584316.29</v>
      </c>
      <c r="AT284" s="50">
        <f t="shared" si="191"/>
        <v>1761064.65</v>
      </c>
      <c r="AU284" s="50">
        <f t="shared" si="167"/>
        <v>0</v>
      </c>
      <c r="AV284" s="50">
        <f t="shared" si="192"/>
        <v>-189024.40999999989</v>
      </c>
      <c r="AW284" s="50"/>
      <c r="AX284" s="50">
        <f t="shared" si="173"/>
        <v>-1012276.0499999997</v>
      </c>
      <c r="AY284" s="50">
        <f t="shared" si="174"/>
        <v>8300000</v>
      </c>
      <c r="AZ284" s="50">
        <f t="shared" si="175"/>
        <v>7287723.9500000002</v>
      </c>
    </row>
    <row r="285" spans="2:55" x14ac:dyDescent="0.3">
      <c r="B285" s="99">
        <f>B284+1</f>
        <v>44561</v>
      </c>
      <c r="C285" s="44">
        <f t="shared" si="177"/>
        <v>-1064414.2699999996</v>
      </c>
      <c r="D285" s="45"/>
      <c r="E285" s="45"/>
      <c r="F285" s="45"/>
      <c r="G285" s="45">
        <f t="shared" si="195"/>
        <v>-1064414.2699999996</v>
      </c>
      <c r="H285" s="44">
        <v>4300000</v>
      </c>
      <c r="I285" s="46">
        <f t="shared" si="178"/>
        <v>46492.400000000009</v>
      </c>
      <c r="J285" s="47"/>
      <c r="K285" s="47"/>
      <c r="L285" s="47"/>
      <c r="M285" s="47">
        <f t="shared" si="179"/>
        <v>46492.400000000009</v>
      </c>
      <c r="N285" s="46">
        <v>4000000</v>
      </c>
      <c r="O285" s="48">
        <f t="shared" si="180"/>
        <v>3913.4999999999882</v>
      </c>
      <c r="P285" s="55"/>
      <c r="Q285" s="55"/>
      <c r="R285" s="55"/>
      <c r="S285" s="55">
        <f t="shared" si="181"/>
        <v>3913.4999999999882</v>
      </c>
      <c r="T285" s="48"/>
      <c r="U285" s="49">
        <f t="shared" si="182"/>
        <v>60.749999999924327</v>
      </c>
      <c r="V285" s="51"/>
      <c r="W285" s="51"/>
      <c r="X285" s="51"/>
      <c r="Y285" s="51">
        <f t="shared" si="183"/>
        <v>60.749999999924327</v>
      </c>
      <c r="Z285" s="52"/>
      <c r="AA285" s="53">
        <f t="shared" si="184"/>
        <v>1077.8699999999981</v>
      </c>
      <c r="AB285" s="54"/>
      <c r="AC285" s="54"/>
      <c r="AD285" s="54"/>
      <c r="AE285" s="54">
        <f t="shared" si="185"/>
        <v>1077.8699999999981</v>
      </c>
      <c r="AF285" s="53"/>
      <c r="AG285" s="53">
        <f t="shared" si="166"/>
        <v>593.69999999995343</v>
      </c>
      <c r="AH285" s="54"/>
      <c r="AI285" s="54"/>
      <c r="AJ285" s="54"/>
      <c r="AK285" s="54">
        <f t="shared" si="186"/>
        <v>593.69999999995343</v>
      </c>
      <c r="AL285" s="53"/>
      <c r="AM285" s="53">
        <f t="shared" si="170"/>
        <v>0</v>
      </c>
      <c r="AN285" s="54"/>
      <c r="AO285" s="54"/>
      <c r="AP285" s="54"/>
      <c r="AQ285" s="54">
        <f t="shared" si="171"/>
        <v>0</v>
      </c>
      <c r="AR285" s="53"/>
      <c r="AS285" s="50">
        <f t="shared" si="187"/>
        <v>-1012276.0499999997</v>
      </c>
      <c r="AT285" s="50">
        <f t="shared" si="191"/>
        <v>0</v>
      </c>
      <c r="AU285" s="50">
        <f t="shared" si="167"/>
        <v>0</v>
      </c>
      <c r="AV285" s="50">
        <f t="shared" si="192"/>
        <v>0</v>
      </c>
      <c r="AW285" s="50"/>
      <c r="AX285" s="50">
        <f t="shared" si="173"/>
        <v>-1012276.0499999997</v>
      </c>
      <c r="AY285" s="50">
        <f t="shared" si="174"/>
        <v>8300000</v>
      </c>
      <c r="AZ285" s="50">
        <f t="shared" si="175"/>
        <v>7287723.9500000002</v>
      </c>
    </row>
    <row r="286" spans="2:55" x14ac:dyDescent="0.3">
      <c r="B286" s="99">
        <f>B285+3</f>
        <v>44564</v>
      </c>
      <c r="C286" s="44">
        <f t="shared" si="177"/>
        <v>-1064414.2699999996</v>
      </c>
      <c r="D286" s="45">
        <v>110071.03999999999</v>
      </c>
      <c r="E286" s="45">
        <v>-2550000</v>
      </c>
      <c r="F286" s="45">
        <v>-290174.37</v>
      </c>
      <c r="G286" s="45">
        <f t="shared" si="195"/>
        <v>-3794517.5999999996</v>
      </c>
      <c r="H286" s="44">
        <v>4300000</v>
      </c>
      <c r="I286" s="46">
        <f t="shared" si="178"/>
        <v>46492.400000000009</v>
      </c>
      <c r="J286" s="47"/>
      <c r="K286" s="47">
        <v>2550000</v>
      </c>
      <c r="L286" s="47">
        <v>-2530677.4</v>
      </c>
      <c r="M286" s="47">
        <f t="shared" si="179"/>
        <v>65815</v>
      </c>
      <c r="N286" s="46">
        <v>4000000</v>
      </c>
      <c r="O286" s="48">
        <f t="shared" si="180"/>
        <v>3913.4999999999882</v>
      </c>
      <c r="P286" s="55">
        <v>162417.80000000002</v>
      </c>
      <c r="Q286" s="55"/>
      <c r="R286" s="55"/>
      <c r="S286" s="55">
        <f t="shared" si="181"/>
        <v>166331.30000000002</v>
      </c>
      <c r="T286" s="48"/>
      <c r="U286" s="49">
        <f t="shared" si="182"/>
        <v>60.749999999924327</v>
      </c>
      <c r="V286" s="51"/>
      <c r="W286" s="51"/>
      <c r="X286" s="51"/>
      <c r="Y286" s="51">
        <f t="shared" si="183"/>
        <v>60.749999999924327</v>
      </c>
      <c r="Z286" s="52"/>
      <c r="AA286" s="53">
        <f t="shared" si="184"/>
        <v>1077.8699999999981</v>
      </c>
      <c r="AB286" s="54"/>
      <c r="AC286" s="54"/>
      <c r="AD286" s="54"/>
      <c r="AE286" s="54">
        <f t="shared" si="185"/>
        <v>1077.8699999999981</v>
      </c>
      <c r="AF286" s="53"/>
      <c r="AG286" s="53">
        <f t="shared" si="166"/>
        <v>593.69999999995343</v>
      </c>
      <c r="AH286" s="54"/>
      <c r="AI286" s="54"/>
      <c r="AJ286" s="54"/>
      <c r="AK286" s="54">
        <f t="shared" si="186"/>
        <v>593.69999999995343</v>
      </c>
      <c r="AL286" s="53"/>
      <c r="AM286" s="53">
        <f t="shared" si="170"/>
        <v>0</v>
      </c>
      <c r="AN286" s="54"/>
      <c r="AO286" s="54"/>
      <c r="AP286" s="54"/>
      <c r="AQ286" s="54">
        <f t="shared" si="171"/>
        <v>0</v>
      </c>
      <c r="AR286" s="53"/>
      <c r="AS286" s="50">
        <f t="shared" si="187"/>
        <v>-1012276.0499999997</v>
      </c>
      <c r="AT286" s="50">
        <f t="shared" si="191"/>
        <v>272488.84000000003</v>
      </c>
      <c r="AU286" s="50">
        <f t="shared" si="167"/>
        <v>0</v>
      </c>
      <c r="AV286" s="50">
        <f t="shared" si="192"/>
        <v>-2820851.77</v>
      </c>
      <c r="AW286" s="50"/>
      <c r="AX286" s="50">
        <f t="shared" si="173"/>
        <v>-3560638.9799999995</v>
      </c>
      <c r="AY286" s="50">
        <f t="shared" si="174"/>
        <v>8300000</v>
      </c>
      <c r="AZ286" s="50">
        <f t="shared" si="175"/>
        <v>4739361.0200000005</v>
      </c>
      <c r="BA286" s="15">
        <f t="shared" ref="BA286:BA349" si="199">AX286*$BA$1</f>
        <v>-2967.1991499999999</v>
      </c>
      <c r="BB286" s="15">
        <f>BA286</f>
        <v>-2967.1991499999999</v>
      </c>
      <c r="BC286" s="15">
        <f>AVERAGE(AX286)</f>
        <v>-3560638.9799999995</v>
      </c>
    </row>
    <row r="287" spans="2:55" x14ac:dyDescent="0.3">
      <c r="B287" s="99">
        <f>B286+1</f>
        <v>44565</v>
      </c>
      <c r="C287" s="44">
        <f t="shared" si="177"/>
        <v>-3794517.5999999996</v>
      </c>
      <c r="D287" s="45"/>
      <c r="E287" s="45"/>
      <c r="F287" s="45">
        <v>-225278.93</v>
      </c>
      <c r="G287" s="45">
        <f t="shared" si="195"/>
        <v>-4019796.53</v>
      </c>
      <c r="H287" s="44">
        <v>4300000</v>
      </c>
      <c r="I287" s="46">
        <f t="shared" si="178"/>
        <v>65815</v>
      </c>
      <c r="J287" s="47"/>
      <c r="K287" s="47"/>
      <c r="L287" s="47">
        <v>-292599.93</v>
      </c>
      <c r="M287" s="47">
        <f t="shared" si="179"/>
        <v>-226784.93</v>
      </c>
      <c r="N287" s="46">
        <v>4000000</v>
      </c>
      <c r="O287" s="48">
        <f t="shared" si="180"/>
        <v>166331.30000000002</v>
      </c>
      <c r="P287" s="55"/>
      <c r="Q287" s="55"/>
      <c r="R287" s="55"/>
      <c r="S287" s="55">
        <f t="shared" si="181"/>
        <v>166331.30000000002</v>
      </c>
      <c r="T287" s="48"/>
      <c r="U287" s="49">
        <f t="shared" si="182"/>
        <v>60.749999999924327</v>
      </c>
      <c r="V287" s="51"/>
      <c r="W287" s="51"/>
      <c r="X287" s="51">
        <v>-54.95</v>
      </c>
      <c r="Y287" s="51">
        <f t="shared" si="183"/>
        <v>5.7999999999243244</v>
      </c>
      <c r="Z287" s="52"/>
      <c r="AA287" s="53">
        <f t="shared" si="184"/>
        <v>1077.8699999999981</v>
      </c>
      <c r="AB287" s="54"/>
      <c r="AC287" s="54"/>
      <c r="AD287" s="54"/>
      <c r="AE287" s="54">
        <f t="shared" si="185"/>
        <v>1077.8699999999981</v>
      </c>
      <c r="AF287" s="53"/>
      <c r="AG287" s="53">
        <f t="shared" si="166"/>
        <v>593.69999999995343</v>
      </c>
      <c r="AH287" s="54"/>
      <c r="AI287" s="54"/>
      <c r="AJ287" s="54"/>
      <c r="AK287" s="54">
        <f t="shared" si="186"/>
        <v>593.69999999995343</v>
      </c>
      <c r="AL287" s="53"/>
      <c r="AM287" s="53">
        <f t="shared" si="170"/>
        <v>0</v>
      </c>
      <c r="AN287" s="54"/>
      <c r="AO287" s="54"/>
      <c r="AP287" s="54"/>
      <c r="AQ287" s="54">
        <f t="shared" si="171"/>
        <v>0</v>
      </c>
      <c r="AR287" s="53"/>
      <c r="AS287" s="50">
        <f t="shared" si="187"/>
        <v>-3560638.9799999995</v>
      </c>
      <c r="AT287" s="50">
        <f t="shared" si="191"/>
        <v>0</v>
      </c>
      <c r="AU287" s="50">
        <f t="shared" si="167"/>
        <v>0</v>
      </c>
      <c r="AV287" s="50">
        <f t="shared" si="192"/>
        <v>-517933.81</v>
      </c>
      <c r="AW287" s="50"/>
      <c r="AX287" s="50">
        <f t="shared" si="173"/>
        <v>-4078572.79</v>
      </c>
      <c r="AY287" s="50">
        <f t="shared" si="174"/>
        <v>8300000</v>
      </c>
      <c r="AZ287" s="50">
        <f t="shared" si="175"/>
        <v>4221427.21</v>
      </c>
      <c r="BA287" s="15">
        <f t="shared" si="199"/>
        <v>-3398.8106583333338</v>
      </c>
      <c r="BB287" s="15">
        <f>BA287+BB286</f>
        <v>-6366.0098083333341</v>
      </c>
      <c r="BC287" s="15">
        <f>AVERAGE(AX286:AX287)</f>
        <v>-3819605.8849999998</v>
      </c>
    </row>
    <row r="288" spans="2:55" x14ac:dyDescent="0.3">
      <c r="B288" s="99">
        <f t="shared" ref="B288:B289" si="200">B287+1</f>
        <v>44566</v>
      </c>
      <c r="C288" s="44">
        <f t="shared" si="177"/>
        <v>-4019796.53</v>
      </c>
      <c r="D288" s="45"/>
      <c r="E288" s="45">
        <v>165000</v>
      </c>
      <c r="F288" s="45">
        <v>-175953.1</v>
      </c>
      <c r="G288" s="45">
        <f t="shared" si="195"/>
        <v>-4030749.63</v>
      </c>
      <c r="H288" s="44">
        <v>4300000</v>
      </c>
      <c r="I288" s="46">
        <f t="shared" si="178"/>
        <v>-226784.93</v>
      </c>
      <c r="J288" s="47"/>
      <c r="K288" s="47"/>
      <c r="L288" s="47">
        <v>-802386.78</v>
      </c>
      <c r="M288" s="47">
        <f t="shared" si="179"/>
        <v>-1029171.71</v>
      </c>
      <c r="N288" s="46">
        <v>4000000</v>
      </c>
      <c r="O288" s="48">
        <f t="shared" si="180"/>
        <v>166331.30000000002</v>
      </c>
      <c r="P288" s="55"/>
      <c r="Q288" s="55">
        <v>-165000</v>
      </c>
      <c r="R288" s="55"/>
      <c r="S288" s="55">
        <f t="shared" si="181"/>
        <v>1331.3000000000175</v>
      </c>
      <c r="T288" s="48"/>
      <c r="U288" s="49">
        <f t="shared" si="182"/>
        <v>5.7999999999243244</v>
      </c>
      <c r="V288" s="51"/>
      <c r="W288" s="51"/>
      <c r="X288" s="51"/>
      <c r="Y288" s="51">
        <f t="shared" si="183"/>
        <v>5.7999999999243244</v>
      </c>
      <c r="Z288" s="52"/>
      <c r="AA288" s="53">
        <f t="shared" si="184"/>
        <v>1077.8699999999981</v>
      </c>
      <c r="AB288" s="54"/>
      <c r="AC288" s="54"/>
      <c r="AD288" s="54"/>
      <c r="AE288" s="54">
        <f t="shared" si="185"/>
        <v>1077.8699999999981</v>
      </c>
      <c r="AF288" s="53"/>
      <c r="AG288" s="53">
        <f t="shared" si="166"/>
        <v>593.69999999995343</v>
      </c>
      <c r="AH288" s="54"/>
      <c r="AI288" s="54"/>
      <c r="AJ288" s="54"/>
      <c r="AK288" s="54">
        <f t="shared" si="186"/>
        <v>593.69999999995343</v>
      </c>
      <c r="AL288" s="53"/>
      <c r="AM288" s="53">
        <f t="shared" si="170"/>
        <v>0</v>
      </c>
      <c r="AN288" s="54"/>
      <c r="AO288" s="54"/>
      <c r="AP288" s="54"/>
      <c r="AQ288" s="54">
        <f t="shared" si="171"/>
        <v>0</v>
      </c>
      <c r="AR288" s="53"/>
      <c r="AS288" s="50">
        <f t="shared" si="187"/>
        <v>-4078572.79</v>
      </c>
      <c r="AT288" s="50">
        <f t="shared" si="191"/>
        <v>0</v>
      </c>
      <c r="AU288" s="50">
        <f t="shared" si="167"/>
        <v>0</v>
      </c>
      <c r="AV288" s="50">
        <f t="shared" si="192"/>
        <v>-978339.88</v>
      </c>
      <c r="AW288" s="50"/>
      <c r="AX288" s="50">
        <f t="shared" si="173"/>
        <v>-5056912.67</v>
      </c>
      <c r="AY288" s="50">
        <f t="shared" si="174"/>
        <v>8300000</v>
      </c>
      <c r="AZ288" s="50">
        <f t="shared" si="175"/>
        <v>3243087.33</v>
      </c>
      <c r="BA288" s="15">
        <f t="shared" si="199"/>
        <v>-4214.0938916666664</v>
      </c>
      <c r="BB288" s="15">
        <f t="shared" ref="BB288:BB306" si="201">BA288+BB287</f>
        <v>-10580.1037</v>
      </c>
      <c r="BC288" s="15">
        <f>AVERAGE(AX286:AX288)</f>
        <v>-4232041.4799999995</v>
      </c>
    </row>
    <row r="289" spans="2:55" x14ac:dyDescent="0.3">
      <c r="B289" s="99">
        <f t="shared" si="200"/>
        <v>44567</v>
      </c>
      <c r="C289" s="44">
        <f t="shared" si="177"/>
        <v>-4030749.63</v>
      </c>
      <c r="D289" s="45">
        <v>6483.03</v>
      </c>
      <c r="E289" s="45"/>
      <c r="F289" s="45">
        <v>-626.9</v>
      </c>
      <c r="G289" s="45">
        <f t="shared" si="195"/>
        <v>-4024893.5</v>
      </c>
      <c r="H289" s="44">
        <v>4300000</v>
      </c>
      <c r="I289" s="46">
        <f t="shared" si="178"/>
        <v>-1029171.71</v>
      </c>
      <c r="J289" s="47">
        <v>651</v>
      </c>
      <c r="K289" s="47"/>
      <c r="L289" s="47">
        <v>-112794.56</v>
      </c>
      <c r="M289" s="47">
        <f t="shared" si="179"/>
        <v>-1141315.27</v>
      </c>
      <c r="N289" s="46">
        <v>4000000</v>
      </c>
      <c r="O289" s="48">
        <f t="shared" si="180"/>
        <v>1331.3000000000175</v>
      </c>
      <c r="P289" s="55"/>
      <c r="Q289" s="55"/>
      <c r="R289" s="55"/>
      <c r="S289" s="55">
        <f t="shared" si="181"/>
        <v>1331.3000000000175</v>
      </c>
      <c r="T289" s="48"/>
      <c r="U289" s="49">
        <f t="shared" si="182"/>
        <v>5.7999999999243244</v>
      </c>
      <c r="V289" s="51"/>
      <c r="W289" s="51"/>
      <c r="X289" s="51"/>
      <c r="Y289" s="51">
        <f t="shared" si="183"/>
        <v>5.7999999999243244</v>
      </c>
      <c r="Z289" s="52"/>
      <c r="AA289" s="53">
        <f t="shared" si="184"/>
        <v>1077.8699999999981</v>
      </c>
      <c r="AB289" s="54"/>
      <c r="AC289" s="54"/>
      <c r="AD289" s="54"/>
      <c r="AE289" s="54">
        <f t="shared" si="185"/>
        <v>1077.8699999999981</v>
      </c>
      <c r="AF289" s="53"/>
      <c r="AG289" s="53">
        <f t="shared" si="166"/>
        <v>593.69999999995343</v>
      </c>
      <c r="AH289" s="54"/>
      <c r="AI289" s="54"/>
      <c r="AJ289" s="54"/>
      <c r="AK289" s="54">
        <f t="shared" si="186"/>
        <v>593.69999999995343</v>
      </c>
      <c r="AL289" s="53"/>
      <c r="AM289" s="53">
        <f t="shared" si="170"/>
        <v>0</v>
      </c>
      <c r="AN289" s="54"/>
      <c r="AO289" s="54"/>
      <c r="AP289" s="54"/>
      <c r="AQ289" s="54">
        <f t="shared" si="171"/>
        <v>0</v>
      </c>
      <c r="AR289" s="53"/>
      <c r="AS289" s="50">
        <f t="shared" si="187"/>
        <v>-5056912.67</v>
      </c>
      <c r="AT289" s="50">
        <f t="shared" si="191"/>
        <v>7134.03</v>
      </c>
      <c r="AU289" s="50">
        <f t="shared" si="167"/>
        <v>0</v>
      </c>
      <c r="AV289" s="50">
        <f t="shared" si="192"/>
        <v>-113421.45999999999</v>
      </c>
      <c r="AW289" s="50"/>
      <c r="AX289" s="50">
        <f t="shared" si="173"/>
        <v>-5163200.0999999996</v>
      </c>
      <c r="AY289" s="50">
        <f t="shared" si="174"/>
        <v>8300000</v>
      </c>
      <c r="AZ289" s="50">
        <f t="shared" si="175"/>
        <v>3136799.9000000004</v>
      </c>
      <c r="BA289" s="15">
        <f t="shared" si="199"/>
        <v>-4302.6667500000003</v>
      </c>
      <c r="BB289" s="15">
        <f t="shared" si="201"/>
        <v>-14882.77045</v>
      </c>
      <c r="BC289" s="15">
        <f>AVERAGE(AX286:AX289)</f>
        <v>-4464831.1349999998</v>
      </c>
    </row>
    <row r="290" spans="2:55" x14ac:dyDescent="0.3">
      <c r="B290" s="99">
        <f>B289+1</f>
        <v>44568</v>
      </c>
      <c r="C290" s="44">
        <f t="shared" si="177"/>
        <v>-4024893.5</v>
      </c>
      <c r="D290" s="45"/>
      <c r="E290" s="45"/>
      <c r="F290" s="45"/>
      <c r="G290" s="45">
        <f t="shared" si="195"/>
        <v>-4024893.5</v>
      </c>
      <c r="H290" s="44">
        <v>4300000</v>
      </c>
      <c r="I290" s="46">
        <f t="shared" si="178"/>
        <v>-1141315.27</v>
      </c>
      <c r="J290" s="47">
        <f>7699.4+175577.69+184.8</f>
        <v>183461.88999999998</v>
      </c>
      <c r="K290" s="47"/>
      <c r="L290" s="47">
        <v>-404271.29</v>
      </c>
      <c r="M290" s="47">
        <f t="shared" si="179"/>
        <v>-1362124.67</v>
      </c>
      <c r="N290" s="46">
        <v>4000000</v>
      </c>
      <c r="O290" s="48">
        <f t="shared" si="180"/>
        <v>1331.3000000000175</v>
      </c>
      <c r="P290" s="55"/>
      <c r="Q290" s="55"/>
      <c r="R290" s="55"/>
      <c r="S290" s="55">
        <f t="shared" si="181"/>
        <v>1331.3000000000175</v>
      </c>
      <c r="T290" s="48"/>
      <c r="U290" s="49">
        <f t="shared" si="182"/>
        <v>5.7999999999243244</v>
      </c>
      <c r="V290" s="51"/>
      <c r="W290" s="51"/>
      <c r="X290" s="51"/>
      <c r="Y290" s="51">
        <f t="shared" si="183"/>
        <v>5.7999999999243244</v>
      </c>
      <c r="Z290" s="52"/>
      <c r="AA290" s="53">
        <f t="shared" si="184"/>
        <v>1077.8699999999981</v>
      </c>
      <c r="AB290" s="54"/>
      <c r="AC290" s="54"/>
      <c r="AD290" s="54"/>
      <c r="AE290" s="54">
        <f t="shared" si="185"/>
        <v>1077.8699999999981</v>
      </c>
      <c r="AF290" s="53"/>
      <c r="AG290" s="53">
        <f t="shared" si="166"/>
        <v>593.69999999995343</v>
      </c>
      <c r="AH290" s="54"/>
      <c r="AI290" s="54"/>
      <c r="AJ290" s="54"/>
      <c r="AK290" s="54">
        <f t="shared" si="186"/>
        <v>593.69999999995343</v>
      </c>
      <c r="AL290" s="53"/>
      <c r="AM290" s="53">
        <f t="shared" si="170"/>
        <v>0</v>
      </c>
      <c r="AN290" s="54"/>
      <c r="AO290" s="54"/>
      <c r="AP290" s="54"/>
      <c r="AQ290" s="54">
        <f t="shared" si="171"/>
        <v>0</v>
      </c>
      <c r="AR290" s="53"/>
      <c r="AS290" s="50">
        <f t="shared" si="187"/>
        <v>-5163200.0999999996</v>
      </c>
      <c r="AT290" s="50">
        <f t="shared" si="191"/>
        <v>183461.88999999998</v>
      </c>
      <c r="AU290" s="50">
        <f t="shared" si="167"/>
        <v>0</v>
      </c>
      <c r="AV290" s="50">
        <f t="shared" si="192"/>
        <v>-404271.29</v>
      </c>
      <c r="AW290" s="50"/>
      <c r="AX290" s="50">
        <f t="shared" si="173"/>
        <v>-5384009.5</v>
      </c>
      <c r="AY290" s="50">
        <f t="shared" si="174"/>
        <v>8300000</v>
      </c>
      <c r="AZ290" s="50">
        <f t="shared" si="175"/>
        <v>2915990.5</v>
      </c>
      <c r="BA290" s="15">
        <f t="shared" si="199"/>
        <v>-4486.6745833333334</v>
      </c>
      <c r="BB290" s="15">
        <f t="shared" si="201"/>
        <v>-19369.445033333333</v>
      </c>
    </row>
    <row r="291" spans="2:55" x14ac:dyDescent="0.3">
      <c r="B291" s="99">
        <f>B290+3</f>
        <v>44571</v>
      </c>
      <c r="C291" s="44">
        <f t="shared" si="177"/>
        <v>-4024893.5</v>
      </c>
      <c r="D291" s="45">
        <v>652567.84</v>
      </c>
      <c r="E291" s="45"/>
      <c r="F291" s="45">
        <v>-19968.18</v>
      </c>
      <c r="G291" s="45">
        <f t="shared" si="195"/>
        <v>-3392293.8400000003</v>
      </c>
      <c r="H291" s="44">
        <v>4300000</v>
      </c>
      <c r="I291" s="46">
        <f t="shared" si="178"/>
        <v>-1362124.67</v>
      </c>
      <c r="J291" s="47">
        <v>136959.79</v>
      </c>
      <c r="K291" s="47"/>
      <c r="L291" s="47">
        <v>-250495.43</v>
      </c>
      <c r="M291" s="47">
        <f t="shared" si="179"/>
        <v>-1475660.3099999998</v>
      </c>
      <c r="N291" s="46">
        <v>4000000</v>
      </c>
      <c r="O291" s="48">
        <f t="shared" si="180"/>
        <v>1331.3000000000175</v>
      </c>
      <c r="P291" s="55">
        <v>19286.349999999999</v>
      </c>
      <c r="Q291" s="55"/>
      <c r="R291" s="55"/>
      <c r="S291" s="55">
        <f t="shared" si="181"/>
        <v>20617.650000000016</v>
      </c>
      <c r="T291" s="48"/>
      <c r="U291" s="49">
        <f t="shared" si="182"/>
        <v>5.7999999999243244</v>
      </c>
      <c r="V291" s="51">
        <v>28142.79</v>
      </c>
      <c r="W291" s="51"/>
      <c r="X291" s="51"/>
      <c r="Y291" s="51">
        <f t="shared" si="183"/>
        <v>28148.589999999924</v>
      </c>
      <c r="Z291" s="52"/>
      <c r="AA291" s="53">
        <f t="shared" si="184"/>
        <v>1077.8699999999981</v>
      </c>
      <c r="AB291" s="54"/>
      <c r="AC291" s="54"/>
      <c r="AD291" s="54">
        <v>-310</v>
      </c>
      <c r="AE291" s="54">
        <f t="shared" si="185"/>
        <v>767.86999999999807</v>
      </c>
      <c r="AF291" s="53"/>
      <c r="AG291" s="53">
        <f t="shared" si="166"/>
        <v>593.69999999995343</v>
      </c>
      <c r="AH291" s="54"/>
      <c r="AI291" s="54"/>
      <c r="AJ291" s="54"/>
      <c r="AK291" s="54">
        <f t="shared" si="186"/>
        <v>593.69999999995343</v>
      </c>
      <c r="AL291" s="53"/>
      <c r="AM291" s="53">
        <f t="shared" si="170"/>
        <v>0</v>
      </c>
      <c r="AN291" s="54"/>
      <c r="AO291" s="54"/>
      <c r="AP291" s="54"/>
      <c r="AQ291" s="54">
        <f t="shared" si="171"/>
        <v>0</v>
      </c>
      <c r="AR291" s="53"/>
      <c r="AS291" s="50">
        <f t="shared" si="187"/>
        <v>-5384009.5</v>
      </c>
      <c r="AT291" s="50">
        <f t="shared" si="191"/>
        <v>836956.77</v>
      </c>
      <c r="AU291" s="50">
        <f t="shared" si="167"/>
        <v>0</v>
      </c>
      <c r="AV291" s="50">
        <f t="shared" si="192"/>
        <v>-270773.61</v>
      </c>
      <c r="AW291" s="50"/>
      <c r="AX291" s="50">
        <f t="shared" si="173"/>
        <v>-4817826.34</v>
      </c>
      <c r="AY291" s="50">
        <f t="shared" si="174"/>
        <v>8300000</v>
      </c>
      <c r="AZ291" s="50">
        <f t="shared" si="175"/>
        <v>3482173.66</v>
      </c>
      <c r="BA291" s="15">
        <f t="shared" si="199"/>
        <v>-4014.8552833333333</v>
      </c>
      <c r="BB291" s="15">
        <f t="shared" si="201"/>
        <v>-23384.300316666668</v>
      </c>
    </row>
    <row r="292" spans="2:55" x14ac:dyDescent="0.3">
      <c r="B292" s="99">
        <f>B291+1</f>
        <v>44572</v>
      </c>
      <c r="C292" s="44">
        <f t="shared" si="177"/>
        <v>-3392293.8400000003</v>
      </c>
      <c r="D292" s="45"/>
      <c r="E292" s="45">
        <v>-220000</v>
      </c>
      <c r="F292" s="45"/>
      <c r="G292" s="45">
        <f t="shared" si="195"/>
        <v>-3612293.8400000003</v>
      </c>
      <c r="H292" s="44">
        <v>4300000</v>
      </c>
      <c r="I292" s="46">
        <f t="shared" si="178"/>
        <v>-1475660.3099999998</v>
      </c>
      <c r="J292" s="47"/>
      <c r="K292" s="47">
        <v>220000</v>
      </c>
      <c r="L292" s="47">
        <v>-219534.83</v>
      </c>
      <c r="M292" s="47">
        <f t="shared" si="179"/>
        <v>-1475195.14</v>
      </c>
      <c r="N292" s="46">
        <v>4000000</v>
      </c>
      <c r="O292" s="48">
        <f t="shared" si="180"/>
        <v>20617.650000000016</v>
      </c>
      <c r="P292" s="55"/>
      <c r="Q292" s="55"/>
      <c r="R292" s="55"/>
      <c r="S292" s="55">
        <f t="shared" si="181"/>
        <v>20617.650000000016</v>
      </c>
      <c r="T292" s="48"/>
      <c r="U292" s="49">
        <f t="shared" si="182"/>
        <v>28148.589999999924</v>
      </c>
      <c r="V292" s="51"/>
      <c r="W292" s="51"/>
      <c r="X292" s="51"/>
      <c r="Y292" s="51">
        <f t="shared" si="183"/>
        <v>28148.589999999924</v>
      </c>
      <c r="Z292" s="52"/>
      <c r="AA292" s="53">
        <f t="shared" si="184"/>
        <v>767.86999999999807</v>
      </c>
      <c r="AB292" s="54"/>
      <c r="AC292" s="54"/>
      <c r="AD292" s="54"/>
      <c r="AE292" s="54">
        <f t="shared" si="185"/>
        <v>767.86999999999807</v>
      </c>
      <c r="AF292" s="53"/>
      <c r="AG292" s="53">
        <f t="shared" si="166"/>
        <v>593.69999999995343</v>
      </c>
      <c r="AH292" s="54"/>
      <c r="AI292" s="54"/>
      <c r="AJ292" s="54"/>
      <c r="AK292" s="54">
        <f t="shared" si="186"/>
        <v>593.69999999995343</v>
      </c>
      <c r="AL292" s="53"/>
      <c r="AM292" s="53">
        <f t="shared" si="170"/>
        <v>0</v>
      </c>
      <c r="AN292" s="54"/>
      <c r="AO292" s="54"/>
      <c r="AP292" s="54"/>
      <c r="AQ292" s="54">
        <f t="shared" si="171"/>
        <v>0</v>
      </c>
      <c r="AR292" s="53"/>
      <c r="AS292" s="50">
        <f t="shared" si="187"/>
        <v>-4817826.34</v>
      </c>
      <c r="AT292" s="50">
        <f t="shared" si="191"/>
        <v>0</v>
      </c>
      <c r="AU292" s="50">
        <f t="shared" si="167"/>
        <v>0</v>
      </c>
      <c r="AV292" s="50">
        <f t="shared" si="192"/>
        <v>-219534.83</v>
      </c>
      <c r="AW292" s="50"/>
      <c r="AX292" s="50">
        <f t="shared" si="173"/>
        <v>-5037361.17</v>
      </c>
      <c r="AY292" s="50">
        <f t="shared" si="174"/>
        <v>8300000</v>
      </c>
      <c r="AZ292" s="50">
        <f t="shared" si="175"/>
        <v>3262638.83</v>
      </c>
      <c r="BA292" s="15">
        <f t="shared" si="199"/>
        <v>-4197.8009750000001</v>
      </c>
      <c r="BB292" s="15">
        <f t="shared" si="201"/>
        <v>-27582.101291666666</v>
      </c>
    </row>
    <row r="293" spans="2:55" x14ac:dyDescent="0.3">
      <c r="B293" s="99">
        <f t="shared" ref="B293:B294" si="202">B292+1</f>
        <v>44573</v>
      </c>
      <c r="C293" s="44">
        <f t="shared" si="177"/>
        <v>-3612293.8400000003</v>
      </c>
      <c r="D293" s="45">
        <f>90560.69+61043.79</f>
        <v>151604.48000000001</v>
      </c>
      <c r="E293" s="45">
        <v>-107000</v>
      </c>
      <c r="F293" s="45">
        <f>-204549.86-2.16+107000</f>
        <v>-97552.01999999999</v>
      </c>
      <c r="G293" s="45">
        <f t="shared" si="195"/>
        <v>-3665241.3800000004</v>
      </c>
      <c r="H293" s="44">
        <v>4300000</v>
      </c>
      <c r="I293" s="46">
        <f t="shared" si="178"/>
        <v>-1475195.14</v>
      </c>
      <c r="J293" s="47"/>
      <c r="K293" s="47">
        <v>107000</v>
      </c>
      <c r="L293" s="47">
        <v>-108018.91</v>
      </c>
      <c r="M293" s="47">
        <f t="shared" si="179"/>
        <v>-1476214.0499999998</v>
      </c>
      <c r="N293" s="46">
        <v>4000000</v>
      </c>
      <c r="O293" s="48">
        <f t="shared" si="180"/>
        <v>20617.650000000016</v>
      </c>
      <c r="P293" s="55"/>
      <c r="Q293" s="55"/>
      <c r="R293" s="55"/>
      <c r="S293" s="55">
        <f t="shared" si="181"/>
        <v>20617.650000000016</v>
      </c>
      <c r="T293" s="48"/>
      <c r="U293" s="49">
        <f t="shared" si="182"/>
        <v>28148.589999999924</v>
      </c>
      <c r="V293" s="51"/>
      <c r="W293" s="51"/>
      <c r="X293" s="51"/>
      <c r="Y293" s="51">
        <f t="shared" si="183"/>
        <v>28148.589999999924</v>
      </c>
      <c r="Z293" s="52"/>
      <c r="AA293" s="53">
        <f t="shared" si="184"/>
        <v>767.86999999999807</v>
      </c>
      <c r="AB293" s="54"/>
      <c r="AC293" s="54"/>
      <c r="AD293" s="54"/>
      <c r="AE293" s="54">
        <f t="shared" si="185"/>
        <v>767.86999999999807</v>
      </c>
      <c r="AF293" s="53"/>
      <c r="AG293" s="53">
        <f t="shared" si="166"/>
        <v>593.69999999995343</v>
      </c>
      <c r="AH293" s="54"/>
      <c r="AI293" s="54"/>
      <c r="AJ293" s="54"/>
      <c r="AK293" s="54">
        <f t="shared" si="186"/>
        <v>593.69999999995343</v>
      </c>
      <c r="AL293" s="53"/>
      <c r="AM293" s="53">
        <f t="shared" si="170"/>
        <v>0</v>
      </c>
      <c r="AN293" s="54"/>
      <c r="AO293" s="54"/>
      <c r="AP293" s="54"/>
      <c r="AQ293" s="54">
        <f t="shared" si="171"/>
        <v>0</v>
      </c>
      <c r="AR293" s="53"/>
      <c r="AS293" s="50">
        <f t="shared" si="187"/>
        <v>-5037361.17</v>
      </c>
      <c r="AT293" s="50">
        <f t="shared" si="191"/>
        <v>151604.48000000001</v>
      </c>
      <c r="AU293" s="50">
        <f t="shared" si="167"/>
        <v>0</v>
      </c>
      <c r="AV293" s="50">
        <f t="shared" si="192"/>
        <v>-205570.93</v>
      </c>
      <c r="AW293" s="50"/>
      <c r="AX293" s="50">
        <f t="shared" si="173"/>
        <v>-5091327.6199999992</v>
      </c>
      <c r="AY293" s="50">
        <f t="shared" si="174"/>
        <v>8300000</v>
      </c>
      <c r="AZ293" s="50">
        <f t="shared" si="175"/>
        <v>3208672.3800000008</v>
      </c>
      <c r="BA293" s="15">
        <f t="shared" si="199"/>
        <v>-4242.7730166666661</v>
      </c>
      <c r="BB293" s="15">
        <f t="shared" si="201"/>
        <v>-31824.874308333332</v>
      </c>
    </row>
    <row r="294" spans="2:55" x14ac:dyDescent="0.3">
      <c r="B294" s="99">
        <f t="shared" si="202"/>
        <v>44574</v>
      </c>
      <c r="C294" s="44">
        <f t="shared" si="177"/>
        <v>-3665241.3800000004</v>
      </c>
      <c r="D294" s="45">
        <v>29569.53</v>
      </c>
      <c r="E294" s="45">
        <v>40000</v>
      </c>
      <c r="F294" s="45">
        <v>-3771.73</v>
      </c>
      <c r="G294" s="45">
        <f t="shared" si="195"/>
        <v>-3599443.5800000005</v>
      </c>
      <c r="H294" s="44">
        <v>4300000</v>
      </c>
      <c r="I294" s="46">
        <f t="shared" si="178"/>
        <v>-1476214.0499999998</v>
      </c>
      <c r="J294" s="47">
        <v>184.8</v>
      </c>
      <c r="K294" s="47">
        <v>8000</v>
      </c>
      <c r="L294" s="47">
        <v>-6165.58000000023</v>
      </c>
      <c r="M294" s="47">
        <f t="shared" si="179"/>
        <v>-1474194.83</v>
      </c>
      <c r="N294" s="46">
        <v>4000000</v>
      </c>
      <c r="O294" s="48">
        <f t="shared" si="180"/>
        <v>20617.650000000016</v>
      </c>
      <c r="P294" s="55"/>
      <c r="Q294" s="55">
        <f>28000-40000-8000</f>
        <v>-20000</v>
      </c>
      <c r="R294" s="55">
        <f>-10.45*2</f>
        <v>-20.9</v>
      </c>
      <c r="S294" s="55">
        <f t="shared" si="181"/>
        <v>596.75000000001603</v>
      </c>
      <c r="T294" s="48"/>
      <c r="U294" s="49">
        <f t="shared" si="182"/>
        <v>28148.589999999924</v>
      </c>
      <c r="V294" s="51"/>
      <c r="W294" s="51">
        <v>-28000</v>
      </c>
      <c r="X294" s="51"/>
      <c r="Y294" s="51">
        <f t="shared" si="183"/>
        <v>148.58999999992375</v>
      </c>
      <c r="Z294" s="52"/>
      <c r="AA294" s="53">
        <f t="shared" si="184"/>
        <v>767.86999999999807</v>
      </c>
      <c r="AB294" s="54"/>
      <c r="AC294" s="54"/>
      <c r="AD294" s="54"/>
      <c r="AE294" s="54">
        <f t="shared" si="185"/>
        <v>767.86999999999807</v>
      </c>
      <c r="AF294" s="53"/>
      <c r="AG294" s="53">
        <f t="shared" si="166"/>
        <v>593.69999999995343</v>
      </c>
      <c r="AH294" s="54"/>
      <c r="AI294" s="54"/>
      <c r="AJ294" s="54"/>
      <c r="AK294" s="54">
        <f t="shared" si="186"/>
        <v>593.69999999995343</v>
      </c>
      <c r="AL294" s="53"/>
      <c r="AM294" s="53">
        <f t="shared" si="170"/>
        <v>0</v>
      </c>
      <c r="AN294" s="54"/>
      <c r="AO294" s="54"/>
      <c r="AP294" s="54"/>
      <c r="AQ294" s="54">
        <f t="shared" si="171"/>
        <v>0</v>
      </c>
      <c r="AR294" s="53"/>
      <c r="AS294" s="50">
        <f t="shared" si="187"/>
        <v>-5091327.6199999992</v>
      </c>
      <c r="AT294" s="50">
        <f t="shared" si="191"/>
        <v>29754.329999999998</v>
      </c>
      <c r="AU294" s="50">
        <f t="shared" si="167"/>
        <v>0</v>
      </c>
      <c r="AV294" s="50">
        <f t="shared" si="192"/>
        <v>-9958.2100000002301</v>
      </c>
      <c r="AW294" s="50"/>
      <c r="AX294" s="50">
        <f t="shared" si="173"/>
        <v>-5071531.5</v>
      </c>
      <c r="AY294" s="50">
        <f t="shared" si="174"/>
        <v>8300000</v>
      </c>
      <c r="AZ294" s="50">
        <f t="shared" si="175"/>
        <v>3228468.5</v>
      </c>
      <c r="BA294" s="15">
        <f t="shared" si="199"/>
        <v>-4226.2762499999999</v>
      </c>
      <c r="BB294" s="15">
        <f t="shared" si="201"/>
        <v>-36051.150558333335</v>
      </c>
    </row>
    <row r="295" spans="2:55" x14ac:dyDescent="0.3">
      <c r="B295" s="99">
        <f>B294+1</f>
        <v>44575</v>
      </c>
      <c r="C295" s="44">
        <f t="shared" si="177"/>
        <v>-3599443.5800000005</v>
      </c>
      <c r="D295" s="45">
        <v>29158.639999999999</v>
      </c>
      <c r="E295" s="45"/>
      <c r="F295" s="45">
        <v>-136.4</v>
      </c>
      <c r="G295" s="45">
        <f t="shared" si="195"/>
        <v>-3570421.3400000003</v>
      </c>
      <c r="H295" s="44">
        <v>4300000</v>
      </c>
      <c r="I295" s="46">
        <f t="shared" si="178"/>
        <v>-1474194.83</v>
      </c>
      <c r="J295" s="47">
        <v>375041.81</v>
      </c>
      <c r="K295" s="47"/>
      <c r="L295" s="47">
        <v>-19211.189999999999</v>
      </c>
      <c r="M295" s="47">
        <f t="shared" si="179"/>
        <v>-1118364.21</v>
      </c>
      <c r="N295" s="46">
        <v>4000000</v>
      </c>
      <c r="O295" s="48">
        <f t="shared" si="180"/>
        <v>596.75000000001603</v>
      </c>
      <c r="P295" s="55"/>
      <c r="Q295" s="55"/>
      <c r="R295" s="55"/>
      <c r="S295" s="55">
        <f t="shared" si="181"/>
        <v>596.75000000001603</v>
      </c>
      <c r="T295" s="48"/>
      <c r="U295" s="49">
        <f t="shared" si="182"/>
        <v>148.58999999992375</v>
      </c>
      <c r="V295" s="51">
        <v>4020.53</v>
      </c>
      <c r="W295" s="51"/>
      <c r="X295" s="51"/>
      <c r="Y295" s="51">
        <f t="shared" si="183"/>
        <v>4169.1199999999244</v>
      </c>
      <c r="Z295" s="52"/>
      <c r="AA295" s="53">
        <f t="shared" si="184"/>
        <v>767.86999999999807</v>
      </c>
      <c r="AB295" s="54"/>
      <c r="AC295" s="54"/>
      <c r="AD295" s="54"/>
      <c r="AE295" s="54">
        <f t="shared" si="185"/>
        <v>767.86999999999807</v>
      </c>
      <c r="AF295" s="53"/>
      <c r="AG295" s="53">
        <f t="shared" si="166"/>
        <v>593.69999999995343</v>
      </c>
      <c r="AH295" s="54"/>
      <c r="AI295" s="54"/>
      <c r="AJ295" s="54"/>
      <c r="AK295" s="54">
        <f t="shared" si="186"/>
        <v>593.69999999995343</v>
      </c>
      <c r="AL295" s="53"/>
      <c r="AM295" s="53">
        <f t="shared" si="170"/>
        <v>0</v>
      </c>
      <c r="AN295" s="54"/>
      <c r="AO295" s="54"/>
      <c r="AP295" s="54"/>
      <c r="AQ295" s="54">
        <f t="shared" si="171"/>
        <v>0</v>
      </c>
      <c r="AR295" s="53"/>
      <c r="AS295" s="50">
        <f t="shared" si="187"/>
        <v>-5071531.5</v>
      </c>
      <c r="AT295" s="50">
        <f t="shared" si="191"/>
        <v>408220.98000000004</v>
      </c>
      <c r="AU295" s="50">
        <f t="shared" si="167"/>
        <v>0</v>
      </c>
      <c r="AV295" s="50">
        <f t="shared" si="192"/>
        <v>-19347.59</v>
      </c>
      <c r="AW295" s="50"/>
      <c r="AX295" s="50">
        <f t="shared" si="173"/>
        <v>-4682658.1100000003</v>
      </c>
      <c r="AY295" s="50">
        <f t="shared" si="174"/>
        <v>8300000</v>
      </c>
      <c r="AZ295" s="50">
        <f t="shared" si="175"/>
        <v>3617341.8899999997</v>
      </c>
      <c r="BA295" s="15">
        <f t="shared" si="199"/>
        <v>-3902.2150916666674</v>
      </c>
      <c r="BB295" s="15">
        <f t="shared" si="201"/>
        <v>-39953.36565</v>
      </c>
    </row>
    <row r="296" spans="2:55" x14ac:dyDescent="0.3">
      <c r="B296" s="99">
        <f>B295+3</f>
        <v>44578</v>
      </c>
      <c r="C296" s="44">
        <f t="shared" si="177"/>
        <v>-3570421.3400000003</v>
      </c>
      <c r="D296" s="45">
        <f>4909.67+2083.33</f>
        <v>6993</v>
      </c>
      <c r="E296" s="45"/>
      <c r="F296" s="45">
        <v>-91165.47</v>
      </c>
      <c r="G296" s="45">
        <f t="shared" si="195"/>
        <v>-3654593.8100000005</v>
      </c>
      <c r="H296" s="44">
        <v>4300000</v>
      </c>
      <c r="I296" s="46">
        <f t="shared" si="178"/>
        <v>-1118364.21</v>
      </c>
      <c r="J296" s="47">
        <v>573452.1399999999</v>
      </c>
      <c r="K296" s="47"/>
      <c r="L296" s="47">
        <v>-509946.15</v>
      </c>
      <c r="M296" s="47">
        <f t="shared" si="179"/>
        <v>-1054858.2200000002</v>
      </c>
      <c r="N296" s="46">
        <v>4000000</v>
      </c>
      <c r="O296" s="48">
        <f t="shared" si="180"/>
        <v>596.75000000001603</v>
      </c>
      <c r="P296" s="55"/>
      <c r="Q296" s="55"/>
      <c r="R296" s="55"/>
      <c r="S296" s="55">
        <f t="shared" si="181"/>
        <v>596.75000000001603</v>
      </c>
      <c r="T296" s="48"/>
      <c r="U296" s="49">
        <f t="shared" si="182"/>
        <v>4169.1199999999244</v>
      </c>
      <c r="V296" s="51"/>
      <c r="W296" s="51"/>
      <c r="X296" s="51"/>
      <c r="Y296" s="51">
        <f t="shared" si="183"/>
        <v>4169.1199999999244</v>
      </c>
      <c r="Z296" s="52"/>
      <c r="AA296" s="53">
        <f t="shared" si="184"/>
        <v>767.86999999999807</v>
      </c>
      <c r="AB296" s="54"/>
      <c r="AC296" s="54"/>
      <c r="AD296" s="54"/>
      <c r="AE296" s="54">
        <f t="shared" si="185"/>
        <v>767.86999999999807</v>
      </c>
      <c r="AF296" s="53"/>
      <c r="AG296" s="53">
        <f t="shared" si="166"/>
        <v>593.69999999995343</v>
      </c>
      <c r="AH296" s="54"/>
      <c r="AI296" s="54"/>
      <c r="AJ296" s="54"/>
      <c r="AK296" s="54">
        <f t="shared" si="186"/>
        <v>593.69999999995343</v>
      </c>
      <c r="AL296" s="53"/>
      <c r="AM296" s="53">
        <f t="shared" si="170"/>
        <v>0</v>
      </c>
      <c r="AN296" s="54"/>
      <c r="AO296" s="54"/>
      <c r="AP296" s="54"/>
      <c r="AQ296" s="54">
        <f t="shared" si="171"/>
        <v>0</v>
      </c>
      <c r="AR296" s="53"/>
      <c r="AS296" s="50">
        <f t="shared" si="187"/>
        <v>-4682658.1100000003</v>
      </c>
      <c r="AT296" s="50">
        <f t="shared" si="191"/>
        <v>580445.1399999999</v>
      </c>
      <c r="AU296" s="50">
        <f t="shared" si="167"/>
        <v>0</v>
      </c>
      <c r="AV296" s="50">
        <f t="shared" si="192"/>
        <v>-601111.62</v>
      </c>
      <c r="AW296" s="50"/>
      <c r="AX296" s="50">
        <f t="shared" si="173"/>
        <v>-4703324.5900000008</v>
      </c>
      <c r="AY296" s="50">
        <f t="shared" si="174"/>
        <v>8300000</v>
      </c>
      <c r="AZ296" s="50">
        <f t="shared" si="175"/>
        <v>3596675.4099999992</v>
      </c>
      <c r="BA296" s="15">
        <f t="shared" si="199"/>
        <v>-3919.4371583333341</v>
      </c>
      <c r="BB296" s="15">
        <f t="shared" si="201"/>
        <v>-43872.802808333334</v>
      </c>
    </row>
    <row r="297" spans="2:55" x14ac:dyDescent="0.3">
      <c r="B297" s="99">
        <f>B296+1</f>
        <v>44579</v>
      </c>
      <c r="C297" s="44">
        <f t="shared" si="177"/>
        <v>-3654593.8100000005</v>
      </c>
      <c r="D297" s="45">
        <v>107942</v>
      </c>
      <c r="E297" s="45"/>
      <c r="F297" s="45">
        <v>-68.5</v>
      </c>
      <c r="G297" s="45">
        <f t="shared" si="195"/>
        <v>-3546720.3100000005</v>
      </c>
      <c r="H297" s="44">
        <v>4300000</v>
      </c>
      <c r="I297" s="46">
        <f t="shared" si="178"/>
        <v>-1054858.2200000002</v>
      </c>
      <c r="J297" s="47">
        <f>14077.5+15934.01</f>
        <v>30011.510000000002</v>
      </c>
      <c r="K297" s="47"/>
      <c r="L297" s="47">
        <v>-36533.379999999801</v>
      </c>
      <c r="M297" s="47">
        <f t="shared" si="179"/>
        <v>-1061380.0900000001</v>
      </c>
      <c r="N297" s="46">
        <v>4000000</v>
      </c>
      <c r="O297" s="48">
        <f t="shared" si="180"/>
        <v>596.75000000001603</v>
      </c>
      <c r="P297" s="55"/>
      <c r="Q297" s="55"/>
      <c r="R297" s="55"/>
      <c r="S297" s="55">
        <f t="shared" si="181"/>
        <v>596.75000000001603</v>
      </c>
      <c r="T297" s="48"/>
      <c r="U297" s="49">
        <f t="shared" si="182"/>
        <v>4169.1199999999244</v>
      </c>
      <c r="V297" s="51"/>
      <c r="W297" s="51"/>
      <c r="X297" s="51"/>
      <c r="Y297" s="51">
        <f t="shared" si="183"/>
        <v>4169.1199999999244</v>
      </c>
      <c r="Z297" s="52"/>
      <c r="AA297" s="53">
        <f t="shared" si="184"/>
        <v>767.86999999999807</v>
      </c>
      <c r="AB297" s="54"/>
      <c r="AC297" s="54"/>
      <c r="AD297" s="54"/>
      <c r="AE297" s="54">
        <f t="shared" si="185"/>
        <v>767.86999999999807</v>
      </c>
      <c r="AF297" s="53"/>
      <c r="AG297" s="53">
        <f t="shared" ref="AG297:AG360" si="203">AK296</f>
        <v>593.69999999995343</v>
      </c>
      <c r="AH297" s="54"/>
      <c r="AI297" s="54"/>
      <c r="AJ297" s="54"/>
      <c r="AK297" s="54">
        <f t="shared" si="186"/>
        <v>593.69999999995343</v>
      </c>
      <c r="AL297" s="53"/>
      <c r="AM297" s="53">
        <f t="shared" si="170"/>
        <v>0</v>
      </c>
      <c r="AN297" s="54"/>
      <c r="AO297" s="54"/>
      <c r="AP297" s="54"/>
      <c r="AQ297" s="54">
        <f t="shared" si="171"/>
        <v>0</v>
      </c>
      <c r="AR297" s="53"/>
      <c r="AS297" s="50">
        <f t="shared" si="187"/>
        <v>-4703324.5900000008</v>
      </c>
      <c r="AT297" s="50">
        <f t="shared" si="191"/>
        <v>137953.51</v>
      </c>
      <c r="AU297" s="50">
        <f t="shared" si="167"/>
        <v>0</v>
      </c>
      <c r="AV297" s="50">
        <f t="shared" si="192"/>
        <v>-36601.879999999801</v>
      </c>
      <c r="AW297" s="50"/>
      <c r="AX297" s="50">
        <f t="shared" si="173"/>
        <v>-4601972.96</v>
      </c>
      <c r="AY297" s="50">
        <f t="shared" si="174"/>
        <v>8300000</v>
      </c>
      <c r="AZ297" s="50">
        <f t="shared" si="175"/>
        <v>3698027.04</v>
      </c>
      <c r="BA297" s="15">
        <f t="shared" si="199"/>
        <v>-3834.9774666666667</v>
      </c>
      <c r="BB297" s="15">
        <f t="shared" si="201"/>
        <v>-47707.780274999997</v>
      </c>
    </row>
    <row r="298" spans="2:55" x14ac:dyDescent="0.3">
      <c r="B298" s="99">
        <f t="shared" ref="B298:B299" si="204">B297+1</f>
        <v>44580</v>
      </c>
      <c r="C298" s="44">
        <f t="shared" si="177"/>
        <v>-3546720.3100000005</v>
      </c>
      <c r="D298" s="45">
        <v>29814.93</v>
      </c>
      <c r="E298" s="45"/>
      <c r="F298" s="45">
        <v>-4232.67</v>
      </c>
      <c r="G298" s="45">
        <f t="shared" si="195"/>
        <v>-3521138.0500000003</v>
      </c>
      <c r="H298" s="44">
        <v>4300000</v>
      </c>
      <c r="I298" s="46">
        <f t="shared" si="178"/>
        <v>-1061380.0900000001</v>
      </c>
      <c r="J298" s="47">
        <v>96121.46</v>
      </c>
      <c r="K298" s="47"/>
      <c r="L298" s="47">
        <v>-149924.26</v>
      </c>
      <c r="M298" s="47">
        <f t="shared" si="179"/>
        <v>-1115182.8900000001</v>
      </c>
      <c r="N298" s="46">
        <v>4000000</v>
      </c>
      <c r="O298" s="48">
        <f t="shared" si="180"/>
        <v>596.75000000001603</v>
      </c>
      <c r="P298" s="55"/>
      <c r="Q298" s="55"/>
      <c r="R298" s="55"/>
      <c r="S298" s="55">
        <f t="shared" si="181"/>
        <v>596.75000000001603</v>
      </c>
      <c r="T298" s="48"/>
      <c r="U298" s="49">
        <f t="shared" si="182"/>
        <v>4169.1199999999244</v>
      </c>
      <c r="V298" s="51"/>
      <c r="W298" s="51"/>
      <c r="X298" s="51"/>
      <c r="Y298" s="51">
        <f t="shared" si="183"/>
        <v>4169.1199999999244</v>
      </c>
      <c r="Z298" s="52"/>
      <c r="AA298" s="53">
        <f t="shared" si="184"/>
        <v>767.86999999999807</v>
      </c>
      <c r="AB298" s="54"/>
      <c r="AC298" s="54"/>
      <c r="AD298" s="54"/>
      <c r="AE298" s="54">
        <f t="shared" si="185"/>
        <v>767.86999999999807</v>
      </c>
      <c r="AF298" s="53"/>
      <c r="AG298" s="53">
        <f t="shared" si="203"/>
        <v>593.69999999995343</v>
      </c>
      <c r="AH298" s="54"/>
      <c r="AI298" s="54"/>
      <c r="AJ298" s="54"/>
      <c r="AK298" s="54">
        <f t="shared" si="186"/>
        <v>593.69999999995343</v>
      </c>
      <c r="AL298" s="53"/>
      <c r="AM298" s="53">
        <f t="shared" si="170"/>
        <v>0</v>
      </c>
      <c r="AN298" s="54"/>
      <c r="AO298" s="54"/>
      <c r="AP298" s="54"/>
      <c r="AQ298" s="54">
        <f t="shared" si="171"/>
        <v>0</v>
      </c>
      <c r="AR298" s="53"/>
      <c r="AS298" s="50">
        <f t="shared" si="187"/>
        <v>-4601972.96</v>
      </c>
      <c r="AT298" s="50">
        <f t="shared" si="191"/>
        <v>125936.39000000001</v>
      </c>
      <c r="AU298" s="50">
        <f t="shared" ref="AU298:AU361" si="205">SUM(E298,K298,Q298,W298,AC298,AI298)</f>
        <v>0</v>
      </c>
      <c r="AV298" s="50">
        <f t="shared" si="192"/>
        <v>-154156.93000000002</v>
      </c>
      <c r="AW298" s="50"/>
      <c r="AX298" s="50">
        <f t="shared" si="173"/>
        <v>-4630193.5</v>
      </c>
      <c r="AY298" s="50">
        <f t="shared" si="174"/>
        <v>8300000</v>
      </c>
      <c r="AZ298" s="50">
        <f t="shared" si="175"/>
        <v>3669806.5</v>
      </c>
      <c r="BA298" s="15">
        <f t="shared" si="199"/>
        <v>-3858.4945833333336</v>
      </c>
      <c r="BB298" s="15">
        <f t="shared" si="201"/>
        <v>-51566.27485833333</v>
      </c>
    </row>
    <row r="299" spans="2:55" x14ac:dyDescent="0.3">
      <c r="B299" s="99">
        <f t="shared" si="204"/>
        <v>44581</v>
      </c>
      <c r="C299" s="44">
        <f t="shared" si="177"/>
        <v>-3521138.0500000003</v>
      </c>
      <c r="D299" s="45">
        <v>35267.99</v>
      </c>
      <c r="E299" s="45">
        <v>-600000</v>
      </c>
      <c r="F299" s="45"/>
      <c r="G299" s="45">
        <f t="shared" si="195"/>
        <v>-4085870.06</v>
      </c>
      <c r="H299" s="44">
        <v>4300000</v>
      </c>
      <c r="I299" s="46">
        <f t="shared" si="178"/>
        <v>-1115182.8900000001</v>
      </c>
      <c r="J299" s="47"/>
      <c r="K299" s="47">
        <v>600000</v>
      </c>
      <c r="L299" s="47">
        <v>-1420608.37</v>
      </c>
      <c r="M299" s="47">
        <f t="shared" si="179"/>
        <v>-1935791.2600000002</v>
      </c>
      <c r="N299" s="46">
        <v>4000000</v>
      </c>
      <c r="O299" s="48">
        <f t="shared" si="180"/>
        <v>596.75000000001603</v>
      </c>
      <c r="P299" s="55"/>
      <c r="Q299" s="55"/>
      <c r="R299" s="55"/>
      <c r="S299" s="55">
        <f t="shared" si="181"/>
        <v>596.75000000001603</v>
      </c>
      <c r="T299" s="48"/>
      <c r="U299" s="49">
        <f t="shared" si="182"/>
        <v>4169.1199999999244</v>
      </c>
      <c r="V299" s="51">
        <v>23831.79</v>
      </c>
      <c r="W299" s="51"/>
      <c r="X299" s="51"/>
      <c r="Y299" s="51">
        <f t="shared" si="183"/>
        <v>28000.909999999923</v>
      </c>
      <c r="Z299" s="52"/>
      <c r="AA299" s="53">
        <f t="shared" si="184"/>
        <v>767.86999999999807</v>
      </c>
      <c r="AB299" s="54"/>
      <c r="AC299" s="54"/>
      <c r="AD299" s="54"/>
      <c r="AE299" s="54">
        <f t="shared" si="185"/>
        <v>767.86999999999807</v>
      </c>
      <c r="AF299" s="53"/>
      <c r="AG299" s="53">
        <f t="shared" si="203"/>
        <v>593.69999999995343</v>
      </c>
      <c r="AH299" s="54"/>
      <c r="AI299" s="54"/>
      <c r="AJ299" s="54"/>
      <c r="AK299" s="54">
        <f t="shared" si="186"/>
        <v>593.69999999995343</v>
      </c>
      <c r="AL299" s="53"/>
      <c r="AM299" s="53">
        <f t="shared" si="170"/>
        <v>0</v>
      </c>
      <c r="AN299" s="54"/>
      <c r="AO299" s="54"/>
      <c r="AP299" s="54"/>
      <c r="AQ299" s="54">
        <f t="shared" si="171"/>
        <v>0</v>
      </c>
      <c r="AR299" s="53"/>
      <c r="AS299" s="50">
        <f t="shared" si="187"/>
        <v>-4630193.5</v>
      </c>
      <c r="AT299" s="50">
        <f t="shared" si="191"/>
        <v>59099.78</v>
      </c>
      <c r="AU299" s="50">
        <f t="shared" si="205"/>
        <v>0</v>
      </c>
      <c r="AV299" s="50">
        <f t="shared" si="192"/>
        <v>-1420608.37</v>
      </c>
      <c r="AW299" s="50"/>
      <c r="AX299" s="50">
        <f t="shared" si="173"/>
        <v>-5991702.0899999999</v>
      </c>
      <c r="AY299" s="50">
        <f t="shared" si="174"/>
        <v>8300000</v>
      </c>
      <c r="AZ299" s="50">
        <f t="shared" si="175"/>
        <v>2308297.91</v>
      </c>
      <c r="BA299" s="15">
        <f t="shared" si="199"/>
        <v>-4993.085075</v>
      </c>
      <c r="BB299" s="15">
        <f t="shared" si="201"/>
        <v>-56559.359933333333</v>
      </c>
    </row>
    <row r="300" spans="2:55" x14ac:dyDescent="0.3">
      <c r="B300" s="99">
        <f>B299+1</f>
        <v>44582</v>
      </c>
      <c r="C300" s="44">
        <f t="shared" si="177"/>
        <v>-4085870.06</v>
      </c>
      <c r="D300" s="45"/>
      <c r="E300" s="45"/>
      <c r="F300" s="45">
        <v>-341.85</v>
      </c>
      <c r="G300" s="45">
        <f t="shared" si="195"/>
        <v>-4086211.91</v>
      </c>
      <c r="H300" s="44">
        <v>4300000</v>
      </c>
      <c r="I300" s="46">
        <f t="shared" si="178"/>
        <v>-1935791.2600000002</v>
      </c>
      <c r="J300" s="47"/>
      <c r="K300" s="47">
        <v>80000</v>
      </c>
      <c r="L300" s="47">
        <v>-16637.1599999998</v>
      </c>
      <c r="M300" s="47">
        <f t="shared" si="179"/>
        <v>-1872428.42</v>
      </c>
      <c r="N300" s="46">
        <v>4000000</v>
      </c>
      <c r="O300" s="48">
        <f t="shared" si="180"/>
        <v>596.75000000001603</v>
      </c>
      <c r="P300" s="55"/>
      <c r="Q300" s="55">
        <f>79800-80000</f>
        <v>-200</v>
      </c>
      <c r="R300" s="55">
        <v>-10</v>
      </c>
      <c r="S300" s="55">
        <f t="shared" si="181"/>
        <v>386.75000000001603</v>
      </c>
      <c r="T300" s="48"/>
      <c r="U300" s="49">
        <f t="shared" si="182"/>
        <v>28000.909999999923</v>
      </c>
      <c r="V300" s="51">
        <v>51872.77</v>
      </c>
      <c r="W300" s="51">
        <v>-79800</v>
      </c>
      <c r="X300" s="51">
        <v>-1.2</v>
      </c>
      <c r="Y300" s="51">
        <f t="shared" si="183"/>
        <v>72.479999999920253</v>
      </c>
      <c r="Z300" s="52"/>
      <c r="AA300" s="53">
        <f t="shared" si="184"/>
        <v>767.86999999999807</v>
      </c>
      <c r="AB300" s="54"/>
      <c r="AC300" s="54"/>
      <c r="AD300" s="54"/>
      <c r="AE300" s="54">
        <f t="shared" si="185"/>
        <v>767.86999999999807</v>
      </c>
      <c r="AF300" s="53"/>
      <c r="AG300" s="53">
        <f t="shared" si="203"/>
        <v>593.69999999995343</v>
      </c>
      <c r="AH300" s="54"/>
      <c r="AI300" s="54"/>
      <c r="AJ300" s="54"/>
      <c r="AK300" s="54">
        <f t="shared" si="186"/>
        <v>593.69999999995343</v>
      </c>
      <c r="AL300" s="53"/>
      <c r="AM300" s="53">
        <f t="shared" si="170"/>
        <v>0</v>
      </c>
      <c r="AN300" s="54"/>
      <c r="AO300" s="54"/>
      <c r="AP300" s="54"/>
      <c r="AQ300" s="54">
        <f t="shared" si="171"/>
        <v>0</v>
      </c>
      <c r="AR300" s="53"/>
      <c r="AS300" s="50">
        <f t="shared" si="187"/>
        <v>-5991702.0899999999</v>
      </c>
      <c r="AT300" s="50">
        <f t="shared" si="191"/>
        <v>51872.77</v>
      </c>
      <c r="AU300" s="50">
        <f t="shared" si="205"/>
        <v>0</v>
      </c>
      <c r="AV300" s="50">
        <f t="shared" si="192"/>
        <v>-16990.209999999799</v>
      </c>
      <c r="AW300" s="50"/>
      <c r="AX300" s="50">
        <f t="shared" si="173"/>
        <v>-5956819.5300000003</v>
      </c>
      <c r="AY300" s="50">
        <f t="shared" si="174"/>
        <v>8300000</v>
      </c>
      <c r="AZ300" s="50">
        <f t="shared" si="175"/>
        <v>2343180.4699999997</v>
      </c>
      <c r="BA300" s="15">
        <f t="shared" si="199"/>
        <v>-4964.0162750000009</v>
      </c>
      <c r="BB300" s="15">
        <f t="shared" si="201"/>
        <v>-61523.376208333335</v>
      </c>
    </row>
    <row r="301" spans="2:55" x14ac:dyDescent="0.3">
      <c r="B301" s="99">
        <f>B300+3</f>
        <v>44585</v>
      </c>
      <c r="C301" s="44">
        <f t="shared" si="177"/>
        <v>-4086211.91</v>
      </c>
      <c r="D301" s="45">
        <f>191234.56-90000</f>
        <v>101234.56</v>
      </c>
      <c r="E301" s="45">
        <v>90000</v>
      </c>
      <c r="F301" s="45">
        <v>-260645.02</v>
      </c>
      <c r="G301" s="45">
        <f t="shared" si="195"/>
        <v>-4155622.37</v>
      </c>
      <c r="H301" s="44">
        <v>4300000</v>
      </c>
      <c r="I301" s="46">
        <f t="shared" si="178"/>
        <v>-1872428.42</v>
      </c>
      <c r="J301" s="47">
        <v>53971</v>
      </c>
      <c r="K301" s="47">
        <v>-90000</v>
      </c>
      <c r="L301" s="47">
        <v>-100072.56</v>
      </c>
      <c r="M301" s="47">
        <f t="shared" si="179"/>
        <v>-2008529.98</v>
      </c>
      <c r="N301" s="46">
        <v>4000000</v>
      </c>
      <c r="O301" s="48">
        <f t="shared" si="180"/>
        <v>386.75000000001603</v>
      </c>
      <c r="P301" s="55"/>
      <c r="Q301" s="55"/>
      <c r="R301" s="55"/>
      <c r="S301" s="55">
        <f t="shared" si="181"/>
        <v>386.75000000001603</v>
      </c>
      <c r="T301" s="48"/>
      <c r="U301" s="49">
        <f t="shared" si="182"/>
        <v>72.479999999920253</v>
      </c>
      <c r="V301" s="51"/>
      <c r="W301" s="51"/>
      <c r="X301" s="51"/>
      <c r="Y301" s="51">
        <f t="shared" si="183"/>
        <v>72.479999999920253</v>
      </c>
      <c r="Z301" s="52"/>
      <c r="AA301" s="53">
        <f t="shared" si="184"/>
        <v>767.86999999999807</v>
      </c>
      <c r="AB301" s="54"/>
      <c r="AC301" s="54"/>
      <c r="AD301" s="54"/>
      <c r="AE301" s="54">
        <f t="shared" si="185"/>
        <v>767.86999999999807</v>
      </c>
      <c r="AF301" s="53"/>
      <c r="AG301" s="53">
        <f t="shared" si="203"/>
        <v>593.69999999995343</v>
      </c>
      <c r="AH301" s="54"/>
      <c r="AI301" s="54"/>
      <c r="AJ301" s="54"/>
      <c r="AK301" s="54">
        <f t="shared" si="186"/>
        <v>593.69999999995343</v>
      </c>
      <c r="AL301" s="53"/>
      <c r="AM301" s="53">
        <f t="shared" si="170"/>
        <v>0</v>
      </c>
      <c r="AN301" s="54"/>
      <c r="AO301" s="54"/>
      <c r="AP301" s="54"/>
      <c r="AQ301" s="54">
        <f t="shared" si="171"/>
        <v>0</v>
      </c>
      <c r="AR301" s="53"/>
      <c r="AS301" s="50">
        <f t="shared" si="187"/>
        <v>-5956819.5300000003</v>
      </c>
      <c r="AT301" s="50">
        <f t="shared" si="191"/>
        <v>155205.56</v>
      </c>
      <c r="AU301" s="50">
        <f t="shared" si="205"/>
        <v>0</v>
      </c>
      <c r="AV301" s="50">
        <f t="shared" si="192"/>
        <v>-360717.57999999996</v>
      </c>
      <c r="AW301" s="50"/>
      <c r="AX301" s="50">
        <f t="shared" si="173"/>
        <v>-6162331.5499999998</v>
      </c>
      <c r="AY301" s="50">
        <f t="shared" si="174"/>
        <v>8300000</v>
      </c>
      <c r="AZ301" s="50">
        <f t="shared" si="175"/>
        <v>2137668.4500000002</v>
      </c>
      <c r="BA301" s="15">
        <f t="shared" si="199"/>
        <v>-5135.276291666667</v>
      </c>
      <c r="BB301" s="15">
        <f t="shared" si="201"/>
        <v>-66658.652499999997</v>
      </c>
    </row>
    <row r="302" spans="2:55" x14ac:dyDescent="0.3">
      <c r="B302" s="99">
        <f>B301+1</f>
        <v>44586</v>
      </c>
      <c r="C302" s="44">
        <f t="shared" si="177"/>
        <v>-4155622.37</v>
      </c>
      <c r="D302" s="45">
        <v>24345.62</v>
      </c>
      <c r="E302" s="45">
        <v>110000</v>
      </c>
      <c r="F302" s="45">
        <v>-167623.46</v>
      </c>
      <c r="G302" s="45">
        <f t="shared" si="195"/>
        <v>-4188900.21</v>
      </c>
      <c r="H302" s="44">
        <v>4300000</v>
      </c>
      <c r="I302" s="46">
        <f t="shared" si="178"/>
        <v>-2008529.98</v>
      </c>
      <c r="J302" s="47"/>
      <c r="K302" s="47">
        <v>-110000</v>
      </c>
      <c r="L302" s="47">
        <v>-44168.87</v>
      </c>
      <c r="M302" s="47">
        <f t="shared" si="179"/>
        <v>-2162698.85</v>
      </c>
      <c r="N302" s="46">
        <v>4000000</v>
      </c>
      <c r="O302" s="48">
        <f t="shared" si="180"/>
        <v>386.75000000001603</v>
      </c>
      <c r="P302" s="55"/>
      <c r="Q302" s="55"/>
      <c r="R302" s="55">
        <v>-93</v>
      </c>
      <c r="S302" s="55">
        <f t="shared" si="181"/>
        <v>293.75000000001603</v>
      </c>
      <c r="T302" s="48"/>
      <c r="U302" s="49">
        <f t="shared" si="182"/>
        <v>72.479999999920253</v>
      </c>
      <c r="V302" s="51"/>
      <c r="W302" s="51"/>
      <c r="X302" s="51"/>
      <c r="Y302" s="51">
        <f t="shared" si="183"/>
        <v>72.479999999920253</v>
      </c>
      <c r="Z302" s="52"/>
      <c r="AA302" s="53">
        <f t="shared" si="184"/>
        <v>767.86999999999807</v>
      </c>
      <c r="AB302" s="54"/>
      <c r="AC302" s="54"/>
      <c r="AD302" s="54"/>
      <c r="AE302" s="54">
        <f t="shared" si="185"/>
        <v>767.86999999999807</v>
      </c>
      <c r="AF302" s="53"/>
      <c r="AG302" s="53">
        <f t="shared" si="203"/>
        <v>593.69999999995343</v>
      </c>
      <c r="AH302" s="54"/>
      <c r="AI302" s="54"/>
      <c r="AJ302" s="54"/>
      <c r="AK302" s="54">
        <f t="shared" si="186"/>
        <v>593.69999999995343</v>
      </c>
      <c r="AL302" s="53"/>
      <c r="AM302" s="53">
        <f t="shared" si="170"/>
        <v>0</v>
      </c>
      <c r="AN302" s="54"/>
      <c r="AO302" s="54"/>
      <c r="AP302" s="54"/>
      <c r="AQ302" s="54">
        <f t="shared" si="171"/>
        <v>0</v>
      </c>
      <c r="AR302" s="53"/>
      <c r="AS302" s="50">
        <f t="shared" si="187"/>
        <v>-6162331.5499999998</v>
      </c>
      <c r="AT302" s="50">
        <f t="shared" si="191"/>
        <v>24345.62</v>
      </c>
      <c r="AU302" s="50">
        <f t="shared" si="205"/>
        <v>0</v>
      </c>
      <c r="AV302" s="50">
        <f t="shared" si="192"/>
        <v>-211885.33</v>
      </c>
      <c r="AW302" s="50"/>
      <c r="AX302" s="50">
        <f t="shared" si="173"/>
        <v>-6349871.2600000007</v>
      </c>
      <c r="AY302" s="50">
        <f t="shared" si="174"/>
        <v>8300000</v>
      </c>
      <c r="AZ302" s="50">
        <f t="shared" si="175"/>
        <v>1950128.7399999993</v>
      </c>
      <c r="BA302" s="15">
        <f t="shared" si="199"/>
        <v>-5291.5593833333342</v>
      </c>
      <c r="BB302" s="15">
        <f t="shared" si="201"/>
        <v>-71950.211883333337</v>
      </c>
    </row>
    <row r="303" spans="2:55" x14ac:dyDescent="0.3">
      <c r="B303" s="99">
        <f t="shared" ref="B303:B304" si="206">B302+1</f>
        <v>44587</v>
      </c>
      <c r="C303" s="44">
        <f t="shared" si="177"/>
        <v>-4188900.21</v>
      </c>
      <c r="D303" s="45">
        <v>1332.91</v>
      </c>
      <c r="E303" s="45"/>
      <c r="F303" s="45"/>
      <c r="G303" s="45">
        <f t="shared" si="195"/>
        <v>-4187567.3</v>
      </c>
      <c r="H303" s="44">
        <v>4300000</v>
      </c>
      <c r="I303" s="46">
        <f t="shared" si="178"/>
        <v>-2162698.85</v>
      </c>
      <c r="J303" s="47">
        <v>9291.15</v>
      </c>
      <c r="K303" s="47"/>
      <c r="L303" s="47">
        <v>-55947.0199999998</v>
      </c>
      <c r="M303" s="47">
        <f t="shared" si="179"/>
        <v>-2209354.7200000002</v>
      </c>
      <c r="N303" s="46">
        <v>4000000</v>
      </c>
      <c r="O303" s="48">
        <f t="shared" si="180"/>
        <v>293.75000000001603</v>
      </c>
      <c r="P303" s="55"/>
      <c r="Q303" s="55"/>
      <c r="R303" s="55"/>
      <c r="S303" s="55">
        <f t="shared" si="181"/>
        <v>293.75000000001603</v>
      </c>
      <c r="T303" s="48"/>
      <c r="U303" s="49">
        <f t="shared" si="182"/>
        <v>72.479999999920253</v>
      </c>
      <c r="V303" s="51"/>
      <c r="W303" s="51"/>
      <c r="X303" s="51"/>
      <c r="Y303" s="51">
        <f t="shared" si="183"/>
        <v>72.479999999920253</v>
      </c>
      <c r="Z303" s="52"/>
      <c r="AA303" s="53">
        <f t="shared" si="184"/>
        <v>767.86999999999807</v>
      </c>
      <c r="AB303" s="54"/>
      <c r="AC303" s="54"/>
      <c r="AD303" s="54"/>
      <c r="AE303" s="54">
        <f t="shared" si="185"/>
        <v>767.86999999999807</v>
      </c>
      <c r="AF303" s="53"/>
      <c r="AG303" s="53">
        <f t="shared" si="203"/>
        <v>593.69999999995343</v>
      </c>
      <c r="AH303" s="54"/>
      <c r="AI303" s="54"/>
      <c r="AJ303" s="54"/>
      <c r="AK303" s="54">
        <f t="shared" si="186"/>
        <v>593.69999999995343</v>
      </c>
      <c r="AL303" s="53"/>
      <c r="AM303" s="53">
        <f t="shared" si="170"/>
        <v>0</v>
      </c>
      <c r="AN303" s="54"/>
      <c r="AO303" s="54"/>
      <c r="AP303" s="54"/>
      <c r="AQ303" s="54">
        <f t="shared" si="171"/>
        <v>0</v>
      </c>
      <c r="AR303" s="53"/>
      <c r="AS303" s="50">
        <f t="shared" si="187"/>
        <v>-6349871.2600000007</v>
      </c>
      <c r="AT303" s="50">
        <f t="shared" si="191"/>
        <v>10624.06</v>
      </c>
      <c r="AU303" s="50">
        <f t="shared" si="205"/>
        <v>0</v>
      </c>
      <c r="AV303" s="50">
        <f t="shared" si="192"/>
        <v>-55947.0199999998</v>
      </c>
      <c r="AW303" s="50"/>
      <c r="AX303" s="50">
        <f t="shared" si="173"/>
        <v>-6395194.2199999997</v>
      </c>
      <c r="AY303" s="50">
        <f t="shared" si="174"/>
        <v>8300000</v>
      </c>
      <c r="AZ303" s="50">
        <f t="shared" si="175"/>
        <v>1904805.7800000003</v>
      </c>
      <c r="BA303" s="15">
        <f t="shared" si="199"/>
        <v>-5329.3285166666665</v>
      </c>
      <c r="BB303" s="15">
        <f t="shared" si="201"/>
        <v>-77279.540399999998</v>
      </c>
    </row>
    <row r="304" spans="2:55" x14ac:dyDescent="0.3">
      <c r="B304" s="99">
        <f t="shared" si="206"/>
        <v>44588</v>
      </c>
      <c r="C304" s="44">
        <f t="shared" si="177"/>
        <v>-4187567.3</v>
      </c>
      <c r="D304" s="45"/>
      <c r="E304" s="45"/>
      <c r="F304" s="45"/>
      <c r="G304" s="45">
        <f t="shared" si="195"/>
        <v>-4187567.3</v>
      </c>
      <c r="H304" s="44">
        <v>4300000</v>
      </c>
      <c r="I304" s="46">
        <f t="shared" si="178"/>
        <v>-2209354.7200000002</v>
      </c>
      <c r="J304" s="47"/>
      <c r="K304" s="47"/>
      <c r="L304" s="47">
        <v>-125400.54</v>
      </c>
      <c r="M304" s="47">
        <f t="shared" si="179"/>
        <v>-2334755.2600000002</v>
      </c>
      <c r="N304" s="46">
        <v>4000000</v>
      </c>
      <c r="O304" s="48">
        <f t="shared" si="180"/>
        <v>293.75000000001603</v>
      </c>
      <c r="P304" s="55"/>
      <c r="Q304" s="55"/>
      <c r="R304" s="55"/>
      <c r="S304" s="55">
        <f t="shared" si="181"/>
        <v>293.75000000001603</v>
      </c>
      <c r="T304" s="48"/>
      <c r="U304" s="49">
        <f t="shared" si="182"/>
        <v>72.479999999920253</v>
      </c>
      <c r="V304" s="51"/>
      <c r="W304" s="51"/>
      <c r="X304" s="51"/>
      <c r="Y304" s="51">
        <f t="shared" si="183"/>
        <v>72.479999999920253</v>
      </c>
      <c r="Z304" s="52"/>
      <c r="AA304" s="53">
        <f t="shared" si="184"/>
        <v>767.86999999999807</v>
      </c>
      <c r="AB304" s="54"/>
      <c r="AC304" s="54"/>
      <c r="AD304" s="54"/>
      <c r="AE304" s="54">
        <f t="shared" si="185"/>
        <v>767.86999999999807</v>
      </c>
      <c r="AF304" s="53"/>
      <c r="AG304" s="53">
        <f t="shared" si="203"/>
        <v>593.69999999995343</v>
      </c>
      <c r="AH304" s="54"/>
      <c r="AI304" s="54"/>
      <c r="AJ304" s="54"/>
      <c r="AK304" s="54">
        <f t="shared" si="186"/>
        <v>593.69999999995343</v>
      </c>
      <c r="AL304" s="53"/>
      <c r="AM304" s="53">
        <f t="shared" si="170"/>
        <v>0</v>
      </c>
      <c r="AN304" s="54"/>
      <c r="AO304" s="54"/>
      <c r="AP304" s="54"/>
      <c r="AQ304" s="54">
        <f t="shared" si="171"/>
        <v>0</v>
      </c>
      <c r="AR304" s="53"/>
      <c r="AS304" s="50">
        <f t="shared" si="187"/>
        <v>-6395194.2199999997</v>
      </c>
      <c r="AT304" s="50">
        <f t="shared" si="191"/>
        <v>0</v>
      </c>
      <c r="AU304" s="50">
        <f t="shared" si="205"/>
        <v>0</v>
      </c>
      <c r="AV304" s="50">
        <f t="shared" si="192"/>
        <v>-125400.54</v>
      </c>
      <c r="AW304" s="50"/>
      <c r="AX304" s="50">
        <f t="shared" si="173"/>
        <v>-6520594.7600000007</v>
      </c>
      <c r="AY304" s="50">
        <f t="shared" si="174"/>
        <v>8300000</v>
      </c>
      <c r="AZ304" s="50">
        <f t="shared" si="175"/>
        <v>1779405.2399999993</v>
      </c>
      <c r="BA304" s="15">
        <f t="shared" si="199"/>
        <v>-5433.8289666666678</v>
      </c>
      <c r="BB304" s="15">
        <f t="shared" si="201"/>
        <v>-82713.369366666666</v>
      </c>
    </row>
    <row r="305" spans="2:56" x14ac:dyDescent="0.3">
      <c r="B305" s="99">
        <f>B304+1</f>
        <v>44589</v>
      </c>
      <c r="C305" s="44">
        <f t="shared" si="177"/>
        <v>-4187567.3</v>
      </c>
      <c r="D305" s="45"/>
      <c r="E305" s="45"/>
      <c r="F305" s="45"/>
      <c r="G305" s="45">
        <f t="shared" si="195"/>
        <v>-4187567.3</v>
      </c>
      <c r="H305" s="44">
        <v>4300000</v>
      </c>
      <c r="I305" s="46">
        <f t="shared" si="178"/>
        <v>-2334755.2600000002</v>
      </c>
      <c r="J305" s="47">
        <f>50779.16+168875</f>
        <v>219654.16</v>
      </c>
      <c r="K305" s="47"/>
      <c r="L305" s="47">
        <v>-127829.48</v>
      </c>
      <c r="M305" s="47">
        <f t="shared" si="179"/>
        <v>-2242930.58</v>
      </c>
      <c r="N305" s="46">
        <v>4000000</v>
      </c>
      <c r="O305" s="48">
        <f t="shared" si="180"/>
        <v>293.75000000001603</v>
      </c>
      <c r="P305" s="55">
        <v>157.12</v>
      </c>
      <c r="Q305" s="55"/>
      <c r="R305" s="55"/>
      <c r="S305" s="55">
        <f t="shared" si="181"/>
        <v>450.87000000001603</v>
      </c>
      <c r="T305" s="48"/>
      <c r="U305" s="49">
        <f t="shared" si="182"/>
        <v>72.479999999920253</v>
      </c>
      <c r="V305" s="51">
        <v>729170.85</v>
      </c>
      <c r="W305" s="51"/>
      <c r="X305" s="51"/>
      <c r="Y305" s="51">
        <f t="shared" si="183"/>
        <v>729243.32999999984</v>
      </c>
      <c r="Z305" s="52"/>
      <c r="AA305" s="53">
        <f t="shared" si="184"/>
        <v>767.86999999999807</v>
      </c>
      <c r="AB305" s="54"/>
      <c r="AC305" s="54"/>
      <c r="AD305" s="54"/>
      <c r="AE305" s="54">
        <f t="shared" si="185"/>
        <v>767.86999999999807</v>
      </c>
      <c r="AF305" s="53"/>
      <c r="AG305" s="53">
        <f t="shared" si="203"/>
        <v>593.69999999995343</v>
      </c>
      <c r="AH305" s="54"/>
      <c r="AI305" s="54"/>
      <c r="AJ305" s="54"/>
      <c r="AK305" s="54">
        <f t="shared" si="186"/>
        <v>593.69999999995343</v>
      </c>
      <c r="AL305" s="53"/>
      <c r="AM305" s="53">
        <f t="shared" si="170"/>
        <v>0</v>
      </c>
      <c r="AN305" s="54"/>
      <c r="AO305" s="54"/>
      <c r="AP305" s="54"/>
      <c r="AQ305" s="54">
        <f t="shared" si="171"/>
        <v>0</v>
      </c>
      <c r="AR305" s="53"/>
      <c r="AS305" s="50">
        <f t="shared" si="187"/>
        <v>-6520594.7600000007</v>
      </c>
      <c r="AT305" s="50">
        <f t="shared" si="191"/>
        <v>948982.13</v>
      </c>
      <c r="AU305" s="50">
        <f t="shared" si="205"/>
        <v>0</v>
      </c>
      <c r="AV305" s="50">
        <f t="shared" si="192"/>
        <v>-127829.48</v>
      </c>
      <c r="AW305" s="50"/>
      <c r="AX305" s="50">
        <f t="shared" si="173"/>
        <v>-5699442.1099999994</v>
      </c>
      <c r="AY305" s="50">
        <f t="shared" si="174"/>
        <v>8300000</v>
      </c>
      <c r="AZ305" s="50">
        <f t="shared" si="175"/>
        <v>2600557.8900000006</v>
      </c>
      <c r="BA305" s="15">
        <f t="shared" si="199"/>
        <v>-4749.5350916666666</v>
      </c>
      <c r="BB305" s="15">
        <f t="shared" si="201"/>
        <v>-87462.904458333331</v>
      </c>
    </row>
    <row r="306" spans="2:56" x14ac:dyDescent="0.3">
      <c r="B306" s="99">
        <f>B305+3</f>
        <v>44592</v>
      </c>
      <c r="C306" s="44">
        <f t="shared" si="177"/>
        <v>-4187567.3</v>
      </c>
      <c r="D306" s="45">
        <v>260983.24</v>
      </c>
      <c r="E306" s="45"/>
      <c r="F306" s="45">
        <v>-72393.45</v>
      </c>
      <c r="G306" s="45">
        <f t="shared" si="195"/>
        <v>-3998977.51</v>
      </c>
      <c r="H306" s="44">
        <v>4300000</v>
      </c>
      <c r="I306" s="46">
        <f t="shared" si="178"/>
        <v>-2242930.58</v>
      </c>
      <c r="J306" s="47">
        <v>550905.9</v>
      </c>
      <c r="K306" s="47">
        <f>600000-4500</f>
        <v>595500</v>
      </c>
      <c r="L306" s="47">
        <v>-616544.6</v>
      </c>
      <c r="M306" s="47">
        <f t="shared" si="179"/>
        <v>-1713069.2800000003</v>
      </c>
      <c r="N306" s="46">
        <v>4000000</v>
      </c>
      <c r="O306" s="48">
        <f t="shared" si="180"/>
        <v>450.87000000001603</v>
      </c>
      <c r="P306" s="55">
        <v>330241.75</v>
      </c>
      <c r="Q306" s="55">
        <f>796000-600000</f>
        <v>196000</v>
      </c>
      <c r="R306" s="55">
        <f>-160-880-369.6-176-10</f>
        <v>-1595.6</v>
      </c>
      <c r="S306" s="55">
        <f t="shared" si="181"/>
        <v>525097.02</v>
      </c>
      <c r="T306" s="48"/>
      <c r="U306" s="49">
        <f t="shared" si="182"/>
        <v>729243.32999999984</v>
      </c>
      <c r="V306" s="51">
        <v>67271.679999999993</v>
      </c>
      <c r="W306" s="51">
        <v>-796000</v>
      </c>
      <c r="X306" s="51"/>
      <c r="Y306" s="51">
        <f t="shared" si="183"/>
        <v>515.00999999977648</v>
      </c>
      <c r="Z306" s="52"/>
      <c r="AA306" s="53">
        <f t="shared" si="184"/>
        <v>767.86999999999807</v>
      </c>
      <c r="AB306" s="54"/>
      <c r="AC306" s="54">
        <v>4500</v>
      </c>
      <c r="AD306" s="54">
        <v>-3712.7</v>
      </c>
      <c r="AE306" s="54">
        <f t="shared" si="185"/>
        <v>1555.1699999999983</v>
      </c>
      <c r="AF306" s="53"/>
      <c r="AG306" s="53">
        <f t="shared" si="203"/>
        <v>593.69999999995343</v>
      </c>
      <c r="AH306" s="54"/>
      <c r="AI306" s="54"/>
      <c r="AJ306" s="54">
        <v>-120</v>
      </c>
      <c r="AK306" s="54">
        <f t="shared" si="186"/>
        <v>473.69999999995343</v>
      </c>
      <c r="AL306" s="53"/>
      <c r="AM306" s="53">
        <f t="shared" si="170"/>
        <v>0</v>
      </c>
      <c r="AN306" s="54"/>
      <c r="AO306" s="54"/>
      <c r="AP306" s="54"/>
      <c r="AQ306" s="54">
        <f t="shared" si="171"/>
        <v>0</v>
      </c>
      <c r="AR306" s="53"/>
      <c r="AS306" s="50">
        <f t="shared" si="187"/>
        <v>-5699442.1099999994</v>
      </c>
      <c r="AT306" s="50">
        <f t="shared" si="191"/>
        <v>1209402.57</v>
      </c>
      <c r="AU306" s="50">
        <f t="shared" si="205"/>
        <v>0</v>
      </c>
      <c r="AV306" s="50">
        <f t="shared" si="192"/>
        <v>-694366.34999999986</v>
      </c>
      <c r="AW306" s="50"/>
      <c r="AX306" s="50">
        <f t="shared" si="173"/>
        <v>-5184405.8899999997</v>
      </c>
      <c r="AY306" s="50">
        <f t="shared" si="174"/>
        <v>8300000</v>
      </c>
      <c r="AZ306" s="50">
        <f t="shared" si="175"/>
        <v>3115594.1100000003</v>
      </c>
      <c r="BA306" s="82">
        <f t="shared" si="199"/>
        <v>-4320.3382416666664</v>
      </c>
      <c r="BB306" s="82">
        <f t="shared" si="201"/>
        <v>-91783.242700000003</v>
      </c>
      <c r="BC306" s="15">
        <f t="shared" ref="BC306" si="207">AX306+BC305</f>
        <v>-5184405.8899999997</v>
      </c>
      <c r="BD306" s="15">
        <f>AVERAGE(AX286:AX306)</f>
        <v>-5244756.7257142859</v>
      </c>
    </row>
    <row r="307" spans="2:56" x14ac:dyDescent="0.3">
      <c r="B307" s="99">
        <f>B306+1</f>
        <v>44593</v>
      </c>
      <c r="C307" s="44">
        <f t="shared" si="177"/>
        <v>-3998977.51</v>
      </c>
      <c r="D307" s="45"/>
      <c r="E307" s="45">
        <v>-100000</v>
      </c>
      <c r="F307" s="45">
        <f>-60427.39-41.04</f>
        <v>-60468.43</v>
      </c>
      <c r="G307" s="45">
        <f t="shared" si="195"/>
        <v>-4159445.94</v>
      </c>
      <c r="H307" s="44">
        <v>4300000</v>
      </c>
      <c r="I307" s="46">
        <f t="shared" si="178"/>
        <v>-1713069.2800000003</v>
      </c>
      <c r="J307" s="47"/>
      <c r="K307" s="47">
        <f>100000+520000</f>
        <v>620000</v>
      </c>
      <c r="L307" s="47">
        <v>-1971925.99</v>
      </c>
      <c r="M307" s="47">
        <f t="shared" si="179"/>
        <v>-3064995.2700000005</v>
      </c>
      <c r="N307" s="46">
        <v>4000000</v>
      </c>
      <c r="O307" s="48">
        <f t="shared" si="180"/>
        <v>525097.02</v>
      </c>
      <c r="P307" s="55"/>
      <c r="Q307" s="55">
        <v>-520000</v>
      </c>
      <c r="R307" s="55">
        <v>-10</v>
      </c>
      <c r="S307" s="55">
        <f t="shared" si="181"/>
        <v>5087.0200000000186</v>
      </c>
      <c r="T307" s="48"/>
      <c r="U307" s="49">
        <f t="shared" si="182"/>
        <v>515.00999999977648</v>
      </c>
      <c r="V307" s="51"/>
      <c r="W307" s="51"/>
      <c r="X307" s="51">
        <v>-1.2</v>
      </c>
      <c r="Y307" s="51">
        <f t="shared" si="183"/>
        <v>513.80999999977644</v>
      </c>
      <c r="Z307" s="52"/>
      <c r="AA307" s="53">
        <f t="shared" si="184"/>
        <v>1555.1699999999983</v>
      </c>
      <c r="AB307" s="54"/>
      <c r="AC307" s="54"/>
      <c r="AD307" s="54"/>
      <c r="AE307" s="54">
        <f t="shared" si="185"/>
        <v>1555.1699999999983</v>
      </c>
      <c r="AF307" s="53"/>
      <c r="AG307" s="53">
        <f t="shared" si="203"/>
        <v>473.69999999995343</v>
      </c>
      <c r="AH307" s="54"/>
      <c r="AI307" s="54"/>
      <c r="AJ307" s="54"/>
      <c r="AK307" s="54">
        <f t="shared" si="186"/>
        <v>473.69999999995343</v>
      </c>
      <c r="AL307" s="53"/>
      <c r="AM307" s="53">
        <f t="shared" si="170"/>
        <v>0</v>
      </c>
      <c r="AN307" s="54"/>
      <c r="AO307" s="54"/>
      <c r="AP307" s="54"/>
      <c r="AQ307" s="54">
        <f t="shared" si="171"/>
        <v>0</v>
      </c>
      <c r="AR307" s="53"/>
      <c r="AS307" s="50">
        <f t="shared" si="187"/>
        <v>-5184405.8899999997</v>
      </c>
      <c r="AT307" s="50">
        <f t="shared" si="191"/>
        <v>0</v>
      </c>
      <c r="AU307" s="50">
        <f t="shared" si="205"/>
        <v>0</v>
      </c>
      <c r="AV307" s="50">
        <f t="shared" si="192"/>
        <v>-2032405.6199999999</v>
      </c>
      <c r="AW307" s="50"/>
      <c r="AX307" s="50">
        <f t="shared" si="173"/>
        <v>-7216811.5100000016</v>
      </c>
      <c r="AY307" s="50">
        <f t="shared" si="174"/>
        <v>8300000</v>
      </c>
      <c r="AZ307" s="50">
        <f t="shared" si="175"/>
        <v>1083188.4899999984</v>
      </c>
      <c r="BA307" s="15">
        <f t="shared" si="199"/>
        <v>-6014.0095916666687</v>
      </c>
      <c r="BB307" s="15">
        <f>BA307</f>
        <v>-6014.0095916666687</v>
      </c>
    </row>
    <row r="308" spans="2:56" x14ac:dyDescent="0.3">
      <c r="B308" s="99">
        <f t="shared" ref="B308:B309" si="208">B307+1</f>
        <v>44594</v>
      </c>
      <c r="C308" s="44">
        <f t="shared" si="177"/>
        <v>-4159445.94</v>
      </c>
      <c r="D308" s="45">
        <f>39309.9+19776.98</f>
        <v>59086.880000000005</v>
      </c>
      <c r="E308" s="45">
        <v>85000</v>
      </c>
      <c r="F308" s="45">
        <f>-202151.97+17511.03</f>
        <v>-184640.94</v>
      </c>
      <c r="G308" s="45">
        <f t="shared" si="195"/>
        <v>-4200000</v>
      </c>
      <c r="H308" s="44">
        <v>4300000</v>
      </c>
      <c r="I308" s="46">
        <f t="shared" si="178"/>
        <v>-3064995.2700000005</v>
      </c>
      <c r="J308" s="47">
        <v>449932.66</v>
      </c>
      <c r="K308" s="47">
        <f>-85000-25000</f>
        <v>-110000</v>
      </c>
      <c r="L308" s="47">
        <v>-314356.75</v>
      </c>
      <c r="M308" s="47">
        <f t="shared" si="179"/>
        <v>-3039419.3600000003</v>
      </c>
      <c r="N308" s="46">
        <v>4000000</v>
      </c>
      <c r="O308" s="48">
        <f t="shared" si="180"/>
        <v>5087.0200000000186</v>
      </c>
      <c r="P308" s="55"/>
      <c r="Q308" s="55"/>
      <c r="R308" s="55">
        <f>-1153.32-928.49-176</f>
        <v>-2257.81</v>
      </c>
      <c r="S308" s="55">
        <f t="shared" si="181"/>
        <v>2829.2100000000187</v>
      </c>
      <c r="T308" s="48"/>
      <c r="U308" s="49">
        <f t="shared" si="182"/>
        <v>513.80999999977644</v>
      </c>
      <c r="V308" s="51"/>
      <c r="W308" s="51"/>
      <c r="X308" s="51">
        <v>-54.95</v>
      </c>
      <c r="Y308" s="51">
        <f t="shared" si="183"/>
        <v>458.85999999977645</v>
      </c>
      <c r="Z308" s="52"/>
      <c r="AA308" s="53">
        <f t="shared" si="184"/>
        <v>1555.1699999999983</v>
      </c>
      <c r="AB308" s="54"/>
      <c r="AC308" s="54">
        <v>25000</v>
      </c>
      <c r="AD308" s="54">
        <v>-23591.87</v>
      </c>
      <c r="AE308" s="54">
        <f t="shared" si="185"/>
        <v>2963.2999999999993</v>
      </c>
      <c r="AF308" s="53"/>
      <c r="AG308" s="53">
        <f t="shared" si="203"/>
        <v>473.69999999995343</v>
      </c>
      <c r="AH308" s="54"/>
      <c r="AI308" s="54"/>
      <c r="AJ308" s="54"/>
      <c r="AK308" s="54">
        <f t="shared" si="186"/>
        <v>473.69999999995343</v>
      </c>
      <c r="AL308" s="53"/>
      <c r="AM308" s="53">
        <f t="shared" si="170"/>
        <v>0</v>
      </c>
      <c r="AN308" s="54"/>
      <c r="AO308" s="54"/>
      <c r="AP308" s="54"/>
      <c r="AQ308" s="54">
        <f t="shared" si="171"/>
        <v>0</v>
      </c>
      <c r="AR308" s="53"/>
      <c r="AS308" s="50">
        <f t="shared" si="187"/>
        <v>-7216811.5100000016</v>
      </c>
      <c r="AT308" s="50">
        <f t="shared" si="191"/>
        <v>509019.54</v>
      </c>
      <c r="AU308" s="50">
        <f t="shared" si="205"/>
        <v>0</v>
      </c>
      <c r="AV308" s="50">
        <f t="shared" si="192"/>
        <v>-524902.32000000007</v>
      </c>
      <c r="AW308" s="50"/>
      <c r="AX308" s="50">
        <f t="shared" si="173"/>
        <v>-7232694.290000001</v>
      </c>
      <c r="AY308" s="50">
        <f t="shared" si="174"/>
        <v>8300000</v>
      </c>
      <c r="AZ308" s="50">
        <f t="shared" si="175"/>
        <v>1067305.709999999</v>
      </c>
      <c r="BA308" s="15">
        <f t="shared" si="199"/>
        <v>-6027.2452416666674</v>
      </c>
      <c r="BB308" s="15">
        <f>BA308+BB307</f>
        <v>-12041.254833333336</v>
      </c>
    </row>
    <row r="309" spans="2:56" x14ac:dyDescent="0.3">
      <c r="B309" s="99">
        <f t="shared" si="208"/>
        <v>44595</v>
      </c>
      <c r="C309" s="44">
        <f t="shared" si="177"/>
        <v>-4200000</v>
      </c>
      <c r="D309" s="45">
        <v>139597.18</v>
      </c>
      <c r="E309" s="45"/>
      <c r="F309" s="45">
        <f>-116384.41+19898.11+48765.38</f>
        <v>-47720.920000000006</v>
      </c>
      <c r="G309" s="45">
        <f t="shared" si="195"/>
        <v>-4108123.7399999998</v>
      </c>
      <c r="H309" s="44">
        <v>4300000</v>
      </c>
      <c r="I309" s="46">
        <f t="shared" si="178"/>
        <v>-3039419.3600000003</v>
      </c>
      <c r="J309" s="47"/>
      <c r="K309" s="47"/>
      <c r="L309" s="47">
        <v>-308139.40000000002</v>
      </c>
      <c r="M309" s="47">
        <f t="shared" si="179"/>
        <v>-3347558.7600000002</v>
      </c>
      <c r="N309" s="46">
        <v>4000000</v>
      </c>
      <c r="O309" s="48">
        <f t="shared" si="180"/>
        <v>2829.2100000000187</v>
      </c>
      <c r="P309" s="55"/>
      <c r="Q309" s="55"/>
      <c r="R309" s="55"/>
      <c r="S309" s="55">
        <f t="shared" si="181"/>
        <v>2829.2100000000187</v>
      </c>
      <c r="T309" s="48"/>
      <c r="U309" s="49">
        <f t="shared" si="182"/>
        <v>458.85999999977645</v>
      </c>
      <c r="V309" s="51"/>
      <c r="W309" s="51"/>
      <c r="X309" s="51"/>
      <c r="Y309" s="51">
        <f t="shared" si="183"/>
        <v>458.85999999977645</v>
      </c>
      <c r="Z309" s="52"/>
      <c r="AA309" s="53">
        <f t="shared" si="184"/>
        <v>2963.2999999999993</v>
      </c>
      <c r="AB309" s="54"/>
      <c r="AC309" s="54"/>
      <c r="AD309" s="54">
        <v>-215.4</v>
      </c>
      <c r="AE309" s="54">
        <f t="shared" si="185"/>
        <v>2747.8999999999992</v>
      </c>
      <c r="AF309" s="53"/>
      <c r="AG309" s="53">
        <f t="shared" si="203"/>
        <v>473.69999999995343</v>
      </c>
      <c r="AH309" s="54"/>
      <c r="AI309" s="54"/>
      <c r="AJ309" s="54"/>
      <c r="AK309" s="54">
        <f t="shared" si="186"/>
        <v>473.69999999995343</v>
      </c>
      <c r="AL309" s="53"/>
      <c r="AM309" s="53">
        <f t="shared" ref="AM309:AM372" si="209">AQ308</f>
        <v>0</v>
      </c>
      <c r="AN309" s="54"/>
      <c r="AO309" s="54"/>
      <c r="AP309" s="54"/>
      <c r="AQ309" s="54">
        <f t="shared" ref="AQ309:AQ372" si="210">SUM(AM309:AP309)</f>
        <v>0</v>
      </c>
      <c r="AR309" s="53"/>
      <c r="AS309" s="50">
        <f t="shared" si="187"/>
        <v>-7232694.290000001</v>
      </c>
      <c r="AT309" s="50">
        <f t="shared" si="191"/>
        <v>139597.18</v>
      </c>
      <c r="AU309" s="50">
        <f t="shared" si="205"/>
        <v>0</v>
      </c>
      <c r="AV309" s="50">
        <f t="shared" si="192"/>
        <v>-356075.72000000003</v>
      </c>
      <c r="AW309" s="50"/>
      <c r="AX309" s="50">
        <f t="shared" si="173"/>
        <v>-7449172.8300000001</v>
      </c>
      <c r="AY309" s="50">
        <f t="shared" si="174"/>
        <v>8300000</v>
      </c>
      <c r="AZ309" s="50">
        <f t="shared" si="175"/>
        <v>850827.16999999993</v>
      </c>
      <c r="BA309" s="15">
        <f t="shared" si="199"/>
        <v>-6207.6440250000005</v>
      </c>
      <c r="BB309" s="15">
        <f t="shared" ref="BB309:BB326" si="211">BA309+BB308</f>
        <v>-18248.898858333338</v>
      </c>
    </row>
    <row r="310" spans="2:56" x14ac:dyDescent="0.3">
      <c r="B310" s="99">
        <f>B309+1</f>
        <v>44596</v>
      </c>
      <c r="C310" s="44">
        <f t="shared" si="177"/>
        <v>-4108123.7399999998</v>
      </c>
      <c r="D310" s="45"/>
      <c r="E310" s="45"/>
      <c r="F310" s="45">
        <v>-22119.54</v>
      </c>
      <c r="G310" s="45">
        <f t="shared" si="195"/>
        <v>-4130243.28</v>
      </c>
      <c r="H310" s="44">
        <v>4300000</v>
      </c>
      <c r="I310" s="46">
        <f t="shared" si="178"/>
        <v>-3347558.7600000002</v>
      </c>
      <c r="J310" s="47"/>
      <c r="K310" s="47"/>
      <c r="L310" s="47">
        <v>-62046.649999999798</v>
      </c>
      <c r="M310" s="47">
        <f t="shared" si="179"/>
        <v>-3409605.41</v>
      </c>
      <c r="N310" s="46">
        <v>4000000</v>
      </c>
      <c r="O310" s="48">
        <f t="shared" si="180"/>
        <v>2829.2100000000187</v>
      </c>
      <c r="P310" s="55">
        <v>143.36000000000001</v>
      </c>
      <c r="Q310" s="55"/>
      <c r="R310" s="55">
        <v>-2100</v>
      </c>
      <c r="S310" s="55">
        <f t="shared" si="181"/>
        <v>872.57000000001881</v>
      </c>
      <c r="T310" s="48"/>
      <c r="U310" s="49">
        <f t="shared" si="182"/>
        <v>458.85999999977645</v>
      </c>
      <c r="V310" s="51"/>
      <c r="W310" s="51"/>
      <c r="X310" s="51"/>
      <c r="Y310" s="51">
        <f t="shared" si="183"/>
        <v>458.85999999977645</v>
      </c>
      <c r="Z310" s="52"/>
      <c r="AA310" s="53">
        <f t="shared" si="184"/>
        <v>2747.8999999999992</v>
      </c>
      <c r="AB310" s="54"/>
      <c r="AC310" s="54"/>
      <c r="AD310" s="54">
        <f>-620*2</f>
        <v>-1240</v>
      </c>
      <c r="AE310" s="54">
        <f t="shared" si="185"/>
        <v>1507.8999999999992</v>
      </c>
      <c r="AF310" s="53"/>
      <c r="AG310" s="53">
        <f t="shared" si="203"/>
        <v>473.69999999995343</v>
      </c>
      <c r="AH310" s="54"/>
      <c r="AI310" s="54"/>
      <c r="AJ310" s="54"/>
      <c r="AK310" s="54">
        <f t="shared" si="186"/>
        <v>473.69999999995343</v>
      </c>
      <c r="AL310" s="53"/>
      <c r="AM310" s="53">
        <f t="shared" si="209"/>
        <v>0</v>
      </c>
      <c r="AN310" s="54"/>
      <c r="AO310" s="54"/>
      <c r="AP310" s="54"/>
      <c r="AQ310" s="54">
        <f t="shared" si="210"/>
        <v>0</v>
      </c>
      <c r="AR310" s="53"/>
      <c r="AS310" s="50">
        <f t="shared" si="187"/>
        <v>-7449172.8300000001</v>
      </c>
      <c r="AT310" s="50">
        <f t="shared" si="191"/>
        <v>143.36000000000001</v>
      </c>
      <c r="AU310" s="50">
        <f t="shared" si="205"/>
        <v>0</v>
      </c>
      <c r="AV310" s="50">
        <f t="shared" si="192"/>
        <v>-87506.189999999799</v>
      </c>
      <c r="AW310" s="50"/>
      <c r="AX310" s="50">
        <f t="shared" ref="AX310:AX373" si="212">SUM(G310,M310,S310,Y310,AE310,AK310)</f>
        <v>-7536535.6599999992</v>
      </c>
      <c r="AY310" s="50">
        <f t="shared" ref="AY310:AY373" si="213">SUM(H310,N310,T310,Z310,AF310,AL310)</f>
        <v>8300000</v>
      </c>
      <c r="AZ310" s="50">
        <f t="shared" ref="AZ310:AZ373" si="214">AX310+AY310</f>
        <v>763464.34000000078</v>
      </c>
      <c r="BA310" s="15">
        <f t="shared" si="199"/>
        <v>-6280.446383333333</v>
      </c>
      <c r="BB310" s="15">
        <f t="shared" si="211"/>
        <v>-24529.34524166667</v>
      </c>
    </row>
    <row r="311" spans="2:56" x14ac:dyDescent="0.3">
      <c r="B311" s="99">
        <f>B310+3</f>
        <v>44599</v>
      </c>
      <c r="C311" s="44">
        <f t="shared" si="177"/>
        <v>-4130243.28</v>
      </c>
      <c r="D311" s="45">
        <f>23340.49+88399.88</f>
        <v>111740.37000000001</v>
      </c>
      <c r="E311" s="45">
        <v>-150000</v>
      </c>
      <c r="F311" s="45">
        <v>-197</v>
      </c>
      <c r="G311" s="45">
        <f t="shared" si="195"/>
        <v>-4168699.9099999997</v>
      </c>
      <c r="H311" s="44">
        <v>4300000</v>
      </c>
      <c r="I311" s="46">
        <f t="shared" si="178"/>
        <v>-3409605.41</v>
      </c>
      <c r="J311" s="47"/>
      <c r="K311" s="47">
        <f>150000+50000</f>
        <v>200000</v>
      </c>
      <c r="L311" s="47">
        <v>-275546.71000000002</v>
      </c>
      <c r="M311" s="47">
        <f t="shared" si="179"/>
        <v>-3485152.12</v>
      </c>
      <c r="N311" s="46">
        <v>4000000</v>
      </c>
      <c r="O311" s="48">
        <f t="shared" si="180"/>
        <v>872.57000000001881</v>
      </c>
      <c r="P311" s="55">
        <v>50138.42</v>
      </c>
      <c r="Q311" s="55">
        <v>-50000</v>
      </c>
      <c r="R311" s="55">
        <v>-10</v>
      </c>
      <c r="S311" s="55">
        <f t="shared" si="181"/>
        <v>1000.9900000000198</v>
      </c>
      <c r="T311" s="48"/>
      <c r="U311" s="49">
        <f t="shared" si="182"/>
        <v>458.85999999977645</v>
      </c>
      <c r="V311" s="51"/>
      <c r="W311" s="51"/>
      <c r="X311" s="51"/>
      <c r="Y311" s="51">
        <f t="shared" si="183"/>
        <v>458.85999999977645</v>
      </c>
      <c r="Z311" s="52"/>
      <c r="AA311" s="53">
        <f t="shared" si="184"/>
        <v>1507.8999999999992</v>
      </c>
      <c r="AB311" s="54"/>
      <c r="AC311" s="54"/>
      <c r="AD311" s="54"/>
      <c r="AE311" s="54">
        <f t="shared" si="185"/>
        <v>1507.8999999999992</v>
      </c>
      <c r="AF311" s="53"/>
      <c r="AG311" s="53">
        <f t="shared" si="203"/>
        <v>473.69999999995343</v>
      </c>
      <c r="AH311" s="54"/>
      <c r="AI311" s="54"/>
      <c r="AJ311" s="54"/>
      <c r="AK311" s="54">
        <f t="shared" si="186"/>
        <v>473.69999999995343</v>
      </c>
      <c r="AL311" s="53"/>
      <c r="AM311" s="53">
        <f t="shared" si="209"/>
        <v>0</v>
      </c>
      <c r="AN311" s="54"/>
      <c r="AO311" s="54"/>
      <c r="AP311" s="54"/>
      <c r="AQ311" s="54">
        <f t="shared" si="210"/>
        <v>0</v>
      </c>
      <c r="AR311" s="53"/>
      <c r="AS311" s="50">
        <f t="shared" si="187"/>
        <v>-7536535.6599999992</v>
      </c>
      <c r="AT311" s="50">
        <f t="shared" si="191"/>
        <v>161878.79</v>
      </c>
      <c r="AU311" s="50">
        <f t="shared" si="205"/>
        <v>0</v>
      </c>
      <c r="AV311" s="50">
        <f t="shared" si="192"/>
        <v>-275753.71000000002</v>
      </c>
      <c r="AW311" s="50"/>
      <c r="AX311" s="50">
        <f t="shared" si="212"/>
        <v>-7650410.5799999991</v>
      </c>
      <c r="AY311" s="50">
        <f t="shared" si="213"/>
        <v>8300000</v>
      </c>
      <c r="AZ311" s="50">
        <f t="shared" si="214"/>
        <v>649589.42000000086</v>
      </c>
      <c r="BA311" s="15">
        <f t="shared" si="199"/>
        <v>-6375.3421499999995</v>
      </c>
      <c r="BB311" s="15">
        <f t="shared" si="211"/>
        <v>-30904.68739166667</v>
      </c>
    </row>
    <row r="312" spans="2:56" x14ac:dyDescent="0.3">
      <c r="B312" s="99">
        <f>B311+1</f>
        <v>44600</v>
      </c>
      <c r="C312" s="44">
        <f t="shared" si="177"/>
        <v>-4168699.9099999997</v>
      </c>
      <c r="D312" s="45">
        <v>136872.29</v>
      </c>
      <c r="E312" s="45"/>
      <c r="F312" s="45"/>
      <c r="G312" s="45">
        <f t="shared" si="195"/>
        <v>-4031827.6199999996</v>
      </c>
      <c r="H312" s="44">
        <v>4300000</v>
      </c>
      <c r="I312" s="46">
        <f t="shared" si="178"/>
        <v>-3485152.12</v>
      </c>
      <c r="J312" s="47"/>
      <c r="K312" s="47"/>
      <c r="L312" s="47">
        <v>-30681.9899999999</v>
      </c>
      <c r="M312" s="47">
        <f t="shared" si="179"/>
        <v>-3515834.11</v>
      </c>
      <c r="N312" s="46">
        <v>4000000</v>
      </c>
      <c r="O312" s="48">
        <f t="shared" si="180"/>
        <v>1000.9900000000198</v>
      </c>
      <c r="P312" s="55"/>
      <c r="Q312" s="55"/>
      <c r="R312" s="55"/>
      <c r="S312" s="55">
        <f t="shared" si="181"/>
        <v>1000.9900000000198</v>
      </c>
      <c r="T312" s="48"/>
      <c r="U312" s="49">
        <f t="shared" si="182"/>
        <v>458.85999999977645</v>
      </c>
      <c r="V312" s="51"/>
      <c r="W312" s="51"/>
      <c r="X312" s="51"/>
      <c r="Y312" s="51">
        <f t="shared" si="183"/>
        <v>458.85999999977645</v>
      </c>
      <c r="Z312" s="52"/>
      <c r="AA312" s="53">
        <f t="shared" si="184"/>
        <v>1507.8999999999992</v>
      </c>
      <c r="AB312" s="54"/>
      <c r="AC312" s="54"/>
      <c r="AD312" s="54"/>
      <c r="AE312" s="54">
        <f t="shared" si="185"/>
        <v>1507.8999999999992</v>
      </c>
      <c r="AF312" s="53"/>
      <c r="AG312" s="53">
        <f t="shared" si="203"/>
        <v>473.69999999995343</v>
      </c>
      <c r="AH312" s="54"/>
      <c r="AI312" s="54"/>
      <c r="AJ312" s="54"/>
      <c r="AK312" s="54">
        <f t="shared" si="186"/>
        <v>473.69999999995343</v>
      </c>
      <c r="AL312" s="53"/>
      <c r="AM312" s="53">
        <f t="shared" si="209"/>
        <v>0</v>
      </c>
      <c r="AN312" s="54"/>
      <c r="AO312" s="54"/>
      <c r="AP312" s="54"/>
      <c r="AQ312" s="54">
        <f t="shared" si="210"/>
        <v>0</v>
      </c>
      <c r="AR312" s="53"/>
      <c r="AS312" s="50">
        <f t="shared" si="187"/>
        <v>-7650410.5799999991</v>
      </c>
      <c r="AT312" s="50">
        <f t="shared" si="191"/>
        <v>136872.29</v>
      </c>
      <c r="AU312" s="50">
        <f t="shared" si="205"/>
        <v>0</v>
      </c>
      <c r="AV312" s="50">
        <f t="shared" si="192"/>
        <v>-30681.9899999999</v>
      </c>
      <c r="AW312" s="50"/>
      <c r="AX312" s="50">
        <f t="shared" si="212"/>
        <v>-7544220.2799999993</v>
      </c>
      <c r="AY312" s="50">
        <f t="shared" si="213"/>
        <v>8300000</v>
      </c>
      <c r="AZ312" s="50">
        <f t="shared" si="214"/>
        <v>755779.72000000067</v>
      </c>
      <c r="BA312" s="15">
        <f t="shared" si="199"/>
        <v>-6286.8502333333336</v>
      </c>
      <c r="BB312" s="15">
        <f t="shared" si="211"/>
        <v>-37191.537625000004</v>
      </c>
    </row>
    <row r="313" spans="2:56" x14ac:dyDescent="0.3">
      <c r="B313" s="99">
        <f t="shared" ref="B313:B314" si="215">B312+1</f>
        <v>44601</v>
      </c>
      <c r="C313" s="44">
        <f t="shared" si="177"/>
        <v>-4031827.6199999996</v>
      </c>
      <c r="D313" s="45"/>
      <c r="E313" s="45">
        <v>-50000</v>
      </c>
      <c r="F313" s="45">
        <f>-(660+180+60+0.85)</f>
        <v>-900.85</v>
      </c>
      <c r="G313" s="45">
        <f t="shared" si="195"/>
        <v>-4082728.4699999997</v>
      </c>
      <c r="H313" s="44">
        <v>4300000</v>
      </c>
      <c r="I313" s="46">
        <f t="shared" si="178"/>
        <v>-3515834.11</v>
      </c>
      <c r="J313" s="47">
        <v>29539.1</v>
      </c>
      <c r="K313" s="47">
        <v>50000</v>
      </c>
      <c r="L313" s="47">
        <v>-57197.220000000198</v>
      </c>
      <c r="M313" s="47">
        <f t="shared" si="179"/>
        <v>-3493492.23</v>
      </c>
      <c r="N313" s="46">
        <v>4000000</v>
      </c>
      <c r="O313" s="48">
        <f t="shared" si="180"/>
        <v>1000.9900000000198</v>
      </c>
      <c r="P313" s="55"/>
      <c r="Q313" s="55"/>
      <c r="R313" s="55"/>
      <c r="S313" s="55">
        <f t="shared" si="181"/>
        <v>1000.9900000000198</v>
      </c>
      <c r="T313" s="48"/>
      <c r="U313" s="49">
        <f t="shared" si="182"/>
        <v>458.85999999977645</v>
      </c>
      <c r="V313" s="51"/>
      <c r="W313" s="51"/>
      <c r="X313" s="51"/>
      <c r="Y313" s="51">
        <f t="shared" si="183"/>
        <v>458.85999999977645</v>
      </c>
      <c r="Z313" s="52"/>
      <c r="AA313" s="53">
        <f t="shared" si="184"/>
        <v>1507.8999999999992</v>
      </c>
      <c r="AB313" s="54"/>
      <c r="AC313" s="54"/>
      <c r="AD313" s="54"/>
      <c r="AE313" s="54">
        <f t="shared" si="185"/>
        <v>1507.8999999999992</v>
      </c>
      <c r="AF313" s="53"/>
      <c r="AG313" s="53">
        <f t="shared" si="203"/>
        <v>473.69999999995343</v>
      </c>
      <c r="AH313" s="54"/>
      <c r="AI313" s="54"/>
      <c r="AJ313" s="54"/>
      <c r="AK313" s="54">
        <f t="shared" si="186"/>
        <v>473.69999999995343</v>
      </c>
      <c r="AL313" s="53"/>
      <c r="AM313" s="53">
        <f t="shared" si="209"/>
        <v>0</v>
      </c>
      <c r="AN313" s="54"/>
      <c r="AO313" s="54"/>
      <c r="AP313" s="54"/>
      <c r="AQ313" s="54">
        <f t="shared" si="210"/>
        <v>0</v>
      </c>
      <c r="AR313" s="53"/>
      <c r="AS313" s="50">
        <f t="shared" si="187"/>
        <v>-7544220.2799999993</v>
      </c>
      <c r="AT313" s="50">
        <f t="shared" si="191"/>
        <v>29539.1</v>
      </c>
      <c r="AU313" s="50">
        <f t="shared" si="205"/>
        <v>0</v>
      </c>
      <c r="AV313" s="50">
        <f t="shared" si="192"/>
        <v>-58098.070000000196</v>
      </c>
      <c r="AW313" s="50"/>
      <c r="AX313" s="50">
        <f t="shared" si="212"/>
        <v>-7572779.2499999991</v>
      </c>
      <c r="AY313" s="50">
        <f t="shared" si="213"/>
        <v>8300000</v>
      </c>
      <c r="AZ313" s="50">
        <f t="shared" si="214"/>
        <v>727220.75000000093</v>
      </c>
      <c r="BA313" s="15">
        <f t="shared" si="199"/>
        <v>-6310.649375</v>
      </c>
      <c r="BB313" s="15">
        <f t="shared" si="211"/>
        <v>-43502.187000000005</v>
      </c>
    </row>
    <row r="314" spans="2:56" x14ac:dyDescent="0.3">
      <c r="B314" s="99">
        <f t="shared" si="215"/>
        <v>44602</v>
      </c>
      <c r="C314" s="44">
        <f t="shared" si="177"/>
        <v>-4082728.4699999997</v>
      </c>
      <c r="D314" s="45">
        <f>30010.73+254980.74</f>
        <v>284991.46999999997</v>
      </c>
      <c r="E314" s="45">
        <v>-100000</v>
      </c>
      <c r="F314" s="45">
        <v>-35.17</v>
      </c>
      <c r="G314" s="45">
        <f t="shared" si="195"/>
        <v>-3897772.17</v>
      </c>
      <c r="H314" s="44">
        <v>4300000</v>
      </c>
      <c r="I314" s="46">
        <f t="shared" si="178"/>
        <v>-3493492.23</v>
      </c>
      <c r="J314" s="47"/>
      <c r="K314" s="47">
        <v>100000</v>
      </c>
      <c r="L314" s="47">
        <v>-116291.09</v>
      </c>
      <c r="M314" s="47">
        <f t="shared" si="179"/>
        <v>-3509783.32</v>
      </c>
      <c r="N314" s="46">
        <v>4000000</v>
      </c>
      <c r="O314" s="48">
        <f t="shared" si="180"/>
        <v>1000.9900000000198</v>
      </c>
      <c r="P314" s="55"/>
      <c r="Q314" s="55"/>
      <c r="R314" s="55"/>
      <c r="S314" s="55">
        <f t="shared" si="181"/>
        <v>1000.9900000000198</v>
      </c>
      <c r="T314" s="48"/>
      <c r="U314" s="49">
        <f t="shared" si="182"/>
        <v>458.85999999977645</v>
      </c>
      <c r="V314" s="51"/>
      <c r="W314" s="51"/>
      <c r="X314" s="51"/>
      <c r="Y314" s="51">
        <f t="shared" si="183"/>
        <v>458.85999999977645</v>
      </c>
      <c r="Z314" s="52"/>
      <c r="AA314" s="53">
        <f t="shared" si="184"/>
        <v>1507.8999999999992</v>
      </c>
      <c r="AB314" s="54"/>
      <c r="AC314" s="54"/>
      <c r="AD314" s="54">
        <v>-310</v>
      </c>
      <c r="AE314" s="54">
        <f t="shared" si="185"/>
        <v>1197.8999999999992</v>
      </c>
      <c r="AF314" s="53"/>
      <c r="AG314" s="53">
        <f t="shared" si="203"/>
        <v>473.69999999995343</v>
      </c>
      <c r="AH314" s="54"/>
      <c r="AI314" s="54"/>
      <c r="AJ314" s="54"/>
      <c r="AK314" s="54">
        <f t="shared" si="186"/>
        <v>473.69999999995343</v>
      </c>
      <c r="AL314" s="53"/>
      <c r="AM314" s="53">
        <f t="shared" si="209"/>
        <v>0</v>
      </c>
      <c r="AN314" s="54"/>
      <c r="AO314" s="54"/>
      <c r="AP314" s="54"/>
      <c r="AQ314" s="54">
        <f t="shared" si="210"/>
        <v>0</v>
      </c>
      <c r="AR314" s="53"/>
      <c r="AS314" s="50">
        <f t="shared" si="187"/>
        <v>-7572779.2499999991</v>
      </c>
      <c r="AT314" s="50">
        <f t="shared" si="191"/>
        <v>284991.46999999997</v>
      </c>
      <c r="AU314" s="50">
        <f t="shared" si="205"/>
        <v>0</v>
      </c>
      <c r="AV314" s="50">
        <f t="shared" si="192"/>
        <v>-116636.26</v>
      </c>
      <c r="AW314" s="50"/>
      <c r="AX314" s="50">
        <f t="shared" si="212"/>
        <v>-7404424.04</v>
      </c>
      <c r="AY314" s="50">
        <f t="shared" si="213"/>
        <v>8300000</v>
      </c>
      <c r="AZ314" s="50">
        <f t="shared" si="214"/>
        <v>895575.96</v>
      </c>
      <c r="BA314" s="15">
        <f t="shared" si="199"/>
        <v>-6170.3533666666672</v>
      </c>
      <c r="BB314" s="15">
        <f t="shared" si="211"/>
        <v>-49672.540366666675</v>
      </c>
    </row>
    <row r="315" spans="2:56" x14ac:dyDescent="0.3">
      <c r="B315" s="99">
        <f>B314+1</f>
        <v>44603</v>
      </c>
      <c r="C315" s="44">
        <f t="shared" ref="C315:C378" si="216">G314</f>
        <v>-3897772.17</v>
      </c>
      <c r="D315" s="45">
        <f>19634.1+61043.79+18131.82</f>
        <v>98809.709999999992</v>
      </c>
      <c r="E315" s="45">
        <v>-150000</v>
      </c>
      <c r="F315" s="45">
        <v>-21679.23</v>
      </c>
      <c r="G315" s="45">
        <f t="shared" si="195"/>
        <v>-3970641.69</v>
      </c>
      <c r="H315" s="44">
        <v>4300000</v>
      </c>
      <c r="I315" s="46">
        <f t="shared" ref="I315:I318" si="217">M314</f>
        <v>-3509783.32</v>
      </c>
      <c r="J315" s="47"/>
      <c r="K315" s="47">
        <v>150000</v>
      </c>
      <c r="L315" s="47">
        <v>-129955.18</v>
      </c>
      <c r="M315" s="47">
        <f t="shared" ref="M315:M379" si="218">SUM(I315:L315)</f>
        <v>-3489738.5</v>
      </c>
      <c r="N315" s="46">
        <v>4000000</v>
      </c>
      <c r="O315" s="48">
        <f t="shared" ref="O315:O378" si="219">S314</f>
        <v>1000.9900000000198</v>
      </c>
      <c r="P315" s="55"/>
      <c r="Q315" s="55"/>
      <c r="R315" s="55"/>
      <c r="S315" s="55">
        <f t="shared" ref="S315:S378" si="220">SUM(O315:R315)</f>
        <v>1000.9900000000198</v>
      </c>
      <c r="T315" s="48"/>
      <c r="U315" s="49">
        <f t="shared" ref="U315:U378" si="221">Y314</f>
        <v>458.85999999977645</v>
      </c>
      <c r="V315" s="51"/>
      <c r="W315" s="51"/>
      <c r="X315" s="51"/>
      <c r="Y315" s="51">
        <f t="shared" ref="Y315:Y378" si="222">SUM(U315:X315)</f>
        <v>458.85999999977645</v>
      </c>
      <c r="Z315" s="52"/>
      <c r="AA315" s="53">
        <f t="shared" ref="AA315:AA378" si="223">AE314</f>
        <v>1197.8999999999992</v>
      </c>
      <c r="AB315" s="54"/>
      <c r="AC315" s="54"/>
      <c r="AD315" s="54">
        <v>-235.95999999999901</v>
      </c>
      <c r="AE315" s="54">
        <f t="shared" ref="AE315:AE378" si="224">SUM(AA315:AD315)</f>
        <v>961.94000000000017</v>
      </c>
      <c r="AF315" s="53"/>
      <c r="AG315" s="53">
        <f t="shared" si="203"/>
        <v>473.69999999995343</v>
      </c>
      <c r="AH315" s="54"/>
      <c r="AI315" s="54"/>
      <c r="AJ315" s="54"/>
      <c r="AK315" s="54">
        <f t="shared" ref="AK315:AK378" si="225">SUM(AG315:AJ315)</f>
        <v>473.69999999995343</v>
      </c>
      <c r="AL315" s="53"/>
      <c r="AM315" s="53">
        <f t="shared" si="209"/>
        <v>0</v>
      </c>
      <c r="AN315" s="54"/>
      <c r="AO315" s="54"/>
      <c r="AP315" s="54"/>
      <c r="AQ315" s="54">
        <f t="shared" si="210"/>
        <v>0</v>
      </c>
      <c r="AR315" s="53"/>
      <c r="AS315" s="50">
        <f t="shared" si="187"/>
        <v>-7404424.04</v>
      </c>
      <c r="AT315" s="50">
        <f t="shared" si="191"/>
        <v>98809.709999999992</v>
      </c>
      <c r="AU315" s="50">
        <f t="shared" si="205"/>
        <v>0</v>
      </c>
      <c r="AV315" s="50">
        <f t="shared" si="192"/>
        <v>-151870.37</v>
      </c>
      <c r="AW315" s="50"/>
      <c r="AX315" s="50">
        <f t="shared" si="212"/>
        <v>-7457484.6999999993</v>
      </c>
      <c r="AY315" s="50">
        <f t="shared" si="213"/>
        <v>8300000</v>
      </c>
      <c r="AZ315" s="50">
        <f t="shared" si="214"/>
        <v>842515.30000000075</v>
      </c>
      <c r="BA315" s="15">
        <f t="shared" si="199"/>
        <v>-6214.5705833333332</v>
      </c>
      <c r="BB315" s="15">
        <f t="shared" si="211"/>
        <v>-55887.110950000009</v>
      </c>
    </row>
    <row r="316" spans="2:56" x14ac:dyDescent="0.3">
      <c r="B316" s="99">
        <f>B315+3</f>
        <v>44606</v>
      </c>
      <c r="C316" s="44">
        <f t="shared" si="216"/>
        <v>-3970641.69</v>
      </c>
      <c r="D316" s="45">
        <v>162415.84</v>
      </c>
      <c r="E316" s="45"/>
      <c r="F316" s="45">
        <v>-58488.61</v>
      </c>
      <c r="G316" s="45">
        <f t="shared" si="195"/>
        <v>-3866714.46</v>
      </c>
      <c r="H316" s="44">
        <v>4300000</v>
      </c>
      <c r="I316" s="46">
        <f t="shared" si="217"/>
        <v>-3489738.5</v>
      </c>
      <c r="J316" s="47"/>
      <c r="K316" s="47">
        <v>470000</v>
      </c>
      <c r="L316" s="47">
        <v>-119910.87</v>
      </c>
      <c r="M316" s="47">
        <f t="shared" si="218"/>
        <v>-3139649.37</v>
      </c>
      <c r="N316" s="46">
        <v>4000000</v>
      </c>
      <c r="O316" s="48">
        <f t="shared" si="219"/>
        <v>1000.9900000000198</v>
      </c>
      <c r="P316" s="55"/>
      <c r="Q316" s="55">
        <f>-470000+476200</f>
        <v>6200</v>
      </c>
      <c r="R316" s="55">
        <f>-1212-10</f>
        <v>-1222</v>
      </c>
      <c r="S316" s="55">
        <f t="shared" si="220"/>
        <v>5978.9900000000198</v>
      </c>
      <c r="T316" s="48"/>
      <c r="U316" s="49">
        <f t="shared" si="221"/>
        <v>458.85999999977645</v>
      </c>
      <c r="V316" s="51">
        <v>475829.35</v>
      </c>
      <c r="W316" s="51">
        <v>-476200</v>
      </c>
      <c r="X316" s="51"/>
      <c r="Y316" s="51">
        <f t="shared" si="222"/>
        <v>88.209999999729916</v>
      </c>
      <c r="Z316" s="52"/>
      <c r="AA316" s="53">
        <f t="shared" si="223"/>
        <v>961.94000000000017</v>
      </c>
      <c r="AB316" s="54"/>
      <c r="AC316" s="54"/>
      <c r="AD316" s="54"/>
      <c r="AE316" s="54">
        <f t="shared" si="224"/>
        <v>961.94000000000017</v>
      </c>
      <c r="AF316" s="53"/>
      <c r="AG316" s="53">
        <f t="shared" si="203"/>
        <v>473.69999999995343</v>
      </c>
      <c r="AH316" s="54"/>
      <c r="AI316" s="54"/>
      <c r="AJ316" s="54"/>
      <c r="AK316" s="54">
        <f t="shared" si="225"/>
        <v>473.69999999995343</v>
      </c>
      <c r="AL316" s="53"/>
      <c r="AM316" s="53">
        <f t="shared" si="209"/>
        <v>0</v>
      </c>
      <c r="AN316" s="54"/>
      <c r="AO316" s="54"/>
      <c r="AP316" s="54"/>
      <c r="AQ316" s="54">
        <f t="shared" si="210"/>
        <v>0</v>
      </c>
      <c r="AR316" s="53"/>
      <c r="AS316" s="50">
        <f t="shared" ref="AS316:AS379" si="226">SUM(C316,I316,O316,U316,AA316,AG316)</f>
        <v>-7457484.6999999993</v>
      </c>
      <c r="AT316" s="50">
        <f t="shared" si="191"/>
        <v>638245.18999999994</v>
      </c>
      <c r="AU316" s="50">
        <f t="shared" si="205"/>
        <v>0</v>
      </c>
      <c r="AV316" s="50">
        <f t="shared" si="192"/>
        <v>-179621.47999999998</v>
      </c>
      <c r="AW316" s="50"/>
      <c r="AX316" s="50">
        <f t="shared" si="212"/>
        <v>-6998860.9899999993</v>
      </c>
      <c r="AY316" s="50">
        <f t="shared" si="213"/>
        <v>8300000</v>
      </c>
      <c r="AZ316" s="50">
        <f t="shared" si="214"/>
        <v>1301139.0100000007</v>
      </c>
      <c r="BA316" s="15">
        <f t="shared" si="199"/>
        <v>-5832.3841583333333</v>
      </c>
      <c r="BB316" s="15">
        <f t="shared" si="211"/>
        <v>-61719.495108333344</v>
      </c>
    </row>
    <row r="317" spans="2:56" x14ac:dyDescent="0.3">
      <c r="B317" s="99">
        <f>B316+1</f>
        <v>44607</v>
      </c>
      <c r="C317" s="44">
        <f t="shared" si="216"/>
        <v>-3866714.46</v>
      </c>
      <c r="D317" s="45"/>
      <c r="E317" s="45">
        <v>-200000</v>
      </c>
      <c r="F317" s="45">
        <v>-35702.53</v>
      </c>
      <c r="G317" s="45">
        <f t="shared" si="195"/>
        <v>-4102416.9899999998</v>
      </c>
      <c r="H317" s="44">
        <v>4300000</v>
      </c>
      <c r="I317" s="46">
        <f t="shared" si="217"/>
        <v>-3139649.37</v>
      </c>
      <c r="J317" s="47">
        <v>227096.52</v>
      </c>
      <c r="K317" s="47">
        <v>200000</v>
      </c>
      <c r="L317" s="47">
        <v>-646515.51</v>
      </c>
      <c r="M317" s="47">
        <f t="shared" si="218"/>
        <v>-3359068.3600000003</v>
      </c>
      <c r="N317" s="46">
        <v>4000000</v>
      </c>
      <c r="O317" s="48">
        <f t="shared" si="219"/>
        <v>5978.9900000000198</v>
      </c>
      <c r="P317" s="55"/>
      <c r="Q317" s="55"/>
      <c r="R317" s="55">
        <v>-61.6</v>
      </c>
      <c r="S317" s="55">
        <f t="shared" si="220"/>
        <v>5917.3900000000194</v>
      </c>
      <c r="T317" s="48"/>
      <c r="U317" s="49">
        <f t="shared" si="221"/>
        <v>88.209999999729916</v>
      </c>
      <c r="V317" s="51"/>
      <c r="W317" s="51"/>
      <c r="X317" s="51">
        <v>-1.2</v>
      </c>
      <c r="Y317" s="51">
        <f t="shared" si="222"/>
        <v>87.009999999729914</v>
      </c>
      <c r="Z317" s="52"/>
      <c r="AA317" s="53">
        <f t="shared" si="223"/>
        <v>961.94000000000017</v>
      </c>
      <c r="AB317" s="54"/>
      <c r="AC317" s="54"/>
      <c r="AD317" s="54"/>
      <c r="AE317" s="54">
        <f t="shared" si="224"/>
        <v>961.94000000000017</v>
      </c>
      <c r="AF317" s="53"/>
      <c r="AG317" s="53">
        <f t="shared" si="203"/>
        <v>473.69999999995343</v>
      </c>
      <c r="AH317" s="54"/>
      <c r="AI317" s="54"/>
      <c r="AJ317" s="54"/>
      <c r="AK317" s="54">
        <f t="shared" si="225"/>
        <v>473.69999999995343</v>
      </c>
      <c r="AL317" s="53"/>
      <c r="AM317" s="53">
        <f t="shared" si="209"/>
        <v>0</v>
      </c>
      <c r="AN317" s="54"/>
      <c r="AO317" s="54"/>
      <c r="AP317" s="54"/>
      <c r="AQ317" s="54">
        <f t="shared" si="210"/>
        <v>0</v>
      </c>
      <c r="AR317" s="53"/>
      <c r="AS317" s="50">
        <f t="shared" si="226"/>
        <v>-6998860.9899999993</v>
      </c>
      <c r="AT317" s="50">
        <f t="shared" si="191"/>
        <v>227096.52</v>
      </c>
      <c r="AU317" s="50">
        <f t="shared" si="205"/>
        <v>0</v>
      </c>
      <c r="AV317" s="50">
        <f t="shared" si="192"/>
        <v>-682280.84</v>
      </c>
      <c r="AW317" s="50"/>
      <c r="AX317" s="50">
        <f t="shared" si="212"/>
        <v>-7454045.3099999996</v>
      </c>
      <c r="AY317" s="50">
        <f t="shared" si="213"/>
        <v>8300000</v>
      </c>
      <c r="AZ317" s="50">
        <f t="shared" si="214"/>
        <v>845954.69000000041</v>
      </c>
      <c r="BA317" s="15">
        <f t="shared" si="199"/>
        <v>-6211.7044249999999</v>
      </c>
      <c r="BB317" s="15">
        <f t="shared" si="211"/>
        <v>-67931.199533333347</v>
      </c>
    </row>
    <row r="318" spans="2:56" x14ac:dyDescent="0.3">
      <c r="B318" s="100">
        <f t="shared" ref="B318:B319" si="227">B317+1</f>
        <v>44608</v>
      </c>
      <c r="C318" s="44">
        <f t="shared" si="216"/>
        <v>-4102416.9899999998</v>
      </c>
      <c r="D318" s="45"/>
      <c r="E318" s="45"/>
      <c r="F318" s="45"/>
      <c r="G318" s="45">
        <f t="shared" si="195"/>
        <v>-4102416.9899999998</v>
      </c>
      <c r="H318" s="44">
        <v>4300000</v>
      </c>
      <c r="I318" s="46">
        <f t="shared" si="217"/>
        <v>-3359068.3600000003</v>
      </c>
      <c r="J318" s="47"/>
      <c r="K318" s="47">
        <v>117000</v>
      </c>
      <c r="L318" s="47">
        <v>-50290.159999999698</v>
      </c>
      <c r="M318" s="47">
        <f t="shared" si="218"/>
        <v>-3292358.52</v>
      </c>
      <c r="N318" s="46">
        <v>4000000</v>
      </c>
      <c r="O318" s="48">
        <f t="shared" si="219"/>
        <v>5917.3900000000194</v>
      </c>
      <c r="P318" s="55"/>
      <c r="Q318" s="55">
        <f>112000-117000</f>
        <v>-5000</v>
      </c>
      <c r="R318" s="55">
        <v>-10</v>
      </c>
      <c r="S318" s="55">
        <f t="shared" si="220"/>
        <v>907.39000000001943</v>
      </c>
      <c r="T318" s="48"/>
      <c r="U318" s="49">
        <f t="shared" si="221"/>
        <v>87.009999999729914</v>
      </c>
      <c r="V318" s="51">
        <v>111944.28</v>
      </c>
      <c r="W318" s="51">
        <f>-112000</f>
        <v>-112000</v>
      </c>
      <c r="X318" s="51">
        <v>-1.2</v>
      </c>
      <c r="Y318" s="51">
        <f t="shared" si="222"/>
        <v>30.089999999731663</v>
      </c>
      <c r="Z318" s="52"/>
      <c r="AA318" s="53">
        <f t="shared" si="223"/>
        <v>961.94000000000017</v>
      </c>
      <c r="AB318" s="54"/>
      <c r="AC318" s="54"/>
      <c r="AD318" s="54"/>
      <c r="AE318" s="54">
        <f t="shared" si="224"/>
        <v>961.94000000000017</v>
      </c>
      <c r="AF318" s="53"/>
      <c r="AG318" s="53">
        <f t="shared" si="203"/>
        <v>473.69999999995343</v>
      </c>
      <c r="AH318" s="54"/>
      <c r="AI318" s="54"/>
      <c r="AJ318" s="54"/>
      <c r="AK318" s="54">
        <f t="shared" si="225"/>
        <v>473.69999999995343</v>
      </c>
      <c r="AL318" s="53"/>
      <c r="AM318" s="53">
        <f t="shared" si="209"/>
        <v>0</v>
      </c>
      <c r="AN318" s="54"/>
      <c r="AO318" s="54"/>
      <c r="AP318" s="54"/>
      <c r="AQ318" s="54">
        <f t="shared" si="210"/>
        <v>0</v>
      </c>
      <c r="AR318" s="53"/>
      <c r="AS318" s="50">
        <f t="shared" si="226"/>
        <v>-7454045.3099999996</v>
      </c>
      <c r="AT318" s="50">
        <f t="shared" si="191"/>
        <v>111944.28</v>
      </c>
      <c r="AU318" s="50">
        <f t="shared" si="205"/>
        <v>0</v>
      </c>
      <c r="AV318" s="50">
        <f t="shared" si="192"/>
        <v>-50301.359999999695</v>
      </c>
      <c r="AW318" s="50"/>
      <c r="AX318" s="50">
        <f t="shared" si="212"/>
        <v>-7392402.3899999997</v>
      </c>
      <c r="AY318" s="50">
        <f t="shared" si="213"/>
        <v>8300000</v>
      </c>
      <c r="AZ318" s="50">
        <f t="shared" si="214"/>
        <v>907597.61000000034</v>
      </c>
      <c r="BA318" s="15">
        <f t="shared" si="199"/>
        <v>-6160.335325</v>
      </c>
      <c r="BB318" s="15">
        <f t="shared" si="211"/>
        <v>-74091.534858333354</v>
      </c>
    </row>
    <row r="319" spans="2:56" x14ac:dyDescent="0.3">
      <c r="B319" s="99">
        <f t="shared" si="227"/>
        <v>44609</v>
      </c>
      <c r="C319" s="44">
        <f t="shared" si="216"/>
        <v>-4102416.9899999998</v>
      </c>
      <c r="D319" s="45">
        <v>268850.49</v>
      </c>
      <c r="E319" s="45"/>
      <c r="F319" s="45">
        <v>-0.85</v>
      </c>
      <c r="G319" s="45">
        <f t="shared" si="195"/>
        <v>-3833567.35</v>
      </c>
      <c r="H319" s="44">
        <v>4300000</v>
      </c>
      <c r="I319" s="46">
        <f t="shared" ref="I319:I378" si="228">M318</f>
        <v>-3292358.52</v>
      </c>
      <c r="J319" s="47">
        <v>168875</v>
      </c>
      <c r="K319" s="47"/>
      <c r="L319" s="47">
        <v>-26453.78</v>
      </c>
      <c r="M319" s="47">
        <f t="shared" si="218"/>
        <v>-3149937.3</v>
      </c>
      <c r="N319" s="46">
        <v>4000000</v>
      </c>
      <c r="O319" s="48">
        <f t="shared" si="219"/>
        <v>907.39000000001943</v>
      </c>
      <c r="P319" s="55">
        <f>163.84+512.32</f>
        <v>676.16000000000008</v>
      </c>
      <c r="Q319" s="55"/>
      <c r="R319" s="55"/>
      <c r="S319" s="55">
        <f t="shared" si="220"/>
        <v>1583.5500000000195</v>
      </c>
      <c r="T319" s="48"/>
      <c r="U319" s="49">
        <f t="shared" si="221"/>
        <v>30.089999999731663</v>
      </c>
      <c r="V319" s="51"/>
      <c r="W319" s="51"/>
      <c r="X319" s="51"/>
      <c r="Y319" s="51">
        <f t="shared" si="222"/>
        <v>30.089999999731663</v>
      </c>
      <c r="Z319" s="52"/>
      <c r="AA319" s="53">
        <f t="shared" si="223"/>
        <v>961.94000000000017</v>
      </c>
      <c r="AB319" s="54"/>
      <c r="AC319" s="54"/>
      <c r="AD319" s="54">
        <v>-240.2</v>
      </c>
      <c r="AE319" s="54">
        <f t="shared" si="224"/>
        <v>721.74000000000024</v>
      </c>
      <c r="AF319" s="53"/>
      <c r="AG319" s="53">
        <f t="shared" si="203"/>
        <v>473.69999999995343</v>
      </c>
      <c r="AH319" s="54"/>
      <c r="AI319" s="54"/>
      <c r="AJ319" s="54"/>
      <c r="AK319" s="54">
        <f t="shared" si="225"/>
        <v>473.69999999995343</v>
      </c>
      <c r="AL319" s="53"/>
      <c r="AM319" s="53">
        <f t="shared" si="209"/>
        <v>0</v>
      </c>
      <c r="AN319" s="54"/>
      <c r="AO319" s="54"/>
      <c r="AP319" s="54"/>
      <c r="AQ319" s="54">
        <f t="shared" si="210"/>
        <v>0</v>
      </c>
      <c r="AR319" s="53"/>
      <c r="AS319" s="50">
        <f t="shared" si="226"/>
        <v>-7392402.3899999997</v>
      </c>
      <c r="AT319" s="50">
        <f t="shared" si="191"/>
        <v>438401.64999999997</v>
      </c>
      <c r="AU319" s="50">
        <f t="shared" si="205"/>
        <v>0</v>
      </c>
      <c r="AV319" s="50">
        <f t="shared" si="192"/>
        <v>-26694.829999999998</v>
      </c>
      <c r="AW319" s="50"/>
      <c r="AX319" s="50">
        <f t="shared" si="212"/>
        <v>-6980695.5700000003</v>
      </c>
      <c r="AY319" s="50">
        <f t="shared" si="213"/>
        <v>8300000</v>
      </c>
      <c r="AZ319" s="50">
        <f t="shared" si="214"/>
        <v>1319304.4299999997</v>
      </c>
      <c r="BA319" s="15">
        <f t="shared" si="199"/>
        <v>-5817.2463083333341</v>
      </c>
      <c r="BB319" s="15">
        <f t="shared" si="211"/>
        <v>-79908.781166666682</v>
      </c>
    </row>
    <row r="320" spans="2:56" x14ac:dyDescent="0.3">
      <c r="B320" s="99">
        <f>B319+1</f>
        <v>44610</v>
      </c>
      <c r="C320" s="44">
        <f t="shared" si="216"/>
        <v>-3833567.35</v>
      </c>
      <c r="D320" s="45">
        <v>61308.57</v>
      </c>
      <c r="E320" s="45">
        <v>-150000</v>
      </c>
      <c r="F320" s="45"/>
      <c r="G320" s="45">
        <f t="shared" si="195"/>
        <v>-3922258.7800000003</v>
      </c>
      <c r="H320" s="44">
        <v>4300000</v>
      </c>
      <c r="I320" s="46">
        <f t="shared" si="228"/>
        <v>-3149937.3</v>
      </c>
      <c r="J320" s="47">
        <v>175577.69</v>
      </c>
      <c r="K320" s="47">
        <v>150000</v>
      </c>
      <c r="L320" s="47">
        <v>-651787.37</v>
      </c>
      <c r="M320" s="47">
        <f t="shared" si="218"/>
        <v>-3476146.98</v>
      </c>
      <c r="N320" s="46">
        <v>4000000</v>
      </c>
      <c r="O320" s="48">
        <f t="shared" si="219"/>
        <v>1583.5500000000195</v>
      </c>
      <c r="P320" s="55"/>
      <c r="Q320" s="55"/>
      <c r="R320" s="55"/>
      <c r="S320" s="55">
        <f t="shared" si="220"/>
        <v>1583.5500000000195</v>
      </c>
      <c r="T320" s="48"/>
      <c r="U320" s="49">
        <f t="shared" si="221"/>
        <v>30.089999999731663</v>
      </c>
      <c r="V320" s="51"/>
      <c r="W320" s="51"/>
      <c r="X320" s="51"/>
      <c r="Y320" s="51">
        <f t="shared" si="222"/>
        <v>30.089999999731663</v>
      </c>
      <c r="Z320" s="52"/>
      <c r="AA320" s="53">
        <f t="shared" si="223"/>
        <v>721.74000000000024</v>
      </c>
      <c r="AB320" s="54"/>
      <c r="AC320" s="54"/>
      <c r="AD320" s="54">
        <v>-573</v>
      </c>
      <c r="AE320" s="54">
        <f t="shared" si="224"/>
        <v>148.74000000000024</v>
      </c>
      <c r="AF320" s="53"/>
      <c r="AG320" s="53">
        <f t="shared" si="203"/>
        <v>473.69999999995343</v>
      </c>
      <c r="AH320" s="54"/>
      <c r="AI320" s="54"/>
      <c r="AJ320" s="54"/>
      <c r="AK320" s="54">
        <f t="shared" si="225"/>
        <v>473.69999999995343</v>
      </c>
      <c r="AL320" s="53"/>
      <c r="AM320" s="53">
        <f t="shared" si="209"/>
        <v>0</v>
      </c>
      <c r="AN320" s="54"/>
      <c r="AO320" s="54"/>
      <c r="AP320" s="54"/>
      <c r="AQ320" s="54">
        <f t="shared" si="210"/>
        <v>0</v>
      </c>
      <c r="AR320" s="53"/>
      <c r="AS320" s="50">
        <f t="shared" si="226"/>
        <v>-6980695.5700000003</v>
      </c>
      <c r="AT320" s="50">
        <f t="shared" si="191"/>
        <v>236886.26</v>
      </c>
      <c r="AU320" s="50">
        <f t="shared" si="205"/>
        <v>0</v>
      </c>
      <c r="AV320" s="50">
        <f t="shared" si="192"/>
        <v>-652360.37</v>
      </c>
      <c r="AW320" s="50"/>
      <c r="AX320" s="50">
        <f t="shared" si="212"/>
        <v>-7396169.6799999997</v>
      </c>
      <c r="AY320" s="50">
        <f t="shared" si="213"/>
        <v>8300000</v>
      </c>
      <c r="AZ320" s="50">
        <f t="shared" si="214"/>
        <v>903830.3200000003</v>
      </c>
      <c r="BA320" s="15">
        <f t="shared" si="199"/>
        <v>-6163.4747333333335</v>
      </c>
      <c r="BB320" s="15">
        <f t="shared" si="211"/>
        <v>-86072.255900000018</v>
      </c>
    </row>
    <row r="321" spans="2:54" x14ac:dyDescent="0.3">
      <c r="B321" s="99">
        <f>B320+3</f>
        <v>44613</v>
      </c>
      <c r="C321" s="44">
        <f t="shared" si="216"/>
        <v>-3922258.7800000003</v>
      </c>
      <c r="D321" s="45">
        <v>4416.08</v>
      </c>
      <c r="E321" s="45">
        <v>-100000</v>
      </c>
      <c r="F321" s="45"/>
      <c r="G321" s="45">
        <f t="shared" si="195"/>
        <v>-4017842.7</v>
      </c>
      <c r="H321" s="44">
        <v>4300000</v>
      </c>
      <c r="I321" s="46">
        <f t="shared" si="228"/>
        <v>-3476146.98</v>
      </c>
      <c r="J321" s="47"/>
      <c r="K321" s="47">
        <v>100000</v>
      </c>
      <c r="L321" s="47">
        <v>-146071.49</v>
      </c>
      <c r="M321" s="47">
        <f t="shared" si="218"/>
        <v>-3522218.4699999997</v>
      </c>
      <c r="N321" s="46">
        <v>4000000</v>
      </c>
      <c r="O321" s="48">
        <f t="shared" si="219"/>
        <v>1583.5500000000195</v>
      </c>
      <c r="P321" s="55"/>
      <c r="Q321" s="55"/>
      <c r="R321" s="55"/>
      <c r="S321" s="55">
        <f t="shared" si="220"/>
        <v>1583.5500000000195</v>
      </c>
      <c r="T321" s="48"/>
      <c r="U321" s="49">
        <f t="shared" si="221"/>
        <v>30.089999999731663</v>
      </c>
      <c r="V321" s="51"/>
      <c r="W321" s="51"/>
      <c r="X321" s="51"/>
      <c r="Y321" s="51">
        <f t="shared" si="222"/>
        <v>30.089999999731663</v>
      </c>
      <c r="Z321" s="52"/>
      <c r="AA321" s="53">
        <f t="shared" si="223"/>
        <v>148.74000000000024</v>
      </c>
      <c r="AB321" s="54"/>
      <c r="AC321" s="54"/>
      <c r="AD321" s="54"/>
      <c r="AE321" s="54">
        <f t="shared" si="224"/>
        <v>148.74000000000024</v>
      </c>
      <c r="AF321" s="53"/>
      <c r="AG321" s="53">
        <f t="shared" si="203"/>
        <v>473.69999999995343</v>
      </c>
      <c r="AH321" s="54"/>
      <c r="AI321" s="54"/>
      <c r="AJ321" s="54"/>
      <c r="AK321" s="54">
        <f t="shared" si="225"/>
        <v>473.69999999995343</v>
      </c>
      <c r="AL321" s="53"/>
      <c r="AM321" s="53">
        <f t="shared" si="209"/>
        <v>0</v>
      </c>
      <c r="AN321" s="54"/>
      <c r="AO321" s="54"/>
      <c r="AP321" s="54"/>
      <c r="AQ321" s="54">
        <f t="shared" si="210"/>
        <v>0</v>
      </c>
      <c r="AR321" s="53"/>
      <c r="AS321" s="50">
        <f t="shared" si="226"/>
        <v>-7396169.6799999997</v>
      </c>
      <c r="AT321" s="73">
        <f t="shared" si="191"/>
        <v>4416.08</v>
      </c>
      <c r="AU321" s="50">
        <f t="shared" si="205"/>
        <v>0</v>
      </c>
      <c r="AV321" s="50">
        <f t="shared" si="192"/>
        <v>-146071.49</v>
      </c>
      <c r="AW321" s="50"/>
      <c r="AX321" s="50">
        <f t="shared" si="212"/>
        <v>-7537825.0899999999</v>
      </c>
      <c r="AY321" s="50">
        <f t="shared" si="213"/>
        <v>8300000</v>
      </c>
      <c r="AZ321" s="50">
        <f t="shared" si="214"/>
        <v>762174.91000000015</v>
      </c>
      <c r="BA321" s="15">
        <f t="shared" si="199"/>
        <v>-6281.5209083333339</v>
      </c>
      <c r="BB321" s="15">
        <f t="shared" si="211"/>
        <v>-92353.77680833335</v>
      </c>
    </row>
    <row r="322" spans="2:54" x14ac:dyDescent="0.3">
      <c r="B322" s="99">
        <f>B321+1</f>
        <v>44614</v>
      </c>
      <c r="C322" s="44">
        <f t="shared" si="216"/>
        <v>-4017842.7</v>
      </c>
      <c r="D322" s="45"/>
      <c r="E322" s="45">
        <v>-50000</v>
      </c>
      <c r="F322" s="45">
        <v>-0.85</v>
      </c>
      <c r="G322" s="45">
        <f t="shared" si="195"/>
        <v>-4067843.5500000003</v>
      </c>
      <c r="H322" s="44">
        <v>4300000</v>
      </c>
      <c r="I322" s="46">
        <f t="shared" si="228"/>
        <v>-3522218.4699999997</v>
      </c>
      <c r="J322" s="47">
        <v>53971</v>
      </c>
      <c r="K322" s="47">
        <v>50000</v>
      </c>
      <c r="L322" s="47">
        <v>-105767.75</v>
      </c>
      <c r="M322" s="47">
        <f t="shared" si="218"/>
        <v>-3524015.2199999997</v>
      </c>
      <c r="N322" s="46">
        <v>4000000</v>
      </c>
      <c r="O322" s="48">
        <f t="shared" si="219"/>
        <v>1583.5500000000195</v>
      </c>
      <c r="P322" s="55"/>
      <c r="Q322" s="55"/>
      <c r="R322" s="55"/>
      <c r="S322" s="55">
        <f t="shared" si="220"/>
        <v>1583.5500000000195</v>
      </c>
      <c r="T322" s="48"/>
      <c r="U322" s="49">
        <f t="shared" si="221"/>
        <v>30.089999999731663</v>
      </c>
      <c r="V322" s="51"/>
      <c r="W322" s="51"/>
      <c r="X322" s="51"/>
      <c r="Y322" s="51">
        <f t="shared" si="222"/>
        <v>30.089999999731663</v>
      </c>
      <c r="Z322" s="52"/>
      <c r="AA322" s="53">
        <f t="shared" si="223"/>
        <v>148.74000000000024</v>
      </c>
      <c r="AB322" s="54"/>
      <c r="AC322" s="54"/>
      <c r="AD322" s="54"/>
      <c r="AE322" s="54">
        <f t="shared" si="224"/>
        <v>148.74000000000024</v>
      </c>
      <c r="AF322" s="53"/>
      <c r="AG322" s="53">
        <f t="shared" si="203"/>
        <v>473.69999999995343</v>
      </c>
      <c r="AH322" s="54"/>
      <c r="AI322" s="54"/>
      <c r="AJ322" s="54"/>
      <c r="AK322" s="54">
        <f t="shared" si="225"/>
        <v>473.69999999995343</v>
      </c>
      <c r="AL322" s="53"/>
      <c r="AM322" s="53">
        <f t="shared" si="209"/>
        <v>0</v>
      </c>
      <c r="AN322" s="54"/>
      <c r="AO322" s="54"/>
      <c r="AP322" s="54"/>
      <c r="AQ322" s="54">
        <f t="shared" si="210"/>
        <v>0</v>
      </c>
      <c r="AR322" s="53"/>
      <c r="AS322" s="50">
        <f t="shared" si="226"/>
        <v>-7537825.0899999999</v>
      </c>
      <c r="AT322" s="73">
        <f t="shared" si="191"/>
        <v>53971</v>
      </c>
      <c r="AU322" s="50">
        <f t="shared" si="205"/>
        <v>0</v>
      </c>
      <c r="AV322" s="50">
        <f t="shared" si="192"/>
        <v>-105768.6</v>
      </c>
      <c r="AW322" s="50"/>
      <c r="AX322" s="50">
        <f t="shared" si="212"/>
        <v>-7589622.6899999995</v>
      </c>
      <c r="AY322" s="50">
        <f t="shared" si="213"/>
        <v>8300000</v>
      </c>
      <c r="AZ322" s="50">
        <f t="shared" si="214"/>
        <v>710377.31000000052</v>
      </c>
      <c r="BA322" s="15">
        <f t="shared" si="199"/>
        <v>-6324.6855749999995</v>
      </c>
      <c r="BB322" s="15">
        <f t="shared" si="211"/>
        <v>-98678.462383333346</v>
      </c>
    </row>
    <row r="323" spans="2:54" x14ac:dyDescent="0.3">
      <c r="B323" s="99">
        <f t="shared" ref="B323:B324" si="229">B322+1</f>
        <v>44615</v>
      </c>
      <c r="C323" s="44">
        <f t="shared" si="216"/>
        <v>-4067843.5500000003</v>
      </c>
      <c r="D323" s="45">
        <v>14922.15</v>
      </c>
      <c r="E323" s="45">
        <v>-50000</v>
      </c>
      <c r="F323" s="45">
        <v>-0.85</v>
      </c>
      <c r="G323" s="45">
        <f t="shared" si="195"/>
        <v>-4102922.2500000005</v>
      </c>
      <c r="H323" s="44">
        <v>4300000</v>
      </c>
      <c r="I323" s="46">
        <f t="shared" si="228"/>
        <v>-3524015.2199999997</v>
      </c>
      <c r="J323" s="47">
        <f>9291.15+27321.9</f>
        <v>36613.050000000003</v>
      </c>
      <c r="K323" s="47">
        <v>50000</v>
      </c>
      <c r="L323" s="47">
        <v>-36381.690000000097</v>
      </c>
      <c r="M323" s="47">
        <f t="shared" si="218"/>
        <v>-3473783.86</v>
      </c>
      <c r="N323" s="46">
        <v>4000000</v>
      </c>
      <c r="O323" s="48">
        <f t="shared" si="219"/>
        <v>1583.5500000000195</v>
      </c>
      <c r="P323" s="55">
        <f>222.38+162.88+651.84</f>
        <v>1037.0999999999999</v>
      </c>
      <c r="Q323" s="55"/>
      <c r="R323" s="55"/>
      <c r="S323" s="55">
        <f t="shared" si="220"/>
        <v>2620.6500000000196</v>
      </c>
      <c r="T323" s="48"/>
      <c r="U323" s="49">
        <f t="shared" si="221"/>
        <v>30.089999999731663</v>
      </c>
      <c r="V323" s="51"/>
      <c r="W323" s="51"/>
      <c r="X323" s="51"/>
      <c r="Y323" s="51">
        <f t="shared" si="222"/>
        <v>30.089999999731663</v>
      </c>
      <c r="Z323" s="52"/>
      <c r="AA323" s="53">
        <f t="shared" si="223"/>
        <v>148.74000000000024</v>
      </c>
      <c r="AB323" s="54"/>
      <c r="AC323" s="54"/>
      <c r="AD323" s="54"/>
      <c r="AE323" s="54">
        <f t="shared" si="224"/>
        <v>148.74000000000024</v>
      </c>
      <c r="AF323" s="53"/>
      <c r="AG323" s="53">
        <f t="shared" si="203"/>
        <v>473.69999999995343</v>
      </c>
      <c r="AH323" s="54"/>
      <c r="AI323" s="54"/>
      <c r="AJ323" s="54"/>
      <c r="AK323" s="54">
        <f t="shared" si="225"/>
        <v>473.69999999995343</v>
      </c>
      <c r="AL323" s="53"/>
      <c r="AM323" s="53">
        <f t="shared" si="209"/>
        <v>0</v>
      </c>
      <c r="AN323" s="54"/>
      <c r="AO323" s="54"/>
      <c r="AP323" s="54"/>
      <c r="AQ323" s="54">
        <f t="shared" si="210"/>
        <v>0</v>
      </c>
      <c r="AR323" s="53"/>
      <c r="AS323" s="50">
        <f t="shared" si="226"/>
        <v>-7589622.6899999995</v>
      </c>
      <c r="AT323" s="73">
        <f t="shared" si="191"/>
        <v>52572.3</v>
      </c>
      <c r="AU323" s="50">
        <f t="shared" si="205"/>
        <v>0</v>
      </c>
      <c r="AV323" s="50">
        <f t="shared" si="192"/>
        <v>-36382.540000000095</v>
      </c>
      <c r="AW323" s="50"/>
      <c r="AX323" s="50">
        <f t="shared" si="212"/>
        <v>-7573432.9299999997</v>
      </c>
      <c r="AY323" s="50">
        <f t="shared" si="213"/>
        <v>8300000</v>
      </c>
      <c r="AZ323" s="50">
        <f t="shared" si="214"/>
        <v>726567.0700000003</v>
      </c>
      <c r="BA323" s="15">
        <f t="shared" si="199"/>
        <v>-6311.1941083333331</v>
      </c>
      <c r="BB323" s="15">
        <f t="shared" si="211"/>
        <v>-104989.65649166668</v>
      </c>
    </row>
    <row r="324" spans="2:54" x14ac:dyDescent="0.3">
      <c r="B324" s="99">
        <f t="shared" si="229"/>
        <v>44616</v>
      </c>
      <c r="C324" s="44">
        <f t="shared" si="216"/>
        <v>-4102922.2500000005</v>
      </c>
      <c r="D324" s="45">
        <f>9884.74*2+25048.56+154498.04</f>
        <v>199316.08000000002</v>
      </c>
      <c r="E324" s="45"/>
      <c r="F324" s="45">
        <v>-278800.63</v>
      </c>
      <c r="G324" s="45">
        <f t="shared" si="195"/>
        <v>-4182406.8000000003</v>
      </c>
      <c r="H324" s="44">
        <v>4300000</v>
      </c>
      <c r="I324" s="46">
        <f t="shared" si="228"/>
        <v>-3473783.86</v>
      </c>
      <c r="J324" s="47"/>
      <c r="K324" s="47"/>
      <c r="L324" s="47">
        <v>-38330.780000000101</v>
      </c>
      <c r="M324" s="47">
        <f t="shared" si="218"/>
        <v>-3512114.64</v>
      </c>
      <c r="N324" s="46">
        <v>4000000</v>
      </c>
      <c r="O324" s="48">
        <f t="shared" si="219"/>
        <v>2620.6500000000196</v>
      </c>
      <c r="P324" s="55"/>
      <c r="Q324" s="55"/>
      <c r="R324" s="55"/>
      <c r="S324" s="55">
        <f t="shared" si="220"/>
        <v>2620.6500000000196</v>
      </c>
      <c r="T324" s="48"/>
      <c r="U324" s="49">
        <f t="shared" si="221"/>
        <v>30.089999999731663</v>
      </c>
      <c r="V324" s="51"/>
      <c r="W324" s="51"/>
      <c r="X324" s="51"/>
      <c r="Y324" s="51">
        <f t="shared" si="222"/>
        <v>30.089999999731663</v>
      </c>
      <c r="Z324" s="52"/>
      <c r="AA324" s="53">
        <f t="shared" si="223"/>
        <v>148.74000000000024</v>
      </c>
      <c r="AB324" s="54"/>
      <c r="AC324" s="54"/>
      <c r="AD324" s="54"/>
      <c r="AE324" s="54">
        <f t="shared" si="224"/>
        <v>148.74000000000024</v>
      </c>
      <c r="AF324" s="53"/>
      <c r="AG324" s="53">
        <f t="shared" si="203"/>
        <v>473.69999999995343</v>
      </c>
      <c r="AH324" s="54"/>
      <c r="AI324" s="54"/>
      <c r="AJ324" s="54"/>
      <c r="AK324" s="54">
        <f t="shared" si="225"/>
        <v>473.69999999995343</v>
      </c>
      <c r="AL324" s="53"/>
      <c r="AM324" s="53">
        <f t="shared" si="209"/>
        <v>0</v>
      </c>
      <c r="AN324" s="54"/>
      <c r="AO324" s="54"/>
      <c r="AP324" s="54"/>
      <c r="AQ324" s="54">
        <f t="shared" si="210"/>
        <v>0</v>
      </c>
      <c r="AR324" s="53"/>
      <c r="AS324" s="50">
        <f t="shared" si="226"/>
        <v>-7573432.9299999997</v>
      </c>
      <c r="AT324" s="73">
        <f t="shared" si="191"/>
        <v>199316.08000000002</v>
      </c>
      <c r="AU324" s="50">
        <f t="shared" si="205"/>
        <v>0</v>
      </c>
      <c r="AV324" s="50">
        <f t="shared" si="192"/>
        <v>-317131.41000000009</v>
      </c>
      <c r="AW324" s="50"/>
      <c r="AX324" s="50">
        <f t="shared" si="212"/>
        <v>-7691248.2599999998</v>
      </c>
      <c r="AY324" s="50">
        <f t="shared" si="213"/>
        <v>8300000</v>
      </c>
      <c r="AZ324" s="50">
        <f t="shared" si="214"/>
        <v>608751.74000000022</v>
      </c>
      <c r="BA324" s="15">
        <f t="shared" si="199"/>
        <v>-6409.3735500000003</v>
      </c>
      <c r="BB324" s="15">
        <f t="shared" si="211"/>
        <v>-111399.03004166669</v>
      </c>
    </row>
    <row r="325" spans="2:54" x14ac:dyDescent="0.3">
      <c r="B325" s="99">
        <f>B324+1</f>
        <v>44617</v>
      </c>
      <c r="C325" s="44">
        <f t="shared" si="216"/>
        <v>-4182406.8000000003</v>
      </c>
      <c r="D325" s="45">
        <f>71534.56+23340.49+21020.87+2453.26+453.38+1000000</f>
        <v>1118802.56</v>
      </c>
      <c r="E325" s="45"/>
      <c r="F325" s="45">
        <v>-1118710.71</v>
      </c>
      <c r="G325" s="45">
        <f t="shared" si="195"/>
        <v>-4182314.95</v>
      </c>
      <c r="H325" s="44">
        <v>4300000</v>
      </c>
      <c r="I325" s="46">
        <f t="shared" si="228"/>
        <v>-3512114.64</v>
      </c>
      <c r="J325" s="47">
        <f>1150552.05+500000</f>
        <v>1650552.05</v>
      </c>
      <c r="K325" s="47">
        <f>35000</f>
        <v>35000</v>
      </c>
      <c r="L325" s="47">
        <v>-806615.97</v>
      </c>
      <c r="M325" s="47">
        <f t="shared" si="218"/>
        <v>-2633178.56</v>
      </c>
      <c r="N325" s="46">
        <v>4000000</v>
      </c>
      <c r="O325" s="48">
        <f t="shared" si="219"/>
        <v>2620.6500000000196</v>
      </c>
      <c r="P325" s="55">
        <f>3383.16+24911.54+1037.5+30226.25</f>
        <v>59558.45</v>
      </c>
      <c r="Q325" s="55">
        <v>-35000</v>
      </c>
      <c r="R325" s="55">
        <v>-1564.9500000000201</v>
      </c>
      <c r="S325" s="55">
        <f t="shared" si="220"/>
        <v>25614.15</v>
      </c>
      <c r="T325" s="48"/>
      <c r="U325" s="49">
        <f t="shared" si="221"/>
        <v>30.089999999731663</v>
      </c>
      <c r="V325" s="51"/>
      <c r="W325" s="51"/>
      <c r="X325" s="51"/>
      <c r="Y325" s="51">
        <f t="shared" si="222"/>
        <v>30.089999999731663</v>
      </c>
      <c r="Z325" s="52"/>
      <c r="AA325" s="53">
        <f t="shared" si="223"/>
        <v>148.74000000000024</v>
      </c>
      <c r="AB325" s="54"/>
      <c r="AC325" s="54"/>
      <c r="AD325" s="54"/>
      <c r="AE325" s="54">
        <f t="shared" si="224"/>
        <v>148.74000000000024</v>
      </c>
      <c r="AF325" s="53"/>
      <c r="AG325" s="53">
        <f t="shared" si="203"/>
        <v>473.69999999995343</v>
      </c>
      <c r="AH325" s="54"/>
      <c r="AI325" s="54"/>
      <c r="AJ325" s="54"/>
      <c r="AK325" s="54">
        <f t="shared" si="225"/>
        <v>473.69999999995343</v>
      </c>
      <c r="AL325" s="53"/>
      <c r="AM325" s="53">
        <f t="shared" si="209"/>
        <v>0</v>
      </c>
      <c r="AN325" s="54"/>
      <c r="AO325" s="54"/>
      <c r="AP325" s="54"/>
      <c r="AQ325" s="54">
        <f t="shared" si="210"/>
        <v>0</v>
      </c>
      <c r="AR325" s="53"/>
      <c r="AS325" s="50">
        <f t="shared" si="226"/>
        <v>-7691248.2599999998</v>
      </c>
      <c r="AT325" s="73">
        <f t="shared" si="191"/>
        <v>2828913.0600000005</v>
      </c>
      <c r="AU325" s="50">
        <f t="shared" si="205"/>
        <v>0</v>
      </c>
      <c r="AV325" s="50">
        <f t="shared" si="192"/>
        <v>-1926891.63</v>
      </c>
      <c r="AW325" s="50"/>
      <c r="AX325" s="50">
        <f t="shared" si="212"/>
        <v>-6789226.8299999991</v>
      </c>
      <c r="AY325" s="50">
        <f t="shared" si="213"/>
        <v>8300000</v>
      </c>
      <c r="AZ325" s="50">
        <f t="shared" si="214"/>
        <v>1510773.1700000009</v>
      </c>
      <c r="BA325" s="15">
        <f t="shared" si="199"/>
        <v>-5657.6890249999997</v>
      </c>
      <c r="BB325" s="15">
        <f t="shared" si="211"/>
        <v>-117056.71906666669</v>
      </c>
    </row>
    <row r="326" spans="2:54" x14ac:dyDescent="0.3">
      <c r="B326" s="99">
        <f>B325+3</f>
        <v>44620</v>
      </c>
      <c r="C326" s="44">
        <f t="shared" si="216"/>
        <v>-4182314.95</v>
      </c>
      <c r="D326" s="45"/>
      <c r="E326" s="45"/>
      <c r="F326" s="45"/>
      <c r="G326" s="45">
        <f t="shared" si="195"/>
        <v>-4182314.95</v>
      </c>
      <c r="H326" s="44">
        <v>4300000</v>
      </c>
      <c r="I326" s="46">
        <f t="shared" si="228"/>
        <v>-2633178.56</v>
      </c>
      <c r="J326" s="47"/>
      <c r="K326" s="47"/>
      <c r="L326" s="47"/>
      <c r="M326" s="47">
        <f t="shared" si="218"/>
        <v>-2633178.56</v>
      </c>
      <c r="N326" s="46">
        <v>4000000</v>
      </c>
      <c r="O326" s="48">
        <f t="shared" si="219"/>
        <v>25614.15</v>
      </c>
      <c r="P326" s="55"/>
      <c r="Q326" s="55"/>
      <c r="R326" s="55"/>
      <c r="S326" s="55">
        <f t="shared" si="220"/>
        <v>25614.15</v>
      </c>
      <c r="T326" s="48"/>
      <c r="U326" s="49">
        <f t="shared" si="221"/>
        <v>30.089999999731663</v>
      </c>
      <c r="V326" s="51"/>
      <c r="W326" s="51"/>
      <c r="X326" s="51"/>
      <c r="Y326" s="51">
        <f t="shared" si="222"/>
        <v>30.089999999731663</v>
      </c>
      <c r="Z326" s="52"/>
      <c r="AA326" s="53">
        <f t="shared" si="223"/>
        <v>148.74000000000024</v>
      </c>
      <c r="AB326" s="54"/>
      <c r="AC326" s="54"/>
      <c r="AD326" s="54"/>
      <c r="AE326" s="54">
        <f t="shared" si="224"/>
        <v>148.74000000000024</v>
      </c>
      <c r="AF326" s="53"/>
      <c r="AG326" s="53">
        <f t="shared" si="203"/>
        <v>473.69999999995343</v>
      </c>
      <c r="AH326" s="54"/>
      <c r="AI326" s="54"/>
      <c r="AJ326" s="54"/>
      <c r="AK326" s="54">
        <f t="shared" si="225"/>
        <v>473.69999999995343</v>
      </c>
      <c r="AL326" s="53"/>
      <c r="AM326" s="53">
        <f t="shared" si="209"/>
        <v>0</v>
      </c>
      <c r="AN326" s="54"/>
      <c r="AO326" s="54"/>
      <c r="AP326" s="54"/>
      <c r="AQ326" s="54">
        <f t="shared" si="210"/>
        <v>0</v>
      </c>
      <c r="AR326" s="53"/>
      <c r="AS326" s="50">
        <f t="shared" si="226"/>
        <v>-6789226.8299999991</v>
      </c>
      <c r="AT326" s="73">
        <f t="shared" si="191"/>
        <v>0</v>
      </c>
      <c r="AU326" s="50">
        <f t="shared" si="205"/>
        <v>0</v>
      </c>
      <c r="AV326" s="50">
        <f t="shared" si="192"/>
        <v>0</v>
      </c>
      <c r="AW326" s="50"/>
      <c r="AX326" s="50">
        <f t="shared" si="212"/>
        <v>-6789226.8299999991</v>
      </c>
      <c r="AY326" s="50">
        <f t="shared" si="213"/>
        <v>8300000</v>
      </c>
      <c r="AZ326" s="50">
        <f t="shared" si="214"/>
        <v>1510773.1700000009</v>
      </c>
      <c r="BA326" s="82">
        <f t="shared" si="199"/>
        <v>-5657.6890249999997</v>
      </c>
      <c r="BB326" s="82">
        <f t="shared" si="211"/>
        <v>-122714.40809166669</v>
      </c>
    </row>
    <row r="327" spans="2:54" x14ac:dyDescent="0.3">
      <c r="B327" s="99">
        <f>B326+1</f>
        <v>44621</v>
      </c>
      <c r="C327" s="44">
        <f t="shared" si="216"/>
        <v>-4182314.95</v>
      </c>
      <c r="D327" s="45"/>
      <c r="E327" s="45"/>
      <c r="F327" s="45"/>
      <c r="G327" s="45">
        <f t="shared" si="195"/>
        <v>-4182314.95</v>
      </c>
      <c r="H327" s="44">
        <v>4300000</v>
      </c>
      <c r="I327" s="46">
        <f t="shared" si="228"/>
        <v>-2633178.56</v>
      </c>
      <c r="J327" s="47"/>
      <c r="K327" s="47"/>
      <c r="L327" s="47"/>
      <c r="M327" s="47">
        <f t="shared" si="218"/>
        <v>-2633178.56</v>
      </c>
      <c r="N327" s="46">
        <v>4000000</v>
      </c>
      <c r="O327" s="48">
        <f t="shared" si="219"/>
        <v>25614.15</v>
      </c>
      <c r="P327" s="55"/>
      <c r="Q327" s="55"/>
      <c r="R327" s="55"/>
      <c r="S327" s="55">
        <f t="shared" si="220"/>
        <v>25614.15</v>
      </c>
      <c r="T327" s="48"/>
      <c r="U327" s="49">
        <f t="shared" si="221"/>
        <v>30.089999999731663</v>
      </c>
      <c r="V327" s="51"/>
      <c r="W327" s="51"/>
      <c r="X327" s="51"/>
      <c r="Y327" s="51">
        <f t="shared" si="222"/>
        <v>30.089999999731663</v>
      </c>
      <c r="Z327" s="52"/>
      <c r="AA327" s="53">
        <f t="shared" si="223"/>
        <v>148.74000000000024</v>
      </c>
      <c r="AB327" s="54"/>
      <c r="AC327" s="54"/>
      <c r="AD327" s="54"/>
      <c r="AE327" s="54">
        <f t="shared" si="224"/>
        <v>148.74000000000024</v>
      </c>
      <c r="AF327" s="53"/>
      <c r="AG327" s="53">
        <f t="shared" si="203"/>
        <v>473.69999999995343</v>
      </c>
      <c r="AH327" s="54"/>
      <c r="AI327" s="54"/>
      <c r="AJ327" s="54"/>
      <c r="AK327" s="54">
        <f t="shared" si="225"/>
        <v>473.69999999995343</v>
      </c>
      <c r="AL327" s="53"/>
      <c r="AM327" s="53">
        <f t="shared" si="209"/>
        <v>0</v>
      </c>
      <c r="AN327" s="54"/>
      <c r="AO327" s="54"/>
      <c r="AP327" s="54"/>
      <c r="AQ327" s="54">
        <f t="shared" si="210"/>
        <v>0</v>
      </c>
      <c r="AR327" s="53"/>
      <c r="AS327" s="50">
        <f t="shared" si="226"/>
        <v>-6789226.8299999991</v>
      </c>
      <c r="AT327" s="73">
        <f t="shared" si="191"/>
        <v>0</v>
      </c>
      <c r="AU327" s="50">
        <f t="shared" si="205"/>
        <v>0</v>
      </c>
      <c r="AV327" s="50">
        <f t="shared" si="192"/>
        <v>0</v>
      </c>
      <c r="AW327" s="50"/>
      <c r="AX327" s="50">
        <f t="shared" si="212"/>
        <v>-6789226.8299999991</v>
      </c>
      <c r="AY327" s="50">
        <f t="shared" si="213"/>
        <v>8300000</v>
      </c>
      <c r="AZ327" s="50">
        <f t="shared" si="214"/>
        <v>1510773.1700000009</v>
      </c>
      <c r="BA327" s="15">
        <f t="shared" si="199"/>
        <v>-5657.6890249999997</v>
      </c>
      <c r="BB327" s="15">
        <f t="shared" ref="BB327" si="230">BA327</f>
        <v>-5657.6890249999997</v>
      </c>
    </row>
    <row r="328" spans="2:54" x14ac:dyDescent="0.3">
      <c r="B328" s="99">
        <f t="shared" ref="B328:B329" si="231">B327+1</f>
        <v>44622</v>
      </c>
      <c r="C328" s="44">
        <f t="shared" si="216"/>
        <v>-4182314.95</v>
      </c>
      <c r="D328" s="45">
        <v>533605.30999999994</v>
      </c>
      <c r="E328" s="45">
        <v>-350000</v>
      </c>
      <c r="F328" s="45">
        <v>-192531.55999999997</v>
      </c>
      <c r="G328" s="45">
        <f t="shared" si="195"/>
        <v>-4191241.2</v>
      </c>
      <c r="H328" s="44">
        <v>4300000</v>
      </c>
      <c r="I328" s="46">
        <f t="shared" si="228"/>
        <v>-2633178.56</v>
      </c>
      <c r="J328" s="47">
        <f>500000+105803.99</f>
        <v>605803.99</v>
      </c>
      <c r="K328" s="47">
        <f>350000+389000</f>
        <v>739000</v>
      </c>
      <c r="L328" s="47">
        <v>-2125270.5499999998</v>
      </c>
      <c r="M328" s="47">
        <f t="shared" si="218"/>
        <v>-3413645.12</v>
      </c>
      <c r="N328" s="46">
        <v>4000000</v>
      </c>
      <c r="O328" s="48">
        <f t="shared" si="219"/>
        <v>25614.15</v>
      </c>
      <c r="P328" s="55">
        <v>349496.26</v>
      </c>
      <c r="Q328" s="55">
        <f>-389000+14000</f>
        <v>-375000</v>
      </c>
      <c r="R328" s="55">
        <v>-10</v>
      </c>
      <c r="S328" s="55">
        <f t="shared" si="220"/>
        <v>100.4100000000326</v>
      </c>
      <c r="T328" s="48"/>
      <c r="U328" s="49">
        <f t="shared" si="221"/>
        <v>30.089999999731663</v>
      </c>
      <c r="V328" s="51">
        <f>9381.25+4802.3</f>
        <v>14183.55</v>
      </c>
      <c r="W328" s="51">
        <v>-14000</v>
      </c>
      <c r="X328" s="51"/>
      <c r="Y328" s="51">
        <f t="shared" si="222"/>
        <v>213.63999999973021</v>
      </c>
      <c r="Z328" s="52"/>
      <c r="AA328" s="53">
        <f t="shared" si="223"/>
        <v>148.74000000000024</v>
      </c>
      <c r="AB328" s="54"/>
      <c r="AC328" s="54"/>
      <c r="AD328" s="54"/>
      <c r="AE328" s="54">
        <f t="shared" si="224"/>
        <v>148.74000000000024</v>
      </c>
      <c r="AF328" s="53"/>
      <c r="AG328" s="53">
        <f t="shared" si="203"/>
        <v>473.69999999995343</v>
      </c>
      <c r="AH328" s="54">
        <v>104487.76</v>
      </c>
      <c r="AI328" s="54"/>
      <c r="AJ328" s="54">
        <v>-60</v>
      </c>
      <c r="AK328" s="54">
        <f t="shared" si="225"/>
        <v>104901.45999999995</v>
      </c>
      <c r="AL328" s="53"/>
      <c r="AM328" s="53">
        <f t="shared" si="209"/>
        <v>0</v>
      </c>
      <c r="AN328" s="54"/>
      <c r="AO328" s="54"/>
      <c r="AP328" s="54"/>
      <c r="AQ328" s="54">
        <f t="shared" si="210"/>
        <v>0</v>
      </c>
      <c r="AR328" s="53"/>
      <c r="AS328" s="50">
        <f t="shared" si="226"/>
        <v>-6789226.8299999991</v>
      </c>
      <c r="AT328" s="73">
        <f t="shared" si="191"/>
        <v>1607576.8699999999</v>
      </c>
      <c r="AU328" s="50">
        <f t="shared" si="205"/>
        <v>0</v>
      </c>
      <c r="AV328" s="50">
        <f t="shared" si="192"/>
        <v>-2317872.11</v>
      </c>
      <c r="AW328" s="50"/>
      <c r="AX328" s="50">
        <f t="shared" si="212"/>
        <v>-7499522.0700000003</v>
      </c>
      <c r="AY328" s="50">
        <f t="shared" si="213"/>
        <v>8300000</v>
      </c>
      <c r="AZ328" s="50">
        <f t="shared" si="214"/>
        <v>800477.9299999997</v>
      </c>
      <c r="BA328" s="15">
        <f t="shared" si="199"/>
        <v>-6249.6017250000004</v>
      </c>
      <c r="BB328" s="15">
        <f>BA328+BB327</f>
        <v>-11907.29075</v>
      </c>
    </row>
    <row r="329" spans="2:54" ht="15.75" customHeight="1" x14ac:dyDescent="0.3">
      <c r="B329" s="99">
        <f t="shared" si="231"/>
        <v>44623</v>
      </c>
      <c r="C329" s="44">
        <f t="shared" si="216"/>
        <v>-4191241.2</v>
      </c>
      <c r="D329" s="45">
        <f>868.43+19776.98</f>
        <v>20645.41</v>
      </c>
      <c r="E329" s="45">
        <v>104800</v>
      </c>
      <c r="F329" s="45">
        <v>-176462.78</v>
      </c>
      <c r="G329" s="45">
        <f t="shared" si="195"/>
        <v>-4242258.57</v>
      </c>
      <c r="H329" s="44">
        <v>4300000</v>
      </c>
      <c r="I329" s="46">
        <f t="shared" si="228"/>
        <v>-3413645.12</v>
      </c>
      <c r="J329" s="47"/>
      <c r="K329" s="47"/>
      <c r="L329" s="47">
        <v>-119184.9</v>
      </c>
      <c r="M329" s="47">
        <f t="shared" si="218"/>
        <v>-3532830.02</v>
      </c>
      <c r="N329" s="46">
        <v>4000000</v>
      </c>
      <c r="O329" s="48">
        <f t="shared" si="219"/>
        <v>100.4100000000326</v>
      </c>
      <c r="P329" s="55"/>
      <c r="Q329" s="55"/>
      <c r="R329" s="55"/>
      <c r="S329" s="55">
        <f t="shared" si="220"/>
        <v>100.4100000000326</v>
      </c>
      <c r="T329" s="48"/>
      <c r="U329" s="49">
        <f t="shared" si="221"/>
        <v>213.63999999973021</v>
      </c>
      <c r="V329" s="51"/>
      <c r="W329" s="51"/>
      <c r="X329" s="51">
        <f>-59.95-1.2</f>
        <v>-61.150000000000006</v>
      </c>
      <c r="Y329" s="51">
        <f t="shared" si="222"/>
        <v>152.4899999997302</v>
      </c>
      <c r="Z329" s="52"/>
      <c r="AA329" s="53">
        <f t="shared" si="223"/>
        <v>148.74000000000024</v>
      </c>
      <c r="AB329" s="54"/>
      <c r="AC329" s="54"/>
      <c r="AD329" s="54"/>
      <c r="AE329" s="54">
        <f t="shared" si="224"/>
        <v>148.74000000000024</v>
      </c>
      <c r="AF329" s="53"/>
      <c r="AG329" s="53">
        <f t="shared" si="203"/>
        <v>104901.45999999995</v>
      </c>
      <c r="AH329" s="54"/>
      <c r="AI329" s="54">
        <v>-104800</v>
      </c>
      <c r="AJ329" s="54">
        <v>-10</v>
      </c>
      <c r="AK329" s="54">
        <f t="shared" si="225"/>
        <v>91.459999999948195</v>
      </c>
      <c r="AL329" s="53"/>
      <c r="AM329" s="53">
        <f t="shared" si="209"/>
        <v>0</v>
      </c>
      <c r="AN329" s="54"/>
      <c r="AO329" s="54"/>
      <c r="AP329" s="54"/>
      <c r="AQ329" s="54">
        <f t="shared" si="210"/>
        <v>0</v>
      </c>
      <c r="AR329" s="53"/>
      <c r="AS329" s="50">
        <f t="shared" si="226"/>
        <v>-7499522.0700000003</v>
      </c>
      <c r="AT329" s="73">
        <f t="shared" si="191"/>
        <v>20645.41</v>
      </c>
      <c r="AU329" s="50">
        <f t="shared" si="205"/>
        <v>0</v>
      </c>
      <c r="AV329" s="50">
        <f t="shared" si="192"/>
        <v>-295718.83</v>
      </c>
      <c r="AW329" s="50"/>
      <c r="AX329" s="50">
        <f t="shared" si="212"/>
        <v>-7774595.4900000002</v>
      </c>
      <c r="AY329" s="50">
        <f t="shared" si="213"/>
        <v>8300000</v>
      </c>
      <c r="AZ329" s="50">
        <f t="shared" si="214"/>
        <v>525404.50999999978</v>
      </c>
      <c r="BA329" s="15">
        <f t="shared" si="199"/>
        <v>-6478.8295750000007</v>
      </c>
      <c r="BB329" s="15">
        <f t="shared" ref="BB329:BB395" si="232">BA329+BB328</f>
        <v>-18386.120325</v>
      </c>
    </row>
    <row r="330" spans="2:54" ht="20.25" customHeight="1" x14ac:dyDescent="0.3">
      <c r="B330" s="99">
        <f>B329+1</f>
        <v>44624</v>
      </c>
      <c r="C330" s="44">
        <f t="shared" si="216"/>
        <v>-4242258.57</v>
      </c>
      <c r="D330" s="45">
        <v>98103.74</v>
      </c>
      <c r="E330" s="45"/>
      <c r="F330" s="45">
        <v>-58933.299999999988</v>
      </c>
      <c r="G330" s="45">
        <f t="shared" si="195"/>
        <v>-4203088.13</v>
      </c>
      <c r="H330" s="44">
        <v>4300000</v>
      </c>
      <c r="I330" s="46">
        <f t="shared" si="228"/>
        <v>-3532830.02</v>
      </c>
      <c r="J330" s="47">
        <f>1103973.3+10294.87</f>
        <v>1114268.1700000002</v>
      </c>
      <c r="K330" s="47"/>
      <c r="L330" s="47">
        <v>-144130.59</v>
      </c>
      <c r="M330" s="47">
        <f t="shared" si="218"/>
        <v>-2562692.4399999995</v>
      </c>
      <c r="N330" s="46">
        <v>4000000</v>
      </c>
      <c r="O330" s="48">
        <f t="shared" si="219"/>
        <v>100.4100000000326</v>
      </c>
      <c r="P330" s="55">
        <f>122.88+30.54+3991.06+50138.42</f>
        <v>54282.899999999994</v>
      </c>
      <c r="Q330" s="55"/>
      <c r="R330" s="55"/>
      <c r="S330" s="55">
        <f t="shared" si="220"/>
        <v>54383.310000000027</v>
      </c>
      <c r="T330" s="48"/>
      <c r="U330" s="49">
        <f t="shared" si="221"/>
        <v>152.4899999997302</v>
      </c>
      <c r="V330" s="51"/>
      <c r="W330" s="51"/>
      <c r="X330" s="51"/>
      <c r="Y330" s="51">
        <f t="shared" si="222"/>
        <v>152.4899999997302</v>
      </c>
      <c r="Z330" s="52"/>
      <c r="AA330" s="53">
        <f t="shared" si="223"/>
        <v>148.74000000000024</v>
      </c>
      <c r="AB330" s="54"/>
      <c r="AC330" s="54"/>
      <c r="AD330" s="54"/>
      <c r="AE330" s="54">
        <f t="shared" si="224"/>
        <v>148.74000000000024</v>
      </c>
      <c r="AF330" s="53"/>
      <c r="AG330" s="53">
        <f t="shared" si="203"/>
        <v>91.459999999948195</v>
      </c>
      <c r="AH330" s="54"/>
      <c r="AI330" s="54"/>
      <c r="AJ330" s="54"/>
      <c r="AK330" s="54">
        <f t="shared" si="225"/>
        <v>91.459999999948195</v>
      </c>
      <c r="AL330" s="53"/>
      <c r="AM330" s="53">
        <f t="shared" si="209"/>
        <v>0</v>
      </c>
      <c r="AN330" s="54"/>
      <c r="AO330" s="54"/>
      <c r="AP330" s="54"/>
      <c r="AQ330" s="54">
        <f t="shared" si="210"/>
        <v>0</v>
      </c>
      <c r="AR330" s="53"/>
      <c r="AS330" s="50">
        <f t="shared" si="226"/>
        <v>-7774595.4900000002</v>
      </c>
      <c r="AT330" s="73">
        <f t="shared" ref="AT330:AT393" si="233">SUM(D330,J330,P330,V330,AB330,AH330)</f>
        <v>1266654.81</v>
      </c>
      <c r="AU330" s="50">
        <f t="shared" si="205"/>
        <v>0</v>
      </c>
      <c r="AV330" s="50">
        <f t="shared" ref="AV330:AV393" si="234">SUM(F330,L330,R330,X330,AD330,AJ330)</f>
        <v>-203063.88999999998</v>
      </c>
      <c r="AW330" s="50"/>
      <c r="AX330" s="50">
        <f t="shared" si="212"/>
        <v>-6711004.5700000003</v>
      </c>
      <c r="AY330" s="50">
        <f t="shared" si="213"/>
        <v>8300000</v>
      </c>
      <c r="AZ330" s="50">
        <f t="shared" si="214"/>
        <v>1588995.4299999997</v>
      </c>
      <c r="BA330" s="15">
        <f t="shared" si="199"/>
        <v>-5592.5038083333338</v>
      </c>
      <c r="BB330" s="15">
        <f t="shared" si="232"/>
        <v>-23978.624133333335</v>
      </c>
    </row>
    <row r="331" spans="2:54" x14ac:dyDescent="0.3">
      <c r="B331" s="99">
        <f>B330+3</f>
        <v>44627</v>
      </c>
      <c r="C331" s="44">
        <f t="shared" si="216"/>
        <v>-4203088.13</v>
      </c>
      <c r="D331" s="45">
        <v>67661.289999999994</v>
      </c>
      <c r="E331" s="45"/>
      <c r="F331" s="45">
        <v>-31774.41</v>
      </c>
      <c r="G331" s="45">
        <f t="shared" si="195"/>
        <v>-4167201.25</v>
      </c>
      <c r="H331" s="44">
        <v>4300000</v>
      </c>
      <c r="I331" s="46">
        <f t="shared" si="228"/>
        <v>-2562692.4399999995</v>
      </c>
      <c r="J331" s="47"/>
      <c r="K331" s="47">
        <v>54000</v>
      </c>
      <c r="L331" s="47">
        <v>-277140.04000000103</v>
      </c>
      <c r="M331" s="47">
        <f t="shared" si="218"/>
        <v>-2785832.4800000004</v>
      </c>
      <c r="N331" s="46">
        <v>4000000</v>
      </c>
      <c r="O331" s="48">
        <f t="shared" si="219"/>
        <v>54383.310000000027</v>
      </c>
      <c r="P331" s="55"/>
      <c r="Q331" s="55">
        <v>-54000</v>
      </c>
      <c r="R331" s="55">
        <v>-10</v>
      </c>
      <c r="S331" s="55">
        <f t="shared" si="220"/>
        <v>373.31000000002678</v>
      </c>
      <c r="T331" s="48"/>
      <c r="U331" s="49">
        <f t="shared" si="221"/>
        <v>152.4899999997302</v>
      </c>
      <c r="V331" s="51"/>
      <c r="W331" s="51"/>
      <c r="X331" s="51"/>
      <c r="Y331" s="51">
        <f t="shared" si="222"/>
        <v>152.4899999997302</v>
      </c>
      <c r="Z331" s="52"/>
      <c r="AA331" s="53">
        <f t="shared" si="223"/>
        <v>148.74000000000024</v>
      </c>
      <c r="AB331" s="54"/>
      <c r="AC331" s="54"/>
      <c r="AD331" s="54"/>
      <c r="AE331" s="54">
        <f t="shared" si="224"/>
        <v>148.74000000000024</v>
      </c>
      <c r="AF331" s="53"/>
      <c r="AG331" s="53">
        <f t="shared" si="203"/>
        <v>91.459999999948195</v>
      </c>
      <c r="AH331" s="54"/>
      <c r="AI331" s="54"/>
      <c r="AJ331" s="54"/>
      <c r="AK331" s="54">
        <f t="shared" si="225"/>
        <v>91.459999999948195</v>
      </c>
      <c r="AL331" s="53"/>
      <c r="AM331" s="53">
        <f t="shared" si="209"/>
        <v>0</v>
      </c>
      <c r="AN331" s="54"/>
      <c r="AO331" s="54"/>
      <c r="AP331" s="54"/>
      <c r="AQ331" s="54">
        <f t="shared" si="210"/>
        <v>0</v>
      </c>
      <c r="AR331" s="53"/>
      <c r="AS331" s="50">
        <f t="shared" si="226"/>
        <v>-6711004.5700000003</v>
      </c>
      <c r="AT331" s="73">
        <f t="shared" si="233"/>
        <v>67661.289999999994</v>
      </c>
      <c r="AU331" s="50">
        <f t="shared" si="205"/>
        <v>0</v>
      </c>
      <c r="AV331" s="50">
        <f t="shared" si="234"/>
        <v>-308924.450000001</v>
      </c>
      <c r="AW331" s="50"/>
      <c r="AX331" s="50">
        <f t="shared" si="212"/>
        <v>-6952267.7300000014</v>
      </c>
      <c r="AY331" s="50">
        <f t="shared" si="213"/>
        <v>8300000</v>
      </c>
      <c r="AZ331" s="50">
        <f t="shared" si="214"/>
        <v>1347732.2699999986</v>
      </c>
      <c r="BA331" s="15">
        <f t="shared" si="199"/>
        <v>-5793.5564416666684</v>
      </c>
      <c r="BB331" s="15">
        <f t="shared" si="232"/>
        <v>-29772.180575000002</v>
      </c>
    </row>
    <row r="332" spans="2:54" x14ac:dyDescent="0.3">
      <c r="B332" s="99">
        <f>B331+1</f>
        <v>44628</v>
      </c>
      <c r="C332" s="44">
        <f t="shared" si="216"/>
        <v>-4167201.25</v>
      </c>
      <c r="D332" s="45">
        <v>26.4</v>
      </c>
      <c r="E332" s="45"/>
      <c r="F332" s="45">
        <v>-823.85</v>
      </c>
      <c r="G332" s="45">
        <f t="shared" si="195"/>
        <v>-4167998.7</v>
      </c>
      <c r="H332" s="44">
        <v>4300000</v>
      </c>
      <c r="I332" s="46">
        <f t="shared" si="228"/>
        <v>-2785832.4800000004</v>
      </c>
      <c r="J332" s="47"/>
      <c r="K332" s="47"/>
      <c r="L332" s="47">
        <v>-71652.529999999504</v>
      </c>
      <c r="M332" s="47">
        <f t="shared" si="218"/>
        <v>-2857485.01</v>
      </c>
      <c r="N332" s="46">
        <v>4000000</v>
      </c>
      <c r="O332" s="48">
        <f t="shared" si="219"/>
        <v>373.31000000002678</v>
      </c>
      <c r="P332" s="55"/>
      <c r="Q332" s="55"/>
      <c r="R332" s="55"/>
      <c r="S332" s="55">
        <f t="shared" si="220"/>
        <v>373.31000000002678</v>
      </c>
      <c r="T332" s="48"/>
      <c r="U332" s="49">
        <f t="shared" si="221"/>
        <v>152.4899999997302</v>
      </c>
      <c r="V332" s="51"/>
      <c r="W332" s="51"/>
      <c r="X332" s="51"/>
      <c r="Y332" s="51">
        <f t="shared" si="222"/>
        <v>152.4899999997302</v>
      </c>
      <c r="Z332" s="52"/>
      <c r="AA332" s="53">
        <f t="shared" si="223"/>
        <v>148.74000000000024</v>
      </c>
      <c r="AB332" s="54"/>
      <c r="AC332" s="54"/>
      <c r="AD332" s="54"/>
      <c r="AE332" s="54">
        <f t="shared" si="224"/>
        <v>148.74000000000024</v>
      </c>
      <c r="AF332" s="53"/>
      <c r="AG332" s="53">
        <f t="shared" si="203"/>
        <v>91.459999999948195</v>
      </c>
      <c r="AH332" s="54"/>
      <c r="AI332" s="54"/>
      <c r="AJ332" s="54"/>
      <c r="AK332" s="54">
        <f t="shared" si="225"/>
        <v>91.459999999948195</v>
      </c>
      <c r="AL332" s="53"/>
      <c r="AM332" s="53">
        <f t="shared" si="209"/>
        <v>0</v>
      </c>
      <c r="AN332" s="54"/>
      <c r="AO332" s="54"/>
      <c r="AP332" s="54"/>
      <c r="AQ332" s="54">
        <f t="shared" si="210"/>
        <v>0</v>
      </c>
      <c r="AR332" s="53"/>
      <c r="AS332" s="50">
        <f t="shared" si="226"/>
        <v>-6952267.7300000014</v>
      </c>
      <c r="AT332" s="73">
        <f t="shared" si="233"/>
        <v>26.4</v>
      </c>
      <c r="AU332" s="50">
        <f t="shared" si="205"/>
        <v>0</v>
      </c>
      <c r="AV332" s="50">
        <f t="shared" si="234"/>
        <v>-72476.37999999951</v>
      </c>
      <c r="AW332" s="50"/>
      <c r="AX332" s="50">
        <f t="shared" si="212"/>
        <v>-7024717.7100000009</v>
      </c>
      <c r="AY332" s="50">
        <f t="shared" si="213"/>
        <v>8300000</v>
      </c>
      <c r="AZ332" s="50">
        <f t="shared" si="214"/>
        <v>1275282.2899999991</v>
      </c>
      <c r="BA332" s="15">
        <f t="shared" si="199"/>
        <v>-5853.9314250000007</v>
      </c>
      <c r="BB332" s="15">
        <f t="shared" si="232"/>
        <v>-35626.112000000001</v>
      </c>
    </row>
    <row r="333" spans="2:54" x14ac:dyDescent="0.3">
      <c r="B333" s="99">
        <f t="shared" ref="B333:B334" si="235">B332+1</f>
        <v>44629</v>
      </c>
      <c r="C333" s="44">
        <f t="shared" si="216"/>
        <v>-4167998.7</v>
      </c>
      <c r="D333" s="45">
        <f>112997.29+26020.58</f>
        <v>139017.87</v>
      </c>
      <c r="E333" s="45">
        <v>-150000</v>
      </c>
      <c r="F333" s="45">
        <f>-8109.24-2.16</f>
        <v>-8111.4</v>
      </c>
      <c r="G333" s="45">
        <f t="shared" si="195"/>
        <v>-4187092.23</v>
      </c>
      <c r="H333" s="44">
        <v>4300000</v>
      </c>
      <c r="I333" s="46">
        <f t="shared" si="228"/>
        <v>-2857485.01</v>
      </c>
      <c r="J333" s="47"/>
      <c r="K333" s="47">
        <v>150000</v>
      </c>
      <c r="L333" s="47">
        <f>-(39086.06+36415.61+25+6726.06+50+149.86+854.35+13.02+7)</f>
        <v>-83326.960000000006</v>
      </c>
      <c r="M333" s="47">
        <f t="shared" si="218"/>
        <v>-2790811.9699999997</v>
      </c>
      <c r="N333" s="46">
        <v>4000000</v>
      </c>
      <c r="O333" s="48">
        <f t="shared" si="219"/>
        <v>373.31000000002678</v>
      </c>
      <c r="P333" s="55"/>
      <c r="Q333" s="55"/>
      <c r="R333" s="55"/>
      <c r="S333" s="55">
        <f t="shared" si="220"/>
        <v>373.31000000002678</v>
      </c>
      <c r="T333" s="48"/>
      <c r="U333" s="49">
        <f t="shared" si="221"/>
        <v>152.4899999997302</v>
      </c>
      <c r="V333" s="51"/>
      <c r="W333" s="51"/>
      <c r="X333" s="51"/>
      <c r="Y333" s="51">
        <f t="shared" si="222"/>
        <v>152.4899999997302</v>
      </c>
      <c r="Z333" s="52"/>
      <c r="AA333" s="53">
        <f t="shared" si="223"/>
        <v>148.74000000000024</v>
      </c>
      <c r="AB333" s="54"/>
      <c r="AC333" s="54"/>
      <c r="AD333" s="54"/>
      <c r="AE333" s="54">
        <f t="shared" si="224"/>
        <v>148.74000000000024</v>
      </c>
      <c r="AF333" s="53"/>
      <c r="AG333" s="53">
        <f t="shared" si="203"/>
        <v>91.459999999948195</v>
      </c>
      <c r="AH333" s="54"/>
      <c r="AI333" s="54"/>
      <c r="AJ333" s="54"/>
      <c r="AK333" s="54">
        <f t="shared" si="225"/>
        <v>91.459999999948195</v>
      </c>
      <c r="AL333" s="53"/>
      <c r="AM333" s="53">
        <f t="shared" si="209"/>
        <v>0</v>
      </c>
      <c r="AN333" s="54"/>
      <c r="AO333" s="54"/>
      <c r="AP333" s="54"/>
      <c r="AQ333" s="54">
        <f t="shared" si="210"/>
        <v>0</v>
      </c>
      <c r="AR333" s="53"/>
      <c r="AS333" s="50">
        <f t="shared" si="226"/>
        <v>-7024717.7100000009</v>
      </c>
      <c r="AT333" s="73">
        <f t="shared" si="233"/>
        <v>139017.87</v>
      </c>
      <c r="AU333" s="50">
        <f t="shared" si="205"/>
        <v>0</v>
      </c>
      <c r="AV333" s="50">
        <f t="shared" si="234"/>
        <v>-91438.36</v>
      </c>
      <c r="AW333" s="50"/>
      <c r="AX333" s="50">
        <f t="shared" si="212"/>
        <v>-6977138.2000000002</v>
      </c>
      <c r="AY333" s="50">
        <f t="shared" si="213"/>
        <v>8300000</v>
      </c>
      <c r="AZ333" s="50">
        <f t="shared" si="214"/>
        <v>1322861.7999999998</v>
      </c>
      <c r="BA333" s="15">
        <f t="shared" si="199"/>
        <v>-5814.2818333333335</v>
      </c>
      <c r="BB333" s="15">
        <f t="shared" si="232"/>
        <v>-41440.393833333335</v>
      </c>
    </row>
    <row r="334" spans="2:54" x14ac:dyDescent="0.3">
      <c r="B334" s="99">
        <f t="shared" si="235"/>
        <v>44630</v>
      </c>
      <c r="C334" s="44">
        <f t="shared" si="216"/>
        <v>-4187092.23</v>
      </c>
      <c r="D334" s="45">
        <f>129263.11+2083.33+128385.79+16423.75</f>
        <v>276155.98</v>
      </c>
      <c r="E334" s="45">
        <v>-100000</v>
      </c>
      <c r="F334" s="45">
        <f>-240-413.7-35.17</f>
        <v>-688.87</v>
      </c>
      <c r="G334" s="45">
        <f t="shared" si="195"/>
        <v>-4011625.12</v>
      </c>
      <c r="H334" s="44">
        <v>4300000</v>
      </c>
      <c r="I334" s="46">
        <f t="shared" si="228"/>
        <v>-2790811.9699999997</v>
      </c>
      <c r="J334" s="47"/>
      <c r="K334" s="47">
        <v>100000</v>
      </c>
      <c r="L334" s="47">
        <v>-141609.51999999999</v>
      </c>
      <c r="M334" s="47">
        <f t="shared" si="218"/>
        <v>-2832421.4899999998</v>
      </c>
      <c r="N334" s="46">
        <v>4000000</v>
      </c>
      <c r="O334" s="48">
        <f t="shared" si="219"/>
        <v>373.31000000002678</v>
      </c>
      <c r="P334" s="55"/>
      <c r="Q334" s="55"/>
      <c r="R334" s="55"/>
      <c r="S334" s="55">
        <f t="shared" si="220"/>
        <v>373.31000000002678</v>
      </c>
      <c r="T334" s="48"/>
      <c r="U334" s="49">
        <f t="shared" si="221"/>
        <v>152.4899999997302</v>
      </c>
      <c r="V334" s="51"/>
      <c r="W334" s="51"/>
      <c r="X334" s="51"/>
      <c r="Y334" s="51">
        <f t="shared" si="222"/>
        <v>152.4899999997302</v>
      </c>
      <c r="Z334" s="52"/>
      <c r="AA334" s="53">
        <f t="shared" si="223"/>
        <v>148.74000000000024</v>
      </c>
      <c r="AB334" s="54"/>
      <c r="AC334" s="54"/>
      <c r="AD334" s="54"/>
      <c r="AE334" s="54">
        <f t="shared" si="224"/>
        <v>148.74000000000024</v>
      </c>
      <c r="AF334" s="53"/>
      <c r="AG334" s="53">
        <f t="shared" si="203"/>
        <v>91.459999999948195</v>
      </c>
      <c r="AH334" s="54"/>
      <c r="AI334" s="54"/>
      <c r="AJ334" s="54"/>
      <c r="AK334" s="54">
        <f t="shared" si="225"/>
        <v>91.459999999948195</v>
      </c>
      <c r="AL334" s="53"/>
      <c r="AM334" s="53">
        <f t="shared" si="209"/>
        <v>0</v>
      </c>
      <c r="AN334" s="54"/>
      <c r="AO334" s="54"/>
      <c r="AP334" s="54"/>
      <c r="AQ334" s="54">
        <f t="shared" si="210"/>
        <v>0</v>
      </c>
      <c r="AR334" s="53"/>
      <c r="AS334" s="50">
        <f t="shared" si="226"/>
        <v>-6977138.2000000002</v>
      </c>
      <c r="AT334" s="73">
        <f t="shared" si="233"/>
        <v>276155.98</v>
      </c>
      <c r="AU334" s="50">
        <f t="shared" si="205"/>
        <v>0</v>
      </c>
      <c r="AV334" s="50">
        <f t="shared" si="234"/>
        <v>-142298.38999999998</v>
      </c>
      <c r="AW334" s="50"/>
      <c r="AX334" s="50">
        <f t="shared" si="212"/>
        <v>-6843280.6100000003</v>
      </c>
      <c r="AY334" s="50">
        <f t="shared" si="213"/>
        <v>8300000</v>
      </c>
      <c r="AZ334" s="50">
        <f t="shared" si="214"/>
        <v>1456719.3899999997</v>
      </c>
      <c r="BA334" s="15">
        <f t="shared" si="199"/>
        <v>-5702.7338416666671</v>
      </c>
      <c r="BB334" s="15">
        <f t="shared" si="232"/>
        <v>-47143.127675000003</v>
      </c>
    </row>
    <row r="335" spans="2:54" x14ac:dyDescent="0.3">
      <c r="B335" s="99">
        <f>B334+1</f>
        <v>44631</v>
      </c>
      <c r="C335" s="44">
        <f t="shared" si="216"/>
        <v>-4011625.12</v>
      </c>
      <c r="D335" s="45">
        <v>29158.639999999999</v>
      </c>
      <c r="E335" s="45"/>
      <c r="F335" s="45">
        <v>-0.85</v>
      </c>
      <c r="G335" s="45">
        <f t="shared" si="195"/>
        <v>-3982467.33</v>
      </c>
      <c r="H335" s="44">
        <v>4300000</v>
      </c>
      <c r="I335" s="46">
        <f t="shared" si="228"/>
        <v>-2832421.4899999998</v>
      </c>
      <c r="J335" s="47"/>
      <c r="K335" s="47"/>
      <c r="L335" s="47">
        <v>-12392.1400000002</v>
      </c>
      <c r="M335" s="47">
        <f t="shared" si="218"/>
        <v>-2844813.63</v>
      </c>
      <c r="N335" s="46">
        <v>4000000</v>
      </c>
      <c r="O335" s="48">
        <f t="shared" si="219"/>
        <v>373.31000000002678</v>
      </c>
      <c r="P335" s="55">
        <f>163.84+512.32</f>
        <v>676.16000000000008</v>
      </c>
      <c r="Q335" s="55"/>
      <c r="R335" s="55"/>
      <c r="S335" s="55">
        <f t="shared" si="220"/>
        <v>1049.4700000000269</v>
      </c>
      <c r="T335" s="48"/>
      <c r="U335" s="49">
        <f t="shared" si="221"/>
        <v>152.4899999997302</v>
      </c>
      <c r="V335" s="51"/>
      <c r="W335" s="51"/>
      <c r="X335" s="51"/>
      <c r="Y335" s="51">
        <f t="shared" si="222"/>
        <v>152.4899999997302</v>
      </c>
      <c r="Z335" s="52"/>
      <c r="AA335" s="53">
        <f t="shared" si="223"/>
        <v>148.74000000000024</v>
      </c>
      <c r="AB335" s="54"/>
      <c r="AC335" s="54"/>
      <c r="AD335" s="54"/>
      <c r="AE335" s="54">
        <f t="shared" si="224"/>
        <v>148.74000000000024</v>
      </c>
      <c r="AF335" s="53"/>
      <c r="AG335" s="53">
        <f t="shared" si="203"/>
        <v>91.459999999948195</v>
      </c>
      <c r="AH335" s="54"/>
      <c r="AI335" s="54"/>
      <c r="AJ335" s="54"/>
      <c r="AK335" s="54">
        <f t="shared" si="225"/>
        <v>91.459999999948195</v>
      </c>
      <c r="AL335" s="53"/>
      <c r="AM335" s="53">
        <f t="shared" si="209"/>
        <v>0</v>
      </c>
      <c r="AN335" s="54"/>
      <c r="AO335" s="54"/>
      <c r="AP335" s="54"/>
      <c r="AQ335" s="54">
        <f t="shared" si="210"/>
        <v>0</v>
      </c>
      <c r="AR335" s="53"/>
      <c r="AS335" s="50">
        <f t="shared" si="226"/>
        <v>-6843280.6100000003</v>
      </c>
      <c r="AT335" s="73">
        <f t="shared" si="233"/>
        <v>29834.799999999999</v>
      </c>
      <c r="AU335" s="50">
        <f t="shared" si="205"/>
        <v>0</v>
      </c>
      <c r="AV335" s="50">
        <f t="shared" si="234"/>
        <v>-12392.9900000002</v>
      </c>
      <c r="AW335" s="50"/>
      <c r="AX335" s="50">
        <f t="shared" si="212"/>
        <v>-6825838.8000000007</v>
      </c>
      <c r="AY335" s="50">
        <f t="shared" si="213"/>
        <v>8300000</v>
      </c>
      <c r="AZ335" s="50">
        <f t="shared" si="214"/>
        <v>1474161.1999999993</v>
      </c>
      <c r="BA335" s="15">
        <f t="shared" si="199"/>
        <v>-5688.1990000000014</v>
      </c>
      <c r="BB335" s="15">
        <f t="shared" si="232"/>
        <v>-52831.326675000004</v>
      </c>
    </row>
    <row r="336" spans="2:54" x14ac:dyDescent="0.3">
      <c r="B336" s="99">
        <f t="shared" ref="B336" si="236">B335+3</f>
        <v>44634</v>
      </c>
      <c r="C336" s="44">
        <f t="shared" si="216"/>
        <v>-3982467.33</v>
      </c>
      <c r="D336" s="45"/>
      <c r="E336" s="45"/>
      <c r="F336" s="45">
        <f>-1120-13622.25-0.85</f>
        <v>-14743.1</v>
      </c>
      <c r="G336" s="45">
        <f t="shared" si="195"/>
        <v>-3997210.43</v>
      </c>
      <c r="H336" s="44">
        <v>4300000</v>
      </c>
      <c r="I336" s="46">
        <f t="shared" si="228"/>
        <v>-2844813.63</v>
      </c>
      <c r="J336" s="47">
        <f>47978.6+6757.2+26371.85</f>
        <v>81107.649999999994</v>
      </c>
      <c r="K336" s="47"/>
      <c r="L336" s="47">
        <v>-561976.37</v>
      </c>
      <c r="M336" s="47">
        <f t="shared" si="218"/>
        <v>-3325682.35</v>
      </c>
      <c r="N336" s="46">
        <v>4000000</v>
      </c>
      <c r="O336" s="48">
        <f t="shared" si="219"/>
        <v>1049.4700000000269</v>
      </c>
      <c r="P336" s="55"/>
      <c r="Q336" s="55"/>
      <c r="R336" s="55"/>
      <c r="S336" s="55">
        <f t="shared" si="220"/>
        <v>1049.4700000000269</v>
      </c>
      <c r="T336" s="48"/>
      <c r="U336" s="49">
        <f t="shared" si="221"/>
        <v>152.4899999997302</v>
      </c>
      <c r="V336" s="51"/>
      <c r="W336" s="51"/>
      <c r="X336" s="51"/>
      <c r="Y336" s="51">
        <f t="shared" si="222"/>
        <v>152.4899999997302</v>
      </c>
      <c r="Z336" s="52"/>
      <c r="AA336" s="53">
        <f t="shared" si="223"/>
        <v>148.74000000000024</v>
      </c>
      <c r="AB336" s="54"/>
      <c r="AC336" s="54"/>
      <c r="AD336" s="54">
        <v>-88</v>
      </c>
      <c r="AE336" s="54">
        <f t="shared" si="224"/>
        <v>60.740000000000236</v>
      </c>
      <c r="AF336" s="53"/>
      <c r="AG336" s="53">
        <f t="shared" si="203"/>
        <v>91.459999999948195</v>
      </c>
      <c r="AH336" s="54"/>
      <c r="AI336" s="54"/>
      <c r="AJ336" s="54"/>
      <c r="AK336" s="54">
        <f t="shared" si="225"/>
        <v>91.459999999948195</v>
      </c>
      <c r="AL336" s="53"/>
      <c r="AM336" s="53">
        <f t="shared" si="209"/>
        <v>0</v>
      </c>
      <c r="AN336" s="54"/>
      <c r="AO336" s="54"/>
      <c r="AP336" s="54"/>
      <c r="AQ336" s="54">
        <f t="shared" si="210"/>
        <v>0</v>
      </c>
      <c r="AR336" s="53"/>
      <c r="AS336" s="50">
        <f t="shared" si="226"/>
        <v>-6825838.8000000007</v>
      </c>
      <c r="AT336" s="73">
        <f t="shared" si="233"/>
        <v>81107.649999999994</v>
      </c>
      <c r="AU336" s="50">
        <f t="shared" si="205"/>
        <v>0</v>
      </c>
      <c r="AV336" s="50">
        <f t="shared" si="234"/>
        <v>-576807.47</v>
      </c>
      <c r="AW336" s="50"/>
      <c r="AX336" s="50">
        <f t="shared" si="212"/>
        <v>-7321538.620000001</v>
      </c>
      <c r="AY336" s="50">
        <f t="shared" si="213"/>
        <v>8300000</v>
      </c>
      <c r="AZ336" s="50">
        <f t="shared" si="214"/>
        <v>978461.37999999896</v>
      </c>
      <c r="BA336" s="15">
        <f t="shared" si="199"/>
        <v>-6101.2821833333346</v>
      </c>
      <c r="BB336" s="15">
        <f t="shared" si="232"/>
        <v>-58932.60885833334</v>
      </c>
    </row>
    <row r="337" spans="2:54" x14ac:dyDescent="0.3">
      <c r="B337" s="99">
        <f t="shared" ref="B337:B400" si="237">B336+1</f>
        <v>44635</v>
      </c>
      <c r="C337" s="44">
        <f t="shared" si="216"/>
        <v>-3997210.43</v>
      </c>
      <c r="D337" s="45">
        <f>1801.92+19634.1</f>
        <v>21436.019999999997</v>
      </c>
      <c r="E337" s="45"/>
      <c r="F337" s="45">
        <v>-33665.1</v>
      </c>
      <c r="G337" s="45">
        <f t="shared" si="195"/>
        <v>-4009439.5100000002</v>
      </c>
      <c r="H337" s="44">
        <v>4300000</v>
      </c>
      <c r="I337" s="46">
        <f t="shared" si="228"/>
        <v>-3325682.35</v>
      </c>
      <c r="J337" s="47">
        <v>667540.11</v>
      </c>
      <c r="K337" s="47"/>
      <c r="L337" s="47">
        <v>-534925.36</v>
      </c>
      <c r="M337" s="47">
        <f t="shared" si="218"/>
        <v>-3193067.6</v>
      </c>
      <c r="N337" s="46">
        <v>4000000</v>
      </c>
      <c r="O337" s="48">
        <f t="shared" si="219"/>
        <v>1049.4700000000269</v>
      </c>
      <c r="P337" s="55">
        <v>30209.47</v>
      </c>
      <c r="Q337" s="55"/>
      <c r="R337" s="55">
        <v>-450</v>
      </c>
      <c r="S337" s="55">
        <f t="shared" si="220"/>
        <v>30808.940000000028</v>
      </c>
      <c r="T337" s="48"/>
      <c r="U337" s="49">
        <f t="shared" si="221"/>
        <v>152.4899999997302</v>
      </c>
      <c r="V337" s="51"/>
      <c r="W337" s="51"/>
      <c r="X337" s="51"/>
      <c r="Y337" s="51">
        <f t="shared" si="222"/>
        <v>152.4899999997302</v>
      </c>
      <c r="Z337" s="52"/>
      <c r="AA337" s="53">
        <f t="shared" si="223"/>
        <v>60.740000000000236</v>
      </c>
      <c r="AB337" s="54"/>
      <c r="AC337" s="54"/>
      <c r="AD337" s="54"/>
      <c r="AE337" s="54">
        <f t="shared" si="224"/>
        <v>60.740000000000236</v>
      </c>
      <c r="AF337" s="53"/>
      <c r="AG337" s="53">
        <f t="shared" si="203"/>
        <v>91.459999999948195</v>
      </c>
      <c r="AH337" s="54"/>
      <c r="AI337" s="54"/>
      <c r="AJ337" s="54"/>
      <c r="AK337" s="54">
        <f t="shared" si="225"/>
        <v>91.459999999948195</v>
      </c>
      <c r="AL337" s="53"/>
      <c r="AM337" s="53">
        <f t="shared" si="209"/>
        <v>0</v>
      </c>
      <c r="AN337" s="54"/>
      <c r="AO337" s="54"/>
      <c r="AP337" s="54"/>
      <c r="AQ337" s="54">
        <f t="shared" si="210"/>
        <v>0</v>
      </c>
      <c r="AR337" s="53"/>
      <c r="AS337" s="50">
        <f t="shared" si="226"/>
        <v>-7321538.620000001</v>
      </c>
      <c r="AT337" s="73">
        <f t="shared" si="233"/>
        <v>719185.6</v>
      </c>
      <c r="AU337" s="50">
        <f t="shared" si="205"/>
        <v>0</v>
      </c>
      <c r="AV337" s="50">
        <f t="shared" si="234"/>
        <v>-569040.46</v>
      </c>
      <c r="AW337" s="50"/>
      <c r="AX337" s="50">
        <f t="shared" si="212"/>
        <v>-7171393.4800000004</v>
      </c>
      <c r="AY337" s="50">
        <f t="shared" si="213"/>
        <v>8300000</v>
      </c>
      <c r="AZ337" s="50">
        <f t="shared" si="214"/>
        <v>1128606.5199999996</v>
      </c>
      <c r="BA337" s="15">
        <f t="shared" si="199"/>
        <v>-5976.1612333333342</v>
      </c>
      <c r="BB337" s="15">
        <f t="shared" si="232"/>
        <v>-64908.770091666673</v>
      </c>
    </row>
    <row r="338" spans="2:54" x14ac:dyDescent="0.3">
      <c r="B338" s="99">
        <f t="shared" si="237"/>
        <v>44636</v>
      </c>
      <c r="C338" s="44">
        <f t="shared" si="216"/>
        <v>-4009439.5100000002</v>
      </c>
      <c r="D338" s="45">
        <f>53971+39309.9+35988.43</f>
        <v>129269.32999999999</v>
      </c>
      <c r="E338" s="45"/>
      <c r="F338" s="45">
        <v>-8118.86</v>
      </c>
      <c r="G338" s="45">
        <f t="shared" si="195"/>
        <v>-3888289.04</v>
      </c>
      <c r="H338" s="44">
        <v>4300000</v>
      </c>
      <c r="I338" s="46">
        <f t="shared" si="228"/>
        <v>-3193067.6</v>
      </c>
      <c r="J338" s="47">
        <f>20647+19708.5</f>
        <v>40355.5</v>
      </c>
      <c r="K338" s="47"/>
      <c r="L338" s="47">
        <v>-100600.07</v>
      </c>
      <c r="M338" s="47">
        <f t="shared" si="218"/>
        <v>-3253312.17</v>
      </c>
      <c r="N338" s="46">
        <v>4000000</v>
      </c>
      <c r="O338" s="48">
        <f t="shared" si="219"/>
        <v>30808.940000000028</v>
      </c>
      <c r="P338" s="55"/>
      <c r="Q338" s="55"/>
      <c r="R338" s="55">
        <v>-1044.1600000000001</v>
      </c>
      <c r="S338" s="55">
        <f t="shared" si="220"/>
        <v>29764.780000000028</v>
      </c>
      <c r="T338" s="48"/>
      <c r="U338" s="49">
        <f t="shared" si="221"/>
        <v>152.4899999997302</v>
      </c>
      <c r="V338" s="51"/>
      <c r="W338" s="51"/>
      <c r="X338" s="51"/>
      <c r="Y338" s="51">
        <f t="shared" si="222"/>
        <v>152.4899999997302</v>
      </c>
      <c r="Z338" s="52"/>
      <c r="AA338" s="53">
        <f t="shared" si="223"/>
        <v>60.740000000000236</v>
      </c>
      <c r="AB338" s="54"/>
      <c r="AC338" s="54"/>
      <c r="AD338" s="54"/>
      <c r="AE338" s="54">
        <f t="shared" si="224"/>
        <v>60.740000000000236</v>
      </c>
      <c r="AF338" s="53"/>
      <c r="AG338" s="53">
        <f t="shared" si="203"/>
        <v>91.459999999948195</v>
      </c>
      <c r="AH338" s="54"/>
      <c r="AI338" s="54"/>
      <c r="AJ338" s="54"/>
      <c r="AK338" s="54">
        <f t="shared" si="225"/>
        <v>91.459999999948195</v>
      </c>
      <c r="AL338" s="53"/>
      <c r="AM338" s="53">
        <f t="shared" si="209"/>
        <v>0</v>
      </c>
      <c r="AN338" s="54"/>
      <c r="AO338" s="54"/>
      <c r="AP338" s="54"/>
      <c r="AQ338" s="54">
        <f t="shared" si="210"/>
        <v>0</v>
      </c>
      <c r="AR338" s="53"/>
      <c r="AS338" s="50">
        <f t="shared" si="226"/>
        <v>-7171393.4800000004</v>
      </c>
      <c r="AT338" s="73">
        <f t="shared" si="233"/>
        <v>169624.83</v>
      </c>
      <c r="AU338" s="50">
        <f t="shared" si="205"/>
        <v>0</v>
      </c>
      <c r="AV338" s="50">
        <f t="shared" si="234"/>
        <v>-109763.09000000001</v>
      </c>
      <c r="AW338" s="50"/>
      <c r="AX338" s="50">
        <f t="shared" si="212"/>
        <v>-7111531.7400000002</v>
      </c>
      <c r="AY338" s="50">
        <f t="shared" si="213"/>
        <v>8300000</v>
      </c>
      <c r="AZ338" s="50">
        <f t="shared" si="214"/>
        <v>1188468.2599999998</v>
      </c>
      <c r="BA338" s="15">
        <f t="shared" si="199"/>
        <v>-5926.2764500000003</v>
      </c>
      <c r="BB338" s="15">
        <f t="shared" si="232"/>
        <v>-70835.04654166667</v>
      </c>
    </row>
    <row r="339" spans="2:54" x14ac:dyDescent="0.3">
      <c r="B339" s="99">
        <f t="shared" si="237"/>
        <v>44637</v>
      </c>
      <c r="C339" s="44">
        <f t="shared" si="216"/>
        <v>-3888289.04</v>
      </c>
      <c r="D339" s="45">
        <f>109970.12+47728.36+61043.79</f>
        <v>218742.27</v>
      </c>
      <c r="E339" s="45"/>
      <c r="F339" s="45">
        <v>-13976.3</v>
      </c>
      <c r="G339" s="45">
        <f t="shared" si="195"/>
        <v>-3683523.07</v>
      </c>
      <c r="H339" s="44">
        <v>4300000</v>
      </c>
      <c r="I339" s="46">
        <f t="shared" si="228"/>
        <v>-3253312.17</v>
      </c>
      <c r="J339" s="47">
        <f>168875+107508.93</f>
        <v>276383.93</v>
      </c>
      <c r="K339" s="47"/>
      <c r="L339" s="47">
        <v>-83951.620000000199</v>
      </c>
      <c r="M339" s="47">
        <f t="shared" si="218"/>
        <v>-3060879.86</v>
      </c>
      <c r="N339" s="46">
        <v>4000000</v>
      </c>
      <c r="O339" s="48">
        <f t="shared" si="219"/>
        <v>29764.780000000028</v>
      </c>
      <c r="P339" s="55"/>
      <c r="Q339" s="55"/>
      <c r="R339" s="55"/>
      <c r="S339" s="55">
        <f t="shared" si="220"/>
        <v>29764.780000000028</v>
      </c>
      <c r="T339" s="48"/>
      <c r="U339" s="49">
        <f t="shared" si="221"/>
        <v>152.4899999997302</v>
      </c>
      <c r="V339" s="51"/>
      <c r="W339" s="51"/>
      <c r="X339" s="51"/>
      <c r="Y339" s="51">
        <f t="shared" si="222"/>
        <v>152.4899999997302</v>
      </c>
      <c r="Z339" s="52"/>
      <c r="AA339" s="53">
        <f t="shared" si="223"/>
        <v>60.740000000000236</v>
      </c>
      <c r="AB339" s="54"/>
      <c r="AC339" s="54"/>
      <c r="AD339" s="54"/>
      <c r="AE339" s="54">
        <f t="shared" si="224"/>
        <v>60.740000000000236</v>
      </c>
      <c r="AF339" s="53"/>
      <c r="AG339" s="53">
        <f t="shared" si="203"/>
        <v>91.459999999948195</v>
      </c>
      <c r="AH339" s="54"/>
      <c r="AI339" s="54"/>
      <c r="AJ339" s="54"/>
      <c r="AK339" s="54">
        <f t="shared" si="225"/>
        <v>91.459999999948195</v>
      </c>
      <c r="AL339" s="53"/>
      <c r="AM339" s="53">
        <f t="shared" si="209"/>
        <v>0</v>
      </c>
      <c r="AN339" s="54"/>
      <c r="AO339" s="54"/>
      <c r="AP339" s="54"/>
      <c r="AQ339" s="54">
        <f t="shared" si="210"/>
        <v>0</v>
      </c>
      <c r="AR339" s="53"/>
      <c r="AS339" s="50">
        <f t="shared" si="226"/>
        <v>-7111531.7400000002</v>
      </c>
      <c r="AT339" s="73">
        <f t="shared" si="233"/>
        <v>495126.19999999995</v>
      </c>
      <c r="AU339" s="50">
        <f t="shared" si="205"/>
        <v>0</v>
      </c>
      <c r="AV339" s="50">
        <f t="shared" si="234"/>
        <v>-97927.920000000202</v>
      </c>
      <c r="AW339" s="50"/>
      <c r="AX339" s="50">
        <f t="shared" si="212"/>
        <v>-6714333.46</v>
      </c>
      <c r="AY339" s="50">
        <f t="shared" si="213"/>
        <v>8300000</v>
      </c>
      <c r="AZ339" s="50">
        <f t="shared" si="214"/>
        <v>1585666.54</v>
      </c>
      <c r="BA339" s="15">
        <f t="shared" si="199"/>
        <v>-5595.2778833333341</v>
      </c>
      <c r="BB339" s="15">
        <f t="shared" si="232"/>
        <v>-76430.324424999999</v>
      </c>
    </row>
    <row r="340" spans="2:54" x14ac:dyDescent="0.3">
      <c r="B340" s="99">
        <f t="shared" si="237"/>
        <v>44638</v>
      </c>
      <c r="C340" s="44">
        <f t="shared" si="216"/>
        <v>-3683523.07</v>
      </c>
      <c r="D340" s="45">
        <f>247394.5+62415.17+23345.57</f>
        <v>333155.24</v>
      </c>
      <c r="E340" s="45">
        <v>-800000</v>
      </c>
      <c r="F340" s="45">
        <v>-74533.89</v>
      </c>
      <c r="G340" s="45">
        <f t="shared" si="195"/>
        <v>-4224901.72</v>
      </c>
      <c r="H340" s="44">
        <v>4300000</v>
      </c>
      <c r="I340" s="46">
        <f t="shared" si="228"/>
        <v>-3060879.86</v>
      </c>
      <c r="J340" s="47">
        <f>24799.71+12414.06+12108.68+153171.73</f>
        <v>202494.18</v>
      </c>
      <c r="K340" s="47">
        <v>800000</v>
      </c>
      <c r="L340" s="47">
        <v>-758918.3</v>
      </c>
      <c r="M340" s="47">
        <f t="shared" si="218"/>
        <v>-2817303.9799999995</v>
      </c>
      <c r="N340" s="46">
        <v>4000000</v>
      </c>
      <c r="O340" s="48">
        <f t="shared" si="219"/>
        <v>29764.780000000028</v>
      </c>
      <c r="P340" s="55"/>
      <c r="Q340" s="55"/>
      <c r="R340" s="55">
        <v>-589</v>
      </c>
      <c r="S340" s="55">
        <f t="shared" si="220"/>
        <v>29175.780000000028</v>
      </c>
      <c r="T340" s="48"/>
      <c r="U340" s="49">
        <f t="shared" si="221"/>
        <v>152.4899999997302</v>
      </c>
      <c r="V340" s="51"/>
      <c r="W340" s="51"/>
      <c r="X340" s="51"/>
      <c r="Y340" s="51">
        <f t="shared" si="222"/>
        <v>152.4899999997302</v>
      </c>
      <c r="Z340" s="52"/>
      <c r="AA340" s="53">
        <f t="shared" si="223"/>
        <v>60.740000000000236</v>
      </c>
      <c r="AB340" s="54"/>
      <c r="AC340" s="54"/>
      <c r="AD340" s="54"/>
      <c r="AE340" s="54">
        <f t="shared" si="224"/>
        <v>60.740000000000236</v>
      </c>
      <c r="AF340" s="53"/>
      <c r="AG340" s="53">
        <f t="shared" si="203"/>
        <v>91.459999999948195</v>
      </c>
      <c r="AH340" s="54"/>
      <c r="AI340" s="54"/>
      <c r="AJ340" s="54"/>
      <c r="AK340" s="54">
        <f t="shared" si="225"/>
        <v>91.459999999948195</v>
      </c>
      <c r="AL340" s="53"/>
      <c r="AM340" s="53">
        <f t="shared" si="209"/>
        <v>0</v>
      </c>
      <c r="AN340" s="54"/>
      <c r="AO340" s="54"/>
      <c r="AP340" s="54"/>
      <c r="AQ340" s="54">
        <f t="shared" si="210"/>
        <v>0</v>
      </c>
      <c r="AR340" s="53"/>
      <c r="AS340" s="50">
        <f t="shared" si="226"/>
        <v>-6714333.46</v>
      </c>
      <c r="AT340" s="73">
        <f t="shared" si="233"/>
        <v>535649.41999999993</v>
      </c>
      <c r="AU340" s="50">
        <f t="shared" si="205"/>
        <v>0</v>
      </c>
      <c r="AV340" s="50">
        <f t="shared" si="234"/>
        <v>-834041.19000000006</v>
      </c>
      <c r="AW340" s="50"/>
      <c r="AX340" s="50">
        <f t="shared" si="212"/>
        <v>-7012725.2299999995</v>
      </c>
      <c r="AY340" s="50">
        <f t="shared" si="213"/>
        <v>8300000</v>
      </c>
      <c r="AZ340" s="50">
        <f t="shared" si="214"/>
        <v>1287274.7700000005</v>
      </c>
      <c r="BA340" s="15">
        <f t="shared" si="199"/>
        <v>-5843.937691666667</v>
      </c>
      <c r="BB340" s="15">
        <f t="shared" si="232"/>
        <v>-82274.262116666665</v>
      </c>
    </row>
    <row r="341" spans="2:54" x14ac:dyDescent="0.3">
      <c r="B341" s="99">
        <f t="shared" ref="B341" si="238">B340+3</f>
        <v>44641</v>
      </c>
      <c r="C341" s="44">
        <f t="shared" si="216"/>
        <v>-4224901.72</v>
      </c>
      <c r="D341" s="45">
        <v>71534.559999999998</v>
      </c>
      <c r="E341" s="45">
        <v>-100000</v>
      </c>
      <c r="F341" s="45">
        <v>-16028.69</v>
      </c>
      <c r="G341" s="45">
        <f t="shared" ref="G341:G404" si="239">SUM(C341:F341)</f>
        <v>-4269395.8500000006</v>
      </c>
      <c r="H341" s="44">
        <v>4300000</v>
      </c>
      <c r="I341" s="46">
        <f t="shared" si="228"/>
        <v>-2817303.9799999995</v>
      </c>
      <c r="J341" s="47"/>
      <c r="K341" s="47">
        <f>100000+29000</f>
        <v>129000</v>
      </c>
      <c r="L341" s="47">
        <v>-618814.27</v>
      </c>
      <c r="M341" s="47">
        <f t="shared" si="218"/>
        <v>-3307118.2499999995</v>
      </c>
      <c r="N341" s="46">
        <v>4000000</v>
      </c>
      <c r="O341" s="48">
        <f t="shared" si="219"/>
        <v>29175.780000000028</v>
      </c>
      <c r="P341" s="55">
        <v>162.88</v>
      </c>
      <c r="Q341" s="55">
        <v>-29000</v>
      </c>
      <c r="R341" s="55">
        <v>-10</v>
      </c>
      <c r="S341" s="55">
        <f t="shared" si="220"/>
        <v>328.66000000002896</v>
      </c>
      <c r="T341" s="48"/>
      <c r="U341" s="49">
        <f t="shared" si="221"/>
        <v>152.4899999997302</v>
      </c>
      <c r="V341" s="51"/>
      <c r="W341" s="51"/>
      <c r="X341" s="51"/>
      <c r="Y341" s="51">
        <f t="shared" si="222"/>
        <v>152.4899999997302</v>
      </c>
      <c r="Z341" s="52"/>
      <c r="AA341" s="53">
        <f t="shared" si="223"/>
        <v>60.740000000000236</v>
      </c>
      <c r="AB341" s="54"/>
      <c r="AC341" s="54"/>
      <c r="AD341" s="54"/>
      <c r="AE341" s="54">
        <f t="shared" si="224"/>
        <v>60.740000000000236</v>
      </c>
      <c r="AF341" s="53"/>
      <c r="AG341" s="53">
        <f t="shared" si="203"/>
        <v>91.459999999948195</v>
      </c>
      <c r="AH341" s="54"/>
      <c r="AI341" s="54"/>
      <c r="AJ341" s="54"/>
      <c r="AK341" s="54">
        <f t="shared" si="225"/>
        <v>91.459999999948195</v>
      </c>
      <c r="AL341" s="53"/>
      <c r="AM341" s="53">
        <f t="shared" si="209"/>
        <v>0</v>
      </c>
      <c r="AN341" s="54"/>
      <c r="AO341" s="54"/>
      <c r="AP341" s="54"/>
      <c r="AQ341" s="54">
        <f t="shared" si="210"/>
        <v>0</v>
      </c>
      <c r="AR341" s="53"/>
      <c r="AS341" s="50">
        <f t="shared" si="226"/>
        <v>-7012725.2299999995</v>
      </c>
      <c r="AT341" s="73">
        <f t="shared" si="233"/>
        <v>71697.440000000002</v>
      </c>
      <c r="AU341" s="50">
        <f t="shared" si="205"/>
        <v>0</v>
      </c>
      <c r="AV341" s="50">
        <f t="shared" si="234"/>
        <v>-634852.96</v>
      </c>
      <c r="AW341" s="50"/>
      <c r="AX341" s="50">
        <f t="shared" si="212"/>
        <v>-7575880.75</v>
      </c>
      <c r="AY341" s="50">
        <f t="shared" si="213"/>
        <v>8300000</v>
      </c>
      <c r="AZ341" s="50">
        <f t="shared" si="214"/>
        <v>724119.25</v>
      </c>
      <c r="BA341" s="15">
        <f t="shared" si="199"/>
        <v>-6313.2339583333342</v>
      </c>
      <c r="BB341" s="15">
        <f t="shared" si="232"/>
        <v>-88587.496075000003</v>
      </c>
    </row>
    <row r="342" spans="2:54" x14ac:dyDescent="0.3">
      <c r="B342" s="99">
        <f t="shared" ref="B342" si="240">B341+1</f>
        <v>44642</v>
      </c>
      <c r="C342" s="44">
        <f t="shared" si="216"/>
        <v>-4269395.8500000006</v>
      </c>
      <c r="D342" s="45">
        <v>19776.98</v>
      </c>
      <c r="E342" s="45"/>
      <c r="F342" s="45">
        <v>-512.35</v>
      </c>
      <c r="G342" s="45">
        <f t="shared" si="239"/>
        <v>-4250131.22</v>
      </c>
      <c r="H342" s="44">
        <v>4300000</v>
      </c>
      <c r="I342" s="46">
        <f t="shared" si="228"/>
        <v>-3307118.2499999995</v>
      </c>
      <c r="J342" s="47">
        <f>50770.16+3336.19</f>
        <v>54106.350000000006</v>
      </c>
      <c r="K342" s="47">
        <v>31000</v>
      </c>
      <c r="L342" s="47">
        <v>-142774.66000000099</v>
      </c>
      <c r="M342" s="47">
        <f t="shared" si="218"/>
        <v>-3364786.5600000005</v>
      </c>
      <c r="N342" s="46">
        <v>4000000</v>
      </c>
      <c r="O342" s="48">
        <f t="shared" si="219"/>
        <v>328.66000000002896</v>
      </c>
      <c r="P342" s="55">
        <v>31263.75</v>
      </c>
      <c r="Q342" s="55">
        <v>-31000</v>
      </c>
      <c r="R342" s="55">
        <v>-10</v>
      </c>
      <c r="S342" s="55">
        <f t="shared" si="220"/>
        <v>582.41000000002896</v>
      </c>
      <c r="T342" s="48"/>
      <c r="U342" s="49">
        <f t="shared" si="221"/>
        <v>152.4899999997302</v>
      </c>
      <c r="V342" s="51"/>
      <c r="W342" s="51"/>
      <c r="X342" s="51"/>
      <c r="Y342" s="51">
        <f t="shared" si="222"/>
        <v>152.4899999997302</v>
      </c>
      <c r="Z342" s="52"/>
      <c r="AA342" s="53">
        <f t="shared" si="223"/>
        <v>60.740000000000236</v>
      </c>
      <c r="AB342" s="54"/>
      <c r="AC342" s="54"/>
      <c r="AD342" s="54"/>
      <c r="AE342" s="54">
        <f t="shared" si="224"/>
        <v>60.740000000000236</v>
      </c>
      <c r="AF342" s="53"/>
      <c r="AG342" s="53">
        <f t="shared" si="203"/>
        <v>91.459999999948195</v>
      </c>
      <c r="AH342" s="54"/>
      <c r="AI342" s="54"/>
      <c r="AJ342" s="54"/>
      <c r="AK342" s="54">
        <f t="shared" si="225"/>
        <v>91.459999999948195</v>
      </c>
      <c r="AL342" s="53"/>
      <c r="AM342" s="53">
        <f t="shared" si="209"/>
        <v>0</v>
      </c>
      <c r="AN342" s="54"/>
      <c r="AO342" s="54"/>
      <c r="AP342" s="54"/>
      <c r="AQ342" s="54">
        <f t="shared" si="210"/>
        <v>0</v>
      </c>
      <c r="AR342" s="53"/>
      <c r="AS342" s="50">
        <f t="shared" si="226"/>
        <v>-7575880.75</v>
      </c>
      <c r="AT342" s="73">
        <f t="shared" si="233"/>
        <v>105147.08</v>
      </c>
      <c r="AU342" s="50">
        <f t="shared" si="205"/>
        <v>0</v>
      </c>
      <c r="AV342" s="50">
        <f t="shared" si="234"/>
        <v>-143297.010000001</v>
      </c>
      <c r="AW342" s="50"/>
      <c r="AX342" s="50">
        <f t="shared" si="212"/>
        <v>-7614030.6800000006</v>
      </c>
      <c r="AY342" s="50">
        <f t="shared" si="213"/>
        <v>8300000</v>
      </c>
      <c r="AZ342" s="50">
        <f t="shared" si="214"/>
        <v>685969.31999999937</v>
      </c>
      <c r="BA342" s="15">
        <f t="shared" si="199"/>
        <v>-6345.0255666666681</v>
      </c>
      <c r="BB342" s="15">
        <f t="shared" si="232"/>
        <v>-94932.521641666666</v>
      </c>
    </row>
    <row r="343" spans="2:54" x14ac:dyDescent="0.3">
      <c r="B343" s="99">
        <f t="shared" si="237"/>
        <v>44643</v>
      </c>
      <c r="C343" s="44">
        <f t="shared" si="216"/>
        <v>-4250131.22</v>
      </c>
      <c r="D343" s="45">
        <v>61036.99</v>
      </c>
      <c r="E343" s="45"/>
      <c r="F343" s="45">
        <v>-746.05</v>
      </c>
      <c r="G343" s="45">
        <f t="shared" si="239"/>
        <v>-4189840.2799999993</v>
      </c>
      <c r="H343" s="44">
        <v>4300000</v>
      </c>
      <c r="I343" s="46">
        <f t="shared" si="228"/>
        <v>-3364786.5600000005</v>
      </c>
      <c r="J343" s="47">
        <f>9291.15+20601.01</f>
        <v>29892.159999999996</v>
      </c>
      <c r="K343" s="47"/>
      <c r="L343" s="47">
        <v>-23195.029999999599</v>
      </c>
      <c r="M343" s="47">
        <f t="shared" si="218"/>
        <v>-3358089.43</v>
      </c>
      <c r="N343" s="46">
        <v>4000000</v>
      </c>
      <c r="O343" s="48">
        <f t="shared" si="219"/>
        <v>582.41000000002896</v>
      </c>
      <c r="P343" s="55"/>
      <c r="Q343" s="55"/>
      <c r="R343" s="55"/>
      <c r="S343" s="55">
        <f t="shared" si="220"/>
        <v>582.41000000002896</v>
      </c>
      <c r="T343" s="48"/>
      <c r="U343" s="49">
        <f t="shared" si="221"/>
        <v>152.4899999997302</v>
      </c>
      <c r="V343" s="51"/>
      <c r="W343" s="51"/>
      <c r="X343" s="51"/>
      <c r="Y343" s="51">
        <f t="shared" si="222"/>
        <v>152.4899999997302</v>
      </c>
      <c r="Z343" s="52"/>
      <c r="AA343" s="53">
        <f t="shared" si="223"/>
        <v>60.740000000000236</v>
      </c>
      <c r="AB343" s="54"/>
      <c r="AC343" s="54"/>
      <c r="AD343" s="54"/>
      <c r="AE343" s="54">
        <f t="shared" si="224"/>
        <v>60.740000000000236</v>
      </c>
      <c r="AF343" s="53"/>
      <c r="AG343" s="53">
        <f t="shared" si="203"/>
        <v>91.459999999948195</v>
      </c>
      <c r="AH343" s="54"/>
      <c r="AI343" s="54"/>
      <c r="AJ343" s="54"/>
      <c r="AK343" s="54">
        <f t="shared" si="225"/>
        <v>91.459999999948195</v>
      </c>
      <c r="AL343" s="53"/>
      <c r="AM343" s="53">
        <f t="shared" si="209"/>
        <v>0</v>
      </c>
      <c r="AN343" s="54"/>
      <c r="AO343" s="54"/>
      <c r="AP343" s="54"/>
      <c r="AQ343" s="54">
        <f t="shared" si="210"/>
        <v>0</v>
      </c>
      <c r="AR343" s="53"/>
      <c r="AS343" s="50">
        <f t="shared" si="226"/>
        <v>-7614030.6800000006</v>
      </c>
      <c r="AT343" s="73">
        <f t="shared" si="233"/>
        <v>90929.15</v>
      </c>
      <c r="AU343" s="50">
        <f t="shared" si="205"/>
        <v>0</v>
      </c>
      <c r="AV343" s="50">
        <f t="shared" si="234"/>
        <v>-23941.079999999598</v>
      </c>
      <c r="AW343" s="50"/>
      <c r="AX343" s="50">
        <f t="shared" si="212"/>
        <v>-7547042.6099999994</v>
      </c>
      <c r="AY343" s="50">
        <f t="shared" si="213"/>
        <v>8300000</v>
      </c>
      <c r="AZ343" s="50">
        <f t="shared" si="214"/>
        <v>752957.3900000006</v>
      </c>
      <c r="BA343" s="15">
        <f t="shared" si="199"/>
        <v>-6289.2021750000004</v>
      </c>
      <c r="BB343" s="15">
        <f t="shared" si="232"/>
        <v>-101221.72381666666</v>
      </c>
    </row>
    <row r="344" spans="2:54" x14ac:dyDescent="0.3">
      <c r="B344" s="99">
        <f t="shared" si="237"/>
        <v>44644</v>
      </c>
      <c r="C344" s="44">
        <f t="shared" si="216"/>
        <v>-4189840.2799999993</v>
      </c>
      <c r="D344" s="45"/>
      <c r="E344" s="45"/>
      <c r="F344" s="45">
        <v>-1240.49</v>
      </c>
      <c r="G344" s="45">
        <f t="shared" si="239"/>
        <v>-4191080.7699999996</v>
      </c>
      <c r="H344" s="44">
        <v>4300000</v>
      </c>
      <c r="I344" s="46">
        <f t="shared" si="228"/>
        <v>-3358089.43</v>
      </c>
      <c r="J344" s="47">
        <v>250423.34</v>
      </c>
      <c r="K344" s="47">
        <v>82200</v>
      </c>
      <c r="L344" s="47">
        <v>-552622.62</v>
      </c>
      <c r="M344" s="47">
        <f t="shared" si="218"/>
        <v>-3578088.7100000004</v>
      </c>
      <c r="N344" s="46">
        <v>4000000</v>
      </c>
      <c r="O344" s="48">
        <f t="shared" si="219"/>
        <v>582.41000000002896</v>
      </c>
      <c r="P344" s="55"/>
      <c r="Q344" s="55"/>
      <c r="R344" s="55"/>
      <c r="S344" s="55">
        <f t="shared" si="220"/>
        <v>582.41000000002896</v>
      </c>
      <c r="T344" s="48"/>
      <c r="U344" s="49">
        <f t="shared" si="221"/>
        <v>152.4899999997302</v>
      </c>
      <c r="V344" s="51">
        <v>82099.98</v>
      </c>
      <c r="W344" s="51">
        <v>-82200</v>
      </c>
      <c r="X344" s="51">
        <v>-10</v>
      </c>
      <c r="Y344" s="51">
        <f t="shared" si="222"/>
        <v>42.469999999724678</v>
      </c>
      <c r="Z344" s="52"/>
      <c r="AA344" s="53">
        <f t="shared" si="223"/>
        <v>60.740000000000236</v>
      </c>
      <c r="AB344" s="54"/>
      <c r="AC344" s="54"/>
      <c r="AD344" s="54"/>
      <c r="AE344" s="54">
        <f t="shared" si="224"/>
        <v>60.740000000000236</v>
      </c>
      <c r="AF344" s="53"/>
      <c r="AG344" s="53">
        <f t="shared" si="203"/>
        <v>91.459999999948195</v>
      </c>
      <c r="AH344" s="54"/>
      <c r="AI344" s="54"/>
      <c r="AJ344" s="54"/>
      <c r="AK344" s="54">
        <f t="shared" si="225"/>
        <v>91.459999999948195</v>
      </c>
      <c r="AL344" s="53"/>
      <c r="AM344" s="53">
        <f t="shared" si="209"/>
        <v>0</v>
      </c>
      <c r="AN344" s="54"/>
      <c r="AO344" s="54"/>
      <c r="AP344" s="54"/>
      <c r="AQ344" s="54">
        <f t="shared" si="210"/>
        <v>0</v>
      </c>
      <c r="AR344" s="53"/>
      <c r="AS344" s="50">
        <f t="shared" si="226"/>
        <v>-7547042.6099999994</v>
      </c>
      <c r="AT344" s="73">
        <f t="shared" si="233"/>
        <v>332523.32</v>
      </c>
      <c r="AU344" s="50">
        <f t="shared" si="205"/>
        <v>0</v>
      </c>
      <c r="AV344" s="50">
        <f t="shared" si="234"/>
        <v>-553873.11</v>
      </c>
      <c r="AW344" s="50"/>
      <c r="AX344" s="50">
        <f t="shared" si="212"/>
        <v>-7768392.4000000004</v>
      </c>
      <c r="AY344" s="50">
        <f t="shared" si="213"/>
        <v>8300000</v>
      </c>
      <c r="AZ344" s="50">
        <f t="shared" si="214"/>
        <v>531607.59999999963</v>
      </c>
      <c r="BA344" s="15">
        <f t="shared" si="199"/>
        <v>-6473.6603333333342</v>
      </c>
      <c r="BB344" s="15">
        <f t="shared" si="232"/>
        <v>-107695.38415</v>
      </c>
    </row>
    <row r="345" spans="2:54" x14ac:dyDescent="0.3">
      <c r="B345" s="99">
        <f t="shared" si="237"/>
        <v>44645</v>
      </c>
      <c r="C345" s="44">
        <f t="shared" si="216"/>
        <v>-4191080.7699999996</v>
      </c>
      <c r="D345" s="45">
        <f>49696.95+127179.24+41391.41</f>
        <v>218267.6</v>
      </c>
      <c r="E345" s="45"/>
      <c r="F345" s="45">
        <v>-149283.47</v>
      </c>
      <c r="G345" s="45">
        <f t="shared" si="239"/>
        <v>-4122096.6399999997</v>
      </c>
      <c r="H345" s="44">
        <v>4300000</v>
      </c>
      <c r="I345" s="46">
        <f t="shared" si="228"/>
        <v>-3578088.7100000004</v>
      </c>
      <c r="J345" s="47">
        <f>103853.62+144557</f>
        <v>248410.62</v>
      </c>
      <c r="K345" s="47"/>
      <c r="L345" s="47">
        <v>-115258.39</v>
      </c>
      <c r="M345" s="47">
        <f t="shared" si="218"/>
        <v>-3444936.4800000004</v>
      </c>
      <c r="N345" s="46">
        <v>4000000</v>
      </c>
      <c r="O345" s="48">
        <f t="shared" si="219"/>
        <v>582.41000000002896</v>
      </c>
      <c r="P345" s="55">
        <v>24911.54</v>
      </c>
      <c r="Q345" s="55"/>
      <c r="R345" s="55">
        <v>-93</v>
      </c>
      <c r="S345" s="55">
        <f t="shared" si="220"/>
        <v>25400.95000000003</v>
      </c>
      <c r="T345" s="48"/>
      <c r="U345" s="49">
        <f t="shared" si="221"/>
        <v>42.469999999724678</v>
      </c>
      <c r="V345" s="51"/>
      <c r="W345" s="51"/>
      <c r="X345" s="51"/>
      <c r="Y345" s="51">
        <f t="shared" si="222"/>
        <v>42.469999999724678</v>
      </c>
      <c r="Z345" s="52"/>
      <c r="AA345" s="53">
        <f t="shared" si="223"/>
        <v>60.740000000000236</v>
      </c>
      <c r="AB345" s="54"/>
      <c r="AC345" s="54"/>
      <c r="AD345" s="54"/>
      <c r="AE345" s="54">
        <f t="shared" si="224"/>
        <v>60.740000000000236</v>
      </c>
      <c r="AF345" s="53"/>
      <c r="AG345" s="53">
        <f t="shared" si="203"/>
        <v>91.459999999948195</v>
      </c>
      <c r="AH345" s="54"/>
      <c r="AI345" s="54"/>
      <c r="AJ345" s="54"/>
      <c r="AK345" s="54">
        <f t="shared" si="225"/>
        <v>91.459999999948195</v>
      </c>
      <c r="AL345" s="53"/>
      <c r="AM345" s="53">
        <f t="shared" si="209"/>
        <v>0</v>
      </c>
      <c r="AN345" s="54"/>
      <c r="AO345" s="54"/>
      <c r="AP345" s="54"/>
      <c r="AQ345" s="54">
        <f t="shared" si="210"/>
        <v>0</v>
      </c>
      <c r="AR345" s="53"/>
      <c r="AS345" s="50">
        <f t="shared" si="226"/>
        <v>-7768392.4000000004</v>
      </c>
      <c r="AT345" s="73">
        <f t="shared" si="233"/>
        <v>491589.75999999995</v>
      </c>
      <c r="AU345" s="50">
        <f t="shared" si="205"/>
        <v>0</v>
      </c>
      <c r="AV345" s="50">
        <f t="shared" si="234"/>
        <v>-264634.86</v>
      </c>
      <c r="AW345" s="50"/>
      <c r="AX345" s="50">
        <f t="shared" si="212"/>
        <v>-7541437.5</v>
      </c>
      <c r="AY345" s="50">
        <f t="shared" si="213"/>
        <v>8300000</v>
      </c>
      <c r="AZ345" s="50">
        <f t="shared" si="214"/>
        <v>758562.5</v>
      </c>
      <c r="BA345" s="15">
        <f t="shared" si="199"/>
        <v>-6284.53125</v>
      </c>
      <c r="BB345" s="15">
        <f t="shared" si="232"/>
        <v>-113979.9154</v>
      </c>
    </row>
    <row r="346" spans="2:54" x14ac:dyDescent="0.3">
      <c r="B346" s="99">
        <f t="shared" ref="B346" si="241">B345+3</f>
        <v>44648</v>
      </c>
      <c r="C346" s="44">
        <f t="shared" si="216"/>
        <v>-4122096.6399999997</v>
      </c>
      <c r="D346" s="45"/>
      <c r="E346" s="45"/>
      <c r="F346" s="45">
        <v>-4.4000000000000004</v>
      </c>
      <c r="G346" s="45">
        <f t="shared" si="239"/>
        <v>-4122101.0399999996</v>
      </c>
      <c r="H346" s="44">
        <v>4300000</v>
      </c>
      <c r="I346" s="46">
        <f t="shared" si="228"/>
        <v>-3444936.4800000004</v>
      </c>
      <c r="J346" s="47"/>
      <c r="K346" s="47"/>
      <c r="L346" s="47">
        <v>-107860.72</v>
      </c>
      <c r="M346" s="47">
        <f t="shared" si="218"/>
        <v>-3552797.2000000007</v>
      </c>
      <c r="N346" s="46">
        <v>4000000</v>
      </c>
      <c r="O346" s="48">
        <f t="shared" si="219"/>
        <v>25400.95000000003</v>
      </c>
      <c r="P346" s="55"/>
      <c r="Q346" s="55"/>
      <c r="R346" s="55"/>
      <c r="S346" s="55">
        <f t="shared" si="220"/>
        <v>25400.95000000003</v>
      </c>
      <c r="T346" s="48"/>
      <c r="U346" s="49">
        <f t="shared" si="221"/>
        <v>42.469999999724678</v>
      </c>
      <c r="V346" s="51"/>
      <c r="W346" s="51"/>
      <c r="X346" s="51"/>
      <c r="Y346" s="51">
        <f t="shared" si="222"/>
        <v>42.469999999724678</v>
      </c>
      <c r="Z346" s="52"/>
      <c r="AA346" s="53">
        <f t="shared" si="223"/>
        <v>60.740000000000236</v>
      </c>
      <c r="AB346" s="54"/>
      <c r="AC346" s="54"/>
      <c r="AD346" s="54"/>
      <c r="AE346" s="54">
        <f t="shared" si="224"/>
        <v>60.740000000000236</v>
      </c>
      <c r="AF346" s="53"/>
      <c r="AG346" s="53">
        <f t="shared" si="203"/>
        <v>91.459999999948195</v>
      </c>
      <c r="AH346" s="54"/>
      <c r="AI346" s="54"/>
      <c r="AJ346" s="54"/>
      <c r="AK346" s="54">
        <f t="shared" si="225"/>
        <v>91.459999999948195</v>
      </c>
      <c r="AL346" s="53"/>
      <c r="AM346" s="53">
        <f t="shared" si="209"/>
        <v>0</v>
      </c>
      <c r="AN346" s="54"/>
      <c r="AO346" s="54"/>
      <c r="AP346" s="54"/>
      <c r="AQ346" s="54">
        <f t="shared" si="210"/>
        <v>0</v>
      </c>
      <c r="AR346" s="53"/>
      <c r="AS346" s="50">
        <f t="shared" si="226"/>
        <v>-7541437.5</v>
      </c>
      <c r="AT346" s="73">
        <f t="shared" si="233"/>
        <v>0</v>
      </c>
      <c r="AU346" s="50">
        <f t="shared" si="205"/>
        <v>0</v>
      </c>
      <c r="AV346" s="50">
        <f t="shared" si="234"/>
        <v>-107865.12</v>
      </c>
      <c r="AW346" s="50"/>
      <c r="AX346" s="50">
        <f t="shared" si="212"/>
        <v>-7649302.6200000001</v>
      </c>
      <c r="AY346" s="50">
        <f t="shared" si="213"/>
        <v>8300000</v>
      </c>
      <c r="AZ346" s="50">
        <f t="shared" si="214"/>
        <v>650697.37999999989</v>
      </c>
      <c r="BA346" s="15">
        <f t="shared" si="199"/>
        <v>-6374.4188500000009</v>
      </c>
      <c r="BB346" s="15">
        <f t="shared" si="232"/>
        <v>-120354.33425</v>
      </c>
    </row>
    <row r="347" spans="2:54" x14ac:dyDescent="0.3">
      <c r="B347" s="99">
        <f t="shared" ref="B347" si="242">B346+1</f>
        <v>44649</v>
      </c>
      <c r="C347" s="44">
        <f t="shared" si="216"/>
        <v>-4122101.0399999996</v>
      </c>
      <c r="D347" s="45"/>
      <c r="E347" s="45">
        <v>-100000</v>
      </c>
      <c r="F347" s="45">
        <v>-4.4000000000000004</v>
      </c>
      <c r="G347" s="45">
        <f t="shared" si="239"/>
        <v>-4222105.4399999995</v>
      </c>
      <c r="H347" s="44">
        <v>4300000</v>
      </c>
      <c r="I347" s="46">
        <f t="shared" si="228"/>
        <v>-3552797.2000000007</v>
      </c>
      <c r="J347" s="47"/>
      <c r="K347" s="47">
        <v>125300</v>
      </c>
      <c r="L347" s="47">
        <v>-272542.11999999901</v>
      </c>
      <c r="M347" s="47">
        <f t="shared" si="218"/>
        <v>-3700039.32</v>
      </c>
      <c r="N347" s="46">
        <v>4000000</v>
      </c>
      <c r="O347" s="48">
        <f t="shared" si="219"/>
        <v>25400.95000000003</v>
      </c>
      <c r="P347" s="55"/>
      <c r="Q347" s="55">
        <v>-25300</v>
      </c>
      <c r="R347" s="55">
        <v>-10</v>
      </c>
      <c r="S347" s="55">
        <f t="shared" si="220"/>
        <v>90.950000000029831</v>
      </c>
      <c r="T347" s="48"/>
      <c r="U347" s="49">
        <f t="shared" si="221"/>
        <v>42.469999999724678</v>
      </c>
      <c r="V347" s="51"/>
      <c r="W347" s="51"/>
      <c r="X347" s="51"/>
      <c r="Y347" s="51">
        <f t="shared" si="222"/>
        <v>42.469999999724678</v>
      </c>
      <c r="Z347" s="52"/>
      <c r="AA347" s="53">
        <f t="shared" si="223"/>
        <v>60.740000000000236</v>
      </c>
      <c r="AB347" s="54"/>
      <c r="AC347" s="54"/>
      <c r="AD347" s="54"/>
      <c r="AE347" s="54">
        <f t="shared" si="224"/>
        <v>60.740000000000236</v>
      </c>
      <c r="AF347" s="53"/>
      <c r="AG347" s="53">
        <f t="shared" si="203"/>
        <v>91.459999999948195</v>
      </c>
      <c r="AH347" s="54"/>
      <c r="AI347" s="54"/>
      <c r="AJ347" s="54"/>
      <c r="AK347" s="54">
        <f t="shared" si="225"/>
        <v>91.459999999948195</v>
      </c>
      <c r="AL347" s="53"/>
      <c r="AM347" s="53">
        <f t="shared" si="209"/>
        <v>0</v>
      </c>
      <c r="AN347" s="54"/>
      <c r="AO347" s="54"/>
      <c r="AP347" s="54"/>
      <c r="AQ347" s="54">
        <f t="shared" si="210"/>
        <v>0</v>
      </c>
      <c r="AR347" s="53"/>
      <c r="AS347" s="50">
        <f t="shared" si="226"/>
        <v>-7649302.6200000001</v>
      </c>
      <c r="AT347" s="73">
        <f t="shared" si="233"/>
        <v>0</v>
      </c>
      <c r="AU347" s="50">
        <f t="shared" si="205"/>
        <v>0</v>
      </c>
      <c r="AV347" s="50">
        <f t="shared" si="234"/>
        <v>-272556.51999999903</v>
      </c>
      <c r="AW347" s="50"/>
      <c r="AX347" s="50">
        <f t="shared" si="212"/>
        <v>-7921859.1399999997</v>
      </c>
      <c r="AY347" s="50">
        <f t="shared" si="213"/>
        <v>8300000</v>
      </c>
      <c r="AZ347" s="50">
        <f t="shared" si="214"/>
        <v>378140.86000000034</v>
      </c>
      <c r="BA347" s="15">
        <f t="shared" si="199"/>
        <v>-6601.5492833333337</v>
      </c>
      <c r="BB347" s="15">
        <f t="shared" si="232"/>
        <v>-126955.88353333334</v>
      </c>
    </row>
    <row r="348" spans="2:54" x14ac:dyDescent="0.3">
      <c r="B348" s="99">
        <f t="shared" si="237"/>
        <v>44650</v>
      </c>
      <c r="C348" s="44">
        <f t="shared" si="216"/>
        <v>-4222105.4399999995</v>
      </c>
      <c r="D348" s="45">
        <v>52210.42</v>
      </c>
      <c r="E348" s="45"/>
      <c r="F348" s="45">
        <v>-12500</v>
      </c>
      <c r="G348" s="45">
        <f t="shared" si="239"/>
        <v>-4182395.0199999996</v>
      </c>
      <c r="H348" s="44">
        <v>4300000</v>
      </c>
      <c r="I348" s="46">
        <f t="shared" si="228"/>
        <v>-3700039.32</v>
      </c>
      <c r="J348" s="47">
        <v>423126.03000000009</v>
      </c>
      <c r="K348" s="47">
        <v>749648</v>
      </c>
      <c r="L348" s="47">
        <v>-185699.16</v>
      </c>
      <c r="M348" s="47">
        <f t="shared" si="218"/>
        <v>-2712964.4499999997</v>
      </c>
      <c r="N348" s="46">
        <v>4000000</v>
      </c>
      <c r="O348" s="48">
        <f t="shared" si="219"/>
        <v>90.950000000029831</v>
      </c>
      <c r="P348" s="55">
        <v>456160.53</v>
      </c>
      <c r="Q348" s="55">
        <f>-649648+2523600</f>
        <v>1873952</v>
      </c>
      <c r="R348" s="55">
        <v>-552946.10000000102</v>
      </c>
      <c r="S348" s="55">
        <f t="shared" si="220"/>
        <v>1777257.379999999</v>
      </c>
      <c r="T348" s="48"/>
      <c r="U348" s="49">
        <f t="shared" si="221"/>
        <v>42.469999999724678</v>
      </c>
      <c r="V348" s="51">
        <f>2576697.47+46925</f>
        <v>2623622.4700000002</v>
      </c>
      <c r="W348" s="51">
        <v>-2623600</v>
      </c>
      <c r="X348" s="51">
        <v>-11.3</v>
      </c>
      <c r="Y348" s="51">
        <f t="shared" si="222"/>
        <v>53.639999999944123</v>
      </c>
      <c r="Z348" s="52"/>
      <c r="AA348" s="53">
        <f t="shared" si="223"/>
        <v>60.740000000000236</v>
      </c>
      <c r="AB348" s="54"/>
      <c r="AC348" s="54"/>
      <c r="AD348" s="54"/>
      <c r="AE348" s="54">
        <f t="shared" si="224"/>
        <v>60.740000000000236</v>
      </c>
      <c r="AF348" s="53"/>
      <c r="AG348" s="53">
        <f t="shared" si="203"/>
        <v>91.459999999948195</v>
      </c>
      <c r="AH348" s="54"/>
      <c r="AI348" s="54"/>
      <c r="AJ348" s="54">
        <v>-60</v>
      </c>
      <c r="AK348" s="54">
        <f t="shared" si="225"/>
        <v>31.459999999948195</v>
      </c>
      <c r="AL348" s="53"/>
      <c r="AM348" s="53">
        <f t="shared" si="209"/>
        <v>0</v>
      </c>
      <c r="AN348" s="54"/>
      <c r="AO348" s="54"/>
      <c r="AP348" s="54"/>
      <c r="AQ348" s="54">
        <f t="shared" si="210"/>
        <v>0</v>
      </c>
      <c r="AR348" s="53"/>
      <c r="AS348" s="50">
        <f t="shared" si="226"/>
        <v>-7921859.1399999997</v>
      </c>
      <c r="AT348" s="73">
        <f t="shared" si="233"/>
        <v>3555119.45</v>
      </c>
      <c r="AU348" s="50">
        <f t="shared" si="205"/>
        <v>0</v>
      </c>
      <c r="AV348" s="50">
        <f t="shared" si="234"/>
        <v>-751216.5600000011</v>
      </c>
      <c r="AW348" s="50"/>
      <c r="AX348" s="50">
        <f t="shared" si="212"/>
        <v>-5117956.25</v>
      </c>
      <c r="AY348" s="50">
        <f t="shared" si="213"/>
        <v>8300000</v>
      </c>
      <c r="AZ348" s="50">
        <f t="shared" si="214"/>
        <v>3182043.75</v>
      </c>
      <c r="BA348" s="15">
        <f t="shared" si="199"/>
        <v>-4264.963541666667</v>
      </c>
      <c r="BB348" s="15">
        <f t="shared" si="232"/>
        <v>-131220.847075</v>
      </c>
    </row>
    <row r="349" spans="2:54" x14ac:dyDescent="0.3">
      <c r="B349" s="99">
        <f t="shared" si="237"/>
        <v>44651</v>
      </c>
      <c r="C349" s="44">
        <f t="shared" si="216"/>
        <v>-4182395.0199999996</v>
      </c>
      <c r="D349" s="45">
        <f>333954.33-3516.22</f>
        <v>330438.11000000004</v>
      </c>
      <c r="E349" s="45"/>
      <c r="F349" s="45">
        <v>-69795.03</v>
      </c>
      <c r="G349" s="45">
        <f t="shared" si="239"/>
        <v>-3921751.9399999995</v>
      </c>
      <c r="H349" s="44">
        <v>4300000</v>
      </c>
      <c r="I349" s="46">
        <f t="shared" si="228"/>
        <v>-2712964.4499999997</v>
      </c>
      <c r="J349" s="47">
        <f>43237.35</f>
        <v>43237.35</v>
      </c>
      <c r="K349" s="47">
        <v>1777000</v>
      </c>
      <c r="L349" s="47">
        <v>-514537.23</v>
      </c>
      <c r="M349" s="47">
        <f t="shared" si="218"/>
        <v>-1407264.3299999996</v>
      </c>
      <c r="N349" s="46">
        <v>4000000</v>
      </c>
      <c r="O349" s="48">
        <f t="shared" si="219"/>
        <v>1777257.379999999</v>
      </c>
      <c r="P349" s="55"/>
      <c r="Q349" s="55">
        <v>-1777000</v>
      </c>
      <c r="R349" s="55">
        <v>-10</v>
      </c>
      <c r="S349" s="55">
        <f t="shared" si="220"/>
        <v>247.37999999895692</v>
      </c>
      <c r="T349" s="48"/>
      <c r="U349" s="49">
        <f t="shared" si="221"/>
        <v>53.639999999944123</v>
      </c>
      <c r="V349" s="51"/>
      <c r="W349" s="51"/>
      <c r="X349" s="51"/>
      <c r="Y349" s="51">
        <f t="shared" si="222"/>
        <v>53.639999999944123</v>
      </c>
      <c r="Z349" s="52"/>
      <c r="AA349" s="53">
        <f t="shared" si="223"/>
        <v>60.740000000000236</v>
      </c>
      <c r="AB349" s="54"/>
      <c r="AC349" s="54"/>
      <c r="AD349" s="54"/>
      <c r="AE349" s="54">
        <f t="shared" si="224"/>
        <v>60.740000000000236</v>
      </c>
      <c r="AF349" s="53"/>
      <c r="AG349" s="53">
        <f t="shared" si="203"/>
        <v>31.459999999948195</v>
      </c>
      <c r="AH349" s="54"/>
      <c r="AI349" s="54"/>
      <c r="AJ349" s="54"/>
      <c r="AK349" s="54">
        <f t="shared" si="225"/>
        <v>31.459999999948195</v>
      </c>
      <c r="AL349" s="53"/>
      <c r="AM349" s="53">
        <f t="shared" si="209"/>
        <v>0</v>
      </c>
      <c r="AN349" s="54"/>
      <c r="AO349" s="54"/>
      <c r="AP349" s="54"/>
      <c r="AQ349" s="54">
        <f t="shared" si="210"/>
        <v>0</v>
      </c>
      <c r="AR349" s="53"/>
      <c r="AS349" s="50">
        <f t="shared" si="226"/>
        <v>-5117956.25</v>
      </c>
      <c r="AT349" s="73">
        <f t="shared" si="233"/>
        <v>373675.46</v>
      </c>
      <c r="AU349" s="50">
        <f t="shared" si="205"/>
        <v>0</v>
      </c>
      <c r="AV349" s="50">
        <f t="shared" si="234"/>
        <v>-584342.26</v>
      </c>
      <c r="AW349" s="50"/>
      <c r="AX349" s="50">
        <f t="shared" si="212"/>
        <v>-5328623.0500000007</v>
      </c>
      <c r="AY349" s="50">
        <f t="shared" si="213"/>
        <v>8300000</v>
      </c>
      <c r="AZ349" s="50">
        <f t="shared" si="214"/>
        <v>2971376.9499999993</v>
      </c>
      <c r="BA349" s="82">
        <f t="shared" si="199"/>
        <v>-4440.5192083333341</v>
      </c>
      <c r="BB349" s="82">
        <f t="shared" si="232"/>
        <v>-135661.36628333334</v>
      </c>
    </row>
    <row r="350" spans="2:54" x14ac:dyDescent="0.3">
      <c r="B350" s="99">
        <f t="shared" si="237"/>
        <v>44652</v>
      </c>
      <c r="C350" s="44">
        <f t="shared" si="216"/>
        <v>-3921751.9399999995</v>
      </c>
      <c r="D350" s="45">
        <v>3516.22</v>
      </c>
      <c r="E350" s="45"/>
      <c r="F350" s="45">
        <v>-18283.539999999979</v>
      </c>
      <c r="G350" s="45">
        <f t="shared" si="239"/>
        <v>-3936519.2599999993</v>
      </c>
      <c r="H350" s="44">
        <v>4300000</v>
      </c>
      <c r="I350" s="46">
        <f t="shared" si="228"/>
        <v>-1407264.3299999996</v>
      </c>
      <c r="J350" s="47">
        <v>289389.46999999997</v>
      </c>
      <c r="K350" s="47">
        <v>45800</v>
      </c>
      <c r="L350" s="47">
        <v>-2247650.27</v>
      </c>
      <c r="M350" s="47">
        <f t="shared" si="218"/>
        <v>-3319725.13</v>
      </c>
      <c r="N350" s="46">
        <v>4000000</v>
      </c>
      <c r="O350" s="48">
        <f t="shared" si="219"/>
        <v>247.37999999895692</v>
      </c>
      <c r="P350" s="55">
        <f>198.08+315.42</f>
        <v>513.5</v>
      </c>
      <c r="Q350" s="55"/>
      <c r="R350" s="55"/>
      <c r="S350" s="55">
        <f t="shared" si="220"/>
        <v>760.87999999895692</v>
      </c>
      <c r="T350" s="48"/>
      <c r="U350" s="49">
        <f t="shared" si="221"/>
        <v>53.639999999944123</v>
      </c>
      <c r="V350" s="51"/>
      <c r="W350" s="51"/>
      <c r="X350" s="51"/>
      <c r="Y350" s="51">
        <f t="shared" si="222"/>
        <v>53.639999999944123</v>
      </c>
      <c r="Z350" s="52"/>
      <c r="AA350" s="53">
        <f t="shared" si="223"/>
        <v>60.740000000000236</v>
      </c>
      <c r="AB350" s="54"/>
      <c r="AC350" s="54">
        <f>53300-45800</f>
        <v>7500</v>
      </c>
      <c r="AD350" s="54">
        <v>-7497.47</v>
      </c>
      <c r="AE350" s="54">
        <f t="shared" si="224"/>
        <v>63.269999999999527</v>
      </c>
      <c r="AF350" s="53"/>
      <c r="AG350" s="53">
        <f t="shared" si="203"/>
        <v>31.459999999948195</v>
      </c>
      <c r="AH350" s="54">
        <v>53355.9</v>
      </c>
      <c r="AI350" s="54">
        <v>-53300</v>
      </c>
      <c r="AJ350" s="54"/>
      <c r="AK350" s="54">
        <f t="shared" si="225"/>
        <v>87.35999999994965</v>
      </c>
      <c r="AL350" s="53"/>
      <c r="AM350" s="53">
        <f t="shared" si="209"/>
        <v>0</v>
      </c>
      <c r="AN350" s="54"/>
      <c r="AO350" s="54"/>
      <c r="AP350" s="54"/>
      <c r="AQ350" s="54">
        <f t="shared" si="210"/>
        <v>0</v>
      </c>
      <c r="AR350" s="53"/>
      <c r="AS350" s="50">
        <f t="shared" si="226"/>
        <v>-5328623.0500000007</v>
      </c>
      <c r="AT350" s="73">
        <f t="shared" si="233"/>
        <v>346775.08999999997</v>
      </c>
      <c r="AU350" s="50">
        <f t="shared" si="205"/>
        <v>0</v>
      </c>
      <c r="AV350" s="50">
        <f t="shared" si="234"/>
        <v>-2273431.2800000003</v>
      </c>
      <c r="AW350" s="50"/>
      <c r="AX350" s="50">
        <f t="shared" si="212"/>
        <v>-7255279.2400000002</v>
      </c>
      <c r="AY350" s="50">
        <f t="shared" si="213"/>
        <v>8300000</v>
      </c>
      <c r="AZ350" s="50">
        <f t="shared" si="214"/>
        <v>1044720.7599999998</v>
      </c>
      <c r="BA350" s="15">
        <f t="shared" ref="BA350:BA413" si="243">AX350*$BA$1</f>
        <v>-6046.0660333333335</v>
      </c>
      <c r="BB350" s="15">
        <f>BA350</f>
        <v>-6046.0660333333335</v>
      </c>
    </row>
    <row r="351" spans="2:54" x14ac:dyDescent="0.3">
      <c r="B351" s="99">
        <f t="shared" ref="B351" si="244">B350+3</f>
        <v>44655</v>
      </c>
      <c r="C351" s="44">
        <f t="shared" si="216"/>
        <v>-3936519.2599999993</v>
      </c>
      <c r="D351" s="45">
        <v>171000.86</v>
      </c>
      <c r="E351" s="45"/>
      <c r="F351" s="45">
        <f>-306136.71</f>
        <v>-306136.71000000002</v>
      </c>
      <c r="G351" s="45">
        <f t="shared" si="239"/>
        <v>-4071655.1099999994</v>
      </c>
      <c r="H351" s="44">
        <v>4300000</v>
      </c>
      <c r="I351" s="46">
        <f t="shared" si="228"/>
        <v>-3319725.13</v>
      </c>
      <c r="J351" s="47">
        <f>6331.23+36716.64</f>
        <v>43047.869999999995</v>
      </c>
      <c r="K351" s="47"/>
      <c r="L351" s="47">
        <v>-348644.69</v>
      </c>
      <c r="M351" s="47">
        <f t="shared" si="218"/>
        <v>-3625321.9499999997</v>
      </c>
      <c r="N351" s="46">
        <v>4000000</v>
      </c>
      <c r="O351" s="48">
        <f t="shared" si="219"/>
        <v>760.87999999895692</v>
      </c>
      <c r="P351" s="55">
        <v>51321.780000001003</v>
      </c>
      <c r="Q351" s="55"/>
      <c r="R351" s="55"/>
      <c r="S351" s="55">
        <f t="shared" si="220"/>
        <v>52082.65999999996</v>
      </c>
      <c r="T351" s="48"/>
      <c r="U351" s="49">
        <f t="shared" si="221"/>
        <v>53.639999999944123</v>
      </c>
      <c r="V351" s="51">
        <v>5210.25</v>
      </c>
      <c r="W351" s="51"/>
      <c r="X351" s="51">
        <v>-59.95</v>
      </c>
      <c r="Y351" s="51">
        <f t="shared" si="222"/>
        <v>5203.9399999999441</v>
      </c>
      <c r="Z351" s="52"/>
      <c r="AA351" s="53">
        <f t="shared" si="223"/>
        <v>63.269999999999527</v>
      </c>
      <c r="AB351" s="54"/>
      <c r="AC351" s="54"/>
      <c r="AD351" s="54"/>
      <c r="AE351" s="54">
        <f t="shared" si="224"/>
        <v>63.269999999999527</v>
      </c>
      <c r="AF351" s="53"/>
      <c r="AG351" s="53">
        <f t="shared" si="203"/>
        <v>87.35999999994965</v>
      </c>
      <c r="AH351" s="54"/>
      <c r="AI351" s="54"/>
      <c r="AJ351" s="54"/>
      <c r="AK351" s="54">
        <f t="shared" si="225"/>
        <v>87.35999999994965</v>
      </c>
      <c r="AL351" s="53"/>
      <c r="AM351" s="53">
        <f t="shared" si="209"/>
        <v>0</v>
      </c>
      <c r="AN351" s="54"/>
      <c r="AO351" s="54"/>
      <c r="AP351" s="54"/>
      <c r="AQ351" s="54">
        <f t="shared" si="210"/>
        <v>0</v>
      </c>
      <c r="AR351" s="53"/>
      <c r="AS351" s="50">
        <f t="shared" si="226"/>
        <v>-7255279.2400000002</v>
      </c>
      <c r="AT351" s="73">
        <f t="shared" si="233"/>
        <v>270580.760000001</v>
      </c>
      <c r="AU351" s="50">
        <f t="shared" si="205"/>
        <v>0</v>
      </c>
      <c r="AV351" s="50">
        <f t="shared" si="234"/>
        <v>-654841.35</v>
      </c>
      <c r="AW351" s="50"/>
      <c r="AX351" s="50">
        <f t="shared" si="212"/>
        <v>-7639539.8299999991</v>
      </c>
      <c r="AY351" s="50">
        <f t="shared" si="213"/>
        <v>8300000</v>
      </c>
      <c r="AZ351" s="50">
        <f t="shared" si="214"/>
        <v>660460.17000000086</v>
      </c>
      <c r="BA351" s="15">
        <f t="shared" si="243"/>
        <v>-6366.2831916666664</v>
      </c>
      <c r="BB351" s="15">
        <f t="shared" si="232"/>
        <v>-12412.349225</v>
      </c>
    </row>
    <row r="352" spans="2:54" x14ac:dyDescent="0.3">
      <c r="B352" s="99">
        <f t="shared" ref="B352" si="245">B351+1</f>
        <v>44656</v>
      </c>
      <c r="C352" s="44">
        <f t="shared" si="216"/>
        <v>-4071655.1099999994</v>
      </c>
      <c r="D352" s="45"/>
      <c r="E352" s="45">
        <v>-130000</v>
      </c>
      <c r="F352" s="45">
        <v>-33719.19</v>
      </c>
      <c r="G352" s="45">
        <f t="shared" si="239"/>
        <v>-4235374.3</v>
      </c>
      <c r="H352" s="44">
        <v>4300000</v>
      </c>
      <c r="I352" s="46">
        <f t="shared" si="228"/>
        <v>-3625321.9499999997</v>
      </c>
      <c r="J352" s="47">
        <f>168094.36+15226.22</f>
        <v>183320.58</v>
      </c>
      <c r="K352" s="47">
        <f>130000+56000</f>
        <v>186000</v>
      </c>
      <c r="L352" s="47">
        <v>-340657.19</v>
      </c>
      <c r="M352" s="47">
        <f t="shared" si="218"/>
        <v>-3596658.5599999996</v>
      </c>
      <c r="N352" s="46">
        <v>4000000</v>
      </c>
      <c r="O352" s="48">
        <f t="shared" si="219"/>
        <v>52082.65999999996</v>
      </c>
      <c r="P352" s="55"/>
      <c r="Q352" s="55">
        <f>5150-56000</f>
        <v>-50850</v>
      </c>
      <c r="R352" s="55">
        <v>-670</v>
      </c>
      <c r="S352" s="55">
        <f t="shared" si="220"/>
        <v>562.65999999995984</v>
      </c>
      <c r="T352" s="48"/>
      <c r="U352" s="49">
        <f t="shared" si="221"/>
        <v>5203.9399999999441</v>
      </c>
      <c r="V352" s="51"/>
      <c r="W352" s="51">
        <v>-5150</v>
      </c>
      <c r="X352" s="51">
        <v>-1.3</v>
      </c>
      <c r="Y352" s="51">
        <f t="shared" si="222"/>
        <v>52.639999999944123</v>
      </c>
      <c r="Z352" s="52"/>
      <c r="AA352" s="53">
        <f t="shared" si="223"/>
        <v>63.269999999999527</v>
      </c>
      <c r="AB352" s="54"/>
      <c r="AC352" s="54"/>
      <c r="AD352" s="54"/>
      <c r="AE352" s="54">
        <f t="shared" si="224"/>
        <v>63.269999999999527</v>
      </c>
      <c r="AF352" s="53"/>
      <c r="AG352" s="53">
        <f t="shared" si="203"/>
        <v>87.35999999994965</v>
      </c>
      <c r="AH352" s="54"/>
      <c r="AI352" s="54"/>
      <c r="AJ352" s="54"/>
      <c r="AK352" s="54">
        <f t="shared" si="225"/>
        <v>87.35999999994965</v>
      </c>
      <c r="AL352" s="53"/>
      <c r="AM352" s="53">
        <f t="shared" si="209"/>
        <v>0</v>
      </c>
      <c r="AN352" s="54"/>
      <c r="AO352" s="54"/>
      <c r="AP352" s="54"/>
      <c r="AQ352" s="54">
        <f t="shared" si="210"/>
        <v>0</v>
      </c>
      <c r="AR352" s="53"/>
      <c r="AS352" s="50">
        <f t="shared" si="226"/>
        <v>-7639539.8299999991</v>
      </c>
      <c r="AT352" s="73">
        <f t="shared" si="233"/>
        <v>183320.58</v>
      </c>
      <c r="AU352" s="50">
        <f t="shared" si="205"/>
        <v>0</v>
      </c>
      <c r="AV352" s="50">
        <f t="shared" si="234"/>
        <v>-375047.67999999999</v>
      </c>
      <c r="AW352" s="50"/>
      <c r="AX352" s="50">
        <f t="shared" si="212"/>
        <v>-7831266.9299999997</v>
      </c>
      <c r="AY352" s="50">
        <f t="shared" si="213"/>
        <v>8300000</v>
      </c>
      <c r="AZ352" s="50">
        <f t="shared" si="214"/>
        <v>468733.0700000003</v>
      </c>
      <c r="BA352" s="15">
        <f t="shared" si="243"/>
        <v>-6526.0557749999998</v>
      </c>
      <c r="BB352" s="15">
        <f t="shared" si="232"/>
        <v>-18938.404999999999</v>
      </c>
    </row>
    <row r="353" spans="2:54" x14ac:dyDescent="0.3">
      <c r="B353" s="99">
        <f t="shared" si="237"/>
        <v>44657</v>
      </c>
      <c r="C353" s="44">
        <f t="shared" si="216"/>
        <v>-4235374.3</v>
      </c>
      <c r="D353" s="45"/>
      <c r="E353" s="45"/>
      <c r="F353" s="45">
        <v>-37771.279999999999</v>
      </c>
      <c r="G353" s="45">
        <f t="shared" si="239"/>
        <v>-4273145.58</v>
      </c>
      <c r="H353" s="44">
        <v>4300000</v>
      </c>
      <c r="I353" s="46">
        <f t="shared" si="228"/>
        <v>-3596658.5599999996</v>
      </c>
      <c r="J353" s="47"/>
      <c r="K353" s="47"/>
      <c r="L353" s="47">
        <v>-60599.880000000398</v>
      </c>
      <c r="M353" s="47">
        <f t="shared" si="218"/>
        <v>-3657258.44</v>
      </c>
      <c r="N353" s="46">
        <v>4000000</v>
      </c>
      <c r="O353" s="48">
        <f t="shared" si="219"/>
        <v>562.65999999995984</v>
      </c>
      <c r="P353" s="55"/>
      <c r="Q353" s="55"/>
      <c r="R353" s="55"/>
      <c r="S353" s="55">
        <f t="shared" si="220"/>
        <v>562.65999999995984</v>
      </c>
      <c r="T353" s="48"/>
      <c r="U353" s="49">
        <f t="shared" si="221"/>
        <v>52.639999999944123</v>
      </c>
      <c r="V353" s="51"/>
      <c r="W353" s="51"/>
      <c r="X353" s="51"/>
      <c r="Y353" s="51">
        <f t="shared" si="222"/>
        <v>52.639999999944123</v>
      </c>
      <c r="Z353" s="52"/>
      <c r="AA353" s="53">
        <f t="shared" si="223"/>
        <v>63.269999999999527</v>
      </c>
      <c r="AB353" s="54"/>
      <c r="AC353" s="54"/>
      <c r="AD353" s="54"/>
      <c r="AE353" s="54">
        <f t="shared" si="224"/>
        <v>63.269999999999527</v>
      </c>
      <c r="AF353" s="53"/>
      <c r="AG353" s="53">
        <f t="shared" si="203"/>
        <v>87.35999999994965</v>
      </c>
      <c r="AH353" s="54"/>
      <c r="AI353" s="54"/>
      <c r="AJ353" s="54"/>
      <c r="AK353" s="54">
        <f t="shared" si="225"/>
        <v>87.35999999994965</v>
      </c>
      <c r="AL353" s="53"/>
      <c r="AM353" s="53">
        <f t="shared" si="209"/>
        <v>0</v>
      </c>
      <c r="AN353" s="54"/>
      <c r="AO353" s="54"/>
      <c r="AP353" s="54"/>
      <c r="AQ353" s="54">
        <f t="shared" si="210"/>
        <v>0</v>
      </c>
      <c r="AR353" s="53"/>
      <c r="AS353" s="50">
        <f t="shared" si="226"/>
        <v>-7831266.9299999997</v>
      </c>
      <c r="AT353" s="73">
        <f t="shared" si="233"/>
        <v>0</v>
      </c>
      <c r="AU353" s="50">
        <f t="shared" si="205"/>
        <v>0</v>
      </c>
      <c r="AV353" s="50">
        <f t="shared" si="234"/>
        <v>-98371.160000000396</v>
      </c>
      <c r="AW353" s="50"/>
      <c r="AX353" s="50">
        <f t="shared" si="212"/>
        <v>-7929638.0899999999</v>
      </c>
      <c r="AY353" s="50">
        <f t="shared" si="213"/>
        <v>8300000</v>
      </c>
      <c r="AZ353" s="50">
        <f t="shared" si="214"/>
        <v>370361.91000000015</v>
      </c>
      <c r="BA353" s="15">
        <f t="shared" si="243"/>
        <v>-6608.0317416666667</v>
      </c>
      <c r="BB353" s="15">
        <f t="shared" si="232"/>
        <v>-25546.436741666665</v>
      </c>
    </row>
    <row r="354" spans="2:54" x14ac:dyDescent="0.3">
      <c r="B354" s="99">
        <f t="shared" si="237"/>
        <v>44658</v>
      </c>
      <c r="C354" s="44">
        <f t="shared" si="216"/>
        <v>-4273145.58</v>
      </c>
      <c r="D354" s="45">
        <v>525315.73</v>
      </c>
      <c r="E354" s="45">
        <v>-200000</v>
      </c>
      <c r="F354" s="45">
        <f>-2845.23-0.85</f>
        <v>-2846.08</v>
      </c>
      <c r="G354" s="45">
        <f t="shared" si="239"/>
        <v>-3950675.93</v>
      </c>
      <c r="H354" s="44">
        <v>4300000</v>
      </c>
      <c r="I354" s="46">
        <f t="shared" si="228"/>
        <v>-3657258.44</v>
      </c>
      <c r="J354" s="47"/>
      <c r="K354" s="47">
        <v>200000</v>
      </c>
      <c r="L354" s="47">
        <v>-217804.49</v>
      </c>
      <c r="M354" s="47">
        <f t="shared" si="218"/>
        <v>-3675062.9299999997</v>
      </c>
      <c r="N354" s="46">
        <v>4000000</v>
      </c>
      <c r="O354" s="48">
        <f t="shared" si="219"/>
        <v>562.65999999995984</v>
      </c>
      <c r="P354" s="55"/>
      <c r="Q354" s="55"/>
      <c r="R354" s="55"/>
      <c r="S354" s="55">
        <f t="shared" si="220"/>
        <v>562.65999999995984</v>
      </c>
      <c r="T354" s="48"/>
      <c r="U354" s="49">
        <f t="shared" si="221"/>
        <v>52.639999999944123</v>
      </c>
      <c r="V354" s="51"/>
      <c r="W354" s="51"/>
      <c r="X354" s="51"/>
      <c r="Y354" s="51">
        <f t="shared" si="222"/>
        <v>52.639999999944123</v>
      </c>
      <c r="Z354" s="52"/>
      <c r="AA354" s="53">
        <f t="shared" si="223"/>
        <v>63.269999999999527</v>
      </c>
      <c r="AB354" s="54"/>
      <c r="AC354" s="54"/>
      <c r="AD354" s="54"/>
      <c r="AE354" s="54">
        <f t="shared" si="224"/>
        <v>63.269999999999527</v>
      </c>
      <c r="AF354" s="53"/>
      <c r="AG354" s="53">
        <f t="shared" si="203"/>
        <v>87.35999999994965</v>
      </c>
      <c r="AH354" s="54"/>
      <c r="AI354" s="54"/>
      <c r="AJ354" s="54"/>
      <c r="AK354" s="54">
        <f t="shared" si="225"/>
        <v>87.35999999994965</v>
      </c>
      <c r="AL354" s="53"/>
      <c r="AM354" s="53">
        <f t="shared" si="209"/>
        <v>0</v>
      </c>
      <c r="AN354" s="54"/>
      <c r="AO354" s="54"/>
      <c r="AP354" s="54"/>
      <c r="AQ354" s="54">
        <f t="shared" si="210"/>
        <v>0</v>
      </c>
      <c r="AR354" s="53"/>
      <c r="AS354" s="50">
        <f t="shared" si="226"/>
        <v>-7929638.0899999999</v>
      </c>
      <c r="AT354" s="73">
        <f t="shared" si="233"/>
        <v>525315.73</v>
      </c>
      <c r="AU354" s="50">
        <f t="shared" si="205"/>
        <v>0</v>
      </c>
      <c r="AV354" s="50">
        <f t="shared" si="234"/>
        <v>-220650.56999999998</v>
      </c>
      <c r="AW354" s="50"/>
      <c r="AX354" s="50">
        <f t="shared" si="212"/>
        <v>-7624972.9299999997</v>
      </c>
      <c r="AY354" s="50">
        <f t="shared" si="213"/>
        <v>8300000</v>
      </c>
      <c r="AZ354" s="50">
        <f t="shared" si="214"/>
        <v>675027.0700000003</v>
      </c>
      <c r="BA354" s="15">
        <f t="shared" si="243"/>
        <v>-6354.1441083333339</v>
      </c>
      <c r="BB354" s="15">
        <f t="shared" si="232"/>
        <v>-31900.580849999998</v>
      </c>
    </row>
    <row r="355" spans="2:54" x14ac:dyDescent="0.3">
      <c r="B355" s="99">
        <f t="shared" si="237"/>
        <v>44659</v>
      </c>
      <c r="C355" s="44">
        <f t="shared" si="216"/>
        <v>-3950675.93</v>
      </c>
      <c r="D355" s="45"/>
      <c r="E355" s="45"/>
      <c r="F355" s="45">
        <v>-31456.400000000001</v>
      </c>
      <c r="G355" s="45">
        <f t="shared" si="239"/>
        <v>-3982132.33</v>
      </c>
      <c r="H355" s="44">
        <v>4300000</v>
      </c>
      <c r="I355" s="46">
        <f t="shared" si="228"/>
        <v>-3675062.9299999997</v>
      </c>
      <c r="J355" s="47"/>
      <c r="K355" s="47">
        <v>2170000</v>
      </c>
      <c r="L355" s="47">
        <v>-103614.34</v>
      </c>
      <c r="M355" s="47">
        <f t="shared" si="218"/>
        <v>-1608677.2699999998</v>
      </c>
      <c r="N355" s="46">
        <v>4000000</v>
      </c>
      <c r="O355" s="48">
        <f t="shared" si="219"/>
        <v>562.65999999995984</v>
      </c>
      <c r="P355" s="55"/>
      <c r="Q355" s="55"/>
      <c r="R355" s="55"/>
      <c r="S355" s="55">
        <f t="shared" si="220"/>
        <v>562.65999999995984</v>
      </c>
      <c r="T355" s="48"/>
      <c r="U355" s="49">
        <f t="shared" si="221"/>
        <v>52.639999999944123</v>
      </c>
      <c r="V355" s="51"/>
      <c r="W355" s="51"/>
      <c r="X355" s="51"/>
      <c r="Y355" s="51">
        <f t="shared" si="222"/>
        <v>52.639999999944123</v>
      </c>
      <c r="Z355" s="52"/>
      <c r="AA355" s="53">
        <f t="shared" si="223"/>
        <v>63.269999999999527</v>
      </c>
      <c r="AB355" s="54">
        <v>2500000</v>
      </c>
      <c r="AC355" s="54">
        <v>-2170000</v>
      </c>
      <c r="AD355" s="54">
        <v>-289583.02</v>
      </c>
      <c r="AE355" s="54">
        <f t="shared" si="224"/>
        <v>40480.25</v>
      </c>
      <c r="AF355" s="53"/>
      <c r="AG355" s="53">
        <f t="shared" si="203"/>
        <v>87.35999999994965</v>
      </c>
      <c r="AH355" s="54"/>
      <c r="AI355" s="54"/>
      <c r="AJ355" s="54"/>
      <c r="AK355" s="54">
        <f t="shared" si="225"/>
        <v>87.35999999994965</v>
      </c>
      <c r="AL355" s="53"/>
      <c r="AM355" s="53">
        <f t="shared" si="209"/>
        <v>0</v>
      </c>
      <c r="AN355" s="54"/>
      <c r="AO355" s="54"/>
      <c r="AP355" s="54"/>
      <c r="AQ355" s="54">
        <f t="shared" si="210"/>
        <v>0</v>
      </c>
      <c r="AR355" s="53"/>
      <c r="AS355" s="50">
        <f t="shared" si="226"/>
        <v>-7624972.9299999997</v>
      </c>
      <c r="AT355" s="73">
        <f t="shared" si="233"/>
        <v>2500000</v>
      </c>
      <c r="AU355" s="50">
        <f t="shared" si="205"/>
        <v>0</v>
      </c>
      <c r="AV355" s="50">
        <f t="shared" si="234"/>
        <v>-424653.76</v>
      </c>
      <c r="AW355" s="50"/>
      <c r="AX355" s="50">
        <f t="shared" si="212"/>
        <v>-5549626.6899999995</v>
      </c>
      <c r="AY355" s="50">
        <f t="shared" si="213"/>
        <v>8300000</v>
      </c>
      <c r="AZ355" s="50">
        <f t="shared" si="214"/>
        <v>2750373.3100000005</v>
      </c>
      <c r="BA355" s="15">
        <f t="shared" si="243"/>
        <v>-4624.6889083333335</v>
      </c>
      <c r="BB355" s="15">
        <f t="shared" si="232"/>
        <v>-36525.269758333336</v>
      </c>
    </row>
    <row r="356" spans="2:54" x14ac:dyDescent="0.3">
      <c r="B356" s="99">
        <f t="shared" ref="B356" si="246">B355+3</f>
        <v>44662</v>
      </c>
      <c r="C356" s="44">
        <f t="shared" si="216"/>
        <v>-3982132.33</v>
      </c>
      <c r="D356" s="45">
        <v>390475.76</v>
      </c>
      <c r="E356" s="45">
        <v>-200000</v>
      </c>
      <c r="F356" s="45">
        <v>-6036.02</v>
      </c>
      <c r="G356" s="45">
        <f t="shared" si="239"/>
        <v>-3797692.5900000003</v>
      </c>
      <c r="H356" s="44">
        <v>4300000</v>
      </c>
      <c r="I356" s="46">
        <f t="shared" si="228"/>
        <v>-1608677.2699999998</v>
      </c>
      <c r="J356" s="47"/>
      <c r="K356" s="47">
        <f>200000+56300</f>
        <v>256300</v>
      </c>
      <c r="L356" s="47">
        <v>-212967.72</v>
      </c>
      <c r="M356" s="47">
        <f t="shared" si="218"/>
        <v>-1565344.9899999998</v>
      </c>
      <c r="N356" s="46">
        <v>4000000</v>
      </c>
      <c r="O356" s="48">
        <f t="shared" si="219"/>
        <v>562.65999999995984</v>
      </c>
      <c r="P356" s="55"/>
      <c r="Q356" s="55"/>
      <c r="R356" s="55"/>
      <c r="S356" s="55">
        <f t="shared" si="220"/>
        <v>562.65999999995984</v>
      </c>
      <c r="T356" s="48"/>
      <c r="U356" s="49">
        <f t="shared" si="221"/>
        <v>52.639999999944123</v>
      </c>
      <c r="V356" s="51">
        <v>28142.79</v>
      </c>
      <c r="W356" s="51">
        <v>-28100</v>
      </c>
      <c r="X356" s="51">
        <v>-10</v>
      </c>
      <c r="Y356" s="51">
        <f t="shared" si="222"/>
        <v>85.429999999945721</v>
      </c>
      <c r="Z356" s="52"/>
      <c r="AA356" s="53">
        <f t="shared" si="223"/>
        <v>40480.25</v>
      </c>
      <c r="AB356" s="54"/>
      <c r="AC356" s="54"/>
      <c r="AD356" s="54">
        <v>-35193.72</v>
      </c>
      <c r="AE356" s="54">
        <f t="shared" si="224"/>
        <v>5286.5299999999988</v>
      </c>
      <c r="AF356" s="53"/>
      <c r="AG356" s="53">
        <f t="shared" si="203"/>
        <v>87.35999999994965</v>
      </c>
      <c r="AH356" s="54">
        <f>6380.31+21831.77</f>
        <v>28212.080000000002</v>
      </c>
      <c r="AI356" s="54">
        <v>-28200</v>
      </c>
      <c r="AJ356" s="54">
        <v>-9.6</v>
      </c>
      <c r="AK356" s="54">
        <f t="shared" si="225"/>
        <v>89.839999999951402</v>
      </c>
      <c r="AL356" s="53"/>
      <c r="AM356" s="53">
        <f t="shared" si="209"/>
        <v>0</v>
      </c>
      <c r="AN356" s="54"/>
      <c r="AO356" s="54"/>
      <c r="AP356" s="54"/>
      <c r="AQ356" s="54">
        <f t="shared" si="210"/>
        <v>0</v>
      </c>
      <c r="AR356" s="53"/>
      <c r="AS356" s="50">
        <f t="shared" si="226"/>
        <v>-5549626.6899999995</v>
      </c>
      <c r="AT356" s="73">
        <f t="shared" si="233"/>
        <v>446830.63</v>
      </c>
      <c r="AU356" s="50">
        <f t="shared" si="205"/>
        <v>0</v>
      </c>
      <c r="AV356" s="50">
        <f t="shared" si="234"/>
        <v>-254217.06</v>
      </c>
      <c r="AW356" s="50"/>
      <c r="AX356" s="50">
        <f t="shared" si="212"/>
        <v>-5357013.12</v>
      </c>
      <c r="AY356" s="50">
        <f t="shared" si="213"/>
        <v>8300000</v>
      </c>
      <c r="AZ356" s="50">
        <f t="shared" si="214"/>
        <v>2942986.88</v>
      </c>
      <c r="BA356" s="15">
        <f t="shared" si="243"/>
        <v>-4464.1776</v>
      </c>
      <c r="BB356" s="15">
        <f t="shared" si="232"/>
        <v>-40989.447358333338</v>
      </c>
    </row>
    <row r="357" spans="2:54" x14ac:dyDescent="0.3">
      <c r="B357" s="99">
        <f t="shared" ref="B357" si="247">B356+1</f>
        <v>44663</v>
      </c>
      <c r="C357" s="44">
        <f t="shared" si="216"/>
        <v>-3797692.5900000003</v>
      </c>
      <c r="D357" s="45">
        <v>29158.639999999999</v>
      </c>
      <c r="E357" s="45">
        <v>-200000</v>
      </c>
      <c r="F357" s="45">
        <v>-16519.32</v>
      </c>
      <c r="G357" s="45">
        <f t="shared" si="239"/>
        <v>-3985053.27</v>
      </c>
      <c r="H357" s="44">
        <v>4300000</v>
      </c>
      <c r="I357" s="46">
        <f t="shared" si="228"/>
        <v>-1565344.9899999998</v>
      </c>
      <c r="J357" s="47"/>
      <c r="K357" s="47">
        <v>200000</v>
      </c>
      <c r="L357" s="47">
        <v>-44145.280000000203</v>
      </c>
      <c r="M357" s="47">
        <f t="shared" si="218"/>
        <v>-1409490.27</v>
      </c>
      <c r="N357" s="46">
        <v>4000000</v>
      </c>
      <c r="O357" s="48">
        <f t="shared" si="219"/>
        <v>562.65999999995984</v>
      </c>
      <c r="P357" s="55"/>
      <c r="Q357" s="55"/>
      <c r="R357" s="55"/>
      <c r="S357" s="55">
        <f t="shared" si="220"/>
        <v>562.65999999995984</v>
      </c>
      <c r="T357" s="48"/>
      <c r="U357" s="49">
        <f t="shared" si="221"/>
        <v>85.429999999945721</v>
      </c>
      <c r="V357" s="51"/>
      <c r="W357" s="51"/>
      <c r="X357" s="51"/>
      <c r="Y357" s="51">
        <f t="shared" si="222"/>
        <v>85.429999999945721</v>
      </c>
      <c r="Z357" s="52"/>
      <c r="AA357" s="53">
        <f t="shared" si="223"/>
        <v>5286.5299999999988</v>
      </c>
      <c r="AB357" s="54"/>
      <c r="AC357" s="54"/>
      <c r="AD357" s="54">
        <v>-716.4</v>
      </c>
      <c r="AE357" s="54">
        <f t="shared" si="224"/>
        <v>4570.1299999999992</v>
      </c>
      <c r="AF357" s="53"/>
      <c r="AG357" s="53">
        <f t="shared" si="203"/>
        <v>89.839999999951402</v>
      </c>
      <c r="AH357" s="54"/>
      <c r="AI357" s="54"/>
      <c r="AJ357" s="54"/>
      <c r="AK357" s="54">
        <f t="shared" si="225"/>
        <v>89.839999999951402</v>
      </c>
      <c r="AL357" s="53"/>
      <c r="AM357" s="53">
        <f t="shared" si="209"/>
        <v>0</v>
      </c>
      <c r="AN357" s="54"/>
      <c r="AO357" s="54"/>
      <c r="AP357" s="54"/>
      <c r="AQ357" s="54">
        <f t="shared" si="210"/>
        <v>0</v>
      </c>
      <c r="AR357" s="53"/>
      <c r="AS357" s="50">
        <f t="shared" si="226"/>
        <v>-5357013.12</v>
      </c>
      <c r="AT357" s="73">
        <f t="shared" si="233"/>
        <v>29158.639999999999</v>
      </c>
      <c r="AU357" s="50">
        <f t="shared" si="205"/>
        <v>0</v>
      </c>
      <c r="AV357" s="50">
        <f t="shared" si="234"/>
        <v>-61381.000000000204</v>
      </c>
      <c r="AW357" s="50"/>
      <c r="AX357" s="50">
        <f t="shared" si="212"/>
        <v>-5389235.4800000004</v>
      </c>
      <c r="AY357" s="50">
        <f t="shared" si="213"/>
        <v>8300000</v>
      </c>
      <c r="AZ357" s="50">
        <f t="shared" si="214"/>
        <v>2910764.5199999996</v>
      </c>
      <c r="BA357" s="15">
        <f t="shared" si="243"/>
        <v>-4491.0295666666671</v>
      </c>
      <c r="BB357" s="15">
        <f t="shared" si="232"/>
        <v>-45480.476925000003</v>
      </c>
    </row>
    <row r="358" spans="2:54" x14ac:dyDescent="0.3">
      <c r="B358" s="99">
        <f t="shared" si="237"/>
        <v>44664</v>
      </c>
      <c r="C358" s="44">
        <f t="shared" si="216"/>
        <v>-3985053.27</v>
      </c>
      <c r="D358" s="45"/>
      <c r="E358" s="45"/>
      <c r="F358" s="45">
        <v>-1199.75</v>
      </c>
      <c r="G358" s="45">
        <f t="shared" si="239"/>
        <v>-3986253.02</v>
      </c>
      <c r="H358" s="44">
        <v>4300000</v>
      </c>
      <c r="I358" s="46">
        <f t="shared" si="228"/>
        <v>-1409490.27</v>
      </c>
      <c r="J358" s="47">
        <v>372490.46</v>
      </c>
      <c r="K358" s="47"/>
      <c r="L358" s="47">
        <v>-140274.70000000001</v>
      </c>
      <c r="M358" s="47">
        <f t="shared" si="218"/>
        <v>-1177274.51</v>
      </c>
      <c r="N358" s="46">
        <v>4000000</v>
      </c>
      <c r="O358" s="48">
        <f t="shared" si="219"/>
        <v>562.65999999995984</v>
      </c>
      <c r="P358" s="55">
        <f>163.84+512.32</f>
        <v>676.16000000000008</v>
      </c>
      <c r="Q358" s="55"/>
      <c r="R358" s="55"/>
      <c r="S358" s="55">
        <f t="shared" si="220"/>
        <v>1238.8199999999599</v>
      </c>
      <c r="T358" s="48"/>
      <c r="U358" s="49">
        <f t="shared" si="221"/>
        <v>85.429999999945721</v>
      </c>
      <c r="V358" s="51"/>
      <c r="W358" s="51"/>
      <c r="X358" s="51"/>
      <c r="Y358" s="51">
        <f t="shared" si="222"/>
        <v>85.429999999945721</v>
      </c>
      <c r="Z358" s="52"/>
      <c r="AA358" s="53">
        <f t="shared" si="223"/>
        <v>4570.1299999999992</v>
      </c>
      <c r="AB358" s="54"/>
      <c r="AC358" s="54"/>
      <c r="AD358" s="54"/>
      <c r="AE358" s="54">
        <f t="shared" si="224"/>
        <v>4570.1299999999992</v>
      </c>
      <c r="AF358" s="53"/>
      <c r="AG358" s="53">
        <f t="shared" si="203"/>
        <v>89.839999999951402</v>
      </c>
      <c r="AH358" s="54"/>
      <c r="AI358" s="54"/>
      <c r="AJ358" s="54"/>
      <c r="AK358" s="54">
        <f t="shared" si="225"/>
        <v>89.839999999951402</v>
      </c>
      <c r="AL358" s="53"/>
      <c r="AM358" s="53">
        <f t="shared" si="209"/>
        <v>0</v>
      </c>
      <c r="AN358" s="54"/>
      <c r="AO358" s="54"/>
      <c r="AP358" s="54"/>
      <c r="AQ358" s="54">
        <f t="shared" si="210"/>
        <v>0</v>
      </c>
      <c r="AR358" s="53"/>
      <c r="AS358" s="50">
        <f t="shared" si="226"/>
        <v>-5389235.4800000004</v>
      </c>
      <c r="AT358" s="73">
        <f t="shared" si="233"/>
        <v>373166.62</v>
      </c>
      <c r="AU358" s="50">
        <f t="shared" si="205"/>
        <v>0</v>
      </c>
      <c r="AV358" s="50">
        <f t="shared" si="234"/>
        <v>-141474.45000000001</v>
      </c>
      <c r="AW358" s="50"/>
      <c r="AX358" s="50">
        <f t="shared" si="212"/>
        <v>-5157543.3100000005</v>
      </c>
      <c r="AY358" s="50">
        <f t="shared" si="213"/>
        <v>8300000</v>
      </c>
      <c r="AZ358" s="50">
        <f t="shared" si="214"/>
        <v>3142456.6899999995</v>
      </c>
      <c r="BA358" s="15">
        <f t="shared" si="243"/>
        <v>-4297.9527583333338</v>
      </c>
      <c r="BB358" s="15">
        <f t="shared" si="232"/>
        <v>-49778.429683333336</v>
      </c>
    </row>
    <row r="359" spans="2:54" x14ac:dyDescent="0.3">
      <c r="B359" s="99">
        <f t="shared" si="237"/>
        <v>44665</v>
      </c>
      <c r="C359" s="44">
        <f t="shared" si="216"/>
        <v>-3986253.02</v>
      </c>
      <c r="D359" s="45">
        <v>194477.36</v>
      </c>
      <c r="E359" s="45">
        <v>-200000</v>
      </c>
      <c r="F359" s="45">
        <v>-15833.83</v>
      </c>
      <c r="G359" s="45">
        <f t="shared" si="239"/>
        <v>-4007609.49</v>
      </c>
      <c r="H359" s="44">
        <v>4300000</v>
      </c>
      <c r="I359" s="46">
        <f t="shared" si="228"/>
        <v>-1177274.51</v>
      </c>
      <c r="J359" s="47"/>
      <c r="K359" s="47">
        <v>200000</v>
      </c>
      <c r="L359" s="47">
        <v>-516426.87</v>
      </c>
      <c r="M359" s="47">
        <f t="shared" si="218"/>
        <v>-1493701.38</v>
      </c>
      <c r="N359" s="46">
        <v>4000000</v>
      </c>
      <c r="O359" s="48">
        <f t="shared" si="219"/>
        <v>1238.8199999999599</v>
      </c>
      <c r="P359" s="55"/>
      <c r="Q359" s="55"/>
      <c r="R359" s="55"/>
      <c r="S359" s="55">
        <f t="shared" si="220"/>
        <v>1238.8199999999599</v>
      </c>
      <c r="T359" s="48"/>
      <c r="U359" s="49">
        <f t="shared" si="221"/>
        <v>85.429999999945721</v>
      </c>
      <c r="V359" s="51"/>
      <c r="W359" s="51"/>
      <c r="X359" s="51"/>
      <c r="Y359" s="51">
        <f t="shared" si="222"/>
        <v>85.429999999945721</v>
      </c>
      <c r="Z359" s="52"/>
      <c r="AA359" s="53">
        <f t="shared" si="223"/>
        <v>4570.1299999999992</v>
      </c>
      <c r="AB359" s="54"/>
      <c r="AC359" s="54"/>
      <c r="AD359" s="54">
        <v>-994.71</v>
      </c>
      <c r="AE359" s="54">
        <f t="shared" si="224"/>
        <v>3575.4199999999992</v>
      </c>
      <c r="AF359" s="53"/>
      <c r="AG359" s="53">
        <f t="shared" si="203"/>
        <v>89.839999999951402</v>
      </c>
      <c r="AH359" s="54"/>
      <c r="AI359" s="54"/>
      <c r="AJ359" s="54"/>
      <c r="AK359" s="54">
        <f t="shared" si="225"/>
        <v>89.839999999951402</v>
      </c>
      <c r="AL359" s="53"/>
      <c r="AM359" s="53">
        <f t="shared" si="209"/>
        <v>0</v>
      </c>
      <c r="AN359" s="54"/>
      <c r="AO359" s="54"/>
      <c r="AP359" s="54"/>
      <c r="AQ359" s="54">
        <f t="shared" si="210"/>
        <v>0</v>
      </c>
      <c r="AR359" s="53"/>
      <c r="AS359" s="50">
        <f t="shared" si="226"/>
        <v>-5157543.3100000005</v>
      </c>
      <c r="AT359" s="73">
        <f t="shared" si="233"/>
        <v>194477.36</v>
      </c>
      <c r="AU359" s="50">
        <f t="shared" si="205"/>
        <v>0</v>
      </c>
      <c r="AV359" s="50">
        <f t="shared" si="234"/>
        <v>-533255.40999999992</v>
      </c>
      <c r="AW359" s="50"/>
      <c r="AX359" s="50">
        <f t="shared" si="212"/>
        <v>-5496321.3600000003</v>
      </c>
      <c r="AY359" s="50">
        <f t="shared" si="213"/>
        <v>8300000</v>
      </c>
      <c r="AZ359" s="50">
        <f t="shared" si="214"/>
        <v>2803678.6399999997</v>
      </c>
      <c r="BA359" s="15">
        <f t="shared" si="243"/>
        <v>-4580.2678000000005</v>
      </c>
      <c r="BB359" s="15">
        <f t="shared" si="232"/>
        <v>-54358.697483333337</v>
      </c>
    </row>
    <row r="360" spans="2:54" x14ac:dyDescent="0.3">
      <c r="B360" s="99">
        <f t="shared" si="237"/>
        <v>44666</v>
      </c>
      <c r="C360" s="44">
        <f t="shared" si="216"/>
        <v>-4007609.49</v>
      </c>
      <c r="D360" s="45"/>
      <c r="E360" s="45"/>
      <c r="F360" s="45"/>
      <c r="G360" s="45">
        <f t="shared" si="239"/>
        <v>-4007609.49</v>
      </c>
      <c r="H360" s="44">
        <v>4300000</v>
      </c>
      <c r="I360" s="46">
        <f t="shared" si="228"/>
        <v>-1493701.38</v>
      </c>
      <c r="J360" s="47"/>
      <c r="K360" s="47"/>
      <c r="L360" s="47"/>
      <c r="M360" s="47">
        <f t="shared" si="218"/>
        <v>-1493701.38</v>
      </c>
      <c r="N360" s="46">
        <v>4000000</v>
      </c>
      <c r="O360" s="48">
        <f t="shared" si="219"/>
        <v>1238.8199999999599</v>
      </c>
      <c r="P360" s="55"/>
      <c r="Q360" s="55"/>
      <c r="R360" s="55"/>
      <c r="S360" s="55">
        <f t="shared" si="220"/>
        <v>1238.8199999999599</v>
      </c>
      <c r="T360" s="48"/>
      <c r="U360" s="49">
        <f t="shared" si="221"/>
        <v>85.429999999945721</v>
      </c>
      <c r="V360" s="51"/>
      <c r="W360" s="51"/>
      <c r="X360" s="51"/>
      <c r="Y360" s="51">
        <f t="shared" si="222"/>
        <v>85.429999999945721</v>
      </c>
      <c r="Z360" s="52"/>
      <c r="AA360" s="53">
        <f t="shared" si="223"/>
        <v>3575.4199999999992</v>
      </c>
      <c r="AB360" s="54"/>
      <c r="AC360" s="54"/>
      <c r="AD360" s="54"/>
      <c r="AE360" s="54">
        <f t="shared" si="224"/>
        <v>3575.4199999999992</v>
      </c>
      <c r="AF360" s="53"/>
      <c r="AG360" s="53">
        <f t="shared" si="203"/>
        <v>89.839999999951402</v>
      </c>
      <c r="AH360" s="54"/>
      <c r="AI360" s="54"/>
      <c r="AJ360" s="54"/>
      <c r="AK360" s="54">
        <f t="shared" si="225"/>
        <v>89.839999999951402</v>
      </c>
      <c r="AL360" s="53"/>
      <c r="AM360" s="53">
        <f t="shared" si="209"/>
        <v>0</v>
      </c>
      <c r="AN360" s="54"/>
      <c r="AO360" s="54"/>
      <c r="AP360" s="54"/>
      <c r="AQ360" s="54">
        <f t="shared" si="210"/>
        <v>0</v>
      </c>
      <c r="AR360" s="53"/>
      <c r="AS360" s="50">
        <f t="shared" si="226"/>
        <v>-5496321.3600000003</v>
      </c>
      <c r="AT360" s="73">
        <f t="shared" si="233"/>
        <v>0</v>
      </c>
      <c r="AU360" s="50">
        <f t="shared" si="205"/>
        <v>0</v>
      </c>
      <c r="AV360" s="50">
        <f t="shared" si="234"/>
        <v>0</v>
      </c>
      <c r="AW360" s="50"/>
      <c r="AX360" s="50">
        <f t="shared" si="212"/>
        <v>-5496321.3600000003</v>
      </c>
      <c r="AY360" s="50">
        <f t="shared" si="213"/>
        <v>8300000</v>
      </c>
      <c r="AZ360" s="50">
        <f t="shared" si="214"/>
        <v>2803678.6399999997</v>
      </c>
      <c r="BA360" s="83">
        <f t="shared" si="243"/>
        <v>-4580.2678000000005</v>
      </c>
      <c r="BB360" s="83">
        <f t="shared" si="232"/>
        <v>-58938.965283333338</v>
      </c>
    </row>
    <row r="361" spans="2:54" x14ac:dyDescent="0.3">
      <c r="B361" s="99">
        <f t="shared" ref="B361" si="248">B360+3</f>
        <v>44669</v>
      </c>
      <c r="C361" s="44">
        <f t="shared" si="216"/>
        <v>-4007609.49</v>
      </c>
      <c r="D361" s="45">
        <f>19634.1+61043.79</f>
        <v>80677.89</v>
      </c>
      <c r="E361" s="45">
        <v>-150000</v>
      </c>
      <c r="F361" s="45">
        <v>-36332.449999999997</v>
      </c>
      <c r="G361" s="45">
        <f t="shared" si="239"/>
        <v>-4113264.0500000003</v>
      </c>
      <c r="H361" s="44">
        <v>4300000</v>
      </c>
      <c r="I361" s="46">
        <f t="shared" si="228"/>
        <v>-1493701.38</v>
      </c>
      <c r="J361" s="47">
        <v>53971</v>
      </c>
      <c r="K361" s="47">
        <v>150000</v>
      </c>
      <c r="L361" s="47">
        <v>-209870.59</v>
      </c>
      <c r="M361" s="47">
        <f t="shared" si="218"/>
        <v>-1499600.97</v>
      </c>
      <c r="N361" s="46">
        <v>4000000</v>
      </c>
      <c r="O361" s="48">
        <f t="shared" si="219"/>
        <v>1238.8199999999599</v>
      </c>
      <c r="P361" s="55">
        <f>651.84+222.38</f>
        <v>874.22</v>
      </c>
      <c r="Q361" s="55"/>
      <c r="R361" s="55"/>
      <c r="S361" s="55">
        <f t="shared" si="220"/>
        <v>2113.0399999999599</v>
      </c>
      <c r="T361" s="48"/>
      <c r="U361" s="49">
        <f t="shared" si="221"/>
        <v>85.429999999945721</v>
      </c>
      <c r="V361" s="51"/>
      <c r="W361" s="51"/>
      <c r="X361" s="51"/>
      <c r="Y361" s="51">
        <f t="shared" si="222"/>
        <v>85.429999999945721</v>
      </c>
      <c r="Z361" s="52"/>
      <c r="AA361" s="53">
        <f t="shared" si="223"/>
        <v>3575.4199999999992</v>
      </c>
      <c r="AB361" s="54"/>
      <c r="AC361" s="54"/>
      <c r="AD361" s="54"/>
      <c r="AE361" s="54">
        <f t="shared" si="224"/>
        <v>3575.4199999999992</v>
      </c>
      <c r="AF361" s="53"/>
      <c r="AG361" s="53">
        <f t="shared" ref="AG361:AG424" si="249">AK360</f>
        <v>89.839999999951402</v>
      </c>
      <c r="AH361" s="54"/>
      <c r="AI361" s="54"/>
      <c r="AJ361" s="54"/>
      <c r="AK361" s="54">
        <f t="shared" si="225"/>
        <v>89.839999999951402</v>
      </c>
      <c r="AL361" s="53"/>
      <c r="AM361" s="53">
        <f t="shared" si="209"/>
        <v>0</v>
      </c>
      <c r="AN361" s="54"/>
      <c r="AO361" s="54"/>
      <c r="AP361" s="54"/>
      <c r="AQ361" s="54">
        <f t="shared" si="210"/>
        <v>0</v>
      </c>
      <c r="AR361" s="53"/>
      <c r="AS361" s="50">
        <f t="shared" si="226"/>
        <v>-5496321.3600000003</v>
      </c>
      <c r="AT361" s="73">
        <f t="shared" si="233"/>
        <v>135523.11000000002</v>
      </c>
      <c r="AU361" s="50">
        <f t="shared" si="205"/>
        <v>0</v>
      </c>
      <c r="AV361" s="50">
        <f t="shared" si="234"/>
        <v>-246203.03999999998</v>
      </c>
      <c r="AW361" s="50"/>
      <c r="AX361" s="50">
        <f t="shared" si="212"/>
        <v>-5607001.290000001</v>
      </c>
      <c r="AY361" s="50">
        <f t="shared" si="213"/>
        <v>8300000</v>
      </c>
      <c r="AZ361" s="50">
        <f t="shared" si="214"/>
        <v>2692998.709999999</v>
      </c>
      <c r="BA361" s="15">
        <f t="shared" si="243"/>
        <v>-4672.501075000001</v>
      </c>
      <c r="BB361" s="15">
        <f t="shared" si="232"/>
        <v>-63611.466358333339</v>
      </c>
    </row>
    <row r="362" spans="2:54" x14ac:dyDescent="0.3">
      <c r="B362" s="99">
        <f t="shared" ref="B362" si="250">B361+1</f>
        <v>44670</v>
      </c>
      <c r="C362" s="44">
        <f t="shared" si="216"/>
        <v>-4113264.0500000003</v>
      </c>
      <c r="D362" s="45">
        <v>748026.69</v>
      </c>
      <c r="E362" s="45">
        <v>-500000</v>
      </c>
      <c r="F362" s="45">
        <v>-5.25</v>
      </c>
      <c r="G362" s="45">
        <f t="shared" si="239"/>
        <v>-3865242.6100000003</v>
      </c>
      <c r="H362" s="44">
        <v>4300000</v>
      </c>
      <c r="I362" s="46">
        <f t="shared" si="228"/>
        <v>-1499600.97</v>
      </c>
      <c r="J362" s="47"/>
      <c r="K362" s="47">
        <v>500000</v>
      </c>
      <c r="L362" s="47">
        <v>-577555.28</v>
      </c>
      <c r="M362" s="47">
        <f t="shared" si="218"/>
        <v>-1577156.25</v>
      </c>
      <c r="N362" s="46">
        <v>4000000</v>
      </c>
      <c r="O362" s="48">
        <f t="shared" si="219"/>
        <v>2113.0399999999599</v>
      </c>
      <c r="P362" s="55">
        <f>29001.25+2262.5</f>
        <v>31263.75</v>
      </c>
      <c r="Q362" s="55"/>
      <c r="R362" s="55">
        <f>-422.4-279</f>
        <v>-701.4</v>
      </c>
      <c r="S362" s="55">
        <f t="shared" si="220"/>
        <v>32675.389999999956</v>
      </c>
      <c r="T362" s="48"/>
      <c r="U362" s="49">
        <f t="shared" si="221"/>
        <v>85.429999999945721</v>
      </c>
      <c r="V362" s="51"/>
      <c r="W362" s="51"/>
      <c r="X362" s="51"/>
      <c r="Y362" s="51">
        <f t="shared" si="222"/>
        <v>85.429999999945721</v>
      </c>
      <c r="Z362" s="52"/>
      <c r="AA362" s="53">
        <f t="shared" si="223"/>
        <v>3575.4199999999992</v>
      </c>
      <c r="AB362" s="54"/>
      <c r="AC362" s="54"/>
      <c r="AD362" s="54">
        <v>-637</v>
      </c>
      <c r="AE362" s="54">
        <f t="shared" si="224"/>
        <v>2938.4199999999992</v>
      </c>
      <c r="AF362" s="53"/>
      <c r="AG362" s="53">
        <f t="shared" si="249"/>
        <v>89.839999999951402</v>
      </c>
      <c r="AH362" s="54"/>
      <c r="AI362" s="54"/>
      <c r="AJ362" s="54"/>
      <c r="AK362" s="54">
        <f t="shared" si="225"/>
        <v>89.839999999951402</v>
      </c>
      <c r="AL362" s="53"/>
      <c r="AM362" s="53">
        <f t="shared" si="209"/>
        <v>0</v>
      </c>
      <c r="AN362" s="54"/>
      <c r="AO362" s="54"/>
      <c r="AP362" s="54"/>
      <c r="AQ362" s="54">
        <f t="shared" si="210"/>
        <v>0</v>
      </c>
      <c r="AR362" s="53"/>
      <c r="AS362" s="50">
        <f t="shared" si="226"/>
        <v>-5607001.290000001</v>
      </c>
      <c r="AT362" s="73">
        <f t="shared" si="233"/>
        <v>779290.44</v>
      </c>
      <c r="AU362" s="50">
        <f t="shared" ref="AU362:AU425" si="251">SUM(E362,K362,Q362,W362,AC362,AI362)</f>
        <v>0</v>
      </c>
      <c r="AV362" s="50">
        <f t="shared" si="234"/>
        <v>-578898.93000000005</v>
      </c>
      <c r="AW362" s="50"/>
      <c r="AX362" s="50">
        <f t="shared" si="212"/>
        <v>-5406609.7800000012</v>
      </c>
      <c r="AY362" s="50">
        <f t="shared" si="213"/>
        <v>8300000</v>
      </c>
      <c r="AZ362" s="50">
        <f t="shared" si="214"/>
        <v>2893390.2199999988</v>
      </c>
      <c r="BA362" s="15">
        <f t="shared" si="243"/>
        <v>-4505.5081500000015</v>
      </c>
      <c r="BB362" s="15">
        <f t="shared" si="232"/>
        <v>-68116.97450833334</v>
      </c>
    </row>
    <row r="363" spans="2:54" x14ac:dyDescent="0.3">
      <c r="B363" s="99">
        <f t="shared" si="237"/>
        <v>44671</v>
      </c>
      <c r="C363" s="44">
        <f t="shared" si="216"/>
        <v>-3865242.6100000003</v>
      </c>
      <c r="D363" s="45">
        <f>5000+71534.56</f>
        <v>76534.559999999998</v>
      </c>
      <c r="E363" s="45"/>
      <c r="F363" s="45">
        <v>-405363.7</v>
      </c>
      <c r="G363" s="45">
        <f t="shared" si="239"/>
        <v>-4194071.7500000005</v>
      </c>
      <c r="H363" s="44">
        <v>4300000</v>
      </c>
      <c r="I363" s="46">
        <f t="shared" si="228"/>
        <v>-1577156.25</v>
      </c>
      <c r="J363" s="47">
        <v>107722.31999999999</v>
      </c>
      <c r="K363" s="47"/>
      <c r="L363" s="47">
        <v>-991806.64</v>
      </c>
      <c r="M363" s="47">
        <f t="shared" si="218"/>
        <v>-2461240.5699999998</v>
      </c>
      <c r="N363" s="46">
        <v>4000000</v>
      </c>
      <c r="O363" s="48">
        <f t="shared" si="219"/>
        <v>32675.389999999956</v>
      </c>
      <c r="P363" s="55"/>
      <c r="Q363" s="55"/>
      <c r="R363" s="55">
        <v>-29703.7</v>
      </c>
      <c r="S363" s="55">
        <f t="shared" si="220"/>
        <v>2971.689999999955</v>
      </c>
      <c r="T363" s="48"/>
      <c r="U363" s="49">
        <f t="shared" si="221"/>
        <v>85.429999999945721</v>
      </c>
      <c r="V363" s="51"/>
      <c r="W363" s="51"/>
      <c r="X363" s="51"/>
      <c r="Y363" s="51">
        <f t="shared" si="222"/>
        <v>85.429999999945721</v>
      </c>
      <c r="Z363" s="52"/>
      <c r="AA363" s="53">
        <f t="shared" si="223"/>
        <v>2938.4199999999992</v>
      </c>
      <c r="AB363" s="54"/>
      <c r="AC363" s="54"/>
      <c r="AD363" s="54"/>
      <c r="AE363" s="54">
        <f t="shared" si="224"/>
        <v>2938.4199999999992</v>
      </c>
      <c r="AF363" s="53"/>
      <c r="AG363" s="53">
        <f t="shared" si="249"/>
        <v>89.839999999951402</v>
      </c>
      <c r="AH363" s="54"/>
      <c r="AI363" s="54"/>
      <c r="AJ363" s="54"/>
      <c r="AK363" s="54">
        <f t="shared" si="225"/>
        <v>89.839999999951402</v>
      </c>
      <c r="AL363" s="53"/>
      <c r="AM363" s="53">
        <f t="shared" si="209"/>
        <v>0</v>
      </c>
      <c r="AN363" s="54"/>
      <c r="AO363" s="54"/>
      <c r="AP363" s="54"/>
      <c r="AQ363" s="54">
        <f t="shared" si="210"/>
        <v>0</v>
      </c>
      <c r="AR363" s="53"/>
      <c r="AS363" s="50">
        <f t="shared" si="226"/>
        <v>-5406609.7800000012</v>
      </c>
      <c r="AT363" s="73">
        <f t="shared" si="233"/>
        <v>184256.88</v>
      </c>
      <c r="AU363" s="50">
        <f t="shared" si="251"/>
        <v>0</v>
      </c>
      <c r="AV363" s="50">
        <f t="shared" si="234"/>
        <v>-1426874.04</v>
      </c>
      <c r="AW363" s="50"/>
      <c r="AX363" s="50">
        <f t="shared" si="212"/>
        <v>-6649226.9400000004</v>
      </c>
      <c r="AY363" s="50">
        <f t="shared" si="213"/>
        <v>8300000</v>
      </c>
      <c r="AZ363" s="50">
        <f t="shared" si="214"/>
        <v>1650773.0599999996</v>
      </c>
      <c r="BA363" s="15">
        <f t="shared" si="243"/>
        <v>-5541.0224500000004</v>
      </c>
      <c r="BB363" s="15">
        <f t="shared" si="232"/>
        <v>-73657.996958333344</v>
      </c>
    </row>
    <row r="364" spans="2:54" x14ac:dyDescent="0.3">
      <c r="B364" s="99">
        <f t="shared" si="237"/>
        <v>44672</v>
      </c>
      <c r="C364" s="44">
        <f t="shared" si="216"/>
        <v>-4194071.7500000005</v>
      </c>
      <c r="D364" s="45"/>
      <c r="E364" s="45"/>
      <c r="F364" s="45"/>
      <c r="G364" s="45">
        <f t="shared" si="239"/>
        <v>-4194071.7500000005</v>
      </c>
      <c r="H364" s="44">
        <v>4300000</v>
      </c>
      <c r="I364" s="46">
        <f t="shared" si="228"/>
        <v>-2461240.5699999998</v>
      </c>
      <c r="J364" s="47"/>
      <c r="K364" s="47"/>
      <c r="L364" s="47"/>
      <c r="M364" s="47">
        <f t="shared" si="218"/>
        <v>-2461240.5699999998</v>
      </c>
      <c r="N364" s="46">
        <v>4000000</v>
      </c>
      <c r="O364" s="48">
        <f t="shared" si="219"/>
        <v>2971.689999999955</v>
      </c>
      <c r="P364" s="55"/>
      <c r="Q364" s="55"/>
      <c r="R364" s="55"/>
      <c r="S364" s="55">
        <f t="shared" si="220"/>
        <v>2971.689999999955</v>
      </c>
      <c r="T364" s="48"/>
      <c r="U364" s="49">
        <f t="shared" si="221"/>
        <v>85.429999999945721</v>
      </c>
      <c r="V364" s="51"/>
      <c r="W364" s="51"/>
      <c r="X364" s="51"/>
      <c r="Y364" s="51">
        <f t="shared" si="222"/>
        <v>85.429999999945721</v>
      </c>
      <c r="Z364" s="52"/>
      <c r="AA364" s="53">
        <f t="shared" si="223"/>
        <v>2938.4199999999992</v>
      </c>
      <c r="AB364" s="54"/>
      <c r="AC364" s="54"/>
      <c r="AD364" s="54"/>
      <c r="AE364" s="54">
        <f t="shared" si="224"/>
        <v>2938.4199999999992</v>
      </c>
      <c r="AF364" s="53"/>
      <c r="AG364" s="53">
        <f t="shared" si="249"/>
        <v>89.839999999951402</v>
      </c>
      <c r="AH364" s="54"/>
      <c r="AI364" s="54"/>
      <c r="AJ364" s="54"/>
      <c r="AK364" s="54">
        <f t="shared" si="225"/>
        <v>89.839999999951402</v>
      </c>
      <c r="AL364" s="53"/>
      <c r="AM364" s="53">
        <f t="shared" si="209"/>
        <v>0</v>
      </c>
      <c r="AN364" s="54"/>
      <c r="AO364" s="54"/>
      <c r="AP364" s="54"/>
      <c r="AQ364" s="54">
        <f t="shared" si="210"/>
        <v>0</v>
      </c>
      <c r="AR364" s="53"/>
      <c r="AS364" s="50">
        <f t="shared" si="226"/>
        <v>-6649226.9400000004</v>
      </c>
      <c r="AT364" s="73">
        <f t="shared" si="233"/>
        <v>0</v>
      </c>
      <c r="AU364" s="50">
        <f t="shared" si="251"/>
        <v>0</v>
      </c>
      <c r="AV364" s="50">
        <f t="shared" si="234"/>
        <v>0</v>
      </c>
      <c r="AW364" s="50"/>
      <c r="AX364" s="50">
        <f t="shared" si="212"/>
        <v>-6649226.9400000004</v>
      </c>
      <c r="AY364" s="50">
        <f t="shared" si="213"/>
        <v>8300000</v>
      </c>
      <c r="AZ364" s="50">
        <f t="shared" si="214"/>
        <v>1650773.0599999996</v>
      </c>
      <c r="BA364" s="15">
        <f t="shared" si="243"/>
        <v>-5541.0224500000004</v>
      </c>
      <c r="BB364" s="15">
        <f t="shared" si="232"/>
        <v>-79199.019408333348</v>
      </c>
    </row>
    <row r="365" spans="2:54" x14ac:dyDescent="0.3">
      <c r="B365" s="99">
        <f t="shared" si="237"/>
        <v>44673</v>
      </c>
      <c r="C365" s="44">
        <f t="shared" si="216"/>
        <v>-4194071.7500000005</v>
      </c>
      <c r="D365" s="45">
        <v>507993.76999999996</v>
      </c>
      <c r="E365" s="45"/>
      <c r="F365" s="45">
        <v>-427.35</v>
      </c>
      <c r="G365" s="45">
        <f t="shared" si="239"/>
        <v>-3686505.3300000005</v>
      </c>
      <c r="H365" s="44">
        <v>4300000</v>
      </c>
      <c r="I365" s="46">
        <f t="shared" si="228"/>
        <v>-2461240.5699999998</v>
      </c>
      <c r="J365" s="47">
        <v>213016.21</v>
      </c>
      <c r="K365" s="47"/>
      <c r="L365" s="47">
        <v>-80207.080000000104</v>
      </c>
      <c r="M365" s="47">
        <f t="shared" si="218"/>
        <v>-2328431.44</v>
      </c>
      <c r="N365" s="46">
        <v>4000000</v>
      </c>
      <c r="O365" s="48">
        <f t="shared" si="219"/>
        <v>2971.689999999955</v>
      </c>
      <c r="P365" s="55"/>
      <c r="Q365" s="55"/>
      <c r="R365" s="55"/>
      <c r="S365" s="55">
        <f t="shared" si="220"/>
        <v>2971.689999999955</v>
      </c>
      <c r="T365" s="48"/>
      <c r="U365" s="49">
        <f t="shared" si="221"/>
        <v>85.429999999945721</v>
      </c>
      <c r="V365" s="51"/>
      <c r="W365" s="51"/>
      <c r="X365" s="51">
        <v>-58</v>
      </c>
      <c r="Y365" s="51">
        <f t="shared" si="222"/>
        <v>27.429999999945721</v>
      </c>
      <c r="Z365" s="52"/>
      <c r="AA365" s="53">
        <f t="shared" si="223"/>
        <v>2938.4199999999992</v>
      </c>
      <c r="AB365" s="54"/>
      <c r="AC365" s="54"/>
      <c r="AD365" s="54"/>
      <c r="AE365" s="54">
        <f t="shared" si="224"/>
        <v>2938.4199999999992</v>
      </c>
      <c r="AF365" s="53"/>
      <c r="AG365" s="53">
        <f t="shared" si="249"/>
        <v>89.839999999951402</v>
      </c>
      <c r="AH365" s="54"/>
      <c r="AI365" s="54"/>
      <c r="AJ365" s="54"/>
      <c r="AK365" s="54">
        <f t="shared" si="225"/>
        <v>89.839999999951402</v>
      </c>
      <c r="AL365" s="53"/>
      <c r="AM365" s="53">
        <f t="shared" si="209"/>
        <v>0</v>
      </c>
      <c r="AN365" s="54"/>
      <c r="AO365" s="54"/>
      <c r="AP365" s="54"/>
      <c r="AQ365" s="54">
        <f t="shared" si="210"/>
        <v>0</v>
      </c>
      <c r="AR365" s="53"/>
      <c r="AS365" s="50">
        <f t="shared" si="226"/>
        <v>-6649226.9400000004</v>
      </c>
      <c r="AT365" s="73">
        <f t="shared" si="233"/>
        <v>721009.98</v>
      </c>
      <c r="AU365" s="50">
        <f t="shared" si="251"/>
        <v>0</v>
      </c>
      <c r="AV365" s="50">
        <f t="shared" si="234"/>
        <v>-80692.430000000109</v>
      </c>
      <c r="AW365" s="50"/>
      <c r="AX365" s="50">
        <f t="shared" si="212"/>
        <v>-6008909.3900000006</v>
      </c>
      <c r="AY365" s="50">
        <f t="shared" si="213"/>
        <v>8300000</v>
      </c>
      <c r="AZ365" s="50">
        <f t="shared" si="214"/>
        <v>2291090.6099999994</v>
      </c>
      <c r="BA365" s="15">
        <f t="shared" si="243"/>
        <v>-5007.4244916666676</v>
      </c>
      <c r="BB365" s="15">
        <f t="shared" si="232"/>
        <v>-84206.443900000013</v>
      </c>
    </row>
    <row r="366" spans="2:54" x14ac:dyDescent="0.3">
      <c r="B366" s="99">
        <f t="shared" ref="B366" si="252">B365+3</f>
        <v>44676</v>
      </c>
      <c r="C366" s="44">
        <f t="shared" si="216"/>
        <v>-3686505.3300000005</v>
      </c>
      <c r="D366" s="45">
        <v>363480.36</v>
      </c>
      <c r="E366" s="45"/>
      <c r="F366" s="45">
        <v>-65807.33</v>
      </c>
      <c r="G366" s="45">
        <f t="shared" si="239"/>
        <v>-3388832.3000000007</v>
      </c>
      <c r="H366" s="44">
        <v>4300000</v>
      </c>
      <c r="I366" s="46">
        <f t="shared" si="228"/>
        <v>-2328431.44</v>
      </c>
      <c r="J366" s="47">
        <v>267171.83</v>
      </c>
      <c r="K366" s="47">
        <v>590000</v>
      </c>
      <c r="L366" s="47">
        <v>-168268.67</v>
      </c>
      <c r="M366" s="47">
        <f t="shared" si="218"/>
        <v>-1639528.2799999998</v>
      </c>
      <c r="N366" s="46">
        <v>4000000</v>
      </c>
      <c r="O366" s="48">
        <f t="shared" si="219"/>
        <v>2971.689999999955</v>
      </c>
      <c r="P366" s="55">
        <v>617411.43000000005</v>
      </c>
      <c r="Q366" s="55">
        <v>-590000</v>
      </c>
      <c r="R366" s="55">
        <v>-93</v>
      </c>
      <c r="S366" s="55">
        <f t="shared" si="220"/>
        <v>30290.119999999995</v>
      </c>
      <c r="T366" s="48"/>
      <c r="U366" s="49">
        <f t="shared" si="221"/>
        <v>27.429999999945721</v>
      </c>
      <c r="V366" s="51"/>
      <c r="W366" s="51"/>
      <c r="X366" s="51"/>
      <c r="Y366" s="51">
        <f t="shared" si="222"/>
        <v>27.429999999945721</v>
      </c>
      <c r="Z366" s="52"/>
      <c r="AA366" s="53">
        <f t="shared" si="223"/>
        <v>2938.4199999999992</v>
      </c>
      <c r="AB366" s="54"/>
      <c r="AC366" s="54"/>
      <c r="AD366" s="54"/>
      <c r="AE366" s="54">
        <f t="shared" si="224"/>
        <v>2938.4199999999992</v>
      </c>
      <c r="AF366" s="53"/>
      <c r="AG366" s="53">
        <f t="shared" si="249"/>
        <v>89.839999999951402</v>
      </c>
      <c r="AH366" s="54"/>
      <c r="AI366" s="54"/>
      <c r="AJ366" s="54"/>
      <c r="AK366" s="54">
        <f t="shared" si="225"/>
        <v>89.839999999951402</v>
      </c>
      <c r="AL366" s="53"/>
      <c r="AM366" s="53">
        <f t="shared" si="209"/>
        <v>0</v>
      </c>
      <c r="AN366" s="54"/>
      <c r="AO366" s="54"/>
      <c r="AP366" s="54"/>
      <c r="AQ366" s="54">
        <f t="shared" si="210"/>
        <v>0</v>
      </c>
      <c r="AR366" s="53"/>
      <c r="AS366" s="50">
        <f t="shared" si="226"/>
        <v>-6008909.3900000006</v>
      </c>
      <c r="AT366" s="73">
        <f t="shared" si="233"/>
        <v>1248063.6200000001</v>
      </c>
      <c r="AU366" s="50">
        <f t="shared" si="251"/>
        <v>0</v>
      </c>
      <c r="AV366" s="50">
        <f t="shared" si="234"/>
        <v>-234169</v>
      </c>
      <c r="AW366" s="50"/>
      <c r="AX366" s="50">
        <f t="shared" si="212"/>
        <v>-4995014.7700000005</v>
      </c>
      <c r="AY366" s="50">
        <f t="shared" si="213"/>
        <v>8300000</v>
      </c>
      <c r="AZ366" s="50">
        <f t="shared" si="214"/>
        <v>3304985.2299999995</v>
      </c>
      <c r="BA366" s="15">
        <f t="shared" si="243"/>
        <v>-4162.5123083333337</v>
      </c>
      <c r="BB366" s="15">
        <f t="shared" si="232"/>
        <v>-88368.956208333344</v>
      </c>
    </row>
    <row r="367" spans="2:54" x14ac:dyDescent="0.3">
      <c r="B367" s="99">
        <f t="shared" ref="B367" si="253">B366+1</f>
        <v>44677</v>
      </c>
      <c r="C367" s="44">
        <f t="shared" si="216"/>
        <v>-3388832.3000000007</v>
      </c>
      <c r="D367" s="45"/>
      <c r="E367" s="45"/>
      <c r="F367" s="45"/>
      <c r="G367" s="45">
        <f t="shared" si="239"/>
        <v>-3388832.3000000007</v>
      </c>
      <c r="H367" s="44">
        <v>4300000</v>
      </c>
      <c r="I367" s="46">
        <f t="shared" si="228"/>
        <v>-1639528.2799999998</v>
      </c>
      <c r="J367" s="47">
        <v>404240.64000000001</v>
      </c>
      <c r="K367" s="47"/>
      <c r="L367" s="47">
        <v>-133998.76999999999</v>
      </c>
      <c r="M367" s="47">
        <f t="shared" si="218"/>
        <v>-1369286.4099999997</v>
      </c>
      <c r="N367" s="46">
        <v>4000000</v>
      </c>
      <c r="O367" s="48">
        <f t="shared" si="219"/>
        <v>30290.119999999995</v>
      </c>
      <c r="P367" s="55"/>
      <c r="Q367" s="55"/>
      <c r="R367" s="55">
        <v>-1677</v>
      </c>
      <c r="S367" s="55">
        <f t="shared" si="220"/>
        <v>28613.119999999995</v>
      </c>
      <c r="T367" s="48"/>
      <c r="U367" s="49">
        <f t="shared" si="221"/>
        <v>27.429999999945721</v>
      </c>
      <c r="V367" s="51">
        <v>8934.52</v>
      </c>
      <c r="W367" s="51"/>
      <c r="X367" s="51"/>
      <c r="Y367" s="51">
        <f t="shared" si="222"/>
        <v>8961.9499999999462</v>
      </c>
      <c r="Z367" s="52"/>
      <c r="AA367" s="53">
        <f t="shared" si="223"/>
        <v>2938.4199999999992</v>
      </c>
      <c r="AB367" s="54"/>
      <c r="AC367" s="54"/>
      <c r="AD367" s="54"/>
      <c r="AE367" s="54">
        <f t="shared" si="224"/>
        <v>2938.4199999999992</v>
      </c>
      <c r="AF367" s="53"/>
      <c r="AG367" s="53">
        <f t="shared" si="249"/>
        <v>89.839999999951402</v>
      </c>
      <c r="AH367" s="54"/>
      <c r="AI367" s="54"/>
      <c r="AJ367" s="54"/>
      <c r="AK367" s="54">
        <f t="shared" si="225"/>
        <v>89.839999999951402</v>
      </c>
      <c r="AL367" s="53"/>
      <c r="AM367" s="53">
        <f t="shared" si="209"/>
        <v>0</v>
      </c>
      <c r="AN367" s="54"/>
      <c r="AO367" s="54"/>
      <c r="AP367" s="54"/>
      <c r="AQ367" s="54">
        <f t="shared" si="210"/>
        <v>0</v>
      </c>
      <c r="AR367" s="53"/>
      <c r="AS367" s="50">
        <f t="shared" si="226"/>
        <v>-4995014.7700000005</v>
      </c>
      <c r="AT367" s="73">
        <f t="shared" si="233"/>
        <v>413175.16000000003</v>
      </c>
      <c r="AU367" s="50">
        <f t="shared" si="251"/>
        <v>0</v>
      </c>
      <c r="AV367" s="50">
        <f t="shared" si="234"/>
        <v>-135675.76999999999</v>
      </c>
      <c r="AW367" s="50"/>
      <c r="AX367" s="50">
        <f t="shared" si="212"/>
        <v>-4717515.3800000008</v>
      </c>
      <c r="AY367" s="50">
        <f t="shared" si="213"/>
        <v>8300000</v>
      </c>
      <c r="AZ367" s="50">
        <f t="shared" si="214"/>
        <v>3582484.6199999992</v>
      </c>
      <c r="BA367" s="15">
        <f t="shared" si="243"/>
        <v>-3931.2628166666677</v>
      </c>
      <c r="BB367" s="15">
        <f t="shared" si="232"/>
        <v>-92300.219025000013</v>
      </c>
    </row>
    <row r="368" spans="2:54" x14ac:dyDescent="0.3">
      <c r="B368" s="99">
        <f t="shared" si="237"/>
        <v>44678</v>
      </c>
      <c r="C368" s="44">
        <f>G367</f>
        <v>-3388832.3000000007</v>
      </c>
      <c r="D368" s="45"/>
      <c r="E368" s="45"/>
      <c r="F368" s="45">
        <v>-631421.07999999996</v>
      </c>
      <c r="G368" s="45">
        <f t="shared" si="239"/>
        <v>-4020253.3800000008</v>
      </c>
      <c r="H368" s="44">
        <v>4300000</v>
      </c>
      <c r="I368" s="46">
        <f t="shared" si="228"/>
        <v>-1369286.4099999997</v>
      </c>
      <c r="J368" s="47">
        <f>168875+9103.45+9291.15+27407.2</f>
        <v>214676.80000000002</v>
      </c>
      <c r="K368" s="47"/>
      <c r="L368" s="47">
        <v>-67114.700000000405</v>
      </c>
      <c r="M368" s="47">
        <f t="shared" si="218"/>
        <v>-1221724.31</v>
      </c>
      <c r="N368" s="46">
        <v>4000000</v>
      </c>
      <c r="O368" s="48">
        <f t="shared" si="219"/>
        <v>28613.119999999995</v>
      </c>
      <c r="P368" s="55"/>
      <c r="Q368" s="55"/>
      <c r="R368" s="55">
        <v>-3421.07</v>
      </c>
      <c r="S368" s="55">
        <f t="shared" si="220"/>
        <v>25192.049999999996</v>
      </c>
      <c r="T368" s="48"/>
      <c r="U368" s="49">
        <f t="shared" si="221"/>
        <v>8961.9499999999462</v>
      </c>
      <c r="V368" s="51"/>
      <c r="W368" s="51"/>
      <c r="X368" s="51">
        <v>-81.3</v>
      </c>
      <c r="Y368" s="51">
        <f t="shared" si="222"/>
        <v>8880.6499999999469</v>
      </c>
      <c r="Z368" s="52"/>
      <c r="AA368" s="53">
        <f t="shared" si="223"/>
        <v>2938.4199999999992</v>
      </c>
      <c r="AB368" s="54"/>
      <c r="AC368" s="54"/>
      <c r="AD368" s="54"/>
      <c r="AE368" s="54">
        <f t="shared" si="224"/>
        <v>2938.4199999999992</v>
      </c>
      <c r="AF368" s="53"/>
      <c r="AG368" s="53">
        <f t="shared" si="249"/>
        <v>89.839999999951402</v>
      </c>
      <c r="AH368" s="54"/>
      <c r="AI368" s="54"/>
      <c r="AJ368" s="54"/>
      <c r="AK368" s="54">
        <f t="shared" si="225"/>
        <v>89.839999999951402</v>
      </c>
      <c r="AL368" s="53"/>
      <c r="AM368" s="53">
        <f t="shared" si="209"/>
        <v>0</v>
      </c>
      <c r="AN368" s="54"/>
      <c r="AO368" s="54"/>
      <c r="AP368" s="54"/>
      <c r="AQ368" s="54">
        <f t="shared" si="210"/>
        <v>0</v>
      </c>
      <c r="AR368" s="53"/>
      <c r="AS368" s="50">
        <f t="shared" si="226"/>
        <v>-4717515.3800000008</v>
      </c>
      <c r="AT368" s="73">
        <f t="shared" si="233"/>
        <v>214676.80000000002</v>
      </c>
      <c r="AU368" s="50">
        <f t="shared" si="251"/>
        <v>0</v>
      </c>
      <c r="AV368" s="50">
        <f t="shared" si="234"/>
        <v>-702038.15000000037</v>
      </c>
      <c r="AW368" s="50"/>
      <c r="AX368" s="50">
        <f t="shared" si="212"/>
        <v>-5204876.7300000014</v>
      </c>
      <c r="AY368" s="50">
        <f t="shared" si="213"/>
        <v>8300000</v>
      </c>
      <c r="AZ368" s="50">
        <f t="shared" si="214"/>
        <v>3095123.2699999986</v>
      </c>
      <c r="BA368" s="15">
        <f t="shared" si="243"/>
        <v>-4337.3972750000012</v>
      </c>
      <c r="BB368" s="15">
        <f t="shared" si="232"/>
        <v>-96637.616300000009</v>
      </c>
    </row>
    <row r="369" spans="2:54" x14ac:dyDescent="0.3">
      <c r="B369" s="99">
        <f t="shared" si="237"/>
        <v>44679</v>
      </c>
      <c r="C369" s="44">
        <f t="shared" si="216"/>
        <v>-4020253.3800000008</v>
      </c>
      <c r="D369" s="45">
        <v>29231</v>
      </c>
      <c r="E369" s="45"/>
      <c r="F369" s="45">
        <v>-2.2000000000000002</v>
      </c>
      <c r="G369" s="45">
        <f t="shared" si="239"/>
        <v>-3991024.580000001</v>
      </c>
      <c r="H369" s="44">
        <v>4300000</v>
      </c>
      <c r="I369" s="46">
        <f t="shared" si="228"/>
        <v>-1221724.31</v>
      </c>
      <c r="J369" s="47"/>
      <c r="K369" s="47">
        <v>33000</v>
      </c>
      <c r="L369" s="47">
        <v>-169191.99</v>
      </c>
      <c r="M369" s="47">
        <f t="shared" si="218"/>
        <v>-1357916.3</v>
      </c>
      <c r="N369" s="46">
        <v>4000000</v>
      </c>
      <c r="O369" s="48">
        <f t="shared" si="219"/>
        <v>25192.049999999996</v>
      </c>
      <c r="P369" s="55"/>
      <c r="Q369" s="55">
        <f>-33000+8800</f>
        <v>-24200</v>
      </c>
      <c r="R369" s="55"/>
      <c r="S369" s="55">
        <f t="shared" si="220"/>
        <v>992.04999999999563</v>
      </c>
      <c r="T369" s="48"/>
      <c r="U369" s="49">
        <f t="shared" si="221"/>
        <v>8880.6499999999469</v>
      </c>
      <c r="V369" s="51"/>
      <c r="W369" s="51">
        <v>-8800</v>
      </c>
      <c r="X369" s="51">
        <v>-1.3</v>
      </c>
      <c r="Y369" s="51">
        <f t="shared" si="222"/>
        <v>79.349999999946888</v>
      </c>
      <c r="Z369" s="52"/>
      <c r="AA369" s="53">
        <f t="shared" si="223"/>
        <v>2938.4199999999992</v>
      </c>
      <c r="AB369" s="54"/>
      <c r="AC369" s="54"/>
      <c r="AD369" s="54"/>
      <c r="AE369" s="54">
        <f t="shared" si="224"/>
        <v>2938.4199999999992</v>
      </c>
      <c r="AF369" s="53"/>
      <c r="AG369" s="53">
        <f t="shared" si="249"/>
        <v>89.839999999951402</v>
      </c>
      <c r="AH369" s="54"/>
      <c r="AI369" s="54"/>
      <c r="AJ369" s="54"/>
      <c r="AK369" s="54">
        <f t="shared" si="225"/>
        <v>89.839999999951402</v>
      </c>
      <c r="AL369" s="53"/>
      <c r="AM369" s="53">
        <f t="shared" si="209"/>
        <v>0</v>
      </c>
      <c r="AN369" s="54"/>
      <c r="AO369" s="54"/>
      <c r="AP369" s="54"/>
      <c r="AQ369" s="54">
        <f t="shared" si="210"/>
        <v>0</v>
      </c>
      <c r="AR369" s="53"/>
      <c r="AS369" s="50">
        <f t="shared" si="226"/>
        <v>-5204876.7300000014</v>
      </c>
      <c r="AT369" s="73">
        <f t="shared" si="233"/>
        <v>29231</v>
      </c>
      <c r="AU369" s="50">
        <f t="shared" si="251"/>
        <v>0</v>
      </c>
      <c r="AV369" s="50">
        <f t="shared" si="234"/>
        <v>-169195.49</v>
      </c>
      <c r="AW369" s="50"/>
      <c r="AX369" s="50">
        <f t="shared" si="212"/>
        <v>-5344841.2200000016</v>
      </c>
      <c r="AY369" s="50">
        <f t="shared" si="213"/>
        <v>8300000</v>
      </c>
      <c r="AZ369" s="50">
        <f t="shared" si="214"/>
        <v>2955158.7799999984</v>
      </c>
      <c r="BA369" s="15">
        <f t="shared" si="243"/>
        <v>-4454.0343500000017</v>
      </c>
      <c r="BB369" s="15">
        <f t="shared" si="232"/>
        <v>-101091.65065000001</v>
      </c>
    </row>
    <row r="370" spans="2:54" x14ac:dyDescent="0.3">
      <c r="B370" s="99">
        <f t="shared" si="237"/>
        <v>44680</v>
      </c>
      <c r="C370" s="44">
        <f t="shared" si="216"/>
        <v>-3991024.580000001</v>
      </c>
      <c r="D370" s="45">
        <f>19926.29+19777+16423.75</f>
        <v>56127.040000000001</v>
      </c>
      <c r="E370" s="45"/>
      <c r="F370" s="45">
        <f>-204305.38+133328.48</f>
        <v>-70976.899999999994</v>
      </c>
      <c r="G370" s="45">
        <f t="shared" si="239"/>
        <v>-4005874.4400000009</v>
      </c>
      <c r="H370" s="44">
        <v>4300000</v>
      </c>
      <c r="I370" s="46">
        <f t="shared" si="228"/>
        <v>-1357916.3</v>
      </c>
      <c r="J370" s="47">
        <v>542134.4</v>
      </c>
      <c r="K370" s="47">
        <v>269000</v>
      </c>
      <c r="L370" s="47">
        <v>-196519.16</v>
      </c>
      <c r="M370" s="47">
        <f t="shared" si="218"/>
        <v>-743301.06</v>
      </c>
      <c r="N370" s="46">
        <v>4000000</v>
      </c>
      <c r="O370" s="48">
        <f t="shared" si="219"/>
        <v>992.04999999999563</v>
      </c>
      <c r="P370" s="55"/>
      <c r="Q370" s="55"/>
      <c r="R370" s="55"/>
      <c r="S370" s="55">
        <f t="shared" si="220"/>
        <v>992.04999999999563</v>
      </c>
      <c r="T370" s="48"/>
      <c r="U370" s="49">
        <f t="shared" si="221"/>
        <v>79.349999999946888</v>
      </c>
      <c r="V370" s="51"/>
      <c r="W370" s="51"/>
      <c r="X370" s="51"/>
      <c r="Y370" s="51">
        <f t="shared" si="222"/>
        <v>79.349999999946888</v>
      </c>
      <c r="Z370" s="52"/>
      <c r="AA370" s="53">
        <f t="shared" si="223"/>
        <v>2938.4199999999992</v>
      </c>
      <c r="AB370" s="54"/>
      <c r="AC370" s="54"/>
      <c r="AD370" s="54">
        <v>-336.6</v>
      </c>
      <c r="AE370" s="54">
        <f t="shared" si="224"/>
        <v>2601.8199999999993</v>
      </c>
      <c r="AF370" s="53"/>
      <c r="AG370" s="53">
        <f t="shared" si="249"/>
        <v>89.839999999951402</v>
      </c>
      <c r="AH370" s="54">
        <f>12709.211+94773.93+161982.85</f>
        <v>269465.99099999998</v>
      </c>
      <c r="AI370" s="54">
        <v>-269000</v>
      </c>
      <c r="AJ370" s="54">
        <v>-60</v>
      </c>
      <c r="AK370" s="54">
        <f t="shared" si="225"/>
        <v>495.83099999994738</v>
      </c>
      <c r="AL370" s="53"/>
      <c r="AM370" s="53">
        <f t="shared" si="209"/>
        <v>0</v>
      </c>
      <c r="AN370" s="54"/>
      <c r="AO370" s="54"/>
      <c r="AP370" s="54"/>
      <c r="AQ370" s="54">
        <f t="shared" si="210"/>
        <v>0</v>
      </c>
      <c r="AR370" s="53"/>
      <c r="AS370" s="50">
        <f t="shared" si="226"/>
        <v>-5344841.2200000016</v>
      </c>
      <c r="AT370" s="73">
        <f t="shared" si="233"/>
        <v>867727.4310000001</v>
      </c>
      <c r="AU370" s="50">
        <f t="shared" si="251"/>
        <v>0</v>
      </c>
      <c r="AV370" s="50">
        <f t="shared" si="234"/>
        <v>-267892.65999999997</v>
      </c>
      <c r="AW370" s="50"/>
      <c r="AX370" s="50">
        <f t="shared" si="212"/>
        <v>-4745006.449000001</v>
      </c>
      <c r="AY370" s="50">
        <f t="shared" si="213"/>
        <v>8300000</v>
      </c>
      <c r="AZ370" s="50">
        <f t="shared" si="214"/>
        <v>3554993.550999999</v>
      </c>
      <c r="BA370" s="82">
        <f t="shared" si="243"/>
        <v>-3954.1720408333344</v>
      </c>
      <c r="BB370" s="82">
        <f t="shared" si="232"/>
        <v>-105045.82269083335</v>
      </c>
    </row>
    <row r="371" spans="2:54" x14ac:dyDescent="0.3">
      <c r="B371" s="99">
        <f t="shared" ref="B371" si="254">B370+3</f>
        <v>44683</v>
      </c>
      <c r="C371" s="44">
        <f t="shared" si="216"/>
        <v>-4005874.4400000009</v>
      </c>
      <c r="D371" s="45">
        <f>60017.9+7715.91+16553.22</f>
        <v>84287.03</v>
      </c>
      <c r="E371" s="45"/>
      <c r="F371" s="45">
        <v>-221861.41</v>
      </c>
      <c r="G371" s="45">
        <f t="shared" si="239"/>
        <v>-4143448.8200000012</v>
      </c>
      <c r="H371" s="44">
        <v>4300000</v>
      </c>
      <c r="I371" s="46">
        <f t="shared" si="228"/>
        <v>-743301.06</v>
      </c>
      <c r="J371" s="47"/>
      <c r="K371" s="47"/>
      <c r="L371" s="47">
        <v>-2505272.42</v>
      </c>
      <c r="M371" s="47">
        <f t="shared" si="218"/>
        <v>-3248573.48</v>
      </c>
      <c r="N371" s="46">
        <v>4000000</v>
      </c>
      <c r="O371" s="48">
        <f t="shared" si="219"/>
        <v>992.04999999999563</v>
      </c>
      <c r="P371" s="55">
        <v>659868.17000000004</v>
      </c>
      <c r="Q371" s="55"/>
      <c r="R371" s="55"/>
      <c r="S371" s="55">
        <f t="shared" si="220"/>
        <v>660860.22000000009</v>
      </c>
      <c r="T371" s="48"/>
      <c r="U371" s="49">
        <f t="shared" si="221"/>
        <v>79.349999999946888</v>
      </c>
      <c r="V371" s="51">
        <f>11596.81+14543.23+2417.58</f>
        <v>28557.620000000003</v>
      </c>
      <c r="W371" s="51"/>
      <c r="X371" s="51">
        <v>-9751.1399999999503</v>
      </c>
      <c r="Y371" s="51">
        <f t="shared" si="222"/>
        <v>18885.830000000002</v>
      </c>
      <c r="Z371" s="52"/>
      <c r="AA371" s="53">
        <f t="shared" si="223"/>
        <v>2601.8199999999993</v>
      </c>
      <c r="AB371" s="54"/>
      <c r="AC371" s="54"/>
      <c r="AD371" s="54">
        <v>-2135.38</v>
      </c>
      <c r="AE371" s="54">
        <f t="shared" si="224"/>
        <v>466.43999999999915</v>
      </c>
      <c r="AF371" s="53"/>
      <c r="AG371" s="53">
        <f t="shared" si="249"/>
        <v>495.83099999994738</v>
      </c>
      <c r="AH371" s="54"/>
      <c r="AI371" s="54"/>
      <c r="AJ371" s="54">
        <v>-9.6</v>
      </c>
      <c r="AK371" s="54">
        <f t="shared" si="225"/>
        <v>486.23099999994736</v>
      </c>
      <c r="AL371" s="53"/>
      <c r="AM371" s="53">
        <f t="shared" si="209"/>
        <v>0</v>
      </c>
      <c r="AN371" s="54"/>
      <c r="AO371" s="54"/>
      <c r="AP371" s="54"/>
      <c r="AQ371" s="54">
        <f t="shared" si="210"/>
        <v>0</v>
      </c>
      <c r="AR371" s="53"/>
      <c r="AS371" s="50">
        <f t="shared" si="226"/>
        <v>-4745006.449000001</v>
      </c>
      <c r="AT371" s="73">
        <f t="shared" si="233"/>
        <v>772712.82000000007</v>
      </c>
      <c r="AU371" s="50">
        <f t="shared" si="251"/>
        <v>0</v>
      </c>
      <c r="AV371" s="50">
        <f t="shared" si="234"/>
        <v>-2739029.95</v>
      </c>
      <c r="AW371" s="50"/>
      <c r="AX371" s="50">
        <f t="shared" si="212"/>
        <v>-6711323.5790000008</v>
      </c>
      <c r="AY371" s="50">
        <f t="shared" si="213"/>
        <v>8300000</v>
      </c>
      <c r="AZ371" s="50">
        <f t="shared" si="214"/>
        <v>1588676.4209999992</v>
      </c>
      <c r="BA371" s="15">
        <f t="shared" si="243"/>
        <v>-5592.7696491666675</v>
      </c>
      <c r="BB371" s="15">
        <f>BA371</f>
        <v>-5592.7696491666675</v>
      </c>
    </row>
    <row r="372" spans="2:54" x14ac:dyDescent="0.3">
      <c r="B372" s="99">
        <f t="shared" ref="B372" si="255">B371+1</f>
        <v>44684</v>
      </c>
      <c r="C372" s="44">
        <f t="shared" si="216"/>
        <v>-4143448.8200000012</v>
      </c>
      <c r="D372" s="45">
        <v>39309.9</v>
      </c>
      <c r="E372" s="45"/>
      <c r="F372" s="45">
        <v>-153931.65999999901</v>
      </c>
      <c r="G372" s="45">
        <f t="shared" si="239"/>
        <v>-4258070.58</v>
      </c>
      <c r="H372" s="44">
        <v>4300000</v>
      </c>
      <c r="I372" s="46">
        <f t="shared" si="228"/>
        <v>-3248573.48</v>
      </c>
      <c r="J372" s="47">
        <v>4153.8</v>
      </c>
      <c r="K372" s="47">
        <v>660000</v>
      </c>
      <c r="L372" s="47">
        <v>-522363.81</v>
      </c>
      <c r="M372" s="47">
        <f t="shared" si="218"/>
        <v>-3106783.49</v>
      </c>
      <c r="N372" s="46">
        <v>4000000</v>
      </c>
      <c r="O372" s="48">
        <f t="shared" si="219"/>
        <v>660860.22000000009</v>
      </c>
      <c r="P372" s="55"/>
      <c r="Q372" s="55">
        <v>-660000</v>
      </c>
      <c r="R372" s="55"/>
      <c r="S372" s="55">
        <f t="shared" si="220"/>
        <v>860.22000000008848</v>
      </c>
      <c r="T372" s="48"/>
      <c r="U372" s="49">
        <f t="shared" si="221"/>
        <v>18885.830000000002</v>
      </c>
      <c r="V372" s="51"/>
      <c r="W372" s="51"/>
      <c r="X372" s="51">
        <v>-67.75</v>
      </c>
      <c r="Y372" s="51">
        <f t="shared" si="222"/>
        <v>18818.080000000002</v>
      </c>
      <c r="Z372" s="52"/>
      <c r="AA372" s="53">
        <f t="shared" si="223"/>
        <v>466.43999999999915</v>
      </c>
      <c r="AB372" s="54"/>
      <c r="AC372" s="54"/>
      <c r="AD372" s="54"/>
      <c r="AE372" s="54">
        <f t="shared" si="224"/>
        <v>466.43999999999915</v>
      </c>
      <c r="AF372" s="53"/>
      <c r="AG372" s="53">
        <f t="shared" si="249"/>
        <v>486.23099999994736</v>
      </c>
      <c r="AH372" s="54"/>
      <c r="AI372" s="54"/>
      <c r="AJ372" s="54"/>
      <c r="AK372" s="54">
        <f t="shared" si="225"/>
        <v>486.23099999994736</v>
      </c>
      <c r="AL372" s="53"/>
      <c r="AM372" s="53">
        <f t="shared" si="209"/>
        <v>0</v>
      </c>
      <c r="AN372" s="54"/>
      <c r="AO372" s="54"/>
      <c r="AP372" s="54"/>
      <c r="AQ372" s="54">
        <f t="shared" si="210"/>
        <v>0</v>
      </c>
      <c r="AR372" s="53"/>
      <c r="AS372" s="50">
        <f t="shared" si="226"/>
        <v>-6711323.5790000008</v>
      </c>
      <c r="AT372" s="73">
        <f t="shared" si="233"/>
        <v>43463.700000000004</v>
      </c>
      <c r="AU372" s="50">
        <f t="shared" si="251"/>
        <v>0</v>
      </c>
      <c r="AV372" s="50">
        <f t="shared" si="234"/>
        <v>-676363.21999999904</v>
      </c>
      <c r="AW372" s="50"/>
      <c r="AX372" s="50">
        <f t="shared" si="212"/>
        <v>-7344223.0990000004</v>
      </c>
      <c r="AY372" s="50">
        <f t="shared" si="213"/>
        <v>8300000</v>
      </c>
      <c r="AZ372" s="50">
        <f t="shared" si="214"/>
        <v>955776.90099999961</v>
      </c>
      <c r="BA372" s="15">
        <f t="shared" si="243"/>
        <v>-6120.1859158333336</v>
      </c>
      <c r="BB372" s="15">
        <f t="shared" si="232"/>
        <v>-11712.955565</v>
      </c>
    </row>
    <row r="373" spans="2:54" x14ac:dyDescent="0.3">
      <c r="B373" s="99">
        <f t="shared" si="237"/>
        <v>44685</v>
      </c>
      <c r="C373" s="44">
        <f t="shared" si="216"/>
        <v>-4258070.58</v>
      </c>
      <c r="D373" s="45">
        <f>164132.16-56531.49</f>
        <v>107600.67000000001</v>
      </c>
      <c r="E373" s="45"/>
      <c r="F373" s="45">
        <v>-22</v>
      </c>
      <c r="G373" s="45">
        <f t="shared" si="239"/>
        <v>-4150491.91</v>
      </c>
      <c r="H373" s="44">
        <v>4300000</v>
      </c>
      <c r="I373" s="46">
        <f t="shared" si="228"/>
        <v>-3106783.49</v>
      </c>
      <c r="J373" s="47"/>
      <c r="K373" s="47">
        <v>-10300</v>
      </c>
      <c r="L373" s="47">
        <f>-53856.5499999998+10300</f>
        <v>-43556.549999999799</v>
      </c>
      <c r="M373" s="47">
        <f t="shared" si="218"/>
        <v>-3160640.04</v>
      </c>
      <c r="N373" s="46">
        <v>4000000</v>
      </c>
      <c r="O373" s="48">
        <f t="shared" si="219"/>
        <v>860.22000000008848</v>
      </c>
      <c r="P373" s="55"/>
      <c r="Q373" s="55"/>
      <c r="R373" s="55"/>
      <c r="S373" s="55">
        <f t="shared" si="220"/>
        <v>860.22000000008848</v>
      </c>
      <c r="T373" s="48"/>
      <c r="U373" s="49">
        <f t="shared" si="221"/>
        <v>18818.080000000002</v>
      </c>
      <c r="V373" s="51"/>
      <c r="W373" s="51"/>
      <c r="X373" s="51"/>
      <c r="Y373" s="51">
        <f t="shared" si="222"/>
        <v>18818.080000000002</v>
      </c>
      <c r="Z373" s="52"/>
      <c r="AA373" s="53">
        <f t="shared" si="223"/>
        <v>466.43999999999915</v>
      </c>
      <c r="AB373" s="54"/>
      <c r="AC373" s="54">
        <v>10300</v>
      </c>
      <c r="AD373" s="54">
        <v>-10672</v>
      </c>
      <c r="AE373" s="54">
        <f t="shared" si="224"/>
        <v>94.43999999999869</v>
      </c>
      <c r="AF373" s="53"/>
      <c r="AG373" s="53">
        <f t="shared" si="249"/>
        <v>486.23099999994736</v>
      </c>
      <c r="AH373" s="54"/>
      <c r="AI373" s="54"/>
      <c r="AJ373" s="54"/>
      <c r="AK373" s="54">
        <f t="shared" si="225"/>
        <v>486.23099999994736</v>
      </c>
      <c r="AL373" s="53"/>
      <c r="AM373" s="53">
        <f t="shared" ref="AM373:AM436" si="256">AQ372</f>
        <v>0</v>
      </c>
      <c r="AN373" s="54"/>
      <c r="AO373" s="54"/>
      <c r="AP373" s="54"/>
      <c r="AQ373" s="54">
        <f t="shared" ref="AQ373:AQ436" si="257">SUM(AM373:AP373)</f>
        <v>0</v>
      </c>
      <c r="AR373" s="53"/>
      <c r="AS373" s="50">
        <f t="shared" si="226"/>
        <v>-7344223.0990000004</v>
      </c>
      <c r="AT373" s="73">
        <f t="shared" si="233"/>
        <v>107600.67000000001</v>
      </c>
      <c r="AU373" s="50">
        <f t="shared" si="251"/>
        <v>0</v>
      </c>
      <c r="AV373" s="50">
        <f t="shared" si="234"/>
        <v>-54250.549999999799</v>
      </c>
      <c r="AW373" s="50"/>
      <c r="AX373" s="50">
        <f t="shared" si="212"/>
        <v>-7290872.9790000003</v>
      </c>
      <c r="AY373" s="50">
        <f t="shared" si="213"/>
        <v>8300000</v>
      </c>
      <c r="AZ373" s="50">
        <f t="shared" si="214"/>
        <v>1009127.0209999997</v>
      </c>
      <c r="BA373" s="15">
        <f t="shared" si="243"/>
        <v>-6075.7274825000004</v>
      </c>
      <c r="BB373" s="15">
        <f t="shared" si="232"/>
        <v>-17788.683047500002</v>
      </c>
    </row>
    <row r="374" spans="2:54" x14ac:dyDescent="0.3">
      <c r="B374" s="99">
        <f t="shared" si="237"/>
        <v>44686</v>
      </c>
      <c r="C374" s="44">
        <f t="shared" si="216"/>
        <v>-4150491.91</v>
      </c>
      <c r="D374" s="45">
        <v>56531.49</v>
      </c>
      <c r="E374" s="45">
        <v>-150000</v>
      </c>
      <c r="F374" s="45">
        <v>-682</v>
      </c>
      <c r="G374" s="45">
        <f t="shared" si="239"/>
        <v>-4244642.42</v>
      </c>
      <c r="H374" s="44">
        <v>4300000</v>
      </c>
      <c r="I374" s="46">
        <f t="shared" si="228"/>
        <v>-3160640.04</v>
      </c>
      <c r="J374" s="47"/>
      <c r="K374" s="47">
        <v>150000</v>
      </c>
      <c r="L374" s="47">
        <v>-329347.02</v>
      </c>
      <c r="M374" s="47">
        <f t="shared" si="218"/>
        <v>-3339987.06</v>
      </c>
      <c r="N374" s="46">
        <v>4000000</v>
      </c>
      <c r="O374" s="48">
        <f t="shared" si="219"/>
        <v>860.22000000008848</v>
      </c>
      <c r="P374" s="55"/>
      <c r="Q374" s="55"/>
      <c r="R374" s="55"/>
      <c r="S374" s="55">
        <f t="shared" si="220"/>
        <v>860.22000000008848</v>
      </c>
      <c r="T374" s="48"/>
      <c r="U374" s="49">
        <f t="shared" si="221"/>
        <v>18818.080000000002</v>
      </c>
      <c r="V374" s="51"/>
      <c r="W374" s="51"/>
      <c r="X374" s="51"/>
      <c r="Y374" s="51">
        <f t="shared" si="222"/>
        <v>18818.080000000002</v>
      </c>
      <c r="Z374" s="52"/>
      <c r="AA374" s="53">
        <f t="shared" si="223"/>
        <v>94.43999999999869</v>
      </c>
      <c r="AB374" s="54">
        <v>0.86</v>
      </c>
      <c r="AC374" s="54"/>
      <c r="AD374" s="54"/>
      <c r="AE374" s="54">
        <f t="shared" si="224"/>
        <v>95.29999999999869</v>
      </c>
      <c r="AF374" s="53"/>
      <c r="AG374" s="53">
        <f t="shared" si="249"/>
        <v>486.23099999994736</v>
      </c>
      <c r="AH374" s="54"/>
      <c r="AI374" s="54"/>
      <c r="AJ374" s="54"/>
      <c r="AK374" s="54">
        <f t="shared" si="225"/>
        <v>486.23099999994736</v>
      </c>
      <c r="AL374" s="53"/>
      <c r="AM374" s="53">
        <f t="shared" si="256"/>
        <v>0</v>
      </c>
      <c r="AN374" s="54"/>
      <c r="AO374" s="54"/>
      <c r="AP374" s="54"/>
      <c r="AQ374" s="54">
        <f t="shared" si="257"/>
        <v>0</v>
      </c>
      <c r="AR374" s="53"/>
      <c r="AS374" s="50">
        <f t="shared" si="226"/>
        <v>-7290872.9790000003</v>
      </c>
      <c r="AT374" s="73">
        <f t="shared" si="233"/>
        <v>56532.35</v>
      </c>
      <c r="AU374" s="50">
        <f t="shared" si="251"/>
        <v>0</v>
      </c>
      <c r="AV374" s="50">
        <f t="shared" si="234"/>
        <v>-330029.02</v>
      </c>
      <c r="AW374" s="50"/>
      <c r="AX374" s="50">
        <f t="shared" ref="AX374:AX437" si="258">SUM(G374,M374,S374,Y374,AE374,AK374)</f>
        <v>-7564369.6490000011</v>
      </c>
      <c r="AY374" s="50">
        <f t="shared" ref="AY374:AY437" si="259">SUM(H374,N374,T374,Z374,AF374,AL374)</f>
        <v>8300000</v>
      </c>
      <c r="AZ374" s="50">
        <f t="shared" ref="AZ374:AZ437" si="260">AX374+AY374</f>
        <v>735630.35099999886</v>
      </c>
      <c r="BA374" s="15">
        <f t="shared" si="243"/>
        <v>-6303.6413741666684</v>
      </c>
      <c r="BB374" s="15">
        <f t="shared" si="232"/>
        <v>-24092.324421666672</v>
      </c>
    </row>
    <row r="375" spans="2:54" x14ac:dyDescent="0.3">
      <c r="B375" s="99">
        <f t="shared" si="237"/>
        <v>44687</v>
      </c>
      <c r="C375" s="44">
        <f t="shared" si="216"/>
        <v>-4244642.42</v>
      </c>
      <c r="D375" s="45">
        <v>66096.88</v>
      </c>
      <c r="E375" s="45">
        <v>-100000</v>
      </c>
      <c r="F375" s="45"/>
      <c r="G375" s="45">
        <f t="shared" si="239"/>
        <v>-4278545.54</v>
      </c>
      <c r="H375" s="44">
        <v>4300000</v>
      </c>
      <c r="I375" s="46">
        <f t="shared" si="228"/>
        <v>-3339987.06</v>
      </c>
      <c r="J375" s="47">
        <f>168094.36+3629.41</f>
        <v>171723.77</v>
      </c>
      <c r="K375" s="47">
        <v>-150000</v>
      </c>
      <c r="L375" s="47">
        <v>-111266.13</v>
      </c>
      <c r="M375" s="47">
        <f t="shared" si="218"/>
        <v>-3429529.42</v>
      </c>
      <c r="N375" s="46">
        <v>4000000</v>
      </c>
      <c r="O375" s="48">
        <f t="shared" si="219"/>
        <v>860.22000000008848</v>
      </c>
      <c r="P375" s="55">
        <v>45408.38</v>
      </c>
      <c r="Q375" s="55"/>
      <c r="R375" s="55"/>
      <c r="S375" s="55">
        <f t="shared" si="220"/>
        <v>46268.600000000086</v>
      </c>
      <c r="T375" s="48"/>
      <c r="U375" s="49">
        <f t="shared" si="221"/>
        <v>18818.080000000002</v>
      </c>
      <c r="V375" s="51"/>
      <c r="W375" s="51"/>
      <c r="X375" s="51"/>
      <c r="Y375" s="51">
        <f t="shared" si="222"/>
        <v>18818.080000000002</v>
      </c>
      <c r="Z375" s="52"/>
      <c r="AA375" s="53">
        <f t="shared" si="223"/>
        <v>95.29999999999869</v>
      </c>
      <c r="AB375" s="54"/>
      <c r="AC375" s="54">
        <v>250000</v>
      </c>
      <c r="AD375" s="54">
        <v>-30</v>
      </c>
      <c r="AE375" s="54">
        <f t="shared" si="224"/>
        <v>250065.3</v>
      </c>
      <c r="AF375" s="53"/>
      <c r="AG375" s="53">
        <f t="shared" si="249"/>
        <v>486.23099999994736</v>
      </c>
      <c r="AH375" s="54"/>
      <c r="AI375" s="54"/>
      <c r="AJ375" s="54"/>
      <c r="AK375" s="54">
        <f t="shared" si="225"/>
        <v>486.23099999994736</v>
      </c>
      <c r="AL375" s="53"/>
      <c r="AM375" s="53">
        <f t="shared" si="256"/>
        <v>0</v>
      </c>
      <c r="AN375" s="54"/>
      <c r="AO375" s="54"/>
      <c r="AP375" s="54"/>
      <c r="AQ375" s="54">
        <f t="shared" si="257"/>
        <v>0</v>
      </c>
      <c r="AR375" s="53"/>
      <c r="AS375" s="50">
        <f t="shared" si="226"/>
        <v>-7564369.6490000011</v>
      </c>
      <c r="AT375" s="73">
        <f t="shared" si="233"/>
        <v>283229.02999999997</v>
      </c>
      <c r="AU375" s="50">
        <f t="shared" si="251"/>
        <v>0</v>
      </c>
      <c r="AV375" s="50">
        <f t="shared" si="234"/>
        <v>-111296.13</v>
      </c>
      <c r="AW375" s="50"/>
      <c r="AX375" s="50">
        <f t="shared" si="258"/>
        <v>-7392436.7490000008</v>
      </c>
      <c r="AY375" s="50">
        <f t="shared" si="259"/>
        <v>8300000</v>
      </c>
      <c r="AZ375" s="50">
        <f t="shared" si="260"/>
        <v>907563.25099999923</v>
      </c>
      <c r="BA375" s="15">
        <f t="shared" si="243"/>
        <v>-6160.3639575000007</v>
      </c>
      <c r="BB375" s="15">
        <f t="shared" si="232"/>
        <v>-30252.688379166673</v>
      </c>
    </row>
    <row r="376" spans="2:54" x14ac:dyDescent="0.3">
      <c r="B376" s="99">
        <f t="shared" ref="B376" si="261">B375+3</f>
        <v>44690</v>
      </c>
      <c r="C376" s="44">
        <f t="shared" si="216"/>
        <v>-4278545.54</v>
      </c>
      <c r="D376" s="45">
        <f>214650+34813.16+53971</f>
        <v>303434.16000000003</v>
      </c>
      <c r="E376" s="45"/>
      <c r="F376" s="45">
        <v>-29450.85</v>
      </c>
      <c r="G376" s="45">
        <f t="shared" si="239"/>
        <v>-4004562.23</v>
      </c>
      <c r="H376" s="44">
        <v>4300000</v>
      </c>
      <c r="I376" s="46">
        <f t="shared" si="228"/>
        <v>-3429529.42</v>
      </c>
      <c r="J376" s="47">
        <f>153171.73+53971</f>
        <v>207142.73</v>
      </c>
      <c r="K376" s="47">
        <v>48700</v>
      </c>
      <c r="L376" s="47">
        <v>-73146.010000000097</v>
      </c>
      <c r="M376" s="47">
        <f t="shared" si="218"/>
        <v>-3246832.7</v>
      </c>
      <c r="N376" s="46">
        <v>4000000</v>
      </c>
      <c r="O376" s="48">
        <f t="shared" si="219"/>
        <v>46268.600000000086</v>
      </c>
      <c r="P376" s="55"/>
      <c r="Q376" s="55"/>
      <c r="R376" s="55"/>
      <c r="S376" s="55">
        <f t="shared" si="220"/>
        <v>46268.600000000086</v>
      </c>
      <c r="T376" s="48"/>
      <c r="U376" s="49">
        <f t="shared" si="221"/>
        <v>18818.080000000002</v>
      </c>
      <c r="V376" s="51"/>
      <c r="W376" s="51"/>
      <c r="X376" s="51"/>
      <c r="Y376" s="51">
        <f t="shared" si="222"/>
        <v>18818.080000000002</v>
      </c>
      <c r="Z376" s="52"/>
      <c r="AA376" s="53">
        <f t="shared" si="223"/>
        <v>250065.3</v>
      </c>
      <c r="AB376" s="54"/>
      <c r="AC376" s="54"/>
      <c r="AD376" s="54">
        <v>-244539</v>
      </c>
      <c r="AE376" s="54">
        <f t="shared" si="224"/>
        <v>5526.2999999999884</v>
      </c>
      <c r="AF376" s="53"/>
      <c r="AG376" s="53">
        <f t="shared" si="249"/>
        <v>486.23099999994736</v>
      </c>
      <c r="AH376" s="54">
        <v>48292.39</v>
      </c>
      <c r="AI376" s="54">
        <v>-48700</v>
      </c>
      <c r="AJ376" s="54"/>
      <c r="AK376" s="54">
        <f t="shared" si="225"/>
        <v>78.620999999948253</v>
      </c>
      <c r="AL376" s="53"/>
      <c r="AM376" s="53">
        <f t="shared" si="256"/>
        <v>0</v>
      </c>
      <c r="AN376" s="54"/>
      <c r="AO376" s="54"/>
      <c r="AP376" s="54"/>
      <c r="AQ376" s="54">
        <f t="shared" si="257"/>
        <v>0</v>
      </c>
      <c r="AR376" s="53"/>
      <c r="AS376" s="50">
        <f t="shared" si="226"/>
        <v>-7392436.7490000008</v>
      </c>
      <c r="AT376" s="73">
        <f t="shared" si="233"/>
        <v>558869.28</v>
      </c>
      <c r="AU376" s="50">
        <f t="shared" si="251"/>
        <v>0</v>
      </c>
      <c r="AV376" s="50">
        <f t="shared" si="234"/>
        <v>-347135.8600000001</v>
      </c>
      <c r="AW376" s="50"/>
      <c r="AX376" s="50">
        <f t="shared" si="258"/>
        <v>-7180703.3289999999</v>
      </c>
      <c r="AY376" s="50">
        <f t="shared" si="259"/>
        <v>8300000</v>
      </c>
      <c r="AZ376" s="50">
        <f t="shared" si="260"/>
        <v>1119296.6710000001</v>
      </c>
      <c r="BA376" s="15">
        <f t="shared" si="243"/>
        <v>-5983.9194408333333</v>
      </c>
      <c r="BB376" s="15">
        <f t="shared" si="232"/>
        <v>-36236.607820000005</v>
      </c>
    </row>
    <row r="377" spans="2:54" x14ac:dyDescent="0.3">
      <c r="B377" s="99">
        <f t="shared" ref="B377" si="262">B376+1</f>
        <v>44691</v>
      </c>
      <c r="C377" s="44">
        <f t="shared" si="216"/>
        <v>-4004562.23</v>
      </c>
      <c r="D377" s="45">
        <f>395838.39+85480.39+40428.5</f>
        <v>521747.28</v>
      </c>
      <c r="E377" s="45">
        <v>-250000</v>
      </c>
      <c r="F377" s="45">
        <v>-804.66</v>
      </c>
      <c r="G377" s="45">
        <f t="shared" si="239"/>
        <v>-3733619.6100000003</v>
      </c>
      <c r="H377" s="44">
        <v>4300000</v>
      </c>
      <c r="I377" s="46">
        <f t="shared" si="228"/>
        <v>-3246832.7</v>
      </c>
      <c r="J377" s="47"/>
      <c r="K377" s="47">
        <f>250000+62000</f>
        <v>312000</v>
      </c>
      <c r="L377" s="47">
        <v>-486571.14</v>
      </c>
      <c r="M377" s="47">
        <f t="shared" si="218"/>
        <v>-3421403.8400000003</v>
      </c>
      <c r="N377" s="46">
        <v>4000000</v>
      </c>
      <c r="O377" s="48">
        <f t="shared" si="219"/>
        <v>46268.600000000086</v>
      </c>
      <c r="P377" s="55"/>
      <c r="Q377" s="55">
        <f>18800-62000</f>
        <v>-43200</v>
      </c>
      <c r="R377" s="55">
        <v>-576</v>
      </c>
      <c r="S377" s="55">
        <f t="shared" si="220"/>
        <v>2492.6000000000859</v>
      </c>
      <c r="T377" s="48"/>
      <c r="U377" s="49">
        <f t="shared" si="221"/>
        <v>18818.080000000002</v>
      </c>
      <c r="V377" s="51"/>
      <c r="W377" s="51">
        <v>-18800</v>
      </c>
      <c r="X377" s="51">
        <v>-1.3</v>
      </c>
      <c r="Y377" s="51">
        <f t="shared" si="222"/>
        <v>16.780000000001746</v>
      </c>
      <c r="Z377" s="52"/>
      <c r="AA377" s="53">
        <f t="shared" si="223"/>
        <v>5526.2999999999884</v>
      </c>
      <c r="AB377" s="54"/>
      <c r="AC377" s="54"/>
      <c r="AD377" s="54">
        <v>-870</v>
      </c>
      <c r="AE377" s="54">
        <f t="shared" si="224"/>
        <v>4656.2999999999884</v>
      </c>
      <c r="AF377" s="53"/>
      <c r="AG377" s="53">
        <f t="shared" si="249"/>
        <v>78.620999999948253</v>
      </c>
      <c r="AH377" s="54"/>
      <c r="AI377" s="54"/>
      <c r="AJ377" s="54">
        <v>-9.6</v>
      </c>
      <c r="AK377" s="54">
        <f t="shared" si="225"/>
        <v>69.020999999948259</v>
      </c>
      <c r="AL377" s="53"/>
      <c r="AM377" s="53">
        <f t="shared" si="256"/>
        <v>0</v>
      </c>
      <c r="AN377" s="54"/>
      <c r="AO377" s="54"/>
      <c r="AP377" s="54"/>
      <c r="AQ377" s="54">
        <f t="shared" si="257"/>
        <v>0</v>
      </c>
      <c r="AR377" s="53"/>
      <c r="AS377" s="50">
        <f t="shared" si="226"/>
        <v>-7180703.3289999999</v>
      </c>
      <c r="AT377" s="73">
        <f t="shared" si="233"/>
        <v>521747.28</v>
      </c>
      <c r="AU377" s="50">
        <f t="shared" si="251"/>
        <v>0</v>
      </c>
      <c r="AV377" s="50">
        <f t="shared" si="234"/>
        <v>-488832.69999999995</v>
      </c>
      <c r="AW377" s="50"/>
      <c r="AX377" s="50">
        <f t="shared" si="258"/>
        <v>-7147788.7490000017</v>
      </c>
      <c r="AY377" s="50">
        <f t="shared" si="259"/>
        <v>8300000</v>
      </c>
      <c r="AZ377" s="50">
        <f t="shared" si="260"/>
        <v>1152211.2509999983</v>
      </c>
      <c r="BA377" s="15">
        <f t="shared" si="243"/>
        <v>-5956.4906241666686</v>
      </c>
      <c r="BB377" s="15">
        <f t="shared" si="232"/>
        <v>-42193.098444166673</v>
      </c>
    </row>
    <row r="378" spans="2:54" x14ac:dyDescent="0.3">
      <c r="B378" s="99">
        <f t="shared" si="237"/>
        <v>44692</v>
      </c>
      <c r="C378" s="44">
        <f t="shared" si="216"/>
        <v>-3733619.6100000003</v>
      </c>
      <c r="D378" s="45">
        <f>19821.12+165690.04</f>
        <v>185511.16</v>
      </c>
      <c r="E378" s="45"/>
      <c r="F378" s="45">
        <v>-50</v>
      </c>
      <c r="G378" s="45">
        <f t="shared" si="239"/>
        <v>-3548158.45</v>
      </c>
      <c r="H378" s="44">
        <v>4300000</v>
      </c>
      <c r="I378" s="46">
        <f t="shared" si="228"/>
        <v>-3421403.8400000003</v>
      </c>
      <c r="J378" s="47"/>
      <c r="K378" s="47"/>
      <c r="L378" s="47">
        <v>-21457.8499999997</v>
      </c>
      <c r="M378" s="47">
        <f t="shared" si="218"/>
        <v>-3442861.69</v>
      </c>
      <c r="N378" s="46">
        <v>4000000</v>
      </c>
      <c r="O378" s="48">
        <f t="shared" si="219"/>
        <v>2492.6000000000859</v>
      </c>
      <c r="P378" s="55">
        <f>163.84+162.88+512.32</f>
        <v>839.04000000000008</v>
      </c>
      <c r="Q378" s="55"/>
      <c r="R378" s="55"/>
      <c r="S378" s="55">
        <f t="shared" si="220"/>
        <v>3331.6400000000858</v>
      </c>
      <c r="T378" s="48"/>
      <c r="U378" s="49">
        <f t="shared" si="221"/>
        <v>16.780000000001746</v>
      </c>
      <c r="V378" s="51"/>
      <c r="W378" s="51"/>
      <c r="X378" s="51"/>
      <c r="Y378" s="51">
        <f t="shared" si="222"/>
        <v>16.780000000001746</v>
      </c>
      <c r="Z378" s="52"/>
      <c r="AA378" s="53">
        <f t="shared" si="223"/>
        <v>4656.2999999999884</v>
      </c>
      <c r="AB378" s="54"/>
      <c r="AC378" s="54"/>
      <c r="AD378" s="54">
        <v>-200</v>
      </c>
      <c r="AE378" s="54">
        <f t="shared" si="224"/>
        <v>4456.2999999999884</v>
      </c>
      <c r="AF378" s="53"/>
      <c r="AG378" s="53">
        <f t="shared" si="249"/>
        <v>69.020999999948259</v>
      </c>
      <c r="AH378" s="54"/>
      <c r="AI378" s="54"/>
      <c r="AJ378" s="54"/>
      <c r="AK378" s="54">
        <f t="shared" si="225"/>
        <v>69.020999999948259</v>
      </c>
      <c r="AL378" s="53"/>
      <c r="AM378" s="53">
        <f t="shared" si="256"/>
        <v>0</v>
      </c>
      <c r="AN378" s="54"/>
      <c r="AO378" s="54"/>
      <c r="AP378" s="54"/>
      <c r="AQ378" s="54">
        <f t="shared" si="257"/>
        <v>0</v>
      </c>
      <c r="AR378" s="53"/>
      <c r="AS378" s="50">
        <f t="shared" si="226"/>
        <v>-7147788.7490000017</v>
      </c>
      <c r="AT378" s="73">
        <f t="shared" si="233"/>
        <v>186350.2</v>
      </c>
      <c r="AU378" s="50">
        <f t="shared" si="251"/>
        <v>0</v>
      </c>
      <c r="AV378" s="50">
        <f t="shared" si="234"/>
        <v>-21707.8499999997</v>
      </c>
      <c r="AW378" s="50"/>
      <c r="AX378" s="50">
        <f t="shared" si="258"/>
        <v>-6983146.3990000011</v>
      </c>
      <c r="AY378" s="50">
        <f t="shared" si="259"/>
        <v>8300000</v>
      </c>
      <c r="AZ378" s="50">
        <f t="shared" si="260"/>
        <v>1316853.6009999989</v>
      </c>
      <c r="BA378" s="15">
        <f t="shared" si="243"/>
        <v>-5819.2886658333346</v>
      </c>
      <c r="BB378" s="15">
        <f t="shared" si="232"/>
        <v>-48012.387110000011</v>
      </c>
    </row>
    <row r="379" spans="2:54" x14ac:dyDescent="0.3">
      <c r="B379" s="99">
        <f t="shared" si="237"/>
        <v>44693</v>
      </c>
      <c r="C379" s="44">
        <f t="shared" ref="C379:C442" si="263">G378</f>
        <v>-3548158.45</v>
      </c>
      <c r="D379" s="45">
        <v>216989.48</v>
      </c>
      <c r="E379" s="45">
        <v>-100000</v>
      </c>
      <c r="F379" s="45">
        <v>-14703.54</v>
      </c>
      <c r="G379" s="45">
        <f t="shared" si="239"/>
        <v>-3445872.5100000002</v>
      </c>
      <c r="H379" s="44">
        <v>4300000</v>
      </c>
      <c r="I379" s="46">
        <f t="shared" ref="I379:I442" si="264">M378</f>
        <v>-3442861.69</v>
      </c>
      <c r="J379" s="47"/>
      <c r="K379" s="47">
        <f>100000</f>
        <v>100000</v>
      </c>
      <c r="L379" s="47">
        <v>-40304.29</v>
      </c>
      <c r="M379" s="47">
        <f t="shared" si="218"/>
        <v>-3383165.98</v>
      </c>
      <c r="N379" s="46">
        <v>4000000</v>
      </c>
      <c r="O379" s="48">
        <f t="shared" ref="O379:O442" si="265">S378</f>
        <v>3331.6400000000858</v>
      </c>
      <c r="P379" s="55">
        <f>122.88+30.54+11982.77</f>
        <v>12136.19</v>
      </c>
      <c r="Q379" s="55"/>
      <c r="R379" s="55">
        <v>-27.1</v>
      </c>
      <c r="S379" s="55">
        <f t="shared" ref="S379:S442" si="266">SUM(O379:R379)</f>
        <v>15440.730000000085</v>
      </c>
      <c r="T379" s="48"/>
      <c r="U379" s="49">
        <f t="shared" ref="U379:U442" si="267">Y378</f>
        <v>16.780000000001746</v>
      </c>
      <c r="V379" s="51"/>
      <c r="W379" s="51"/>
      <c r="X379" s="51"/>
      <c r="Y379" s="51">
        <f t="shared" ref="Y379:Y442" si="268">SUM(U379:X379)</f>
        <v>16.780000000001746</v>
      </c>
      <c r="Z379" s="52"/>
      <c r="AA379" s="53">
        <f t="shared" ref="AA379:AA442" si="269">AE378</f>
        <v>4456.2999999999884</v>
      </c>
      <c r="AB379" s="54"/>
      <c r="AC379" s="54"/>
      <c r="AD379" s="54"/>
      <c r="AE379" s="54">
        <f t="shared" ref="AE379:AE442" si="270">SUM(AA379:AD379)</f>
        <v>4456.2999999999884</v>
      </c>
      <c r="AF379" s="53"/>
      <c r="AG379" s="53">
        <f t="shared" si="249"/>
        <v>69.020999999948259</v>
      </c>
      <c r="AH379" s="54"/>
      <c r="AI379" s="54"/>
      <c r="AJ379" s="54"/>
      <c r="AK379" s="54">
        <f t="shared" ref="AK379:AK442" si="271">SUM(AG379:AJ379)</f>
        <v>69.020999999948259</v>
      </c>
      <c r="AL379" s="53"/>
      <c r="AM379" s="53">
        <f t="shared" si="256"/>
        <v>0</v>
      </c>
      <c r="AN379" s="54"/>
      <c r="AO379" s="54"/>
      <c r="AP379" s="54"/>
      <c r="AQ379" s="54">
        <f t="shared" si="257"/>
        <v>0</v>
      </c>
      <c r="AR379" s="53"/>
      <c r="AS379" s="50">
        <f t="shared" si="226"/>
        <v>-6983146.3990000011</v>
      </c>
      <c r="AT379" s="73">
        <f t="shared" si="233"/>
        <v>229125.67</v>
      </c>
      <c r="AU379" s="50">
        <f t="shared" si="251"/>
        <v>0</v>
      </c>
      <c r="AV379" s="50">
        <f t="shared" si="234"/>
        <v>-55034.93</v>
      </c>
      <c r="AW379" s="50"/>
      <c r="AX379" s="50">
        <f t="shared" si="258"/>
        <v>-6809055.659</v>
      </c>
      <c r="AY379" s="50">
        <f t="shared" si="259"/>
        <v>8300000</v>
      </c>
      <c r="AZ379" s="50">
        <f t="shared" si="260"/>
        <v>1490944.341</v>
      </c>
      <c r="BA379" s="15">
        <f t="shared" si="243"/>
        <v>-5674.2130491666667</v>
      </c>
      <c r="BB379" s="15">
        <f t="shared" si="232"/>
        <v>-53686.600159166679</v>
      </c>
    </row>
    <row r="380" spans="2:54" x14ac:dyDescent="0.3">
      <c r="B380" s="99">
        <f t="shared" si="237"/>
        <v>44694</v>
      </c>
      <c r="C380" s="44">
        <f t="shared" si="263"/>
        <v>-3445872.5100000002</v>
      </c>
      <c r="D380" s="45"/>
      <c r="E380" s="45"/>
      <c r="F380" s="45">
        <f>-83.5-49.9</f>
        <v>-133.4</v>
      </c>
      <c r="G380" s="45">
        <f t="shared" si="239"/>
        <v>-3446005.91</v>
      </c>
      <c r="H380" s="44">
        <v>4300000</v>
      </c>
      <c r="I380" s="46">
        <f t="shared" si="264"/>
        <v>-3383165.98</v>
      </c>
      <c r="J380" s="47">
        <f>80735.96+5529.86+6694.24</f>
        <v>92960.060000000012</v>
      </c>
      <c r="K380" s="47"/>
      <c r="L380" s="47">
        <v>-10571.950000000101</v>
      </c>
      <c r="M380" s="47">
        <f t="shared" ref="M380:M383" si="272">SUM(I380:L380)</f>
        <v>-3300777.87</v>
      </c>
      <c r="N380" s="46">
        <v>4000000</v>
      </c>
      <c r="O380" s="48">
        <f t="shared" si="265"/>
        <v>15440.730000000085</v>
      </c>
      <c r="P380" s="55"/>
      <c r="Q380" s="55"/>
      <c r="R380" s="55">
        <v>-1857.29</v>
      </c>
      <c r="S380" s="55">
        <f t="shared" si="266"/>
        <v>13583.440000000086</v>
      </c>
      <c r="T380" s="48"/>
      <c r="U380" s="49">
        <f t="shared" si="267"/>
        <v>16.780000000001746</v>
      </c>
      <c r="V380" s="51"/>
      <c r="W380" s="51"/>
      <c r="X380" s="51"/>
      <c r="Y380" s="51">
        <f t="shared" si="268"/>
        <v>16.780000000001746</v>
      </c>
      <c r="Z380" s="52"/>
      <c r="AA380" s="53">
        <f t="shared" si="269"/>
        <v>4456.2999999999884</v>
      </c>
      <c r="AB380" s="54"/>
      <c r="AC380" s="54"/>
      <c r="AD380" s="54"/>
      <c r="AE380" s="54">
        <f t="shared" si="270"/>
        <v>4456.2999999999884</v>
      </c>
      <c r="AF380" s="53"/>
      <c r="AG380" s="53">
        <f t="shared" si="249"/>
        <v>69.020999999948259</v>
      </c>
      <c r="AH380" s="54"/>
      <c r="AI380" s="54"/>
      <c r="AJ380" s="54"/>
      <c r="AK380" s="54">
        <f t="shared" si="271"/>
        <v>69.020999999948259</v>
      </c>
      <c r="AL380" s="53"/>
      <c r="AM380" s="53">
        <f t="shared" si="256"/>
        <v>0</v>
      </c>
      <c r="AN380" s="54"/>
      <c r="AO380" s="54"/>
      <c r="AP380" s="54"/>
      <c r="AQ380" s="54">
        <f t="shared" si="257"/>
        <v>0</v>
      </c>
      <c r="AR380" s="53"/>
      <c r="AS380" s="50">
        <f t="shared" ref="AS380:AS443" si="273">SUM(C380,I380,O380,U380,AA380,AG380)</f>
        <v>-6809055.659</v>
      </c>
      <c r="AT380" s="73">
        <f t="shared" si="233"/>
        <v>92960.060000000012</v>
      </c>
      <c r="AU380" s="50">
        <f t="shared" si="251"/>
        <v>0</v>
      </c>
      <c r="AV380" s="50">
        <f t="shared" si="234"/>
        <v>-12562.640000000101</v>
      </c>
      <c r="AW380" s="50"/>
      <c r="AX380" s="50">
        <f t="shared" si="258"/>
        <v>-6728658.2390000001</v>
      </c>
      <c r="AY380" s="50">
        <f t="shared" si="259"/>
        <v>8300000</v>
      </c>
      <c r="AZ380" s="50">
        <f t="shared" si="260"/>
        <v>1571341.7609999999</v>
      </c>
      <c r="BA380" s="15">
        <f t="shared" si="243"/>
        <v>-5607.2151991666669</v>
      </c>
      <c r="BB380" s="15">
        <f t="shared" si="232"/>
        <v>-59293.815358333348</v>
      </c>
    </row>
    <row r="381" spans="2:54" x14ac:dyDescent="0.3">
      <c r="B381" s="99">
        <f t="shared" ref="B381" si="274">B380+3</f>
        <v>44697</v>
      </c>
      <c r="C381" s="44">
        <f t="shared" si="263"/>
        <v>-3446005.91</v>
      </c>
      <c r="D381" s="45">
        <v>90190.12</v>
      </c>
      <c r="E381" s="45">
        <v>-600000</v>
      </c>
      <c r="F381" s="45">
        <v>-90594.92</v>
      </c>
      <c r="G381" s="45">
        <f t="shared" si="239"/>
        <v>-4046410.71</v>
      </c>
      <c r="H381" s="44">
        <v>4300000</v>
      </c>
      <c r="I381" s="46">
        <f t="shared" si="264"/>
        <v>-3300777.87</v>
      </c>
      <c r="J381" s="47">
        <v>1381.74</v>
      </c>
      <c r="K381" s="47">
        <v>600000</v>
      </c>
      <c r="L381" s="47">
        <v>-675247.58</v>
      </c>
      <c r="M381" s="47">
        <f t="shared" si="272"/>
        <v>-3374643.71</v>
      </c>
      <c r="N381" s="46">
        <v>4000000</v>
      </c>
      <c r="O381" s="48">
        <f t="shared" si="265"/>
        <v>13583.440000000086</v>
      </c>
      <c r="P381" s="55">
        <f>61.44+284.58</f>
        <v>346.02</v>
      </c>
      <c r="Q381" s="55"/>
      <c r="R381" s="55">
        <v>-168</v>
      </c>
      <c r="S381" s="55">
        <f t="shared" si="266"/>
        <v>13761.460000000086</v>
      </c>
      <c r="T381" s="48"/>
      <c r="U381" s="49">
        <f t="shared" si="267"/>
        <v>16.780000000001746</v>
      </c>
      <c r="V381" s="51"/>
      <c r="W381" s="51"/>
      <c r="X381" s="51"/>
      <c r="Y381" s="51">
        <f t="shared" si="268"/>
        <v>16.780000000001746</v>
      </c>
      <c r="Z381" s="52"/>
      <c r="AA381" s="53">
        <f t="shared" si="269"/>
        <v>4456.2999999999884</v>
      </c>
      <c r="AB381" s="54"/>
      <c r="AC381" s="54"/>
      <c r="AD381" s="54"/>
      <c r="AE381" s="54">
        <f t="shared" si="270"/>
        <v>4456.2999999999884</v>
      </c>
      <c r="AF381" s="53"/>
      <c r="AG381" s="53">
        <f t="shared" si="249"/>
        <v>69.020999999948259</v>
      </c>
      <c r="AH381" s="54"/>
      <c r="AI381" s="54"/>
      <c r="AJ381" s="54"/>
      <c r="AK381" s="54">
        <f t="shared" si="271"/>
        <v>69.020999999948259</v>
      </c>
      <c r="AL381" s="53"/>
      <c r="AM381" s="53">
        <f t="shared" si="256"/>
        <v>0</v>
      </c>
      <c r="AN381" s="54"/>
      <c r="AO381" s="54"/>
      <c r="AP381" s="54"/>
      <c r="AQ381" s="54">
        <f t="shared" si="257"/>
        <v>0</v>
      </c>
      <c r="AR381" s="53"/>
      <c r="AS381" s="50">
        <f t="shared" si="273"/>
        <v>-6728658.2390000001</v>
      </c>
      <c r="AT381" s="73">
        <f t="shared" si="233"/>
        <v>91917.88</v>
      </c>
      <c r="AU381" s="50">
        <f t="shared" si="251"/>
        <v>0</v>
      </c>
      <c r="AV381" s="50">
        <f t="shared" si="234"/>
        <v>-766010.5</v>
      </c>
      <c r="AW381" s="50"/>
      <c r="AX381" s="50">
        <f t="shared" si="258"/>
        <v>-7402750.8590000002</v>
      </c>
      <c r="AY381" s="50">
        <f t="shared" si="259"/>
        <v>8300000</v>
      </c>
      <c r="AZ381" s="50">
        <f t="shared" si="260"/>
        <v>897249.14099999983</v>
      </c>
      <c r="BA381" s="15">
        <f t="shared" si="243"/>
        <v>-6168.9590491666668</v>
      </c>
      <c r="BB381" s="15">
        <f t="shared" si="232"/>
        <v>-65462.774407500016</v>
      </c>
    </row>
    <row r="382" spans="2:54" x14ac:dyDescent="0.3">
      <c r="B382" s="99">
        <f t="shared" ref="B382" si="275">B381+1</f>
        <v>44698</v>
      </c>
      <c r="C382" s="44">
        <f t="shared" si="263"/>
        <v>-4046410.71</v>
      </c>
      <c r="D382" s="45"/>
      <c r="E382" s="45"/>
      <c r="F382" s="45"/>
      <c r="G382" s="45">
        <f t="shared" si="239"/>
        <v>-4046410.71</v>
      </c>
      <c r="H382" s="44">
        <v>4300000</v>
      </c>
      <c r="I382" s="46">
        <f t="shared" si="264"/>
        <v>-3374643.71</v>
      </c>
      <c r="J382" s="47">
        <v>920.2</v>
      </c>
      <c r="K382" s="47"/>
      <c r="L382" s="47">
        <v>-32773.580000000198</v>
      </c>
      <c r="M382" s="47">
        <f t="shared" si="272"/>
        <v>-3406497.09</v>
      </c>
      <c r="N382" s="46">
        <v>4000000</v>
      </c>
      <c r="O382" s="48">
        <f t="shared" si="265"/>
        <v>13761.460000000086</v>
      </c>
      <c r="P382" s="55"/>
      <c r="Q382" s="55"/>
      <c r="R382" s="55">
        <f>-477.6-492.6</f>
        <v>-970.2</v>
      </c>
      <c r="S382" s="55">
        <f t="shared" si="266"/>
        <v>12791.260000000086</v>
      </c>
      <c r="T382" s="48"/>
      <c r="U382" s="49">
        <f t="shared" si="267"/>
        <v>16.780000000001746</v>
      </c>
      <c r="V382" s="51"/>
      <c r="W382" s="51"/>
      <c r="X382" s="51"/>
      <c r="Y382" s="51">
        <f t="shared" si="268"/>
        <v>16.780000000001746</v>
      </c>
      <c r="Z382" s="52"/>
      <c r="AA382" s="53">
        <f t="shared" si="269"/>
        <v>4456.2999999999884</v>
      </c>
      <c r="AB382" s="54"/>
      <c r="AC382" s="54"/>
      <c r="AD382" s="54">
        <v>-1358</v>
      </c>
      <c r="AE382" s="54">
        <f t="shared" si="270"/>
        <v>3098.2999999999884</v>
      </c>
      <c r="AF382" s="53"/>
      <c r="AG382" s="53">
        <f t="shared" si="249"/>
        <v>69.020999999948259</v>
      </c>
      <c r="AH382" s="54"/>
      <c r="AI382" s="54"/>
      <c r="AJ382" s="54"/>
      <c r="AK382" s="54">
        <f t="shared" si="271"/>
        <v>69.020999999948259</v>
      </c>
      <c r="AL382" s="53"/>
      <c r="AM382" s="53">
        <f t="shared" si="256"/>
        <v>0</v>
      </c>
      <c r="AN382" s="54"/>
      <c r="AO382" s="54"/>
      <c r="AP382" s="54"/>
      <c r="AQ382" s="54">
        <f t="shared" si="257"/>
        <v>0</v>
      </c>
      <c r="AR382" s="53"/>
      <c r="AS382" s="50">
        <f t="shared" si="273"/>
        <v>-7402750.8590000002</v>
      </c>
      <c r="AT382" s="73">
        <f t="shared" si="233"/>
        <v>920.2</v>
      </c>
      <c r="AU382" s="50">
        <f t="shared" si="251"/>
        <v>0</v>
      </c>
      <c r="AV382" s="50">
        <f t="shared" si="234"/>
        <v>-35101.780000000195</v>
      </c>
      <c r="AW382" s="50"/>
      <c r="AX382" s="50">
        <f t="shared" si="258"/>
        <v>-7436932.4390000002</v>
      </c>
      <c r="AY382" s="50">
        <f t="shared" si="259"/>
        <v>8300000</v>
      </c>
      <c r="AZ382" s="50">
        <f t="shared" si="260"/>
        <v>863067.56099999975</v>
      </c>
      <c r="BA382" s="15">
        <f t="shared" si="243"/>
        <v>-6197.4436991666671</v>
      </c>
      <c r="BB382" s="15">
        <f t="shared" si="232"/>
        <v>-71660.218106666682</v>
      </c>
    </row>
    <row r="383" spans="2:54" x14ac:dyDescent="0.3">
      <c r="B383" s="99">
        <f t="shared" si="237"/>
        <v>44699</v>
      </c>
      <c r="C383" s="44">
        <f t="shared" si="263"/>
        <v>-4046410.71</v>
      </c>
      <c r="D383" s="45">
        <v>295946.56</v>
      </c>
      <c r="E383" s="45"/>
      <c r="F383" s="45">
        <v>-3.05</v>
      </c>
      <c r="G383" s="45">
        <f t="shared" si="239"/>
        <v>-3750467.1999999997</v>
      </c>
      <c r="H383" s="44">
        <v>4300000</v>
      </c>
      <c r="I383" s="46">
        <f t="shared" si="264"/>
        <v>-3406497.09</v>
      </c>
      <c r="J383" s="47"/>
      <c r="K383" s="47">
        <v>40000</v>
      </c>
      <c r="L383" s="47">
        <v>-6860.4500000000198</v>
      </c>
      <c r="M383" s="47">
        <f t="shared" si="272"/>
        <v>-3373357.54</v>
      </c>
      <c r="N383" s="46">
        <v>4000000</v>
      </c>
      <c r="O383" s="48">
        <f t="shared" si="265"/>
        <v>12791.260000000086</v>
      </c>
      <c r="P383" s="55">
        <f>30738.75+525</f>
        <v>31263.75</v>
      </c>
      <c r="Q383" s="55">
        <v>-40000</v>
      </c>
      <c r="R383" s="55"/>
      <c r="S383" s="55">
        <f t="shared" si="266"/>
        <v>4055.0100000000821</v>
      </c>
      <c r="T383" s="48"/>
      <c r="U383" s="49">
        <f t="shared" si="267"/>
        <v>16.780000000001746</v>
      </c>
      <c r="V383" s="51">
        <v>8934.52</v>
      </c>
      <c r="W383" s="51"/>
      <c r="X383" s="51"/>
      <c r="Y383" s="51">
        <f t="shared" si="268"/>
        <v>8951.3000000000029</v>
      </c>
      <c r="Z383" s="52"/>
      <c r="AA383" s="53">
        <f t="shared" si="269"/>
        <v>3098.2999999999884</v>
      </c>
      <c r="AB383" s="54"/>
      <c r="AC383" s="54"/>
      <c r="AD383" s="54"/>
      <c r="AE383" s="54">
        <f t="shared" si="270"/>
        <v>3098.2999999999884</v>
      </c>
      <c r="AF383" s="53"/>
      <c r="AG383" s="53">
        <f t="shared" si="249"/>
        <v>69.020999999948259</v>
      </c>
      <c r="AH383" s="54"/>
      <c r="AI383" s="54"/>
      <c r="AJ383" s="54"/>
      <c r="AK383" s="54">
        <f t="shared" si="271"/>
        <v>69.020999999948259</v>
      </c>
      <c r="AL383" s="53"/>
      <c r="AM383" s="53">
        <f t="shared" si="256"/>
        <v>0</v>
      </c>
      <c r="AN383" s="54"/>
      <c r="AO383" s="54"/>
      <c r="AP383" s="54"/>
      <c r="AQ383" s="54">
        <f t="shared" si="257"/>
        <v>0</v>
      </c>
      <c r="AR383" s="53"/>
      <c r="AS383" s="50">
        <f t="shared" si="273"/>
        <v>-7436932.4390000002</v>
      </c>
      <c r="AT383" s="73">
        <f t="shared" si="233"/>
        <v>336144.83</v>
      </c>
      <c r="AU383" s="50">
        <f t="shared" si="251"/>
        <v>0</v>
      </c>
      <c r="AV383" s="50">
        <f t="shared" si="234"/>
        <v>-6863.50000000002</v>
      </c>
      <c r="AW383" s="50"/>
      <c r="AX383" s="50">
        <f t="shared" si="258"/>
        <v>-7107651.1090000011</v>
      </c>
      <c r="AY383" s="50">
        <f t="shared" si="259"/>
        <v>8300000</v>
      </c>
      <c r="AZ383" s="50">
        <f t="shared" si="260"/>
        <v>1192348.8909999989</v>
      </c>
      <c r="BA383" s="15">
        <f t="shared" si="243"/>
        <v>-5923.0425908333345</v>
      </c>
      <c r="BB383" s="15">
        <f t="shared" si="232"/>
        <v>-77583.260697500024</v>
      </c>
    </row>
    <row r="384" spans="2:54" x14ac:dyDescent="0.3">
      <c r="B384" s="99">
        <f t="shared" si="237"/>
        <v>44700</v>
      </c>
      <c r="C384" s="44">
        <f t="shared" si="263"/>
        <v>-3750467.1999999997</v>
      </c>
      <c r="D384" s="45"/>
      <c r="E384" s="45"/>
      <c r="F384" s="45">
        <v>-29.4</v>
      </c>
      <c r="G384" s="45">
        <f t="shared" si="239"/>
        <v>-3750496.5999999996</v>
      </c>
      <c r="H384" s="44">
        <v>4300000</v>
      </c>
      <c r="I384" s="46">
        <f t="shared" si="264"/>
        <v>-3373357.54</v>
      </c>
      <c r="J384" s="47"/>
      <c r="K384" s="47"/>
      <c r="L384" s="47">
        <v>-21868.33</v>
      </c>
      <c r="M384" s="47">
        <f t="shared" ref="M384:M442" si="276">SUM(I384:L384)</f>
        <v>-3395225.87</v>
      </c>
      <c r="N384" s="46">
        <v>4000000</v>
      </c>
      <c r="O384" s="48">
        <f t="shared" si="265"/>
        <v>4055.0100000000821</v>
      </c>
      <c r="P384" s="55"/>
      <c r="Q384" s="55"/>
      <c r="R384" s="55">
        <f>-341-691.5</f>
        <v>-1032.5</v>
      </c>
      <c r="S384" s="55">
        <f t="shared" si="266"/>
        <v>3022.5100000000821</v>
      </c>
      <c r="T384" s="48"/>
      <c r="U384" s="49">
        <f t="shared" si="267"/>
        <v>8951.3000000000029</v>
      </c>
      <c r="V384" s="51"/>
      <c r="W384" s="51"/>
      <c r="X384" s="51"/>
      <c r="Y384" s="51">
        <f t="shared" si="268"/>
        <v>8951.3000000000029</v>
      </c>
      <c r="Z384" s="52"/>
      <c r="AA384" s="53">
        <f t="shared" si="269"/>
        <v>3098.2999999999884</v>
      </c>
      <c r="AB384" s="54"/>
      <c r="AC384" s="54"/>
      <c r="AD384" s="54">
        <v>-1205.6500000000001</v>
      </c>
      <c r="AE384" s="54">
        <f t="shared" si="270"/>
        <v>1892.6499999999883</v>
      </c>
      <c r="AF384" s="53"/>
      <c r="AG384" s="53">
        <f t="shared" si="249"/>
        <v>69.020999999948259</v>
      </c>
      <c r="AH384" s="54"/>
      <c r="AI384" s="54"/>
      <c r="AJ384" s="54"/>
      <c r="AK384" s="54">
        <f t="shared" si="271"/>
        <v>69.020999999948259</v>
      </c>
      <c r="AL384" s="53"/>
      <c r="AM384" s="53">
        <f t="shared" si="256"/>
        <v>0</v>
      </c>
      <c r="AN384" s="54"/>
      <c r="AO384" s="54"/>
      <c r="AP384" s="54"/>
      <c r="AQ384" s="54">
        <f t="shared" si="257"/>
        <v>0</v>
      </c>
      <c r="AR384" s="53"/>
      <c r="AS384" s="50">
        <f t="shared" si="273"/>
        <v>-7107651.1090000011</v>
      </c>
      <c r="AT384" s="73">
        <f t="shared" si="233"/>
        <v>0</v>
      </c>
      <c r="AU384" s="50">
        <f t="shared" si="251"/>
        <v>0</v>
      </c>
      <c r="AV384" s="50">
        <f t="shared" si="234"/>
        <v>-24135.880000000005</v>
      </c>
      <c r="AW384" s="50"/>
      <c r="AX384" s="50">
        <f t="shared" si="258"/>
        <v>-7131786.9890000001</v>
      </c>
      <c r="AY384" s="50">
        <f t="shared" si="259"/>
        <v>8300000</v>
      </c>
      <c r="AZ384" s="50">
        <f t="shared" si="260"/>
        <v>1168213.0109999999</v>
      </c>
      <c r="BA384" s="15">
        <f t="shared" si="243"/>
        <v>-5943.1558241666671</v>
      </c>
      <c r="BB384" s="15">
        <f t="shared" si="232"/>
        <v>-83526.416521666688</v>
      </c>
    </row>
    <row r="385" spans="2:54" x14ac:dyDescent="0.3">
      <c r="B385" s="99">
        <f t="shared" si="237"/>
        <v>44701</v>
      </c>
      <c r="C385" s="44">
        <f t="shared" si="263"/>
        <v>-3750496.5999999996</v>
      </c>
      <c r="D385" s="45">
        <f>18091.42+29158.64+71534.56</f>
        <v>118784.62</v>
      </c>
      <c r="E385" s="45">
        <v>-500000</v>
      </c>
      <c r="F385" s="45"/>
      <c r="G385" s="45">
        <f t="shared" si="239"/>
        <v>-4131711.9799999995</v>
      </c>
      <c r="H385" s="44">
        <v>4300000</v>
      </c>
      <c r="I385" s="46">
        <f t="shared" si="264"/>
        <v>-3395225.87</v>
      </c>
      <c r="J385" s="47">
        <v>175577.69</v>
      </c>
      <c r="K385" s="47">
        <v>500000</v>
      </c>
      <c r="L385" s="47">
        <v>-987028.43</v>
      </c>
      <c r="M385" s="47">
        <f t="shared" si="276"/>
        <v>-3706676.6100000003</v>
      </c>
      <c r="N385" s="46">
        <v>4000000</v>
      </c>
      <c r="O385" s="48">
        <f t="shared" si="265"/>
        <v>3022.5100000000821</v>
      </c>
      <c r="P385" s="55"/>
      <c r="Q385" s="55"/>
      <c r="R385" s="55">
        <f>-237.6-279</f>
        <v>-516.6</v>
      </c>
      <c r="S385" s="55">
        <f t="shared" si="266"/>
        <v>2505.9100000000822</v>
      </c>
      <c r="T385" s="48"/>
      <c r="U385" s="49">
        <f t="shared" si="267"/>
        <v>8951.3000000000029</v>
      </c>
      <c r="V385" s="51"/>
      <c r="W385" s="51"/>
      <c r="X385" s="51"/>
      <c r="Y385" s="51">
        <f t="shared" si="268"/>
        <v>8951.3000000000029</v>
      </c>
      <c r="Z385" s="52"/>
      <c r="AA385" s="53">
        <f t="shared" si="269"/>
        <v>1892.6499999999883</v>
      </c>
      <c r="AB385" s="54"/>
      <c r="AC385" s="54"/>
      <c r="AD385" s="54"/>
      <c r="AE385" s="54">
        <f t="shared" si="270"/>
        <v>1892.6499999999883</v>
      </c>
      <c r="AF385" s="53"/>
      <c r="AG385" s="53">
        <f t="shared" si="249"/>
        <v>69.020999999948259</v>
      </c>
      <c r="AH385" s="54"/>
      <c r="AI385" s="54"/>
      <c r="AJ385" s="54"/>
      <c r="AK385" s="54">
        <f t="shared" si="271"/>
        <v>69.020999999948259</v>
      </c>
      <c r="AL385" s="53"/>
      <c r="AM385" s="53">
        <f t="shared" si="256"/>
        <v>0</v>
      </c>
      <c r="AN385" s="54"/>
      <c r="AO385" s="54"/>
      <c r="AP385" s="54"/>
      <c r="AQ385" s="54">
        <f t="shared" si="257"/>
        <v>0</v>
      </c>
      <c r="AR385" s="53"/>
      <c r="AS385" s="50">
        <f t="shared" si="273"/>
        <v>-7131786.9890000001</v>
      </c>
      <c r="AT385" s="73">
        <f t="shared" si="233"/>
        <v>294362.31</v>
      </c>
      <c r="AU385" s="50">
        <f t="shared" si="251"/>
        <v>0</v>
      </c>
      <c r="AV385" s="50">
        <f t="shared" si="234"/>
        <v>-987545.03</v>
      </c>
      <c r="AW385" s="50"/>
      <c r="AX385" s="50">
        <f t="shared" si="258"/>
        <v>-7824969.7089999998</v>
      </c>
      <c r="AY385" s="50">
        <f t="shared" si="259"/>
        <v>8300000</v>
      </c>
      <c r="AZ385" s="50">
        <f t="shared" si="260"/>
        <v>475030.2910000002</v>
      </c>
      <c r="BA385" s="15">
        <f t="shared" si="243"/>
        <v>-6520.8080908333332</v>
      </c>
      <c r="BB385" s="15">
        <f t="shared" si="232"/>
        <v>-90047.224612500024</v>
      </c>
    </row>
    <row r="386" spans="2:54" x14ac:dyDescent="0.3">
      <c r="B386" s="99">
        <f t="shared" ref="B386" si="277">B385+3</f>
        <v>44704</v>
      </c>
      <c r="C386" s="44">
        <f t="shared" si="263"/>
        <v>-4131711.9799999995</v>
      </c>
      <c r="D386" s="45">
        <f>14906.81+262491.75</f>
        <v>277398.56</v>
      </c>
      <c r="E386" s="45"/>
      <c r="F386" s="45"/>
      <c r="G386" s="45">
        <f t="shared" si="239"/>
        <v>-3854313.4199999995</v>
      </c>
      <c r="H386" s="44">
        <v>4300000</v>
      </c>
      <c r="I386" s="46">
        <f t="shared" si="264"/>
        <v>-3706676.6100000003</v>
      </c>
      <c r="J386" s="47">
        <v>119062.17</v>
      </c>
      <c r="K386" s="47"/>
      <c r="L386" s="47">
        <v>-85515.509999999602</v>
      </c>
      <c r="M386" s="47">
        <f t="shared" si="276"/>
        <v>-3673129.95</v>
      </c>
      <c r="N386" s="46">
        <v>4000000</v>
      </c>
      <c r="O386" s="48">
        <f t="shared" si="265"/>
        <v>2505.9100000000822</v>
      </c>
      <c r="P386" s="55"/>
      <c r="Q386" s="55"/>
      <c r="R386" s="55">
        <v>-360</v>
      </c>
      <c r="S386" s="55">
        <f t="shared" si="266"/>
        <v>2145.9100000000822</v>
      </c>
      <c r="T386" s="48"/>
      <c r="U386" s="49">
        <f t="shared" si="267"/>
        <v>8951.3000000000029</v>
      </c>
      <c r="V386" s="51"/>
      <c r="W386" s="51"/>
      <c r="X386" s="51"/>
      <c r="Y386" s="51">
        <f t="shared" si="268"/>
        <v>8951.3000000000029</v>
      </c>
      <c r="Z386" s="52"/>
      <c r="AA386" s="53">
        <f t="shared" si="269"/>
        <v>1892.6499999999883</v>
      </c>
      <c r="AB386" s="54"/>
      <c r="AC386" s="54"/>
      <c r="AD386" s="54"/>
      <c r="AE386" s="54">
        <f t="shared" si="270"/>
        <v>1892.6499999999883</v>
      </c>
      <c r="AF386" s="53"/>
      <c r="AG386" s="53">
        <f t="shared" si="249"/>
        <v>69.020999999948259</v>
      </c>
      <c r="AH386" s="54"/>
      <c r="AI386" s="54"/>
      <c r="AJ386" s="54"/>
      <c r="AK386" s="54">
        <f t="shared" si="271"/>
        <v>69.020999999948259</v>
      </c>
      <c r="AL386" s="53"/>
      <c r="AM386" s="53">
        <f t="shared" si="256"/>
        <v>0</v>
      </c>
      <c r="AN386" s="54"/>
      <c r="AO386" s="54"/>
      <c r="AP386" s="54"/>
      <c r="AQ386" s="54">
        <f t="shared" si="257"/>
        <v>0</v>
      </c>
      <c r="AR386" s="53"/>
      <c r="AS386" s="50">
        <f t="shared" si="273"/>
        <v>-7824969.7089999998</v>
      </c>
      <c r="AT386" s="73">
        <f t="shared" si="233"/>
        <v>396460.73</v>
      </c>
      <c r="AU386" s="50">
        <f t="shared" si="251"/>
        <v>0</v>
      </c>
      <c r="AV386" s="50">
        <f t="shared" si="234"/>
        <v>-85875.509999999602</v>
      </c>
      <c r="AW386" s="50"/>
      <c r="AX386" s="50">
        <f t="shared" si="258"/>
        <v>-7514384.4889999991</v>
      </c>
      <c r="AY386" s="50">
        <f t="shared" si="259"/>
        <v>8300000</v>
      </c>
      <c r="AZ386" s="50">
        <f t="shared" si="260"/>
        <v>785615.51100000087</v>
      </c>
      <c r="BA386" s="15">
        <f t="shared" si="243"/>
        <v>-6261.9870741666664</v>
      </c>
      <c r="BB386" s="15">
        <f t="shared" si="232"/>
        <v>-96309.211686666691</v>
      </c>
    </row>
    <row r="387" spans="2:54" x14ac:dyDescent="0.3">
      <c r="B387" s="99">
        <f t="shared" ref="B387" si="278">B386+1</f>
        <v>44705</v>
      </c>
      <c r="C387" s="44">
        <f t="shared" si="263"/>
        <v>-3854313.4199999995</v>
      </c>
      <c r="D387" s="45">
        <f>11440.51+211156.55</f>
        <v>222597.06</v>
      </c>
      <c r="E387" s="45">
        <v>-650000</v>
      </c>
      <c r="F387" s="45">
        <v>-1820.05</v>
      </c>
      <c r="G387" s="45">
        <f t="shared" si="239"/>
        <v>-4283536.4099999992</v>
      </c>
      <c r="H387" s="44">
        <v>4300000</v>
      </c>
      <c r="I387" s="46">
        <f t="shared" si="264"/>
        <v>-3673129.95</v>
      </c>
      <c r="J387" s="47"/>
      <c r="K387" s="47">
        <v>650000</v>
      </c>
      <c r="L387" s="47">
        <v>-631640.02</v>
      </c>
      <c r="M387" s="47">
        <f t="shared" si="276"/>
        <v>-3654769.97</v>
      </c>
      <c r="N387" s="46">
        <v>4000000</v>
      </c>
      <c r="O387" s="48">
        <f t="shared" si="265"/>
        <v>2145.9100000000822</v>
      </c>
      <c r="P387" s="55"/>
      <c r="Q387" s="55"/>
      <c r="R387" s="55"/>
      <c r="S387" s="55">
        <f t="shared" si="266"/>
        <v>2145.9100000000822</v>
      </c>
      <c r="T387" s="48"/>
      <c r="U387" s="49">
        <f t="shared" si="267"/>
        <v>8951.3000000000029</v>
      </c>
      <c r="V387" s="51">
        <v>164487.14000000001</v>
      </c>
      <c r="W387" s="51"/>
      <c r="X387" s="51"/>
      <c r="Y387" s="51">
        <f t="shared" si="268"/>
        <v>173438.44</v>
      </c>
      <c r="Z387" s="52"/>
      <c r="AA387" s="53">
        <f t="shared" si="269"/>
        <v>1892.6499999999883</v>
      </c>
      <c r="AB387" s="54"/>
      <c r="AC387" s="54"/>
      <c r="AD387" s="54"/>
      <c r="AE387" s="54">
        <f t="shared" si="270"/>
        <v>1892.6499999999883</v>
      </c>
      <c r="AF387" s="53"/>
      <c r="AG387" s="53">
        <f t="shared" si="249"/>
        <v>69.020999999948259</v>
      </c>
      <c r="AH387" s="54"/>
      <c r="AI387" s="54"/>
      <c r="AJ387" s="54"/>
      <c r="AK387" s="54">
        <f t="shared" si="271"/>
        <v>69.020999999948259</v>
      </c>
      <c r="AL387" s="53"/>
      <c r="AM387" s="53">
        <f t="shared" si="256"/>
        <v>0</v>
      </c>
      <c r="AN387" s="54"/>
      <c r="AO387" s="54"/>
      <c r="AP387" s="54"/>
      <c r="AQ387" s="54">
        <f t="shared" si="257"/>
        <v>0</v>
      </c>
      <c r="AR387" s="53"/>
      <c r="AS387" s="50">
        <f t="shared" si="273"/>
        <v>-7514384.4889999991</v>
      </c>
      <c r="AT387" s="73">
        <f t="shared" si="233"/>
        <v>387084.2</v>
      </c>
      <c r="AU387" s="50">
        <f t="shared" si="251"/>
        <v>0</v>
      </c>
      <c r="AV387" s="50">
        <f t="shared" si="234"/>
        <v>-633460.07000000007</v>
      </c>
      <c r="AW387" s="50"/>
      <c r="AX387" s="50">
        <f t="shared" si="258"/>
        <v>-7760760.3589999983</v>
      </c>
      <c r="AY387" s="50">
        <f t="shared" si="259"/>
        <v>8300000</v>
      </c>
      <c r="AZ387" s="50">
        <f t="shared" si="260"/>
        <v>539239.64100000169</v>
      </c>
      <c r="BA387" s="15">
        <f t="shared" si="243"/>
        <v>-6467.3002991666654</v>
      </c>
      <c r="BB387" s="15">
        <f t="shared" si="232"/>
        <v>-102776.51198583335</v>
      </c>
    </row>
    <row r="388" spans="2:54" x14ac:dyDescent="0.3">
      <c r="B388" s="99">
        <f t="shared" si="237"/>
        <v>44706</v>
      </c>
      <c r="C388" s="44">
        <f t="shared" si="263"/>
        <v>-4283536.4099999992</v>
      </c>
      <c r="D388" s="45">
        <f>23340.49+28710.69+44117.01</f>
        <v>96168.19</v>
      </c>
      <c r="E388" s="45">
        <v>170000</v>
      </c>
      <c r="F388" s="45">
        <v>-71577.59</v>
      </c>
      <c r="G388" s="45">
        <f t="shared" si="239"/>
        <v>-4088945.8099999991</v>
      </c>
      <c r="H388" s="44">
        <v>4300000</v>
      </c>
      <c r="I388" s="46">
        <f t="shared" si="264"/>
        <v>-3654769.97</v>
      </c>
      <c r="J388" s="47">
        <v>298356.67000000004</v>
      </c>
      <c r="K388" s="47"/>
      <c r="L388" s="47">
        <v>-97234.5999999997</v>
      </c>
      <c r="M388" s="47">
        <f t="shared" si="276"/>
        <v>-3453647.9</v>
      </c>
      <c r="N388" s="46">
        <v>4000000</v>
      </c>
      <c r="O388" s="48">
        <f t="shared" si="265"/>
        <v>2145.9100000000822</v>
      </c>
      <c r="P388" s="55">
        <f>24911.54</f>
        <v>24911.54</v>
      </c>
      <c r="Q388" s="55">
        <f>-170000+173000</f>
        <v>3000</v>
      </c>
      <c r="R388" s="55">
        <f>-27.1-93-10</f>
        <v>-130.1</v>
      </c>
      <c r="S388" s="55">
        <f t="shared" si="266"/>
        <v>29927.350000000086</v>
      </c>
      <c r="T388" s="48"/>
      <c r="U388" s="49">
        <f t="shared" si="267"/>
        <v>173438.44</v>
      </c>
      <c r="V388" s="51"/>
      <c r="W388" s="51">
        <v>-173000</v>
      </c>
      <c r="X388" s="51">
        <f>-2.6</f>
        <v>-2.6</v>
      </c>
      <c r="Y388" s="51">
        <f t="shared" si="268"/>
        <v>435.84000000000231</v>
      </c>
      <c r="Z388" s="52"/>
      <c r="AA388" s="53">
        <f t="shared" si="269"/>
        <v>1892.6499999999883</v>
      </c>
      <c r="AB388" s="54"/>
      <c r="AC388" s="54"/>
      <c r="AD388" s="54"/>
      <c r="AE388" s="54">
        <f t="shared" si="270"/>
        <v>1892.6499999999883</v>
      </c>
      <c r="AF388" s="53"/>
      <c r="AG388" s="53">
        <f t="shared" si="249"/>
        <v>69.020999999948259</v>
      </c>
      <c r="AH388" s="54"/>
      <c r="AI388" s="54"/>
      <c r="AJ388" s="54"/>
      <c r="AK388" s="54">
        <f t="shared" si="271"/>
        <v>69.020999999948259</v>
      </c>
      <c r="AL388" s="53"/>
      <c r="AM388" s="53">
        <f t="shared" si="256"/>
        <v>0</v>
      </c>
      <c r="AN388" s="54"/>
      <c r="AO388" s="54"/>
      <c r="AP388" s="54"/>
      <c r="AQ388" s="54">
        <f t="shared" si="257"/>
        <v>0</v>
      </c>
      <c r="AR388" s="53"/>
      <c r="AS388" s="50">
        <f t="shared" si="273"/>
        <v>-7760760.3589999983</v>
      </c>
      <c r="AT388" s="73">
        <f t="shared" si="233"/>
        <v>419436.4</v>
      </c>
      <c r="AU388" s="50">
        <f t="shared" si="251"/>
        <v>0</v>
      </c>
      <c r="AV388" s="50">
        <f t="shared" si="234"/>
        <v>-168944.88999999972</v>
      </c>
      <c r="AW388" s="50"/>
      <c r="AX388" s="50">
        <f t="shared" si="258"/>
        <v>-7510268.8489999995</v>
      </c>
      <c r="AY388" s="50">
        <f t="shared" si="259"/>
        <v>8300000</v>
      </c>
      <c r="AZ388" s="50">
        <f t="shared" si="260"/>
        <v>789731.15100000054</v>
      </c>
      <c r="BA388" s="15">
        <f t="shared" si="243"/>
        <v>-6258.5573741666667</v>
      </c>
      <c r="BB388" s="15">
        <f t="shared" si="232"/>
        <v>-109035.06936000002</v>
      </c>
    </row>
    <row r="389" spans="2:54" x14ac:dyDescent="0.3">
      <c r="B389" s="99">
        <f t="shared" si="237"/>
        <v>44707</v>
      </c>
      <c r="C389" s="44">
        <f t="shared" si="263"/>
        <v>-4088945.8099999991</v>
      </c>
      <c r="D389" s="45">
        <v>19777</v>
      </c>
      <c r="E389" s="45"/>
      <c r="F389" s="45">
        <v>-0.85</v>
      </c>
      <c r="G389" s="45">
        <f t="shared" si="239"/>
        <v>-4069169.6599999992</v>
      </c>
      <c r="H389" s="44">
        <v>4300000</v>
      </c>
      <c r="I389" s="46">
        <f t="shared" si="264"/>
        <v>-3453647.9</v>
      </c>
      <c r="J389" s="47">
        <v>240759.62</v>
      </c>
      <c r="K389" s="47"/>
      <c r="L389" s="47">
        <v>-30968.210000000101</v>
      </c>
      <c r="M389" s="47">
        <f t="shared" si="276"/>
        <v>-3243856.4899999998</v>
      </c>
      <c r="N389" s="46">
        <v>4000000</v>
      </c>
      <c r="O389" s="48">
        <f t="shared" si="265"/>
        <v>29927.350000000086</v>
      </c>
      <c r="P389" s="55"/>
      <c r="Q389" s="55"/>
      <c r="R389" s="55">
        <v>-527</v>
      </c>
      <c r="S389" s="55">
        <f t="shared" si="266"/>
        <v>29400.350000000086</v>
      </c>
      <c r="T389" s="48"/>
      <c r="U389" s="49">
        <f t="shared" si="267"/>
        <v>435.84000000000231</v>
      </c>
      <c r="V389" s="51"/>
      <c r="W389" s="51"/>
      <c r="X389" s="51"/>
      <c r="Y389" s="51">
        <f t="shared" si="268"/>
        <v>435.84000000000231</v>
      </c>
      <c r="Z389" s="52"/>
      <c r="AA389" s="53">
        <f t="shared" si="269"/>
        <v>1892.6499999999883</v>
      </c>
      <c r="AB389" s="54"/>
      <c r="AC389" s="54"/>
      <c r="AD389" s="54"/>
      <c r="AE389" s="54">
        <f t="shared" si="270"/>
        <v>1892.6499999999883</v>
      </c>
      <c r="AF389" s="53"/>
      <c r="AG389" s="53">
        <f t="shared" si="249"/>
        <v>69.020999999948259</v>
      </c>
      <c r="AH389" s="54"/>
      <c r="AI389" s="54"/>
      <c r="AJ389" s="54"/>
      <c r="AK389" s="54">
        <f t="shared" si="271"/>
        <v>69.020999999948259</v>
      </c>
      <c r="AL389" s="53"/>
      <c r="AM389" s="53">
        <f t="shared" si="256"/>
        <v>0</v>
      </c>
      <c r="AN389" s="54"/>
      <c r="AO389" s="54"/>
      <c r="AP389" s="54"/>
      <c r="AQ389" s="54">
        <f t="shared" si="257"/>
        <v>0</v>
      </c>
      <c r="AR389" s="53"/>
      <c r="AS389" s="50">
        <f t="shared" si="273"/>
        <v>-7510268.8489999995</v>
      </c>
      <c r="AT389" s="73">
        <f t="shared" si="233"/>
        <v>260536.62</v>
      </c>
      <c r="AU389" s="50">
        <f t="shared" si="251"/>
        <v>0</v>
      </c>
      <c r="AV389" s="50">
        <f t="shared" si="234"/>
        <v>-31496.0600000001</v>
      </c>
      <c r="AW389" s="50"/>
      <c r="AX389" s="50">
        <f t="shared" si="258"/>
        <v>-7281228.2889999989</v>
      </c>
      <c r="AY389" s="50">
        <f t="shared" si="259"/>
        <v>8300000</v>
      </c>
      <c r="AZ389" s="50">
        <f t="shared" si="260"/>
        <v>1018771.7110000011</v>
      </c>
      <c r="BA389" s="15">
        <f t="shared" si="243"/>
        <v>-6067.6902408333326</v>
      </c>
      <c r="BB389" s="15">
        <f t="shared" si="232"/>
        <v>-115102.75960083335</v>
      </c>
    </row>
    <row r="390" spans="2:54" x14ac:dyDescent="0.3">
      <c r="B390" s="99">
        <f t="shared" si="237"/>
        <v>44708</v>
      </c>
      <c r="C390" s="44">
        <f t="shared" si="263"/>
        <v>-4069169.6599999992</v>
      </c>
      <c r="D390" s="45">
        <v>564198.18999999994</v>
      </c>
      <c r="E390" s="45"/>
      <c r="F390" s="45">
        <v>-4.4000000000000004</v>
      </c>
      <c r="G390" s="45">
        <f t="shared" si="239"/>
        <v>-3504975.8699999992</v>
      </c>
      <c r="H390" s="44">
        <v>4300000</v>
      </c>
      <c r="I390" s="46">
        <f t="shared" si="264"/>
        <v>-3243856.4899999998</v>
      </c>
      <c r="J390" s="47">
        <f>175577.69+168875+32497.93</f>
        <v>376950.62</v>
      </c>
      <c r="K390" s="47">
        <v>197500</v>
      </c>
      <c r="L390" s="47">
        <v>-852240.14</v>
      </c>
      <c r="M390" s="47">
        <f t="shared" si="276"/>
        <v>-3521646.01</v>
      </c>
      <c r="N390" s="46">
        <v>4000000</v>
      </c>
      <c r="O390" s="48">
        <f t="shared" si="265"/>
        <v>29400.350000000086</v>
      </c>
      <c r="P390" s="55"/>
      <c r="Q390" s="55"/>
      <c r="R390" s="55"/>
      <c r="S390" s="55">
        <f t="shared" si="266"/>
        <v>29400.350000000086</v>
      </c>
      <c r="T390" s="48"/>
      <c r="U390" s="49">
        <f t="shared" si="267"/>
        <v>435.84000000000231</v>
      </c>
      <c r="V390" s="51"/>
      <c r="W390" s="51"/>
      <c r="X390" s="51"/>
      <c r="Y390" s="51">
        <f t="shared" si="268"/>
        <v>435.84000000000231</v>
      </c>
      <c r="Z390" s="52"/>
      <c r="AA390" s="53">
        <f t="shared" si="269"/>
        <v>1892.6499999999883</v>
      </c>
      <c r="AB390" s="54"/>
      <c r="AC390" s="54"/>
      <c r="AD390" s="54"/>
      <c r="AE390" s="54">
        <f t="shared" si="270"/>
        <v>1892.6499999999883</v>
      </c>
      <c r="AF390" s="53"/>
      <c r="AG390" s="53">
        <f t="shared" si="249"/>
        <v>69.020999999948259</v>
      </c>
      <c r="AH390" s="54">
        <f>170989.94+23703.06+2825.82</f>
        <v>197518.82</v>
      </c>
      <c r="AI390" s="54">
        <v>-197500</v>
      </c>
      <c r="AJ390" s="54"/>
      <c r="AK390" s="54">
        <f t="shared" si="271"/>
        <v>87.840999999956694</v>
      </c>
      <c r="AL390" s="53"/>
      <c r="AM390" s="53">
        <f t="shared" si="256"/>
        <v>0</v>
      </c>
      <c r="AN390" s="54"/>
      <c r="AO390" s="54"/>
      <c r="AP390" s="54"/>
      <c r="AQ390" s="54">
        <f t="shared" si="257"/>
        <v>0</v>
      </c>
      <c r="AR390" s="53"/>
      <c r="AS390" s="50">
        <f t="shared" si="273"/>
        <v>-7281228.2889999989</v>
      </c>
      <c r="AT390" s="73">
        <f t="shared" si="233"/>
        <v>1138667.6299999999</v>
      </c>
      <c r="AU390" s="50">
        <f t="shared" si="251"/>
        <v>0</v>
      </c>
      <c r="AV390" s="50">
        <f t="shared" si="234"/>
        <v>-852244.54</v>
      </c>
      <c r="AW390" s="50"/>
      <c r="AX390" s="50">
        <f t="shared" si="258"/>
        <v>-6994805.1989999991</v>
      </c>
      <c r="AY390" s="50">
        <f t="shared" si="259"/>
        <v>8300000</v>
      </c>
      <c r="AZ390" s="50">
        <f t="shared" si="260"/>
        <v>1305194.8010000009</v>
      </c>
      <c r="BA390" s="15">
        <f t="shared" si="243"/>
        <v>-5829.0043324999997</v>
      </c>
      <c r="BB390" s="15">
        <f t="shared" si="232"/>
        <v>-120931.76393333335</v>
      </c>
    </row>
    <row r="391" spans="2:54" x14ac:dyDescent="0.3">
      <c r="B391" s="99">
        <f t="shared" ref="B391" si="279">B390+3</f>
        <v>44711</v>
      </c>
      <c r="C391" s="44">
        <f t="shared" si="263"/>
        <v>-3504975.8699999992</v>
      </c>
      <c r="D391" s="45">
        <f>58320.71+48855.68+8738.75+45225.19+16129.06</f>
        <v>177269.39</v>
      </c>
      <c r="E391" s="45"/>
      <c r="F391" s="45">
        <f>-2.2-192.8-17.6</f>
        <v>-212.6</v>
      </c>
      <c r="G391" s="45">
        <f t="shared" si="239"/>
        <v>-3327919.0799999991</v>
      </c>
      <c r="H391" s="44">
        <v>4300000</v>
      </c>
      <c r="I391" s="46">
        <f t="shared" si="264"/>
        <v>-3521646.01</v>
      </c>
      <c r="J391" s="47">
        <v>828944.5</v>
      </c>
      <c r="K391" s="47"/>
      <c r="L391" s="47">
        <v>-35277.030000000203</v>
      </c>
      <c r="M391" s="47">
        <f t="shared" si="276"/>
        <v>-2727978.54</v>
      </c>
      <c r="N391" s="46">
        <v>4000000</v>
      </c>
      <c r="O391" s="48">
        <f t="shared" si="265"/>
        <v>29400.350000000086</v>
      </c>
      <c r="P391" s="55">
        <v>574263.80000000005</v>
      </c>
      <c r="Q391" s="55">
        <v>57600</v>
      </c>
      <c r="R391" s="55">
        <v>-900</v>
      </c>
      <c r="S391" s="55">
        <f t="shared" si="266"/>
        <v>660364.15000000014</v>
      </c>
      <c r="T391" s="48"/>
      <c r="U391" s="49">
        <f t="shared" si="267"/>
        <v>435.84000000000231</v>
      </c>
      <c r="V391" s="51">
        <v>57210.01</v>
      </c>
      <c r="W391" s="51">
        <v>-57600</v>
      </c>
      <c r="X391" s="51"/>
      <c r="Y391" s="51">
        <f t="shared" si="268"/>
        <v>45.850000000005821</v>
      </c>
      <c r="Z391" s="52"/>
      <c r="AA391" s="53">
        <f t="shared" si="269"/>
        <v>1892.6499999999883</v>
      </c>
      <c r="AB391" s="54"/>
      <c r="AC391" s="54"/>
      <c r="AD391" s="54"/>
      <c r="AE391" s="54">
        <f t="shared" si="270"/>
        <v>1892.6499999999883</v>
      </c>
      <c r="AF391" s="53"/>
      <c r="AG391" s="53">
        <f t="shared" si="249"/>
        <v>87.840999999956694</v>
      </c>
      <c r="AH391" s="54"/>
      <c r="AI391" s="54"/>
      <c r="AJ391" s="54">
        <v>-9.6</v>
      </c>
      <c r="AK391" s="54">
        <f t="shared" si="271"/>
        <v>78.240999999956699</v>
      </c>
      <c r="AL391" s="53"/>
      <c r="AM391" s="53">
        <f t="shared" si="256"/>
        <v>0</v>
      </c>
      <c r="AN391" s="54"/>
      <c r="AO391" s="54"/>
      <c r="AP391" s="54"/>
      <c r="AQ391" s="54">
        <f t="shared" si="257"/>
        <v>0</v>
      </c>
      <c r="AR391" s="53"/>
      <c r="AS391" s="50">
        <f t="shared" si="273"/>
        <v>-6994805.1989999991</v>
      </c>
      <c r="AT391" s="73">
        <f t="shared" si="233"/>
        <v>1637687.7</v>
      </c>
      <c r="AU391" s="50">
        <f t="shared" si="251"/>
        <v>0</v>
      </c>
      <c r="AV391" s="50">
        <f t="shared" si="234"/>
        <v>-36399.2300000002</v>
      </c>
      <c r="AW391" s="50"/>
      <c r="AX391" s="50">
        <f t="shared" si="258"/>
        <v>-5393516.7289999984</v>
      </c>
      <c r="AY391" s="50">
        <f t="shared" si="259"/>
        <v>8300000</v>
      </c>
      <c r="AZ391" s="50">
        <f t="shared" si="260"/>
        <v>2906483.2710000016</v>
      </c>
      <c r="BA391" s="15">
        <f t="shared" si="243"/>
        <v>-4494.5972741666656</v>
      </c>
      <c r="BB391" s="15">
        <f t="shared" si="232"/>
        <v>-125426.36120750001</v>
      </c>
    </row>
    <row r="392" spans="2:54" x14ac:dyDescent="0.3">
      <c r="B392" s="99">
        <f t="shared" ref="B392" si="280">B391+1</f>
        <v>44712</v>
      </c>
      <c r="C392" s="44">
        <f t="shared" si="263"/>
        <v>-3327919.0799999991</v>
      </c>
      <c r="D392" s="45">
        <v>107806.78</v>
      </c>
      <c r="E392" s="45"/>
      <c r="F392" s="45">
        <v>-70321.89</v>
      </c>
      <c r="G392" s="45">
        <f t="shared" si="239"/>
        <v>-3290434.1899999995</v>
      </c>
      <c r="H392" s="44">
        <v>4300000</v>
      </c>
      <c r="I392" s="46">
        <f t="shared" si="264"/>
        <v>-2727978.54</v>
      </c>
      <c r="J392" s="47"/>
      <c r="K392" s="47">
        <v>650000</v>
      </c>
      <c r="L392" s="47">
        <v>-106122.65</v>
      </c>
      <c r="M392" s="47">
        <f t="shared" si="276"/>
        <v>-2184101.19</v>
      </c>
      <c r="N392" s="46">
        <v>4000000</v>
      </c>
      <c r="O392" s="48">
        <f t="shared" si="265"/>
        <v>660364.15000000014</v>
      </c>
      <c r="P392" s="55">
        <v>3991.06</v>
      </c>
      <c r="Q392" s="55">
        <v>-650000</v>
      </c>
      <c r="R392" s="55">
        <v>-2231.0000000002001</v>
      </c>
      <c r="S392" s="55">
        <f t="shared" si="266"/>
        <v>12124.209999999995</v>
      </c>
      <c r="T392" s="48"/>
      <c r="U392" s="49">
        <f t="shared" si="267"/>
        <v>45.850000000005821</v>
      </c>
      <c r="V392" s="51"/>
      <c r="W392" s="51"/>
      <c r="X392" s="51">
        <v>-1.3</v>
      </c>
      <c r="Y392" s="51">
        <f t="shared" si="268"/>
        <v>44.550000000005824</v>
      </c>
      <c r="Z392" s="52"/>
      <c r="AA392" s="53">
        <f t="shared" si="269"/>
        <v>1892.6499999999883</v>
      </c>
      <c r="AB392" s="54"/>
      <c r="AC392" s="54"/>
      <c r="AD392" s="54"/>
      <c r="AE392" s="54">
        <f t="shared" si="270"/>
        <v>1892.6499999999883</v>
      </c>
      <c r="AF392" s="53"/>
      <c r="AG392" s="53">
        <f t="shared" si="249"/>
        <v>78.240999999956699</v>
      </c>
      <c r="AH392" s="54"/>
      <c r="AI392" s="54"/>
      <c r="AJ392" s="54">
        <v>-60</v>
      </c>
      <c r="AK392" s="54">
        <f t="shared" si="271"/>
        <v>18.240999999956699</v>
      </c>
      <c r="AL392" s="53"/>
      <c r="AM392" s="53">
        <f t="shared" si="256"/>
        <v>0</v>
      </c>
      <c r="AN392" s="54"/>
      <c r="AO392" s="54"/>
      <c r="AP392" s="54"/>
      <c r="AQ392" s="54">
        <f t="shared" si="257"/>
        <v>0</v>
      </c>
      <c r="AR392" s="53"/>
      <c r="AS392" s="50">
        <f t="shared" si="273"/>
        <v>-5393516.7289999984</v>
      </c>
      <c r="AT392" s="73">
        <f t="shared" si="233"/>
        <v>111797.84</v>
      </c>
      <c r="AU392" s="50">
        <f t="shared" si="251"/>
        <v>0</v>
      </c>
      <c r="AV392" s="50">
        <f t="shared" si="234"/>
        <v>-178736.84000000017</v>
      </c>
      <c r="AW392" s="50"/>
      <c r="AX392" s="50">
        <f t="shared" si="258"/>
        <v>-5460455.7289999984</v>
      </c>
      <c r="AY392" s="50">
        <f t="shared" si="259"/>
        <v>8300000</v>
      </c>
      <c r="AZ392" s="50">
        <f t="shared" si="260"/>
        <v>2839544.2710000016</v>
      </c>
      <c r="BA392" s="82">
        <f t="shared" si="243"/>
        <v>-4550.3797741666658</v>
      </c>
      <c r="BB392" s="82">
        <f t="shared" si="232"/>
        <v>-129976.74098166668</v>
      </c>
    </row>
    <row r="393" spans="2:54" x14ac:dyDescent="0.3">
      <c r="B393" s="99">
        <f t="shared" si="237"/>
        <v>44713</v>
      </c>
      <c r="C393" s="44">
        <f t="shared" si="263"/>
        <v>-3290434.1899999995</v>
      </c>
      <c r="D393" s="45"/>
      <c r="E393" s="45">
        <f>540000-1000000</f>
        <v>-460000</v>
      </c>
      <c r="F393" s="45">
        <v>-94253.77</v>
      </c>
      <c r="G393" s="45">
        <f t="shared" si="239"/>
        <v>-3844687.9599999995</v>
      </c>
      <c r="H393" s="44">
        <v>4300000</v>
      </c>
      <c r="I393" s="46">
        <f t="shared" si="264"/>
        <v>-2184101.19</v>
      </c>
      <c r="J393" s="47"/>
      <c r="K393" s="47">
        <f>1000000</f>
        <v>1000000</v>
      </c>
      <c r="L393" s="47">
        <v>-2620319.8199999998</v>
      </c>
      <c r="M393" s="47">
        <f t="shared" si="276"/>
        <v>-3804421.01</v>
      </c>
      <c r="N393" s="46">
        <v>4000000</v>
      </c>
      <c r="O393" s="48">
        <f t="shared" si="265"/>
        <v>12124.209999999995</v>
      </c>
      <c r="P393" s="55"/>
      <c r="Q393" s="55">
        <f>-540000+544900</f>
        <v>4900</v>
      </c>
      <c r="R393" s="55">
        <f>-4748.94-2652.79-10</f>
        <v>-7411.73</v>
      </c>
      <c r="S393" s="55">
        <f t="shared" si="266"/>
        <v>9612.4799999999959</v>
      </c>
      <c r="T393" s="48"/>
      <c r="U393" s="49">
        <f t="shared" si="267"/>
        <v>44.550000000005824</v>
      </c>
      <c r="V393" s="51">
        <v>544921.03</v>
      </c>
      <c r="W393" s="51">
        <v>-544900</v>
      </c>
      <c r="X393" s="51">
        <v>-1.3</v>
      </c>
      <c r="Y393" s="51">
        <f t="shared" si="268"/>
        <v>64.280000000074509</v>
      </c>
      <c r="Z393" s="52"/>
      <c r="AA393" s="53">
        <f t="shared" si="269"/>
        <v>1892.6499999999883</v>
      </c>
      <c r="AB393" s="54"/>
      <c r="AC393" s="54"/>
      <c r="AD393" s="54">
        <v>-338.31</v>
      </c>
      <c r="AE393" s="54">
        <f t="shared" si="270"/>
        <v>1554.3399999999883</v>
      </c>
      <c r="AF393" s="53"/>
      <c r="AG393" s="53">
        <f t="shared" si="249"/>
        <v>18.240999999956699</v>
      </c>
      <c r="AH393" s="54"/>
      <c r="AI393" s="54"/>
      <c r="AJ393" s="54"/>
      <c r="AK393" s="54">
        <f t="shared" si="271"/>
        <v>18.240999999956699</v>
      </c>
      <c r="AL393" s="53"/>
      <c r="AM393" s="53">
        <f t="shared" si="256"/>
        <v>0</v>
      </c>
      <c r="AN393" s="54"/>
      <c r="AO393" s="54"/>
      <c r="AP393" s="54"/>
      <c r="AQ393" s="54">
        <f t="shared" si="257"/>
        <v>0</v>
      </c>
      <c r="AR393" s="53"/>
      <c r="AS393" s="50">
        <f t="shared" si="273"/>
        <v>-5460455.7289999984</v>
      </c>
      <c r="AT393" s="73">
        <f t="shared" si="233"/>
        <v>544921.03</v>
      </c>
      <c r="AU393" s="50">
        <f t="shared" si="251"/>
        <v>0</v>
      </c>
      <c r="AV393" s="50">
        <f t="shared" si="234"/>
        <v>-2722324.9299999997</v>
      </c>
      <c r="AW393" s="50"/>
      <c r="AX393" s="50">
        <f t="shared" si="258"/>
        <v>-7637859.6289999979</v>
      </c>
      <c r="AY393" s="50">
        <f t="shared" si="259"/>
        <v>8300000</v>
      </c>
      <c r="AZ393" s="50">
        <f t="shared" si="260"/>
        <v>662140.37100000214</v>
      </c>
      <c r="BA393" s="15">
        <f t="shared" si="243"/>
        <v>-6364.8830241666656</v>
      </c>
      <c r="BB393" s="15">
        <f>BA393</f>
        <v>-6364.8830241666656</v>
      </c>
    </row>
    <row r="394" spans="2:54" x14ac:dyDescent="0.3">
      <c r="B394" s="99">
        <f t="shared" si="237"/>
        <v>44714</v>
      </c>
      <c r="C394" s="44">
        <f t="shared" si="263"/>
        <v>-3844687.9599999995</v>
      </c>
      <c r="D394" s="45">
        <v>179083.82</v>
      </c>
      <c r="E394" s="45"/>
      <c r="F394" s="45">
        <v>-259388.53</v>
      </c>
      <c r="G394" s="45">
        <f t="shared" si="239"/>
        <v>-3924992.6699999995</v>
      </c>
      <c r="H394" s="44">
        <v>4300000</v>
      </c>
      <c r="I394" s="46">
        <f t="shared" si="264"/>
        <v>-3804421.01</v>
      </c>
      <c r="J394" s="47">
        <f>80585.36+5519.55+8210.82</f>
        <v>94315.73000000001</v>
      </c>
      <c r="K394" s="47"/>
      <c r="L394" s="47">
        <v>-82990.310000000201</v>
      </c>
      <c r="M394" s="47">
        <f t="shared" si="276"/>
        <v>-3793095.59</v>
      </c>
      <c r="N394" s="46">
        <v>4000000</v>
      </c>
      <c r="O394" s="48">
        <f t="shared" si="265"/>
        <v>9612.4799999999959</v>
      </c>
      <c r="P394" s="55">
        <v>315.42</v>
      </c>
      <c r="Q394" s="55"/>
      <c r="R394" s="55">
        <v>-1736.37</v>
      </c>
      <c r="S394" s="55">
        <f t="shared" si="266"/>
        <v>8191.5299999999961</v>
      </c>
      <c r="T394" s="48"/>
      <c r="U394" s="49">
        <f t="shared" si="267"/>
        <v>64.280000000074509</v>
      </c>
      <c r="V394" s="51"/>
      <c r="W394" s="51"/>
      <c r="X394" s="51">
        <v>-59.95</v>
      </c>
      <c r="Y394" s="51">
        <f t="shared" si="268"/>
        <v>4.3300000000745058</v>
      </c>
      <c r="Z394" s="52"/>
      <c r="AA394" s="53">
        <f t="shared" si="269"/>
        <v>1554.3399999999883</v>
      </c>
      <c r="AB394" s="54"/>
      <c r="AC394" s="54"/>
      <c r="AD394" s="54">
        <v>-40</v>
      </c>
      <c r="AE394" s="54">
        <f t="shared" si="270"/>
        <v>1514.3399999999883</v>
      </c>
      <c r="AF394" s="53"/>
      <c r="AG394" s="53">
        <f t="shared" si="249"/>
        <v>18.240999999956699</v>
      </c>
      <c r="AH394" s="54"/>
      <c r="AI394" s="54"/>
      <c r="AJ394" s="54"/>
      <c r="AK394" s="54">
        <f t="shared" si="271"/>
        <v>18.240999999956699</v>
      </c>
      <c r="AL394" s="53"/>
      <c r="AM394" s="53">
        <f t="shared" si="256"/>
        <v>0</v>
      </c>
      <c r="AN394" s="54"/>
      <c r="AO394" s="54"/>
      <c r="AP394" s="54"/>
      <c r="AQ394" s="54">
        <f t="shared" si="257"/>
        <v>0</v>
      </c>
      <c r="AR394" s="53"/>
      <c r="AS394" s="50">
        <f t="shared" si="273"/>
        <v>-7637859.6289999979</v>
      </c>
      <c r="AT394" s="73">
        <f t="shared" ref="AT394:AT457" si="281">SUM(D394,J394,P394,V394,AB394,AH394)</f>
        <v>273714.97000000003</v>
      </c>
      <c r="AU394" s="50">
        <f t="shared" si="251"/>
        <v>0</v>
      </c>
      <c r="AV394" s="50">
        <f t="shared" ref="AV394:AV457" si="282">SUM(F394,L394,R394,X394,AD394,AJ394)</f>
        <v>-344215.16000000021</v>
      </c>
      <c r="AW394" s="50"/>
      <c r="AX394" s="50">
        <f t="shared" si="258"/>
        <v>-7708359.8189999992</v>
      </c>
      <c r="AY394" s="50">
        <f t="shared" si="259"/>
        <v>8300000</v>
      </c>
      <c r="AZ394" s="50">
        <f t="shared" si="260"/>
        <v>591640.1810000008</v>
      </c>
      <c r="BA394" s="15">
        <f t="shared" si="243"/>
        <v>-6423.6331824999997</v>
      </c>
      <c r="BB394" s="15">
        <f t="shared" si="232"/>
        <v>-12788.516206666665</v>
      </c>
    </row>
    <row r="395" spans="2:54" x14ac:dyDescent="0.3">
      <c r="B395" s="99">
        <f t="shared" si="237"/>
        <v>44715</v>
      </c>
      <c r="C395" s="44">
        <f t="shared" si="263"/>
        <v>-3924992.6699999995</v>
      </c>
      <c r="D395" s="45"/>
      <c r="E395" s="45">
        <v>-260000</v>
      </c>
      <c r="F395" s="45">
        <f>-17.6-0.85-0.85-26739.67</f>
        <v>-26758.969999999998</v>
      </c>
      <c r="G395" s="45">
        <f t="shared" si="239"/>
        <v>-4211751.6399999997</v>
      </c>
      <c r="H395" s="44">
        <v>4300000</v>
      </c>
      <c r="I395" s="46">
        <f t="shared" si="264"/>
        <v>-3793095.59</v>
      </c>
      <c r="J395" s="47"/>
      <c r="K395" s="47">
        <v>260000</v>
      </c>
      <c r="L395" s="47">
        <v>-371739.29</v>
      </c>
      <c r="M395" s="47">
        <f t="shared" si="276"/>
        <v>-3904834.88</v>
      </c>
      <c r="N395" s="46">
        <v>4000000</v>
      </c>
      <c r="O395" s="48">
        <f t="shared" si="265"/>
        <v>8191.5299999999961</v>
      </c>
      <c r="P395" s="55"/>
      <c r="Q395" s="55"/>
      <c r="R395" s="55"/>
      <c r="S395" s="55">
        <f t="shared" si="266"/>
        <v>8191.5299999999961</v>
      </c>
      <c r="T395" s="48"/>
      <c r="U395" s="49">
        <f t="shared" si="267"/>
        <v>4.3300000000745058</v>
      </c>
      <c r="V395" s="51"/>
      <c r="W395" s="51"/>
      <c r="X395" s="51"/>
      <c r="Y395" s="51">
        <f t="shared" si="268"/>
        <v>4.3300000000745058</v>
      </c>
      <c r="Z395" s="52"/>
      <c r="AA395" s="53">
        <f t="shared" si="269"/>
        <v>1514.3399999999883</v>
      </c>
      <c r="AB395" s="54"/>
      <c r="AC395" s="54"/>
      <c r="AD395" s="54">
        <v>-54</v>
      </c>
      <c r="AE395" s="54">
        <f t="shared" si="270"/>
        <v>1460.3399999999883</v>
      </c>
      <c r="AF395" s="53"/>
      <c r="AG395" s="53">
        <f t="shared" si="249"/>
        <v>18.240999999956699</v>
      </c>
      <c r="AH395" s="54"/>
      <c r="AI395" s="54"/>
      <c r="AJ395" s="54"/>
      <c r="AK395" s="54">
        <f t="shared" si="271"/>
        <v>18.240999999956699</v>
      </c>
      <c r="AL395" s="53"/>
      <c r="AM395" s="53">
        <f t="shared" si="256"/>
        <v>0</v>
      </c>
      <c r="AN395" s="54"/>
      <c r="AO395" s="54"/>
      <c r="AP395" s="54"/>
      <c r="AQ395" s="54">
        <f t="shared" si="257"/>
        <v>0</v>
      </c>
      <c r="AR395" s="53"/>
      <c r="AS395" s="50">
        <f t="shared" si="273"/>
        <v>-7708359.8189999992</v>
      </c>
      <c r="AT395" s="73">
        <f t="shared" si="281"/>
        <v>0</v>
      </c>
      <c r="AU395" s="50">
        <f t="shared" si="251"/>
        <v>0</v>
      </c>
      <c r="AV395" s="50">
        <f t="shared" si="282"/>
        <v>-398552.25999999995</v>
      </c>
      <c r="AW395" s="50"/>
      <c r="AX395" s="50">
        <f t="shared" si="258"/>
        <v>-8106912.078999999</v>
      </c>
      <c r="AY395" s="50">
        <f t="shared" si="259"/>
        <v>8300000</v>
      </c>
      <c r="AZ395" s="50">
        <f t="shared" si="260"/>
        <v>193087.92100000102</v>
      </c>
      <c r="BA395" s="15">
        <f t="shared" si="243"/>
        <v>-6755.7600658333331</v>
      </c>
      <c r="BB395" s="15">
        <f t="shared" si="232"/>
        <v>-19544.276272499999</v>
      </c>
    </row>
    <row r="396" spans="2:54" x14ac:dyDescent="0.3">
      <c r="B396" s="99">
        <f t="shared" ref="B396" si="283">B395+3</f>
        <v>44718</v>
      </c>
      <c r="C396" s="44">
        <f t="shared" si="263"/>
        <v>-4211751.6399999997</v>
      </c>
      <c r="D396" s="45">
        <v>144583.65</v>
      </c>
      <c r="E396" s="45">
        <v>-100000</v>
      </c>
      <c r="F396" s="45">
        <v>-8209.34</v>
      </c>
      <c r="G396" s="45">
        <f t="shared" si="239"/>
        <v>-4175377.3299999996</v>
      </c>
      <c r="H396" s="44">
        <v>4300000</v>
      </c>
      <c r="I396" s="46">
        <f t="shared" si="264"/>
        <v>-3904834.88</v>
      </c>
      <c r="J396" s="47">
        <v>3629.41</v>
      </c>
      <c r="K396" s="47">
        <f>100000+78300-247000</f>
        <v>-68700</v>
      </c>
      <c r="L396" s="47">
        <f>-529978.17+247000</f>
        <v>-282978.17000000004</v>
      </c>
      <c r="M396" s="47">
        <f t="shared" si="276"/>
        <v>-4252883.6399999997</v>
      </c>
      <c r="N396" s="46">
        <v>4000000</v>
      </c>
      <c r="O396" s="48">
        <f t="shared" si="265"/>
        <v>8191.5299999999961</v>
      </c>
      <c r="P396" s="55"/>
      <c r="Q396" s="55"/>
      <c r="R396" s="55">
        <f>-235.2-120</f>
        <v>-355.2</v>
      </c>
      <c r="S396" s="55">
        <f t="shared" si="266"/>
        <v>7836.3299999999963</v>
      </c>
      <c r="T396" s="48"/>
      <c r="U396" s="49">
        <f t="shared" si="267"/>
        <v>4.3300000000745058</v>
      </c>
      <c r="V396" s="51">
        <v>78337.34</v>
      </c>
      <c r="W396" s="51">
        <v>-78300</v>
      </c>
      <c r="X396" s="51">
        <v>-10</v>
      </c>
      <c r="Y396" s="51">
        <f t="shared" si="268"/>
        <v>31.670000000071013</v>
      </c>
      <c r="Z396" s="52"/>
      <c r="AA396" s="53">
        <f t="shared" si="269"/>
        <v>1460.3399999999883</v>
      </c>
      <c r="AB396" s="54"/>
      <c r="AC396" s="54">
        <v>247000</v>
      </c>
      <c r="AD396" s="54">
        <v>1</v>
      </c>
      <c r="AE396" s="54">
        <f t="shared" si="270"/>
        <v>248461.34</v>
      </c>
      <c r="AF396" s="53"/>
      <c r="AG396" s="53">
        <f t="shared" si="249"/>
        <v>18.240999999956699</v>
      </c>
      <c r="AH396" s="54"/>
      <c r="AI396" s="54"/>
      <c r="AJ396" s="54"/>
      <c r="AK396" s="54">
        <f t="shared" si="271"/>
        <v>18.240999999956699</v>
      </c>
      <c r="AL396" s="53"/>
      <c r="AM396" s="53">
        <f t="shared" si="256"/>
        <v>0</v>
      </c>
      <c r="AN396" s="54"/>
      <c r="AO396" s="54"/>
      <c r="AP396" s="54"/>
      <c r="AQ396" s="54">
        <f t="shared" si="257"/>
        <v>0</v>
      </c>
      <c r="AR396" s="53"/>
      <c r="AS396" s="50">
        <f t="shared" si="273"/>
        <v>-8106912.078999999</v>
      </c>
      <c r="AT396" s="73">
        <f t="shared" si="281"/>
        <v>226550.39999999999</v>
      </c>
      <c r="AU396" s="50">
        <f t="shared" si="251"/>
        <v>0</v>
      </c>
      <c r="AV396" s="50">
        <f t="shared" si="282"/>
        <v>-291551.71000000008</v>
      </c>
      <c r="AW396" s="50"/>
      <c r="AX396" s="50">
        <f t="shared" si="258"/>
        <v>-8171913.3889999986</v>
      </c>
      <c r="AY396" s="50">
        <f t="shared" si="259"/>
        <v>8300000</v>
      </c>
      <c r="AZ396" s="50">
        <f t="shared" si="260"/>
        <v>128086.61100000143</v>
      </c>
      <c r="BA396" s="15">
        <f t="shared" si="243"/>
        <v>-6809.9278241666661</v>
      </c>
      <c r="BB396" s="15">
        <f t="shared" ref="BB396:BB461" si="284">BA396+BB395</f>
        <v>-26354.204096666665</v>
      </c>
    </row>
    <row r="397" spans="2:54" x14ac:dyDescent="0.3">
      <c r="B397" s="99">
        <f t="shared" ref="B397" si="285">B396+1</f>
        <v>44719</v>
      </c>
      <c r="C397" s="44">
        <f t="shared" si="263"/>
        <v>-4175377.3299999996</v>
      </c>
      <c r="D397" s="45">
        <f>180191.44+150740.93+61274.63+152147.73</f>
        <v>544354.73</v>
      </c>
      <c r="E397" s="45">
        <v>-50000</v>
      </c>
      <c r="F397" s="45">
        <v>-332967.21000000002</v>
      </c>
      <c r="G397" s="45">
        <f t="shared" si="239"/>
        <v>-4013989.8099999996</v>
      </c>
      <c r="H397" s="44">
        <v>4300000</v>
      </c>
      <c r="I397" s="46">
        <f t="shared" si="264"/>
        <v>-4252883.6399999997</v>
      </c>
      <c r="J397" s="47"/>
      <c r="K397" s="47">
        <v>50000</v>
      </c>
      <c r="L397" s="47">
        <v>-23816.750000000298</v>
      </c>
      <c r="M397" s="47">
        <f t="shared" si="276"/>
        <v>-4226700.3899999997</v>
      </c>
      <c r="N397" s="46">
        <v>4000000</v>
      </c>
      <c r="O397" s="48">
        <f t="shared" si="265"/>
        <v>7836.3299999999963</v>
      </c>
      <c r="P397" s="55"/>
      <c r="Q397" s="55"/>
      <c r="R397" s="55"/>
      <c r="S397" s="55">
        <f t="shared" si="266"/>
        <v>7836.3299999999963</v>
      </c>
      <c r="T397" s="48"/>
      <c r="U397" s="49">
        <f t="shared" si="267"/>
        <v>31.670000000071013</v>
      </c>
      <c r="V397" s="51"/>
      <c r="W397" s="51"/>
      <c r="X397" s="51"/>
      <c r="Y397" s="51">
        <f t="shared" si="268"/>
        <v>31.670000000071013</v>
      </c>
      <c r="Z397" s="52"/>
      <c r="AA397" s="53">
        <f t="shared" si="269"/>
        <v>248461.34</v>
      </c>
      <c r="AB397" s="54"/>
      <c r="AC397" s="54"/>
      <c r="AD397" s="54">
        <v>-246270.31</v>
      </c>
      <c r="AE397" s="54">
        <f t="shared" si="270"/>
        <v>2191.0299999999988</v>
      </c>
      <c r="AF397" s="53"/>
      <c r="AG397" s="53">
        <f t="shared" si="249"/>
        <v>18.240999999956699</v>
      </c>
      <c r="AH397" s="54"/>
      <c r="AI397" s="54"/>
      <c r="AJ397" s="54"/>
      <c r="AK397" s="54">
        <f t="shared" si="271"/>
        <v>18.240999999956699</v>
      </c>
      <c r="AL397" s="53"/>
      <c r="AM397" s="53">
        <f t="shared" si="256"/>
        <v>0</v>
      </c>
      <c r="AN397" s="54"/>
      <c r="AO397" s="54"/>
      <c r="AP397" s="54"/>
      <c r="AQ397" s="54">
        <f t="shared" si="257"/>
        <v>0</v>
      </c>
      <c r="AR397" s="53"/>
      <c r="AS397" s="50">
        <f t="shared" si="273"/>
        <v>-8171913.3889999986</v>
      </c>
      <c r="AT397" s="73">
        <f t="shared" si="281"/>
        <v>544354.73</v>
      </c>
      <c r="AU397" s="50">
        <f t="shared" si="251"/>
        <v>0</v>
      </c>
      <c r="AV397" s="50">
        <f t="shared" si="282"/>
        <v>-603054.27000000025</v>
      </c>
      <c r="AW397" s="50"/>
      <c r="AX397" s="50">
        <f t="shared" si="258"/>
        <v>-8230612.9289999986</v>
      </c>
      <c r="AY397" s="50">
        <f t="shared" si="259"/>
        <v>8300000</v>
      </c>
      <c r="AZ397" s="50">
        <f t="shared" si="260"/>
        <v>69387.071000001393</v>
      </c>
      <c r="BA397" s="15">
        <f t="shared" si="243"/>
        <v>-6858.8441074999992</v>
      </c>
      <c r="BB397" s="15">
        <f t="shared" si="284"/>
        <v>-33213.048204166662</v>
      </c>
    </row>
    <row r="398" spans="2:54" x14ac:dyDescent="0.3">
      <c r="B398" s="99">
        <f t="shared" si="237"/>
        <v>44720</v>
      </c>
      <c r="C398" s="44">
        <f t="shared" si="263"/>
        <v>-4013989.8099999996</v>
      </c>
      <c r="D398" s="45">
        <f>59379.28+118278.1</f>
        <v>177657.38</v>
      </c>
      <c r="E398" s="45"/>
      <c r="F398" s="45">
        <v>-29450</v>
      </c>
      <c r="G398" s="45">
        <f t="shared" si="239"/>
        <v>-3865782.4299999997</v>
      </c>
      <c r="H398" s="44">
        <v>4300000</v>
      </c>
      <c r="I398" s="46">
        <f t="shared" si="264"/>
        <v>-4226700.3899999997</v>
      </c>
      <c r="J398" s="47">
        <v>428140.34</v>
      </c>
      <c r="K398" s="47"/>
      <c r="L398" s="47">
        <v>-162535.75</v>
      </c>
      <c r="M398" s="47">
        <f t="shared" si="276"/>
        <v>-3961095.8</v>
      </c>
      <c r="N398" s="46">
        <v>4000000</v>
      </c>
      <c r="O398" s="48">
        <f t="shared" si="265"/>
        <v>7836.3299999999963</v>
      </c>
      <c r="P398" s="55">
        <f>163.84+157.12</f>
        <v>320.96000000000004</v>
      </c>
      <c r="Q398" s="55"/>
      <c r="R398" s="55">
        <f>-1179.54-655.6</f>
        <v>-1835.1399999999999</v>
      </c>
      <c r="S398" s="55">
        <f t="shared" si="266"/>
        <v>6322.149999999996</v>
      </c>
      <c r="T398" s="48"/>
      <c r="U398" s="49">
        <f t="shared" si="267"/>
        <v>31.670000000071013</v>
      </c>
      <c r="V398" s="51"/>
      <c r="W398" s="51"/>
      <c r="X398" s="51"/>
      <c r="Y398" s="51">
        <f t="shared" si="268"/>
        <v>31.670000000071013</v>
      </c>
      <c r="Z398" s="52"/>
      <c r="AA398" s="53">
        <f t="shared" si="269"/>
        <v>2191.0299999999988</v>
      </c>
      <c r="AB398" s="54"/>
      <c r="AC398" s="54"/>
      <c r="AD398" s="54">
        <v>-1052.26</v>
      </c>
      <c r="AE398" s="54">
        <f t="shared" si="270"/>
        <v>1138.7699999999988</v>
      </c>
      <c r="AF398" s="53"/>
      <c r="AG398" s="53">
        <f t="shared" si="249"/>
        <v>18.240999999956699</v>
      </c>
      <c r="AH398" s="54"/>
      <c r="AI398" s="54"/>
      <c r="AJ398" s="54"/>
      <c r="AK398" s="54">
        <f t="shared" si="271"/>
        <v>18.240999999956699</v>
      </c>
      <c r="AL398" s="53"/>
      <c r="AM398" s="53">
        <f t="shared" si="256"/>
        <v>0</v>
      </c>
      <c r="AN398" s="54"/>
      <c r="AO398" s="54"/>
      <c r="AP398" s="54"/>
      <c r="AQ398" s="54">
        <f t="shared" si="257"/>
        <v>0</v>
      </c>
      <c r="AR398" s="53"/>
      <c r="AS398" s="50">
        <f t="shared" si="273"/>
        <v>-8230612.9289999986</v>
      </c>
      <c r="AT398" s="73">
        <f t="shared" si="281"/>
        <v>606118.67999999993</v>
      </c>
      <c r="AU398" s="50">
        <f t="shared" si="251"/>
        <v>0</v>
      </c>
      <c r="AV398" s="50">
        <f t="shared" si="282"/>
        <v>-194873.15000000002</v>
      </c>
      <c r="AW398" s="50"/>
      <c r="AX398" s="50">
        <f t="shared" si="258"/>
        <v>-7819367.3989999993</v>
      </c>
      <c r="AY398" s="50">
        <f t="shared" si="259"/>
        <v>8300000</v>
      </c>
      <c r="AZ398" s="50">
        <f t="shared" si="260"/>
        <v>480632.60100000072</v>
      </c>
      <c r="BA398" s="15">
        <f t="shared" si="243"/>
        <v>-6516.1394991666666</v>
      </c>
      <c r="BB398" s="15">
        <f t="shared" si="284"/>
        <v>-39729.187703333329</v>
      </c>
    </row>
    <row r="399" spans="2:54" x14ac:dyDescent="0.3">
      <c r="B399" s="99">
        <f t="shared" si="237"/>
        <v>44721</v>
      </c>
      <c r="C399" s="44">
        <f t="shared" si="263"/>
        <v>-3865782.4299999997</v>
      </c>
      <c r="D399" s="45">
        <f>464659.32+14033.67+12354.14+53801.92</f>
        <v>544849.05000000005</v>
      </c>
      <c r="E399" s="45"/>
      <c r="F399" s="45">
        <f>-0.85*2</f>
        <v>-1.7</v>
      </c>
      <c r="G399" s="45">
        <f t="shared" si="239"/>
        <v>-3320935.08</v>
      </c>
      <c r="H399" s="44">
        <v>4300000</v>
      </c>
      <c r="I399" s="46">
        <f t="shared" si="264"/>
        <v>-3961095.8</v>
      </c>
      <c r="J399" s="47"/>
      <c r="K399" s="47"/>
      <c r="L399" s="47">
        <v>-20748.810000000201</v>
      </c>
      <c r="M399" s="47">
        <f t="shared" si="276"/>
        <v>-3981844.61</v>
      </c>
      <c r="N399" s="46">
        <v>4000000</v>
      </c>
      <c r="O399" s="48">
        <f t="shared" si="265"/>
        <v>6322.149999999996</v>
      </c>
      <c r="P399" s="55">
        <f>512.32+880.1</f>
        <v>1392.42</v>
      </c>
      <c r="Q399" s="55"/>
      <c r="R399" s="55"/>
      <c r="S399" s="55">
        <f t="shared" si="266"/>
        <v>7714.5699999999961</v>
      </c>
      <c r="T399" s="48"/>
      <c r="U399" s="49">
        <f t="shared" si="267"/>
        <v>31.670000000071013</v>
      </c>
      <c r="V399" s="51"/>
      <c r="W399" s="51"/>
      <c r="X399" s="51"/>
      <c r="Y399" s="51">
        <f t="shared" si="268"/>
        <v>31.670000000071013</v>
      </c>
      <c r="Z399" s="52"/>
      <c r="AA399" s="53">
        <f t="shared" si="269"/>
        <v>1138.7699999999988</v>
      </c>
      <c r="AB399" s="54"/>
      <c r="AC399" s="54"/>
      <c r="AD399" s="54"/>
      <c r="AE399" s="54">
        <f t="shared" si="270"/>
        <v>1138.7699999999988</v>
      </c>
      <c r="AF399" s="53"/>
      <c r="AG399" s="53">
        <f t="shared" si="249"/>
        <v>18.240999999956699</v>
      </c>
      <c r="AH399" s="54"/>
      <c r="AI399" s="54"/>
      <c r="AJ399" s="54"/>
      <c r="AK399" s="54">
        <f t="shared" si="271"/>
        <v>18.240999999956699</v>
      </c>
      <c r="AL399" s="53"/>
      <c r="AM399" s="53">
        <f t="shared" si="256"/>
        <v>0</v>
      </c>
      <c r="AN399" s="54"/>
      <c r="AO399" s="54"/>
      <c r="AP399" s="54"/>
      <c r="AQ399" s="54">
        <f t="shared" si="257"/>
        <v>0</v>
      </c>
      <c r="AR399" s="53"/>
      <c r="AS399" s="50">
        <f t="shared" si="273"/>
        <v>-7819367.3989999993</v>
      </c>
      <c r="AT399" s="73">
        <f t="shared" si="281"/>
        <v>546241.47000000009</v>
      </c>
      <c r="AU399" s="50">
        <f t="shared" si="251"/>
        <v>0</v>
      </c>
      <c r="AV399" s="50">
        <f t="shared" si="282"/>
        <v>-20750.510000000202</v>
      </c>
      <c r="AW399" s="50"/>
      <c r="AX399" s="50">
        <f t="shared" si="258"/>
        <v>-7293876.4389999993</v>
      </c>
      <c r="AY399" s="50">
        <f t="shared" si="259"/>
        <v>8300000</v>
      </c>
      <c r="AZ399" s="50">
        <f t="shared" si="260"/>
        <v>1006123.5610000007</v>
      </c>
      <c r="BA399" s="15">
        <f t="shared" si="243"/>
        <v>-6078.2303658333331</v>
      </c>
      <c r="BB399" s="15">
        <f t="shared" si="284"/>
        <v>-45807.418069166662</v>
      </c>
    </row>
    <row r="400" spans="2:54" x14ac:dyDescent="0.3">
      <c r="B400" s="99">
        <f t="shared" si="237"/>
        <v>44722</v>
      </c>
      <c r="C400" s="44">
        <f t="shared" si="263"/>
        <v>-3320935.08</v>
      </c>
      <c r="D400" s="45">
        <v>1268226.4099999999</v>
      </c>
      <c r="E400" s="45"/>
      <c r="F400" s="45">
        <v>-546528.19999999995</v>
      </c>
      <c r="G400" s="45">
        <f t="shared" si="239"/>
        <v>-2599236.87</v>
      </c>
      <c r="H400" s="44">
        <v>4300000</v>
      </c>
      <c r="I400" s="46">
        <f t="shared" si="264"/>
        <v>-3981844.61</v>
      </c>
      <c r="J400" s="47"/>
      <c r="K400" s="47"/>
      <c r="L400" s="47">
        <v>-198085.4</v>
      </c>
      <c r="M400" s="47">
        <f t="shared" si="276"/>
        <v>-4179930.01</v>
      </c>
      <c r="N400" s="46">
        <v>4000000</v>
      </c>
      <c r="O400" s="48">
        <f t="shared" si="265"/>
        <v>7714.5699999999961</v>
      </c>
      <c r="P400" s="55">
        <v>1613.56</v>
      </c>
      <c r="Q400" s="55"/>
      <c r="R400" s="55"/>
      <c r="S400" s="55">
        <f t="shared" si="266"/>
        <v>9328.1299999999956</v>
      </c>
      <c r="T400" s="48"/>
      <c r="U400" s="49">
        <f t="shared" si="267"/>
        <v>31.670000000071013</v>
      </c>
      <c r="V400" s="51">
        <v>6254.16</v>
      </c>
      <c r="W400" s="51"/>
      <c r="X400" s="51"/>
      <c r="Y400" s="51">
        <f t="shared" si="268"/>
        <v>6285.8300000000709</v>
      </c>
      <c r="Z400" s="52"/>
      <c r="AA400" s="53">
        <f t="shared" si="269"/>
        <v>1138.7699999999988</v>
      </c>
      <c r="AB400" s="54"/>
      <c r="AC400" s="54"/>
      <c r="AD400" s="54">
        <v>-343</v>
      </c>
      <c r="AE400" s="54">
        <f t="shared" si="270"/>
        <v>795.76999999999884</v>
      </c>
      <c r="AF400" s="53"/>
      <c r="AG400" s="53">
        <f t="shared" si="249"/>
        <v>18.240999999956699</v>
      </c>
      <c r="AH400" s="54"/>
      <c r="AI400" s="54"/>
      <c r="AJ400" s="54"/>
      <c r="AK400" s="54">
        <f t="shared" si="271"/>
        <v>18.240999999956699</v>
      </c>
      <c r="AL400" s="53"/>
      <c r="AM400" s="53">
        <f t="shared" si="256"/>
        <v>0</v>
      </c>
      <c r="AN400" s="54"/>
      <c r="AO400" s="54"/>
      <c r="AP400" s="54"/>
      <c r="AQ400" s="54">
        <f t="shared" si="257"/>
        <v>0</v>
      </c>
      <c r="AR400" s="53"/>
      <c r="AS400" s="50">
        <f t="shared" si="273"/>
        <v>-7293876.4389999993</v>
      </c>
      <c r="AT400" s="73">
        <f t="shared" si="281"/>
        <v>1276094.1299999999</v>
      </c>
      <c r="AU400" s="50">
        <f t="shared" si="251"/>
        <v>0</v>
      </c>
      <c r="AV400" s="50">
        <f t="shared" si="282"/>
        <v>-744956.6</v>
      </c>
      <c r="AW400" s="50"/>
      <c r="AX400" s="50">
        <f t="shared" si="258"/>
        <v>-6762738.909</v>
      </c>
      <c r="AY400" s="50">
        <f t="shared" si="259"/>
        <v>8300000</v>
      </c>
      <c r="AZ400" s="50">
        <f t="shared" si="260"/>
        <v>1537261.091</v>
      </c>
      <c r="BA400" s="15">
        <f t="shared" si="243"/>
        <v>-5635.6157575000007</v>
      </c>
      <c r="BB400" s="15">
        <f t="shared" si="284"/>
        <v>-51443.033826666666</v>
      </c>
    </row>
    <row r="401" spans="2:54" x14ac:dyDescent="0.3">
      <c r="B401" s="99">
        <f t="shared" ref="B401" si="286">B400+3</f>
        <v>44725</v>
      </c>
      <c r="C401" s="44">
        <f t="shared" si="263"/>
        <v>-2599236.87</v>
      </c>
      <c r="D401" s="45">
        <v>239962.14</v>
      </c>
      <c r="E401" s="45"/>
      <c r="F401" s="45">
        <f>-27439.13+1554.64</f>
        <v>-25884.49</v>
      </c>
      <c r="G401" s="45">
        <f t="shared" si="239"/>
        <v>-2385159.2200000002</v>
      </c>
      <c r="H401" s="44">
        <v>4300000</v>
      </c>
      <c r="I401" s="46">
        <f t="shared" si="264"/>
        <v>-4179930.01</v>
      </c>
      <c r="J401" s="47"/>
      <c r="K401" s="47">
        <v>191100</v>
      </c>
      <c r="L401" s="47">
        <v>-153512.93</v>
      </c>
      <c r="M401" s="47">
        <f t="shared" si="276"/>
        <v>-4142342.94</v>
      </c>
      <c r="N401" s="46">
        <v>4000000</v>
      </c>
      <c r="O401" s="48">
        <f t="shared" si="265"/>
        <v>9328.1299999999956</v>
      </c>
      <c r="P401" s="55"/>
      <c r="Q401" s="55"/>
      <c r="R401" s="55"/>
      <c r="S401" s="55">
        <f t="shared" si="266"/>
        <v>9328.1299999999956</v>
      </c>
      <c r="T401" s="48"/>
      <c r="U401" s="49">
        <f t="shared" si="267"/>
        <v>6285.8300000000709</v>
      </c>
      <c r="V401" s="51"/>
      <c r="W401" s="51"/>
      <c r="X401" s="51"/>
      <c r="Y401" s="51">
        <f t="shared" si="268"/>
        <v>6285.8300000000709</v>
      </c>
      <c r="Z401" s="52"/>
      <c r="AA401" s="53">
        <f t="shared" si="269"/>
        <v>795.76999999999884</v>
      </c>
      <c r="AB401" s="54"/>
      <c r="AC401" s="54"/>
      <c r="AD401" s="54"/>
      <c r="AE401" s="54">
        <f t="shared" si="270"/>
        <v>795.76999999999884</v>
      </c>
      <c r="AF401" s="53"/>
      <c r="AG401" s="53">
        <f t="shared" si="249"/>
        <v>18.240999999956699</v>
      </c>
      <c r="AH401" s="54">
        <v>191180.89</v>
      </c>
      <c r="AI401" s="54">
        <v>-191100</v>
      </c>
      <c r="AJ401" s="54"/>
      <c r="AK401" s="54">
        <f t="shared" si="271"/>
        <v>99.130999999964843</v>
      </c>
      <c r="AL401" s="53"/>
      <c r="AM401" s="53">
        <f t="shared" si="256"/>
        <v>0</v>
      </c>
      <c r="AN401" s="54"/>
      <c r="AO401" s="54"/>
      <c r="AP401" s="54"/>
      <c r="AQ401" s="54">
        <f t="shared" si="257"/>
        <v>0</v>
      </c>
      <c r="AR401" s="53"/>
      <c r="AS401" s="50">
        <f t="shared" si="273"/>
        <v>-6762738.909</v>
      </c>
      <c r="AT401" s="73">
        <f t="shared" si="281"/>
        <v>431143.03</v>
      </c>
      <c r="AU401" s="50">
        <f t="shared" si="251"/>
        <v>0</v>
      </c>
      <c r="AV401" s="50">
        <f t="shared" si="282"/>
        <v>-179397.41999999998</v>
      </c>
      <c r="AW401" s="50"/>
      <c r="AX401" s="50">
        <f t="shared" si="258"/>
        <v>-6510993.2990000006</v>
      </c>
      <c r="AY401" s="50">
        <f t="shared" si="259"/>
        <v>8300000</v>
      </c>
      <c r="AZ401" s="50">
        <f t="shared" si="260"/>
        <v>1789006.7009999994</v>
      </c>
      <c r="BA401" s="15">
        <f t="shared" si="243"/>
        <v>-5425.8277491666677</v>
      </c>
      <c r="BB401" s="15">
        <f t="shared" si="284"/>
        <v>-56868.861575833333</v>
      </c>
    </row>
    <row r="402" spans="2:54" x14ac:dyDescent="0.3">
      <c r="B402" s="99">
        <f t="shared" ref="B402:B465" si="287">B401+1</f>
        <v>44726</v>
      </c>
      <c r="C402" s="44">
        <f t="shared" si="263"/>
        <v>-2385159.2200000002</v>
      </c>
      <c r="D402" s="45">
        <v>53871.62</v>
      </c>
      <c r="E402" s="45">
        <v>-10000</v>
      </c>
      <c r="F402" s="45">
        <f>-1638.14+83.5</f>
        <v>-1554.64</v>
      </c>
      <c r="G402" s="45">
        <f t="shared" si="239"/>
        <v>-2342842.2400000002</v>
      </c>
      <c r="H402" s="44">
        <v>4300000</v>
      </c>
      <c r="I402" s="46">
        <f t="shared" si="264"/>
        <v>-4142342.94</v>
      </c>
      <c r="J402" s="47">
        <v>53971</v>
      </c>
      <c r="K402" s="47">
        <v>10000</v>
      </c>
      <c r="L402" s="47">
        <v>-113740.99</v>
      </c>
      <c r="M402" s="47">
        <f t="shared" si="276"/>
        <v>-4192112.93</v>
      </c>
      <c r="N402" s="46">
        <v>4000000</v>
      </c>
      <c r="O402" s="48">
        <f t="shared" si="265"/>
        <v>9328.1299999999956</v>
      </c>
      <c r="P402" s="55"/>
      <c r="Q402" s="55"/>
      <c r="R402" s="55"/>
      <c r="S402" s="55">
        <f t="shared" si="266"/>
        <v>9328.1299999999956</v>
      </c>
      <c r="T402" s="48"/>
      <c r="U402" s="49">
        <f t="shared" si="267"/>
        <v>6285.8300000000709</v>
      </c>
      <c r="V402" s="51"/>
      <c r="W402" s="51"/>
      <c r="X402" s="51"/>
      <c r="Y402" s="51">
        <f t="shared" si="268"/>
        <v>6285.8300000000709</v>
      </c>
      <c r="Z402" s="52"/>
      <c r="AA402" s="53">
        <f t="shared" si="269"/>
        <v>795.76999999999884</v>
      </c>
      <c r="AB402" s="54"/>
      <c r="AC402" s="54"/>
      <c r="AD402" s="54"/>
      <c r="AE402" s="54">
        <f t="shared" si="270"/>
        <v>795.76999999999884</v>
      </c>
      <c r="AF402" s="53"/>
      <c r="AG402" s="53">
        <f t="shared" si="249"/>
        <v>99.130999999964843</v>
      </c>
      <c r="AH402" s="54"/>
      <c r="AI402" s="54"/>
      <c r="AJ402" s="54">
        <v>-9.6</v>
      </c>
      <c r="AK402" s="54">
        <f t="shared" si="271"/>
        <v>89.530999999964848</v>
      </c>
      <c r="AL402" s="53"/>
      <c r="AM402" s="53">
        <f t="shared" si="256"/>
        <v>0</v>
      </c>
      <c r="AN402" s="54"/>
      <c r="AO402" s="54"/>
      <c r="AP402" s="54"/>
      <c r="AQ402" s="54">
        <f t="shared" si="257"/>
        <v>0</v>
      </c>
      <c r="AR402" s="53"/>
      <c r="AS402" s="50">
        <f t="shared" si="273"/>
        <v>-6510993.2990000006</v>
      </c>
      <c r="AT402" s="73">
        <f t="shared" si="281"/>
        <v>107842.62</v>
      </c>
      <c r="AU402" s="50">
        <f t="shared" si="251"/>
        <v>0</v>
      </c>
      <c r="AV402" s="50">
        <f t="shared" si="282"/>
        <v>-115305.23000000001</v>
      </c>
      <c r="AW402" s="50"/>
      <c r="AX402" s="50">
        <f t="shared" si="258"/>
        <v>-6518455.909</v>
      </c>
      <c r="AY402" s="50">
        <f t="shared" si="259"/>
        <v>8300000</v>
      </c>
      <c r="AZ402" s="50">
        <f t="shared" si="260"/>
        <v>1781544.091</v>
      </c>
      <c r="BA402" s="15">
        <f t="shared" si="243"/>
        <v>-5432.0465908333335</v>
      </c>
      <c r="BB402" s="15">
        <f t="shared" si="284"/>
        <v>-62300.908166666668</v>
      </c>
    </row>
    <row r="403" spans="2:54" x14ac:dyDescent="0.3">
      <c r="B403" s="99">
        <f t="shared" si="287"/>
        <v>44727</v>
      </c>
      <c r="C403" s="44">
        <f t="shared" si="263"/>
        <v>-2342842.2400000002</v>
      </c>
      <c r="D403" s="45"/>
      <c r="E403" s="45"/>
      <c r="F403" s="45"/>
      <c r="G403" s="45">
        <f t="shared" si="239"/>
        <v>-2342842.2400000002</v>
      </c>
      <c r="H403" s="44">
        <v>4300000</v>
      </c>
      <c r="I403" s="46">
        <f t="shared" si="264"/>
        <v>-4192112.93</v>
      </c>
      <c r="J403" s="47"/>
      <c r="K403" s="47"/>
      <c r="L403" s="47"/>
      <c r="M403" s="47">
        <f t="shared" si="276"/>
        <v>-4192112.93</v>
      </c>
      <c r="N403" s="46">
        <v>4000000</v>
      </c>
      <c r="O403" s="48">
        <f t="shared" si="265"/>
        <v>9328.1299999999956</v>
      </c>
      <c r="P403" s="55"/>
      <c r="Q403" s="55"/>
      <c r="R403" s="55"/>
      <c r="S403" s="55">
        <f t="shared" si="266"/>
        <v>9328.1299999999956</v>
      </c>
      <c r="T403" s="48"/>
      <c r="U403" s="49">
        <f t="shared" si="267"/>
        <v>6285.8300000000709</v>
      </c>
      <c r="V403" s="51"/>
      <c r="W403" s="51"/>
      <c r="X403" s="51"/>
      <c r="Y403" s="51">
        <f t="shared" si="268"/>
        <v>6285.8300000000709</v>
      </c>
      <c r="Z403" s="52"/>
      <c r="AA403" s="53">
        <f t="shared" si="269"/>
        <v>795.76999999999884</v>
      </c>
      <c r="AB403" s="54"/>
      <c r="AC403" s="54"/>
      <c r="AD403" s="54"/>
      <c r="AE403" s="54">
        <f t="shared" si="270"/>
        <v>795.76999999999884</v>
      </c>
      <c r="AF403" s="53"/>
      <c r="AG403" s="53">
        <f t="shared" si="249"/>
        <v>89.530999999964848</v>
      </c>
      <c r="AH403" s="54"/>
      <c r="AI403" s="54"/>
      <c r="AJ403" s="54"/>
      <c r="AK403" s="54">
        <f t="shared" si="271"/>
        <v>89.530999999964848</v>
      </c>
      <c r="AL403" s="53"/>
      <c r="AM403" s="53">
        <f t="shared" si="256"/>
        <v>0</v>
      </c>
      <c r="AN403" s="54"/>
      <c r="AO403" s="54"/>
      <c r="AP403" s="54"/>
      <c r="AQ403" s="54">
        <f t="shared" si="257"/>
        <v>0</v>
      </c>
      <c r="AR403" s="53"/>
      <c r="AS403" s="50">
        <f t="shared" si="273"/>
        <v>-6518455.909</v>
      </c>
      <c r="AT403" s="73">
        <f t="shared" si="281"/>
        <v>0</v>
      </c>
      <c r="AU403" s="50">
        <f t="shared" si="251"/>
        <v>0</v>
      </c>
      <c r="AV403" s="50">
        <f t="shared" si="282"/>
        <v>0</v>
      </c>
      <c r="AW403" s="50"/>
      <c r="AX403" s="50">
        <f t="shared" si="258"/>
        <v>-6518455.909</v>
      </c>
      <c r="AY403" s="50">
        <f t="shared" si="259"/>
        <v>8300000</v>
      </c>
      <c r="AZ403" s="50">
        <f t="shared" si="260"/>
        <v>1781544.091</v>
      </c>
      <c r="BA403" s="15">
        <f t="shared" si="243"/>
        <v>-5432.0465908333335</v>
      </c>
      <c r="BB403" s="15">
        <f t="shared" si="284"/>
        <v>-67732.954757500003</v>
      </c>
    </row>
    <row r="404" spans="2:54" s="58" customFormat="1" x14ac:dyDescent="0.3">
      <c r="B404" s="99">
        <f t="shared" si="287"/>
        <v>44728</v>
      </c>
      <c r="C404" s="44">
        <f t="shared" si="263"/>
        <v>-2342842.2400000002</v>
      </c>
      <c r="D404" s="45">
        <v>93075.15</v>
      </c>
      <c r="E404" s="45">
        <v>-550000</v>
      </c>
      <c r="F404" s="45">
        <v>-32462.09</v>
      </c>
      <c r="G404" s="45">
        <f t="shared" si="239"/>
        <v>-2832229.18</v>
      </c>
      <c r="H404" s="44">
        <v>4300000</v>
      </c>
      <c r="I404" s="46">
        <f t="shared" si="264"/>
        <v>-4192112.93</v>
      </c>
      <c r="J404" s="47"/>
      <c r="K404" s="47">
        <v>550000</v>
      </c>
      <c r="L404" s="47">
        <v>-564871.48</v>
      </c>
      <c r="M404" s="47">
        <f t="shared" si="276"/>
        <v>-4206984.41</v>
      </c>
      <c r="N404" s="46">
        <v>4000000</v>
      </c>
      <c r="O404" s="48">
        <f t="shared" si="265"/>
        <v>9328.1299999999956</v>
      </c>
      <c r="P404" s="55"/>
      <c r="Q404" s="55"/>
      <c r="R404" s="55"/>
      <c r="S404" s="55">
        <f t="shared" si="266"/>
        <v>9328.1299999999956</v>
      </c>
      <c r="T404" s="48"/>
      <c r="U404" s="49">
        <f t="shared" si="267"/>
        <v>6285.8300000000709</v>
      </c>
      <c r="V404" s="51"/>
      <c r="W404" s="51"/>
      <c r="X404" s="51"/>
      <c r="Y404" s="51">
        <f t="shared" si="268"/>
        <v>6285.8300000000709</v>
      </c>
      <c r="Z404" s="52"/>
      <c r="AA404" s="53">
        <f t="shared" si="269"/>
        <v>795.76999999999884</v>
      </c>
      <c r="AB404" s="54"/>
      <c r="AC404" s="54"/>
      <c r="AD404" s="54"/>
      <c r="AE404" s="54">
        <f t="shared" si="270"/>
        <v>795.76999999999884</v>
      </c>
      <c r="AF404" s="53"/>
      <c r="AG404" s="53">
        <f t="shared" si="249"/>
        <v>89.530999999964848</v>
      </c>
      <c r="AH404" s="54"/>
      <c r="AI404" s="54"/>
      <c r="AJ404" s="54"/>
      <c r="AK404" s="54">
        <f t="shared" si="271"/>
        <v>89.530999999964848</v>
      </c>
      <c r="AL404" s="53"/>
      <c r="AM404" s="53">
        <f t="shared" si="256"/>
        <v>0</v>
      </c>
      <c r="AN404" s="54"/>
      <c r="AO404" s="54"/>
      <c r="AP404" s="54"/>
      <c r="AQ404" s="54">
        <f t="shared" si="257"/>
        <v>0</v>
      </c>
      <c r="AR404" s="53"/>
      <c r="AS404" s="50">
        <f t="shared" si="273"/>
        <v>-6518455.909</v>
      </c>
      <c r="AT404" s="73">
        <f t="shared" si="281"/>
        <v>93075.15</v>
      </c>
      <c r="AU404" s="50">
        <f t="shared" si="251"/>
        <v>0</v>
      </c>
      <c r="AV404" s="50">
        <f t="shared" si="282"/>
        <v>-597333.56999999995</v>
      </c>
      <c r="AW404" s="50"/>
      <c r="AX404" s="50">
        <f t="shared" si="258"/>
        <v>-7022714.3289999999</v>
      </c>
      <c r="AY404" s="50">
        <f t="shared" si="259"/>
        <v>8300000</v>
      </c>
      <c r="AZ404" s="50">
        <f t="shared" si="260"/>
        <v>1277285.6710000001</v>
      </c>
      <c r="BA404" s="15">
        <f t="shared" si="243"/>
        <v>-5852.2619408333339</v>
      </c>
      <c r="BB404" s="15">
        <f t="shared" si="284"/>
        <v>-73585.21669833333</v>
      </c>
    </row>
    <row r="405" spans="2:54" s="58" customFormat="1" x14ac:dyDescent="0.3">
      <c r="B405" s="99">
        <f t="shared" si="287"/>
        <v>44729</v>
      </c>
      <c r="C405" s="44">
        <f t="shared" si="263"/>
        <v>-2832229.18</v>
      </c>
      <c r="D405" s="45">
        <v>0</v>
      </c>
      <c r="E405" s="45">
        <v>-100000</v>
      </c>
      <c r="F405" s="45">
        <v>-0.85</v>
      </c>
      <c r="G405" s="45">
        <f t="shared" ref="G405:G468" si="288">SUM(C405:F405)</f>
        <v>-2932230.0300000003</v>
      </c>
      <c r="H405" s="44">
        <v>4300000</v>
      </c>
      <c r="I405" s="46">
        <f t="shared" si="264"/>
        <v>-4206984.41</v>
      </c>
      <c r="J405" s="47">
        <f>76529.69</f>
        <v>76529.69</v>
      </c>
      <c r="K405" s="47">
        <f>100000+46200</f>
        <v>146200</v>
      </c>
      <c r="L405" s="47">
        <v>-216767.28</v>
      </c>
      <c r="M405" s="47">
        <f t="shared" si="276"/>
        <v>-4201022</v>
      </c>
      <c r="N405" s="46">
        <v>4000000</v>
      </c>
      <c r="O405" s="48">
        <f t="shared" si="265"/>
        <v>9328.1299999999956</v>
      </c>
      <c r="P405" s="55">
        <f>25476.25+5787.5</f>
        <v>31263.75</v>
      </c>
      <c r="Q405" s="55">
        <f>6200-46200</f>
        <v>-40000</v>
      </c>
      <c r="R405" s="55">
        <v>-10</v>
      </c>
      <c r="S405" s="55">
        <f t="shared" si="266"/>
        <v>581.87999999999738</v>
      </c>
      <c r="T405" s="48"/>
      <c r="U405" s="49">
        <f t="shared" si="267"/>
        <v>6285.8300000000709</v>
      </c>
      <c r="V405" s="51"/>
      <c r="W405" s="51">
        <v>-6200</v>
      </c>
      <c r="X405" s="51">
        <v>-1.3</v>
      </c>
      <c r="Y405" s="51">
        <f t="shared" si="268"/>
        <v>84.530000000070871</v>
      </c>
      <c r="Z405" s="52"/>
      <c r="AA405" s="53">
        <f t="shared" si="269"/>
        <v>795.76999999999884</v>
      </c>
      <c r="AB405" s="54"/>
      <c r="AC405" s="54"/>
      <c r="AD405" s="54"/>
      <c r="AE405" s="54">
        <f t="shared" si="270"/>
        <v>795.76999999999884</v>
      </c>
      <c r="AF405" s="53"/>
      <c r="AG405" s="53">
        <f t="shared" si="249"/>
        <v>89.530999999964848</v>
      </c>
      <c r="AH405" s="54"/>
      <c r="AI405" s="54"/>
      <c r="AJ405" s="54"/>
      <c r="AK405" s="54">
        <f t="shared" si="271"/>
        <v>89.530999999964848</v>
      </c>
      <c r="AL405" s="53"/>
      <c r="AM405" s="53">
        <f t="shared" si="256"/>
        <v>0</v>
      </c>
      <c r="AN405" s="54"/>
      <c r="AO405" s="54"/>
      <c r="AP405" s="54"/>
      <c r="AQ405" s="54">
        <f t="shared" si="257"/>
        <v>0</v>
      </c>
      <c r="AR405" s="53"/>
      <c r="AS405" s="50">
        <f t="shared" si="273"/>
        <v>-7022714.3289999999</v>
      </c>
      <c r="AT405" s="73">
        <f t="shared" si="281"/>
        <v>107793.44</v>
      </c>
      <c r="AU405" s="50">
        <f t="shared" si="251"/>
        <v>0</v>
      </c>
      <c r="AV405" s="50">
        <f t="shared" si="282"/>
        <v>-216779.43</v>
      </c>
      <c r="AW405" s="50"/>
      <c r="AX405" s="50">
        <f t="shared" si="258"/>
        <v>-7131700.3190000001</v>
      </c>
      <c r="AY405" s="50">
        <f t="shared" si="259"/>
        <v>8300000</v>
      </c>
      <c r="AZ405" s="50">
        <f t="shared" si="260"/>
        <v>1168299.6809999999</v>
      </c>
      <c r="BA405" s="15">
        <f t="shared" si="243"/>
        <v>-5943.0835991666672</v>
      </c>
      <c r="BB405" s="15">
        <f t="shared" si="284"/>
        <v>-79528.300297499998</v>
      </c>
    </row>
    <row r="406" spans="2:54" s="58" customFormat="1" x14ac:dyDescent="0.3">
      <c r="B406" s="99">
        <f t="shared" ref="B406" si="289">B405+3</f>
        <v>44732</v>
      </c>
      <c r="C406" s="44">
        <f t="shared" si="263"/>
        <v>-2932230.0300000003</v>
      </c>
      <c r="D406" s="45">
        <f>5922.88+100497.38+71534.56</f>
        <v>177954.82</v>
      </c>
      <c r="E406" s="45">
        <v>-500000</v>
      </c>
      <c r="F406" s="45">
        <v>-959315.75</v>
      </c>
      <c r="G406" s="45">
        <f t="shared" si="288"/>
        <v>-4213590.9600000009</v>
      </c>
      <c r="H406" s="44">
        <v>4300000</v>
      </c>
      <c r="I406" s="46">
        <f t="shared" si="264"/>
        <v>-4201022</v>
      </c>
      <c r="J406" s="47">
        <f>119107.24+3500</f>
        <v>122607.24</v>
      </c>
      <c r="K406" s="47">
        <f>500000+116000</f>
        <v>616000</v>
      </c>
      <c r="L406" s="47">
        <v>-666156.24</v>
      </c>
      <c r="M406" s="47">
        <f t="shared" si="276"/>
        <v>-4128571</v>
      </c>
      <c r="N406" s="46">
        <v>4000000</v>
      </c>
      <c r="O406" s="48">
        <f t="shared" si="265"/>
        <v>581.87999999999738</v>
      </c>
      <c r="P406" s="55">
        <v>198.08</v>
      </c>
      <c r="Q406" s="55">
        <f>115800-116000</f>
        <v>-200</v>
      </c>
      <c r="R406" s="55">
        <v>-250</v>
      </c>
      <c r="S406" s="55">
        <f t="shared" si="266"/>
        <v>329.95999999999742</v>
      </c>
      <c r="T406" s="48"/>
      <c r="U406" s="49">
        <f t="shared" si="267"/>
        <v>84.530000000070871</v>
      </c>
      <c r="V406" s="51">
        <f>115813.53+28155</f>
        <v>143968.53</v>
      </c>
      <c r="W406" s="51">
        <v>-115800</v>
      </c>
      <c r="X406" s="51">
        <v>-1.3</v>
      </c>
      <c r="Y406" s="51">
        <f t="shared" si="268"/>
        <v>28251.760000000057</v>
      </c>
      <c r="Z406" s="52"/>
      <c r="AA406" s="53">
        <f t="shared" si="269"/>
        <v>795.76999999999884</v>
      </c>
      <c r="AB406" s="54"/>
      <c r="AC406" s="54"/>
      <c r="AD406" s="54"/>
      <c r="AE406" s="54">
        <f t="shared" si="270"/>
        <v>795.76999999999884</v>
      </c>
      <c r="AF406" s="53"/>
      <c r="AG406" s="53">
        <f t="shared" si="249"/>
        <v>89.530999999964848</v>
      </c>
      <c r="AH406" s="54"/>
      <c r="AI406" s="54"/>
      <c r="AJ406" s="54"/>
      <c r="AK406" s="54">
        <f t="shared" si="271"/>
        <v>89.530999999964848</v>
      </c>
      <c r="AL406" s="53"/>
      <c r="AM406" s="53">
        <f t="shared" si="256"/>
        <v>0</v>
      </c>
      <c r="AN406" s="54"/>
      <c r="AO406" s="54"/>
      <c r="AP406" s="54"/>
      <c r="AQ406" s="54">
        <f t="shared" si="257"/>
        <v>0</v>
      </c>
      <c r="AR406" s="53"/>
      <c r="AS406" s="50">
        <f t="shared" si="273"/>
        <v>-7131700.3190000001</v>
      </c>
      <c r="AT406" s="73">
        <f t="shared" si="281"/>
        <v>444728.67000000004</v>
      </c>
      <c r="AU406" s="50">
        <f t="shared" si="251"/>
        <v>0</v>
      </c>
      <c r="AV406" s="50">
        <f t="shared" si="282"/>
        <v>-1625723.29</v>
      </c>
      <c r="AW406" s="50"/>
      <c r="AX406" s="50">
        <f t="shared" si="258"/>
        <v>-8312694.9390000012</v>
      </c>
      <c r="AY406" s="50">
        <f t="shared" si="259"/>
        <v>8300000</v>
      </c>
      <c r="AZ406" s="50">
        <f t="shared" si="260"/>
        <v>-12694.939000001177</v>
      </c>
      <c r="BA406" s="15">
        <f t="shared" si="243"/>
        <v>-6927.245782500001</v>
      </c>
      <c r="BB406" s="15">
        <f t="shared" si="284"/>
        <v>-86455.54608</v>
      </c>
    </row>
    <row r="407" spans="2:54" s="58" customFormat="1" x14ac:dyDescent="0.3">
      <c r="B407" s="99">
        <f t="shared" ref="B407" si="290">B406+1</f>
        <v>44733</v>
      </c>
      <c r="C407" s="44">
        <f t="shared" si="263"/>
        <v>-4213590.9600000009</v>
      </c>
      <c r="D407" s="45">
        <v>60559.53</v>
      </c>
      <c r="E407" s="45"/>
      <c r="F407" s="45">
        <v>-0.85</v>
      </c>
      <c r="G407" s="45">
        <f t="shared" si="288"/>
        <v>-4153032.2800000012</v>
      </c>
      <c r="H407" s="44">
        <v>4300000</v>
      </c>
      <c r="I407" s="46">
        <f t="shared" si="264"/>
        <v>-4128571</v>
      </c>
      <c r="J407" s="47">
        <v>0.64</v>
      </c>
      <c r="K407" s="47"/>
      <c r="L407" s="47">
        <f>-38963.41+29.45</f>
        <v>-38933.960000000006</v>
      </c>
      <c r="M407" s="47">
        <f t="shared" si="276"/>
        <v>-4167504.32</v>
      </c>
      <c r="N407" s="46">
        <v>4000000</v>
      </c>
      <c r="O407" s="48">
        <f t="shared" si="265"/>
        <v>329.95999999999742</v>
      </c>
      <c r="P407" s="55"/>
      <c r="Q407" s="55"/>
      <c r="R407" s="55"/>
      <c r="S407" s="55">
        <f t="shared" si="266"/>
        <v>329.95999999999742</v>
      </c>
      <c r="T407" s="48"/>
      <c r="U407" s="49">
        <f t="shared" si="267"/>
        <v>28251.760000000057</v>
      </c>
      <c r="V407" s="51"/>
      <c r="W407" s="51"/>
      <c r="X407" s="51">
        <f>-420.75-1.3</f>
        <v>-422.05</v>
      </c>
      <c r="Y407" s="51">
        <f t="shared" si="268"/>
        <v>27829.710000000057</v>
      </c>
      <c r="Z407" s="52"/>
      <c r="AA407" s="53">
        <f t="shared" si="269"/>
        <v>795.76999999999884</v>
      </c>
      <c r="AB407" s="54"/>
      <c r="AC407" s="54"/>
      <c r="AD407" s="54"/>
      <c r="AE407" s="54">
        <f t="shared" si="270"/>
        <v>795.76999999999884</v>
      </c>
      <c r="AF407" s="53"/>
      <c r="AG407" s="53">
        <f t="shared" si="249"/>
        <v>89.530999999964848</v>
      </c>
      <c r="AH407" s="54"/>
      <c r="AI407" s="54"/>
      <c r="AJ407" s="54"/>
      <c r="AK407" s="54">
        <f t="shared" si="271"/>
        <v>89.530999999964848</v>
      </c>
      <c r="AL407" s="53"/>
      <c r="AM407" s="53">
        <f t="shared" si="256"/>
        <v>0</v>
      </c>
      <c r="AN407" s="54"/>
      <c r="AO407" s="54"/>
      <c r="AP407" s="54"/>
      <c r="AQ407" s="54">
        <f t="shared" si="257"/>
        <v>0</v>
      </c>
      <c r="AR407" s="53"/>
      <c r="AS407" s="50">
        <f t="shared" si="273"/>
        <v>-8312694.9390000012</v>
      </c>
      <c r="AT407" s="73">
        <f t="shared" si="281"/>
        <v>60560.17</v>
      </c>
      <c r="AU407" s="50">
        <f t="shared" si="251"/>
        <v>0</v>
      </c>
      <c r="AV407" s="50">
        <f t="shared" si="282"/>
        <v>-39356.860000000008</v>
      </c>
      <c r="AW407" s="50"/>
      <c r="AX407" s="50">
        <f t="shared" si="258"/>
        <v>-8291491.6290000016</v>
      </c>
      <c r="AY407" s="50">
        <f t="shared" si="259"/>
        <v>8300000</v>
      </c>
      <c r="AZ407" s="50">
        <f t="shared" si="260"/>
        <v>8508.370999998413</v>
      </c>
      <c r="BA407" s="15">
        <f t="shared" si="243"/>
        <v>-6909.5763575000019</v>
      </c>
      <c r="BB407" s="15">
        <f t="shared" si="284"/>
        <v>-93365.122437500002</v>
      </c>
    </row>
    <row r="408" spans="2:54" s="58" customFormat="1" x14ac:dyDescent="0.3">
      <c r="B408" s="99">
        <f t="shared" si="287"/>
        <v>44734</v>
      </c>
      <c r="C408" s="44">
        <f>G407</f>
        <v>-4153032.2800000012</v>
      </c>
      <c r="D408" s="45"/>
      <c r="E408" s="45"/>
      <c r="F408" s="45">
        <f>-0.85-106.83</f>
        <v>-107.67999999999999</v>
      </c>
      <c r="G408" s="45">
        <f t="shared" si="288"/>
        <v>-4153139.9600000014</v>
      </c>
      <c r="H408" s="44">
        <v>4300000</v>
      </c>
      <c r="I408" s="46">
        <f t="shared" si="264"/>
        <v>-4167504.32</v>
      </c>
      <c r="J408" s="47">
        <v>224722.25</v>
      </c>
      <c r="K408" s="47"/>
      <c r="L408" s="47">
        <v>-36903.879999999801</v>
      </c>
      <c r="M408" s="47">
        <f t="shared" si="276"/>
        <v>-3979685.9499999997</v>
      </c>
      <c r="N408" s="46">
        <v>4000000</v>
      </c>
      <c r="O408" s="48">
        <f t="shared" si="265"/>
        <v>329.95999999999742</v>
      </c>
      <c r="P408" s="55"/>
      <c r="Q408" s="55"/>
      <c r="R408" s="55"/>
      <c r="S408" s="55">
        <f t="shared" si="266"/>
        <v>329.95999999999742</v>
      </c>
      <c r="T408" s="48"/>
      <c r="U408" s="49">
        <f t="shared" si="267"/>
        <v>27829.710000000057</v>
      </c>
      <c r="V408" s="51"/>
      <c r="W408" s="51"/>
      <c r="X408" s="51"/>
      <c r="Y408" s="51">
        <f t="shared" si="268"/>
        <v>27829.710000000057</v>
      </c>
      <c r="Z408" s="52"/>
      <c r="AA408" s="53">
        <f t="shared" si="269"/>
        <v>795.76999999999884</v>
      </c>
      <c r="AB408" s="54"/>
      <c r="AC408" s="54"/>
      <c r="AD408" s="54"/>
      <c r="AE408" s="54">
        <f t="shared" si="270"/>
        <v>795.76999999999884</v>
      </c>
      <c r="AF408" s="53"/>
      <c r="AG408" s="53">
        <f t="shared" si="249"/>
        <v>89.530999999964848</v>
      </c>
      <c r="AH408" s="54"/>
      <c r="AI408" s="54"/>
      <c r="AJ408" s="54"/>
      <c r="AK408" s="54">
        <f t="shared" si="271"/>
        <v>89.530999999964848</v>
      </c>
      <c r="AL408" s="53"/>
      <c r="AM408" s="53">
        <f t="shared" si="256"/>
        <v>0</v>
      </c>
      <c r="AN408" s="54"/>
      <c r="AO408" s="54"/>
      <c r="AP408" s="54"/>
      <c r="AQ408" s="54">
        <f t="shared" si="257"/>
        <v>0</v>
      </c>
      <c r="AR408" s="53"/>
      <c r="AS408" s="50">
        <f t="shared" si="273"/>
        <v>-8291491.6290000016</v>
      </c>
      <c r="AT408" s="73">
        <f t="shared" si="281"/>
        <v>224722.25</v>
      </c>
      <c r="AU408" s="50">
        <f t="shared" si="251"/>
        <v>0</v>
      </c>
      <c r="AV408" s="50">
        <f t="shared" si="282"/>
        <v>-37011.559999999801</v>
      </c>
      <c r="AW408" s="50"/>
      <c r="AX408" s="50">
        <f t="shared" si="258"/>
        <v>-8103780.9390000012</v>
      </c>
      <c r="AY408" s="50">
        <f t="shared" si="259"/>
        <v>8300000</v>
      </c>
      <c r="AZ408" s="50">
        <f t="shared" si="260"/>
        <v>196219.06099999882</v>
      </c>
      <c r="BA408" s="15">
        <f t="shared" si="243"/>
        <v>-6753.1507825000017</v>
      </c>
      <c r="BB408" s="15">
        <f t="shared" si="284"/>
        <v>-100118.27322</v>
      </c>
    </row>
    <row r="409" spans="2:54" s="58" customFormat="1" x14ac:dyDescent="0.3">
      <c r="B409" s="99">
        <f t="shared" si="287"/>
        <v>44735</v>
      </c>
      <c r="C409" s="44">
        <f t="shared" si="263"/>
        <v>-4153139.9600000014</v>
      </c>
      <c r="D409" s="45">
        <v>69891.06</v>
      </c>
      <c r="E409" s="45"/>
      <c r="F409" s="45"/>
      <c r="G409" s="45">
        <f t="shared" si="288"/>
        <v>-4083248.9000000013</v>
      </c>
      <c r="H409" s="44">
        <v>4300000</v>
      </c>
      <c r="I409" s="46">
        <f t="shared" si="264"/>
        <v>-3979685.9499999997</v>
      </c>
      <c r="J409" s="47"/>
      <c r="K409" s="47"/>
      <c r="L409" s="47">
        <v>-83140.190000000206</v>
      </c>
      <c r="M409" s="47">
        <f t="shared" si="276"/>
        <v>-4062826.14</v>
      </c>
      <c r="N409" s="46">
        <v>4000000</v>
      </c>
      <c r="O409" s="48">
        <f t="shared" si="265"/>
        <v>329.95999999999742</v>
      </c>
      <c r="P409" s="55"/>
      <c r="Q409" s="55"/>
      <c r="R409" s="55"/>
      <c r="S409" s="55">
        <f t="shared" si="266"/>
        <v>329.95999999999742</v>
      </c>
      <c r="T409" s="48"/>
      <c r="U409" s="49">
        <f t="shared" si="267"/>
        <v>27829.710000000057</v>
      </c>
      <c r="V409" s="51"/>
      <c r="W409" s="51"/>
      <c r="X409" s="51"/>
      <c r="Y409" s="51">
        <f t="shared" si="268"/>
        <v>27829.710000000057</v>
      </c>
      <c r="Z409" s="52"/>
      <c r="AA409" s="53">
        <f t="shared" si="269"/>
        <v>795.76999999999884</v>
      </c>
      <c r="AB409" s="54"/>
      <c r="AC409" s="54"/>
      <c r="AD409" s="54">
        <v>-510.76999999999902</v>
      </c>
      <c r="AE409" s="54">
        <f t="shared" si="270"/>
        <v>284.99999999999983</v>
      </c>
      <c r="AF409" s="53"/>
      <c r="AG409" s="53">
        <f t="shared" si="249"/>
        <v>89.530999999964848</v>
      </c>
      <c r="AH409" s="54"/>
      <c r="AI409" s="54"/>
      <c r="AJ409" s="54"/>
      <c r="AK409" s="54">
        <f t="shared" si="271"/>
        <v>89.530999999964848</v>
      </c>
      <c r="AL409" s="53"/>
      <c r="AM409" s="53">
        <f t="shared" si="256"/>
        <v>0</v>
      </c>
      <c r="AN409" s="54"/>
      <c r="AO409" s="54"/>
      <c r="AP409" s="54"/>
      <c r="AQ409" s="54">
        <f t="shared" si="257"/>
        <v>0</v>
      </c>
      <c r="AR409" s="53"/>
      <c r="AS409" s="50">
        <f t="shared" si="273"/>
        <v>-8103780.9390000012</v>
      </c>
      <c r="AT409" s="73">
        <f t="shared" si="281"/>
        <v>69891.06</v>
      </c>
      <c r="AU409" s="50">
        <f t="shared" si="251"/>
        <v>0</v>
      </c>
      <c r="AV409" s="50">
        <f t="shared" si="282"/>
        <v>-83650.96000000021</v>
      </c>
      <c r="AW409" s="50"/>
      <c r="AX409" s="50">
        <f t="shared" si="258"/>
        <v>-8117540.8390000006</v>
      </c>
      <c r="AY409" s="50">
        <f t="shared" si="259"/>
        <v>8300000</v>
      </c>
      <c r="AZ409" s="50">
        <f t="shared" si="260"/>
        <v>182459.16099999938</v>
      </c>
      <c r="BA409" s="15">
        <f t="shared" si="243"/>
        <v>-6764.6173658333346</v>
      </c>
      <c r="BB409" s="15">
        <f t="shared" si="284"/>
        <v>-106882.89058583333</v>
      </c>
    </row>
    <row r="410" spans="2:54" s="58" customFormat="1" x14ac:dyDescent="0.3">
      <c r="B410" s="99">
        <f t="shared" si="287"/>
        <v>44736</v>
      </c>
      <c r="C410" s="44">
        <f t="shared" si="263"/>
        <v>-4083248.9000000013</v>
      </c>
      <c r="D410" s="45"/>
      <c r="E410" s="45"/>
      <c r="F410" s="45"/>
      <c r="G410" s="45">
        <f t="shared" si="288"/>
        <v>-4083248.9000000013</v>
      </c>
      <c r="H410" s="44">
        <v>4300000</v>
      </c>
      <c r="I410" s="46">
        <f t="shared" si="264"/>
        <v>-4062826.14</v>
      </c>
      <c r="J410" s="47"/>
      <c r="K410" s="47"/>
      <c r="L410" s="47"/>
      <c r="M410" s="47">
        <f t="shared" si="276"/>
        <v>-4062826.14</v>
      </c>
      <c r="N410" s="46">
        <v>4000000</v>
      </c>
      <c r="O410" s="48">
        <f t="shared" si="265"/>
        <v>329.95999999999742</v>
      </c>
      <c r="P410" s="55"/>
      <c r="Q410" s="55"/>
      <c r="R410" s="55"/>
      <c r="S410" s="55">
        <f t="shared" si="266"/>
        <v>329.95999999999742</v>
      </c>
      <c r="T410" s="48"/>
      <c r="U410" s="49">
        <f t="shared" si="267"/>
        <v>27829.710000000057</v>
      </c>
      <c r="V410" s="51"/>
      <c r="W410" s="51"/>
      <c r="X410" s="51"/>
      <c r="Y410" s="51">
        <f t="shared" si="268"/>
        <v>27829.710000000057</v>
      </c>
      <c r="Z410" s="52"/>
      <c r="AA410" s="53">
        <f t="shared" si="269"/>
        <v>284.99999999999983</v>
      </c>
      <c r="AB410" s="54"/>
      <c r="AC410" s="54"/>
      <c r="AD410" s="54"/>
      <c r="AE410" s="54">
        <f t="shared" si="270"/>
        <v>284.99999999999983</v>
      </c>
      <c r="AF410" s="53"/>
      <c r="AG410" s="53">
        <f t="shared" si="249"/>
        <v>89.530999999964848</v>
      </c>
      <c r="AH410" s="54"/>
      <c r="AI410" s="54"/>
      <c r="AJ410" s="54"/>
      <c r="AK410" s="54">
        <f t="shared" si="271"/>
        <v>89.530999999964848</v>
      </c>
      <c r="AL410" s="53"/>
      <c r="AM410" s="53">
        <f t="shared" si="256"/>
        <v>0</v>
      </c>
      <c r="AN410" s="54"/>
      <c r="AO410" s="54"/>
      <c r="AP410" s="54"/>
      <c r="AQ410" s="54">
        <f t="shared" si="257"/>
        <v>0</v>
      </c>
      <c r="AR410" s="53"/>
      <c r="AS410" s="50">
        <f t="shared" si="273"/>
        <v>-8117540.8390000006</v>
      </c>
      <c r="AT410" s="73">
        <f t="shared" si="281"/>
        <v>0</v>
      </c>
      <c r="AU410" s="50">
        <f t="shared" si="251"/>
        <v>0</v>
      </c>
      <c r="AV410" s="50">
        <f t="shared" si="282"/>
        <v>0</v>
      </c>
      <c r="AW410" s="50"/>
      <c r="AX410" s="50">
        <f t="shared" si="258"/>
        <v>-8117540.8390000006</v>
      </c>
      <c r="AY410" s="50">
        <f t="shared" si="259"/>
        <v>8300000</v>
      </c>
      <c r="AZ410" s="50">
        <f t="shared" si="260"/>
        <v>182459.16099999938</v>
      </c>
      <c r="BA410" s="15">
        <f t="shared" si="243"/>
        <v>-6764.6173658333346</v>
      </c>
      <c r="BB410" s="15">
        <f t="shared" si="284"/>
        <v>-113647.50795166666</v>
      </c>
    </row>
    <row r="411" spans="2:54" s="58" customFormat="1" x14ac:dyDescent="0.3">
      <c r="B411" s="99">
        <f t="shared" ref="B411" si="291">B410+3</f>
        <v>44739</v>
      </c>
      <c r="C411" s="44">
        <f t="shared" si="263"/>
        <v>-4083248.9000000013</v>
      </c>
      <c r="D411" s="45">
        <v>281503.73</v>
      </c>
      <c r="E411" s="45"/>
      <c r="F411" s="45">
        <f>-(48517.36+4391.71)</f>
        <v>-52909.07</v>
      </c>
      <c r="G411" s="45">
        <f t="shared" si="288"/>
        <v>-3854654.2400000012</v>
      </c>
      <c r="H411" s="44">
        <v>4300000</v>
      </c>
      <c r="I411" s="46">
        <f t="shared" si="264"/>
        <v>-4062826.14</v>
      </c>
      <c r="J411" s="47">
        <f>175577.69+119420.44+443.1</f>
        <v>295441.23</v>
      </c>
      <c r="K411" s="47">
        <v>48500</v>
      </c>
      <c r="L411" s="47">
        <v>-136921.51</v>
      </c>
      <c r="M411" s="47">
        <f t="shared" si="276"/>
        <v>-3855806.42</v>
      </c>
      <c r="N411" s="46">
        <v>4000000</v>
      </c>
      <c r="O411" s="48">
        <f t="shared" si="265"/>
        <v>329.95999999999742</v>
      </c>
      <c r="P411" s="55">
        <v>24911.54</v>
      </c>
      <c r="Q411" s="55">
        <v>27800</v>
      </c>
      <c r="R411" s="55">
        <f>-93-3975</f>
        <v>-4068</v>
      </c>
      <c r="S411" s="55">
        <f t="shared" si="266"/>
        <v>48973.5</v>
      </c>
      <c r="T411" s="48"/>
      <c r="U411" s="49">
        <f t="shared" si="267"/>
        <v>27829.710000000057</v>
      </c>
      <c r="V411" s="51"/>
      <c r="W411" s="51">
        <v>-27800</v>
      </c>
      <c r="X411" s="51">
        <v>-1.3</v>
      </c>
      <c r="Y411" s="51">
        <f t="shared" si="268"/>
        <v>28.410000000057334</v>
      </c>
      <c r="Z411" s="52"/>
      <c r="AA411" s="53">
        <f t="shared" si="269"/>
        <v>284.99999999999983</v>
      </c>
      <c r="AB411" s="54"/>
      <c r="AC411" s="54">
        <f>48300-48500</f>
        <v>-200</v>
      </c>
      <c r="AD411" s="54"/>
      <c r="AE411" s="54">
        <f t="shared" si="270"/>
        <v>84.999999999999829</v>
      </c>
      <c r="AF411" s="53"/>
      <c r="AG411" s="53">
        <f t="shared" si="249"/>
        <v>89.530999999964848</v>
      </c>
      <c r="AH411" s="54">
        <v>48292.39</v>
      </c>
      <c r="AI411" s="54">
        <v>-48300</v>
      </c>
      <c r="AJ411" s="54"/>
      <c r="AK411" s="54">
        <f t="shared" si="271"/>
        <v>81.920999999965716</v>
      </c>
      <c r="AL411" s="53"/>
      <c r="AM411" s="53">
        <f t="shared" si="256"/>
        <v>0</v>
      </c>
      <c r="AN411" s="54"/>
      <c r="AO411" s="54"/>
      <c r="AP411" s="54"/>
      <c r="AQ411" s="54">
        <f t="shared" si="257"/>
        <v>0</v>
      </c>
      <c r="AR411" s="53"/>
      <c r="AS411" s="50">
        <f t="shared" si="273"/>
        <v>-8117540.8390000006</v>
      </c>
      <c r="AT411" s="73">
        <f t="shared" si="281"/>
        <v>650148.89</v>
      </c>
      <c r="AU411" s="50">
        <f t="shared" si="251"/>
        <v>0</v>
      </c>
      <c r="AV411" s="50">
        <f t="shared" si="282"/>
        <v>-193899.88</v>
      </c>
      <c r="AW411" s="50"/>
      <c r="AX411" s="50">
        <f t="shared" si="258"/>
        <v>-7661291.8290000008</v>
      </c>
      <c r="AY411" s="50">
        <f t="shared" si="259"/>
        <v>8300000</v>
      </c>
      <c r="AZ411" s="50">
        <f t="shared" si="260"/>
        <v>638708.17099999916</v>
      </c>
      <c r="BA411" s="15">
        <f t="shared" si="243"/>
        <v>-6384.4098575000007</v>
      </c>
      <c r="BB411" s="15">
        <f t="shared" si="284"/>
        <v>-120031.91780916665</v>
      </c>
    </row>
    <row r="412" spans="2:54" s="58" customFormat="1" x14ac:dyDescent="0.3">
      <c r="B412" s="99">
        <f t="shared" ref="B412" si="292">B411+1</f>
        <v>44740</v>
      </c>
      <c r="C412" s="44">
        <f t="shared" si="263"/>
        <v>-3854654.2400000012</v>
      </c>
      <c r="D412" s="45">
        <f>19777+48333.5</f>
        <v>68110.5</v>
      </c>
      <c r="E412" s="45"/>
      <c r="F412" s="45">
        <v>-447237.87</v>
      </c>
      <c r="G412" s="45">
        <f t="shared" si="288"/>
        <v>-4233781.6100000013</v>
      </c>
      <c r="H412" s="44">
        <v>4300000</v>
      </c>
      <c r="I412" s="46">
        <f t="shared" si="264"/>
        <v>-3855806.42</v>
      </c>
      <c r="J412" s="47"/>
      <c r="K412" s="47">
        <v>267300</v>
      </c>
      <c r="L412" s="47">
        <v>-363313.38</v>
      </c>
      <c r="M412" s="47">
        <f t="shared" si="276"/>
        <v>-3951819.8</v>
      </c>
      <c r="N412" s="46">
        <v>4000000</v>
      </c>
      <c r="O412" s="48">
        <f t="shared" si="265"/>
        <v>48973.5</v>
      </c>
      <c r="P412" s="55"/>
      <c r="Q412" s="55"/>
      <c r="R412" s="55">
        <v>-1020</v>
      </c>
      <c r="S412" s="55">
        <f t="shared" si="266"/>
        <v>47953.5</v>
      </c>
      <c r="T412" s="48"/>
      <c r="U412" s="49">
        <f t="shared" si="267"/>
        <v>28.410000000057334</v>
      </c>
      <c r="V412" s="51"/>
      <c r="W412" s="51"/>
      <c r="X412" s="51"/>
      <c r="Y412" s="51">
        <f t="shared" si="268"/>
        <v>28.410000000057334</v>
      </c>
      <c r="Z412" s="52"/>
      <c r="AA412" s="53">
        <f t="shared" si="269"/>
        <v>84.999999999999829</v>
      </c>
      <c r="AB412" s="54"/>
      <c r="AC412" s="54"/>
      <c r="AD412" s="54"/>
      <c r="AE412" s="54">
        <f t="shared" si="270"/>
        <v>84.999999999999829</v>
      </c>
      <c r="AF412" s="53"/>
      <c r="AG412" s="53">
        <f t="shared" si="249"/>
        <v>81.920999999965716</v>
      </c>
      <c r="AH412" s="54">
        <f>17407.07+27445.65+222443.79</f>
        <v>267296.51</v>
      </c>
      <c r="AI412" s="54">
        <v>-267300</v>
      </c>
      <c r="AJ412" s="54"/>
      <c r="AK412" s="54">
        <f t="shared" si="271"/>
        <v>78.430999999982305</v>
      </c>
      <c r="AL412" s="53"/>
      <c r="AM412" s="53">
        <f t="shared" si="256"/>
        <v>0</v>
      </c>
      <c r="AN412" s="54"/>
      <c r="AO412" s="54"/>
      <c r="AP412" s="54"/>
      <c r="AQ412" s="54">
        <f t="shared" si="257"/>
        <v>0</v>
      </c>
      <c r="AR412" s="53"/>
      <c r="AS412" s="50">
        <f t="shared" si="273"/>
        <v>-7661291.8290000008</v>
      </c>
      <c r="AT412" s="73">
        <f t="shared" si="281"/>
        <v>335407.01</v>
      </c>
      <c r="AU412" s="50">
        <f t="shared" si="251"/>
        <v>0</v>
      </c>
      <c r="AV412" s="50">
        <f t="shared" si="282"/>
        <v>-811571.25</v>
      </c>
      <c r="AW412" s="50"/>
      <c r="AX412" s="50">
        <f t="shared" si="258"/>
        <v>-8137456.0690000011</v>
      </c>
      <c r="AY412" s="50">
        <f t="shared" si="259"/>
        <v>8300000</v>
      </c>
      <c r="AZ412" s="50">
        <f t="shared" si="260"/>
        <v>162543.93099999893</v>
      </c>
      <c r="BA412" s="15">
        <f t="shared" si="243"/>
        <v>-6781.2133908333344</v>
      </c>
      <c r="BB412" s="15">
        <f t="shared" si="284"/>
        <v>-126813.13119999999</v>
      </c>
    </row>
    <row r="413" spans="2:54" s="58" customFormat="1" x14ac:dyDescent="0.3">
      <c r="B413" s="99">
        <f t="shared" si="287"/>
        <v>44741</v>
      </c>
      <c r="C413" s="44">
        <f t="shared" si="263"/>
        <v>-4233781.6100000013</v>
      </c>
      <c r="D413" s="45">
        <v>481768.44</v>
      </c>
      <c r="E413" s="45">
        <v>-400000</v>
      </c>
      <c r="F413" s="45">
        <f>-3566.84-2.16</f>
        <v>-3569</v>
      </c>
      <c r="G413" s="45">
        <f t="shared" si="288"/>
        <v>-4155582.1700000013</v>
      </c>
      <c r="H413" s="44">
        <v>4300000</v>
      </c>
      <c r="I413" s="46">
        <f t="shared" si="264"/>
        <v>-3951819.8</v>
      </c>
      <c r="J413" s="47">
        <f>9291.15+30006.18</f>
        <v>39297.33</v>
      </c>
      <c r="K413" s="47">
        <f>400000+1030000</f>
        <v>1430000</v>
      </c>
      <c r="L413" s="47">
        <v>-700552.04</v>
      </c>
      <c r="M413" s="47">
        <f t="shared" si="276"/>
        <v>-3183074.51</v>
      </c>
      <c r="N413" s="46">
        <v>4000000</v>
      </c>
      <c r="O413" s="48">
        <f t="shared" si="265"/>
        <v>47953.5</v>
      </c>
      <c r="P413" s="55"/>
      <c r="Q413" s="55">
        <f>984400-1030000</f>
        <v>-45600</v>
      </c>
      <c r="R413" s="55">
        <v>-10</v>
      </c>
      <c r="S413" s="55">
        <f t="shared" si="266"/>
        <v>2343.5</v>
      </c>
      <c r="T413" s="48"/>
      <c r="U413" s="49">
        <f t="shared" si="267"/>
        <v>28.410000000057334</v>
      </c>
      <c r="V413" s="51">
        <v>984466.54</v>
      </c>
      <c r="W413" s="51">
        <v>-984400</v>
      </c>
      <c r="X413" s="51">
        <v>-1.3</v>
      </c>
      <c r="Y413" s="51">
        <f t="shared" si="268"/>
        <v>93.650000000069852</v>
      </c>
      <c r="Z413" s="52"/>
      <c r="AA413" s="53">
        <f t="shared" si="269"/>
        <v>84.999999999999829</v>
      </c>
      <c r="AB413" s="54"/>
      <c r="AC413" s="54"/>
      <c r="AD413" s="54"/>
      <c r="AE413" s="54">
        <f t="shared" si="270"/>
        <v>84.999999999999829</v>
      </c>
      <c r="AF413" s="53"/>
      <c r="AG413" s="53">
        <f t="shared" si="249"/>
        <v>78.430999999982305</v>
      </c>
      <c r="AH413" s="54"/>
      <c r="AI413" s="54"/>
      <c r="AJ413" s="54">
        <v>-69.530999999982299</v>
      </c>
      <c r="AK413" s="54">
        <f t="shared" si="271"/>
        <v>8.9000000000000057</v>
      </c>
      <c r="AL413" s="53"/>
      <c r="AM413" s="53">
        <f t="shared" si="256"/>
        <v>0</v>
      </c>
      <c r="AN413" s="54"/>
      <c r="AO413" s="54"/>
      <c r="AP413" s="54"/>
      <c r="AQ413" s="54">
        <f t="shared" si="257"/>
        <v>0</v>
      </c>
      <c r="AR413" s="53"/>
      <c r="AS413" s="50">
        <f t="shared" si="273"/>
        <v>-8137456.0690000011</v>
      </c>
      <c r="AT413" s="73">
        <f t="shared" si="281"/>
        <v>1505532.31</v>
      </c>
      <c r="AU413" s="50">
        <f t="shared" si="251"/>
        <v>0</v>
      </c>
      <c r="AV413" s="50">
        <f t="shared" si="282"/>
        <v>-704201.87100000004</v>
      </c>
      <c r="AW413" s="50"/>
      <c r="AX413" s="50">
        <f t="shared" si="258"/>
        <v>-7336125.6300000008</v>
      </c>
      <c r="AY413" s="50">
        <f t="shared" si="259"/>
        <v>8300000</v>
      </c>
      <c r="AZ413" s="50">
        <f t="shared" si="260"/>
        <v>963874.36999999918</v>
      </c>
      <c r="BA413" s="15">
        <f t="shared" si="243"/>
        <v>-6113.4380250000013</v>
      </c>
      <c r="BB413" s="15">
        <f t="shared" si="284"/>
        <v>-132926.56922499998</v>
      </c>
    </row>
    <row r="414" spans="2:54" s="58" customFormat="1" x14ac:dyDescent="0.3">
      <c r="B414" s="99">
        <f t="shared" si="287"/>
        <v>44742</v>
      </c>
      <c r="C414" s="44">
        <f t="shared" si="263"/>
        <v>-4155582.1700000013</v>
      </c>
      <c r="D414" s="45">
        <f>294507.86-25421.62</f>
        <v>269086.24</v>
      </c>
      <c r="E414" s="45"/>
      <c r="F414" s="45">
        <v>-70146.5</v>
      </c>
      <c r="G414" s="45">
        <f t="shared" si="288"/>
        <v>-3956642.4300000016</v>
      </c>
      <c r="H414" s="44">
        <v>4300000</v>
      </c>
      <c r="I414" s="46">
        <f t="shared" si="264"/>
        <v>-3183074.51</v>
      </c>
      <c r="J414" s="47">
        <v>498489.07</v>
      </c>
      <c r="K414" s="47">
        <v>600000</v>
      </c>
      <c r="L414" s="47">
        <v>-81014.620000000097</v>
      </c>
      <c r="M414" s="47">
        <f t="shared" si="276"/>
        <v>-2165600.06</v>
      </c>
      <c r="N414" s="46">
        <v>4000000</v>
      </c>
      <c r="O414" s="48">
        <f t="shared" si="265"/>
        <v>2343.5</v>
      </c>
      <c r="P414" s="55">
        <v>606331.71</v>
      </c>
      <c r="Q414" s="55">
        <v>-600000</v>
      </c>
      <c r="R414" s="55"/>
      <c r="S414" s="55">
        <f t="shared" si="266"/>
        <v>8675.2099999999627</v>
      </c>
      <c r="T414" s="48"/>
      <c r="U414" s="49">
        <f t="shared" si="267"/>
        <v>93.650000000069852</v>
      </c>
      <c r="V414" s="51">
        <v>26593.34</v>
      </c>
      <c r="W414" s="51"/>
      <c r="X414" s="51">
        <v>-3011.6000000000699</v>
      </c>
      <c r="Y414" s="51">
        <f t="shared" si="268"/>
        <v>23675.39</v>
      </c>
      <c r="Z414" s="52"/>
      <c r="AA414" s="53">
        <f t="shared" si="269"/>
        <v>84.999999999999829</v>
      </c>
      <c r="AB414" s="54"/>
      <c r="AC414" s="54"/>
      <c r="AD414" s="54"/>
      <c r="AE414" s="54">
        <f t="shared" si="270"/>
        <v>84.999999999999829</v>
      </c>
      <c r="AF414" s="53"/>
      <c r="AG414" s="53">
        <f t="shared" si="249"/>
        <v>8.9000000000000057</v>
      </c>
      <c r="AH414" s="54"/>
      <c r="AI414" s="54"/>
      <c r="AJ414" s="54"/>
      <c r="AK414" s="54">
        <f t="shared" si="271"/>
        <v>8.9000000000000057</v>
      </c>
      <c r="AL414" s="53"/>
      <c r="AM414" s="53">
        <f t="shared" si="256"/>
        <v>0</v>
      </c>
      <c r="AN414" s="54"/>
      <c r="AO414" s="54"/>
      <c r="AP414" s="54"/>
      <c r="AQ414" s="54">
        <f t="shared" si="257"/>
        <v>0</v>
      </c>
      <c r="AR414" s="53"/>
      <c r="AS414" s="50">
        <f t="shared" si="273"/>
        <v>-7336125.6300000008</v>
      </c>
      <c r="AT414" s="73">
        <f t="shared" si="281"/>
        <v>1400500.36</v>
      </c>
      <c r="AU414" s="50">
        <f t="shared" si="251"/>
        <v>0</v>
      </c>
      <c r="AV414" s="50">
        <f t="shared" si="282"/>
        <v>-154172.72000000018</v>
      </c>
      <c r="AW414" s="50"/>
      <c r="AX414" s="50">
        <f t="shared" si="258"/>
        <v>-6089797.9900000021</v>
      </c>
      <c r="AY414" s="50">
        <f t="shared" si="259"/>
        <v>8300000</v>
      </c>
      <c r="AZ414" s="50">
        <f t="shared" si="260"/>
        <v>2210202.0099999979</v>
      </c>
      <c r="BA414" s="82">
        <f t="shared" ref="BA414:BA477" si="293">AX414*$BA$1</f>
        <v>-5074.8316583333353</v>
      </c>
      <c r="BB414" s="82">
        <f t="shared" si="284"/>
        <v>-138001.40088333332</v>
      </c>
    </row>
    <row r="415" spans="2:54" s="58" customFormat="1" x14ac:dyDescent="0.3">
      <c r="B415" s="99">
        <f t="shared" si="287"/>
        <v>44743</v>
      </c>
      <c r="C415" s="44">
        <f t="shared" si="263"/>
        <v>-3956642.4300000016</v>
      </c>
      <c r="D415" s="45">
        <v>25421.62</v>
      </c>
      <c r="E415" s="45"/>
      <c r="F415" s="45">
        <f>-222724.08+133328.48</f>
        <v>-89395.599999999977</v>
      </c>
      <c r="G415" s="45">
        <f t="shared" si="288"/>
        <v>-4020616.4100000015</v>
      </c>
      <c r="H415" s="44">
        <v>4300000</v>
      </c>
      <c r="I415" s="46">
        <f t="shared" si="264"/>
        <v>-2165600.06</v>
      </c>
      <c r="J415" s="47"/>
      <c r="K415" s="47">
        <v>30000</v>
      </c>
      <c r="L415" s="47">
        <v>-2535200.54</v>
      </c>
      <c r="M415" s="47">
        <f t="shared" si="276"/>
        <v>-4670800.5999999996</v>
      </c>
      <c r="N415" s="46">
        <v>5000000</v>
      </c>
      <c r="O415" s="48">
        <f t="shared" si="265"/>
        <v>8675.2099999999627</v>
      </c>
      <c r="P415" s="55"/>
      <c r="Q415" s="55">
        <f>23600-30000</f>
        <v>-6400</v>
      </c>
      <c r="R415" s="55"/>
      <c r="S415" s="55">
        <f t="shared" si="266"/>
        <v>2275.2099999999627</v>
      </c>
      <c r="T415" s="48"/>
      <c r="U415" s="49">
        <f t="shared" si="267"/>
        <v>23675.39</v>
      </c>
      <c r="V415" s="51"/>
      <c r="W415" s="51">
        <v>-23600</v>
      </c>
      <c r="X415" s="51">
        <v>-1.3</v>
      </c>
      <c r="Y415" s="51">
        <f t="shared" si="268"/>
        <v>74.089999999999421</v>
      </c>
      <c r="Z415" s="52"/>
      <c r="AA415" s="53">
        <f t="shared" si="269"/>
        <v>84.999999999999829</v>
      </c>
      <c r="AB415" s="54"/>
      <c r="AC415" s="54"/>
      <c r="AD415" s="54"/>
      <c r="AE415" s="54">
        <f t="shared" si="270"/>
        <v>84.999999999999829</v>
      </c>
      <c r="AF415" s="53"/>
      <c r="AG415" s="53">
        <f t="shared" si="249"/>
        <v>8.9000000000000057</v>
      </c>
      <c r="AH415" s="54"/>
      <c r="AI415" s="54"/>
      <c r="AJ415" s="54"/>
      <c r="AK415" s="54">
        <f t="shared" si="271"/>
        <v>8.9000000000000057</v>
      </c>
      <c r="AL415" s="53"/>
      <c r="AM415" s="53">
        <f t="shared" si="256"/>
        <v>0</v>
      </c>
      <c r="AN415" s="54"/>
      <c r="AO415" s="54"/>
      <c r="AP415" s="54"/>
      <c r="AQ415" s="54">
        <f t="shared" si="257"/>
        <v>0</v>
      </c>
      <c r="AR415" s="53"/>
      <c r="AS415" s="50">
        <f t="shared" si="273"/>
        <v>-6089797.9900000021</v>
      </c>
      <c r="AT415" s="73">
        <f t="shared" si="281"/>
        <v>25421.62</v>
      </c>
      <c r="AU415" s="50">
        <f t="shared" si="251"/>
        <v>0</v>
      </c>
      <c r="AV415" s="50">
        <f t="shared" si="282"/>
        <v>-2624597.44</v>
      </c>
      <c r="AW415" s="50"/>
      <c r="AX415" s="50">
        <f t="shared" si="258"/>
        <v>-8688973.8100000005</v>
      </c>
      <c r="AY415" s="50">
        <f t="shared" si="259"/>
        <v>9300000</v>
      </c>
      <c r="AZ415" s="50">
        <f t="shared" si="260"/>
        <v>611026.18999999948</v>
      </c>
      <c r="BA415" s="15">
        <f t="shared" si="293"/>
        <v>-7240.8115083333341</v>
      </c>
      <c r="BB415" s="15">
        <f>BA415</f>
        <v>-7240.8115083333341</v>
      </c>
    </row>
    <row r="416" spans="2:54" s="58" customFormat="1" x14ac:dyDescent="0.3">
      <c r="B416" s="99">
        <f t="shared" ref="B416" si="294">B415+3</f>
        <v>44746</v>
      </c>
      <c r="C416" s="44">
        <f t="shared" si="263"/>
        <v>-4020616.4100000015</v>
      </c>
      <c r="D416" s="45">
        <v>75154.14</v>
      </c>
      <c r="E416" s="45"/>
      <c r="F416" s="45">
        <v>-241677.07</v>
      </c>
      <c r="G416" s="45">
        <f t="shared" si="288"/>
        <v>-4187139.3400000012</v>
      </c>
      <c r="H416" s="44">
        <v>4300000</v>
      </c>
      <c r="I416" s="46">
        <f t="shared" si="264"/>
        <v>-4670800.5999999996</v>
      </c>
      <c r="J416" s="47">
        <f>168875+3629.41</f>
        <v>172504.41</v>
      </c>
      <c r="K416" s="47"/>
      <c r="L416" s="47">
        <v>-46365.450000000499</v>
      </c>
      <c r="M416" s="47">
        <f t="shared" si="276"/>
        <v>-4544661.6399999997</v>
      </c>
      <c r="N416" s="46">
        <v>5000000</v>
      </c>
      <c r="O416" s="48">
        <f t="shared" si="265"/>
        <v>2275.2099999999627</v>
      </c>
      <c r="P416" s="55">
        <v>6214.54000000003</v>
      </c>
      <c r="Q416" s="55">
        <v>28200</v>
      </c>
      <c r="R416" s="55">
        <v>-231</v>
      </c>
      <c r="S416" s="55">
        <f t="shared" si="266"/>
        <v>36458.749999999993</v>
      </c>
      <c r="T416" s="48"/>
      <c r="U416" s="49">
        <f t="shared" si="267"/>
        <v>74.089999999999421</v>
      </c>
      <c r="V416" s="51">
        <v>28142.79</v>
      </c>
      <c r="W416" s="51">
        <v>-28200</v>
      </c>
      <c r="X416" s="51">
        <v>-16.88</v>
      </c>
      <c r="Y416" s="51">
        <f t="shared" si="268"/>
        <v>1.0196288258157438E-12</v>
      </c>
      <c r="Z416" s="52"/>
      <c r="AA416" s="53">
        <f t="shared" si="269"/>
        <v>84.999999999999829</v>
      </c>
      <c r="AB416" s="54"/>
      <c r="AC416" s="54"/>
      <c r="AD416" s="54"/>
      <c r="AE416" s="54">
        <f t="shared" si="270"/>
        <v>84.999999999999829</v>
      </c>
      <c r="AF416" s="53"/>
      <c r="AG416" s="53">
        <f t="shared" si="249"/>
        <v>8.9000000000000057</v>
      </c>
      <c r="AH416" s="54"/>
      <c r="AI416" s="54"/>
      <c r="AJ416" s="54"/>
      <c r="AK416" s="54">
        <f t="shared" si="271"/>
        <v>8.9000000000000057</v>
      </c>
      <c r="AL416" s="53"/>
      <c r="AM416" s="53">
        <f t="shared" si="256"/>
        <v>0</v>
      </c>
      <c r="AN416" s="54"/>
      <c r="AO416" s="54"/>
      <c r="AP416" s="54"/>
      <c r="AQ416" s="54">
        <f t="shared" si="257"/>
        <v>0</v>
      </c>
      <c r="AR416" s="53"/>
      <c r="AS416" s="50">
        <f t="shared" si="273"/>
        <v>-8688973.8100000005</v>
      </c>
      <c r="AT416" s="73">
        <f t="shared" si="281"/>
        <v>282015.88</v>
      </c>
      <c r="AU416" s="50">
        <f t="shared" si="251"/>
        <v>0</v>
      </c>
      <c r="AV416" s="50">
        <f t="shared" si="282"/>
        <v>-288290.40000000049</v>
      </c>
      <c r="AW416" s="50"/>
      <c r="AX416" s="50">
        <f t="shared" si="258"/>
        <v>-8695248.3300000001</v>
      </c>
      <c r="AY416" s="50">
        <f t="shared" si="259"/>
        <v>9300000</v>
      </c>
      <c r="AZ416" s="50">
        <f t="shared" si="260"/>
        <v>604751.66999999993</v>
      </c>
      <c r="BA416" s="15">
        <f t="shared" si="293"/>
        <v>-7246.0402750000003</v>
      </c>
      <c r="BB416" s="15">
        <f t="shared" si="284"/>
        <v>-14486.851783333335</v>
      </c>
    </row>
    <row r="417" spans="2:54" s="58" customFormat="1" x14ac:dyDescent="0.3">
      <c r="B417" s="99">
        <f t="shared" ref="B417" si="295">B416+1</f>
        <v>44747</v>
      </c>
      <c r="C417" s="44">
        <f t="shared" si="263"/>
        <v>-4187139.3400000012</v>
      </c>
      <c r="D417" s="45">
        <v>243793.06</v>
      </c>
      <c r="E417" s="45">
        <v>-200000</v>
      </c>
      <c r="F417" s="45">
        <f>-26739.67-1150-8206.36</f>
        <v>-36096.03</v>
      </c>
      <c r="G417" s="45">
        <f t="shared" si="288"/>
        <v>-4179442.310000001</v>
      </c>
      <c r="H417" s="44">
        <v>4300000</v>
      </c>
      <c r="I417" s="46">
        <f t="shared" si="264"/>
        <v>-4544661.6399999997</v>
      </c>
      <c r="J417" s="47">
        <v>111329.81</v>
      </c>
      <c r="K417" s="47">
        <v>234000</v>
      </c>
      <c r="L417" s="47">
        <v>-320951.96000000002</v>
      </c>
      <c r="M417" s="47">
        <f t="shared" si="276"/>
        <v>-4520283.79</v>
      </c>
      <c r="N417" s="46">
        <v>5000000</v>
      </c>
      <c r="O417" s="48">
        <f t="shared" si="265"/>
        <v>36458.749999999993</v>
      </c>
      <c r="P417" s="55"/>
      <c r="Q417" s="55">
        <f>-34000-60</f>
        <v>-34060</v>
      </c>
      <c r="R417" s="55">
        <f>-10</f>
        <v>-10</v>
      </c>
      <c r="S417" s="55">
        <f t="shared" si="266"/>
        <v>2388.7499999999927</v>
      </c>
      <c r="T417" s="48"/>
      <c r="U417" s="49">
        <f t="shared" si="267"/>
        <v>1.0196288258157438E-12</v>
      </c>
      <c r="V417" s="51"/>
      <c r="W417" s="51">
        <v>60</v>
      </c>
      <c r="X417" s="51">
        <f>-1.3-43.07</f>
        <v>-44.37</v>
      </c>
      <c r="Y417" s="51">
        <f t="shared" si="268"/>
        <v>15.630000000001026</v>
      </c>
      <c r="Z417" s="52"/>
      <c r="AA417" s="53">
        <f t="shared" si="269"/>
        <v>84.999999999999829</v>
      </c>
      <c r="AB417" s="54"/>
      <c r="AC417" s="54"/>
      <c r="AD417" s="54"/>
      <c r="AE417" s="54">
        <f t="shared" si="270"/>
        <v>84.999999999999829</v>
      </c>
      <c r="AF417" s="53"/>
      <c r="AG417" s="53">
        <f t="shared" si="249"/>
        <v>8.9000000000000057</v>
      </c>
      <c r="AH417" s="54"/>
      <c r="AI417" s="54"/>
      <c r="AJ417" s="54"/>
      <c r="AK417" s="54">
        <f t="shared" si="271"/>
        <v>8.9000000000000057</v>
      </c>
      <c r="AL417" s="53"/>
      <c r="AM417" s="53">
        <f t="shared" si="256"/>
        <v>0</v>
      </c>
      <c r="AN417" s="54"/>
      <c r="AO417" s="54"/>
      <c r="AP417" s="54"/>
      <c r="AQ417" s="54">
        <f t="shared" si="257"/>
        <v>0</v>
      </c>
      <c r="AR417" s="53"/>
      <c r="AS417" s="50">
        <f t="shared" si="273"/>
        <v>-8695248.3300000001</v>
      </c>
      <c r="AT417" s="73">
        <f t="shared" si="281"/>
        <v>355122.87</v>
      </c>
      <c r="AU417" s="50">
        <f t="shared" si="251"/>
        <v>0</v>
      </c>
      <c r="AV417" s="50">
        <f t="shared" si="282"/>
        <v>-357102.36</v>
      </c>
      <c r="AW417" s="50"/>
      <c r="AX417" s="50">
        <f t="shared" si="258"/>
        <v>-8697227.8200000003</v>
      </c>
      <c r="AY417" s="50">
        <f t="shared" si="259"/>
        <v>9300000</v>
      </c>
      <c r="AZ417" s="50">
        <f t="shared" si="260"/>
        <v>602772.1799999997</v>
      </c>
      <c r="BA417" s="15">
        <f t="shared" si="293"/>
        <v>-7247.6898500000007</v>
      </c>
      <c r="BB417" s="15">
        <f t="shared" si="284"/>
        <v>-21734.541633333334</v>
      </c>
    </row>
    <row r="418" spans="2:54" s="58" customFormat="1" x14ac:dyDescent="0.3">
      <c r="B418" s="99">
        <f t="shared" si="287"/>
        <v>44748</v>
      </c>
      <c r="C418" s="44">
        <f t="shared" si="263"/>
        <v>-4179442.310000001</v>
      </c>
      <c r="D418" s="45"/>
      <c r="E418" s="45">
        <v>-100000</v>
      </c>
      <c r="F418" s="45"/>
      <c r="G418" s="45">
        <f t="shared" si="288"/>
        <v>-4279442.3100000005</v>
      </c>
      <c r="H418" s="44">
        <v>4300000</v>
      </c>
      <c r="I418" s="46">
        <f t="shared" si="264"/>
        <v>-4520283.79</v>
      </c>
      <c r="J418" s="47"/>
      <c r="K418" s="47">
        <v>-150000</v>
      </c>
      <c r="L418" s="47">
        <f>-245686.3+150000</f>
        <v>-95686.299999999988</v>
      </c>
      <c r="M418" s="47">
        <f t="shared" si="276"/>
        <v>-4765970.09</v>
      </c>
      <c r="N418" s="46">
        <v>5000000</v>
      </c>
      <c r="O418" s="48">
        <f t="shared" si="265"/>
        <v>2388.7499999999927</v>
      </c>
      <c r="P418" s="55"/>
      <c r="Q418" s="55"/>
      <c r="R418" s="55"/>
      <c r="S418" s="55">
        <f t="shared" si="266"/>
        <v>2388.7499999999927</v>
      </c>
      <c r="T418" s="48"/>
      <c r="U418" s="49">
        <f t="shared" si="267"/>
        <v>15.630000000001026</v>
      </c>
      <c r="V418" s="51"/>
      <c r="W418" s="51"/>
      <c r="X418" s="51"/>
      <c r="Y418" s="51">
        <f t="shared" si="268"/>
        <v>15.630000000001026</v>
      </c>
      <c r="Z418" s="52"/>
      <c r="AA418" s="53">
        <f t="shared" si="269"/>
        <v>84.999999999999829</v>
      </c>
      <c r="AB418" s="54"/>
      <c r="AC418" s="54">
        <v>250000</v>
      </c>
      <c r="AD418" s="54"/>
      <c r="AE418" s="54">
        <f t="shared" si="270"/>
        <v>250085</v>
      </c>
      <c r="AF418" s="53"/>
      <c r="AG418" s="53">
        <f t="shared" si="249"/>
        <v>8.9000000000000057</v>
      </c>
      <c r="AH418" s="54"/>
      <c r="AI418" s="54"/>
      <c r="AJ418" s="54"/>
      <c r="AK418" s="54">
        <f t="shared" si="271"/>
        <v>8.9000000000000057</v>
      </c>
      <c r="AL418" s="53"/>
      <c r="AM418" s="53">
        <f t="shared" si="256"/>
        <v>0</v>
      </c>
      <c r="AN418" s="54"/>
      <c r="AO418" s="54"/>
      <c r="AP418" s="54"/>
      <c r="AQ418" s="54">
        <f t="shared" si="257"/>
        <v>0</v>
      </c>
      <c r="AR418" s="53"/>
      <c r="AS418" s="50">
        <f t="shared" si="273"/>
        <v>-8697227.8200000003</v>
      </c>
      <c r="AT418" s="73">
        <f t="shared" si="281"/>
        <v>0</v>
      </c>
      <c r="AU418" s="50">
        <f t="shared" si="251"/>
        <v>0</v>
      </c>
      <c r="AV418" s="50">
        <f t="shared" si="282"/>
        <v>-95686.299999999988</v>
      </c>
      <c r="AW418" s="50"/>
      <c r="AX418" s="50">
        <f t="shared" si="258"/>
        <v>-8792914.1199999992</v>
      </c>
      <c r="AY418" s="50">
        <f t="shared" si="259"/>
        <v>9300000</v>
      </c>
      <c r="AZ418" s="50">
        <f t="shared" si="260"/>
        <v>507085.88000000082</v>
      </c>
      <c r="BA418" s="15">
        <f t="shared" si="293"/>
        <v>-7327.4284333333335</v>
      </c>
      <c r="BB418" s="15">
        <f t="shared" si="284"/>
        <v>-29061.970066666669</v>
      </c>
    </row>
    <row r="419" spans="2:54" s="58" customFormat="1" x14ac:dyDescent="0.3">
      <c r="B419" s="99">
        <f t="shared" si="287"/>
        <v>44749</v>
      </c>
      <c r="C419" s="44">
        <f t="shared" si="263"/>
        <v>-4279442.3100000005</v>
      </c>
      <c r="D419" s="45"/>
      <c r="E419" s="45"/>
      <c r="F419" s="45">
        <v>-0.85</v>
      </c>
      <c r="G419" s="45">
        <f t="shared" si="288"/>
        <v>-4279443.16</v>
      </c>
      <c r="H419" s="44">
        <v>4300000</v>
      </c>
      <c r="I419" s="46">
        <f t="shared" si="264"/>
        <v>-4765970.09</v>
      </c>
      <c r="J419" s="47">
        <v>34901.4</v>
      </c>
      <c r="K419" s="47"/>
      <c r="L419" s="47">
        <v>-62374.870000000497</v>
      </c>
      <c r="M419" s="47">
        <f t="shared" si="276"/>
        <v>-4793443.5599999996</v>
      </c>
      <c r="N419" s="46">
        <v>5000000</v>
      </c>
      <c r="O419" s="48">
        <f t="shared" si="265"/>
        <v>2388.7499999999927</v>
      </c>
      <c r="P419" s="55"/>
      <c r="Q419" s="55"/>
      <c r="R419" s="55"/>
      <c r="S419" s="55">
        <f t="shared" si="266"/>
        <v>2388.7499999999927</v>
      </c>
      <c r="T419" s="48"/>
      <c r="U419" s="49">
        <f t="shared" si="267"/>
        <v>15.630000000001026</v>
      </c>
      <c r="V419" s="51"/>
      <c r="W419" s="51"/>
      <c r="X419" s="51"/>
      <c r="Y419" s="51">
        <f t="shared" si="268"/>
        <v>15.630000000001026</v>
      </c>
      <c r="Z419" s="52"/>
      <c r="AA419" s="53">
        <f t="shared" si="269"/>
        <v>250085</v>
      </c>
      <c r="AB419" s="54"/>
      <c r="AC419" s="54"/>
      <c r="AD419" s="54">
        <f>-242695.55</f>
        <v>-242695.55</v>
      </c>
      <c r="AE419" s="54">
        <f t="shared" si="270"/>
        <v>7389.4500000000116</v>
      </c>
      <c r="AF419" s="53"/>
      <c r="AG419" s="53">
        <f t="shared" si="249"/>
        <v>8.9000000000000057</v>
      </c>
      <c r="AH419" s="54"/>
      <c r="AI419" s="54"/>
      <c r="AJ419" s="54"/>
      <c r="AK419" s="54">
        <f t="shared" si="271"/>
        <v>8.9000000000000057</v>
      </c>
      <c r="AL419" s="53"/>
      <c r="AM419" s="53">
        <f t="shared" si="256"/>
        <v>0</v>
      </c>
      <c r="AN419" s="54"/>
      <c r="AO419" s="54"/>
      <c r="AP419" s="54"/>
      <c r="AQ419" s="54">
        <f t="shared" si="257"/>
        <v>0</v>
      </c>
      <c r="AR419" s="53"/>
      <c r="AS419" s="50">
        <f t="shared" si="273"/>
        <v>-8792914.1199999992</v>
      </c>
      <c r="AT419" s="73">
        <f t="shared" si="281"/>
        <v>34901.4</v>
      </c>
      <c r="AU419" s="50">
        <f t="shared" si="251"/>
        <v>0</v>
      </c>
      <c r="AV419" s="50">
        <f t="shared" si="282"/>
        <v>-305071.27000000048</v>
      </c>
      <c r="AW419" s="50"/>
      <c r="AX419" s="50">
        <f t="shared" si="258"/>
        <v>-9063083.9899999984</v>
      </c>
      <c r="AY419" s="50">
        <f t="shared" si="259"/>
        <v>9300000</v>
      </c>
      <c r="AZ419" s="50">
        <f t="shared" si="260"/>
        <v>236916.01000000164</v>
      </c>
      <c r="BA419" s="15">
        <f t="shared" si="293"/>
        <v>-7552.5699916666654</v>
      </c>
      <c r="BB419" s="15">
        <f t="shared" si="284"/>
        <v>-36614.540058333332</v>
      </c>
    </row>
    <row r="420" spans="2:54" s="58" customFormat="1" x14ac:dyDescent="0.3">
      <c r="B420" s="99">
        <f t="shared" si="287"/>
        <v>44750</v>
      </c>
      <c r="C420" s="44">
        <f t="shared" si="263"/>
        <v>-4279443.16</v>
      </c>
      <c r="D420" s="45">
        <v>20000</v>
      </c>
      <c r="E420" s="45"/>
      <c r="F420" s="45">
        <v>-1431.88</v>
      </c>
      <c r="G420" s="45">
        <f t="shared" si="288"/>
        <v>-4260875.04</v>
      </c>
      <c r="H420" s="44">
        <v>4300000</v>
      </c>
      <c r="I420" s="46">
        <f t="shared" si="264"/>
        <v>-4793443.5599999996</v>
      </c>
      <c r="J420" s="47">
        <f>232150.96</f>
        <v>232150.96</v>
      </c>
      <c r="K420" s="47">
        <f>1250000+11000+5000</f>
        <v>1266000</v>
      </c>
      <c r="L420" s="47">
        <v>-486199.27</v>
      </c>
      <c r="M420" s="47">
        <f t="shared" si="276"/>
        <v>-3781491.8699999996</v>
      </c>
      <c r="N420" s="46">
        <v>5000000</v>
      </c>
      <c r="O420" s="48">
        <f t="shared" si="265"/>
        <v>2388.7499999999927</v>
      </c>
      <c r="P420" s="55"/>
      <c r="Q420" s="55">
        <f>10200-11000</f>
        <v>-800</v>
      </c>
      <c r="R420" s="55">
        <v>-490</v>
      </c>
      <c r="S420" s="55">
        <f t="shared" si="266"/>
        <v>1098.7499999999927</v>
      </c>
      <c r="T420" s="48"/>
      <c r="U420" s="49">
        <f t="shared" si="267"/>
        <v>15.630000000001026</v>
      </c>
      <c r="V420" s="51">
        <v>10210.879999999999</v>
      </c>
      <c r="W420" s="51">
        <v>-10200</v>
      </c>
      <c r="X420" s="51">
        <v>-1.3</v>
      </c>
      <c r="Y420" s="51">
        <f t="shared" si="268"/>
        <v>25.210000000000218</v>
      </c>
      <c r="Z420" s="52"/>
      <c r="AA420" s="53">
        <f t="shared" si="269"/>
        <v>7389.4500000000116</v>
      </c>
      <c r="AB420" s="54">
        <v>1250062.44</v>
      </c>
      <c r="AC420" s="54">
        <v>-1255000</v>
      </c>
      <c r="AD420" s="54"/>
      <c r="AE420" s="54">
        <f t="shared" si="270"/>
        <v>2451.8899999998976</v>
      </c>
      <c r="AF420" s="53"/>
      <c r="AG420" s="53">
        <f t="shared" si="249"/>
        <v>8.9000000000000057</v>
      </c>
      <c r="AH420" s="54"/>
      <c r="AI420" s="54"/>
      <c r="AJ420" s="54"/>
      <c r="AK420" s="54">
        <f t="shared" si="271"/>
        <v>8.9000000000000057</v>
      </c>
      <c r="AL420" s="53"/>
      <c r="AM420" s="53">
        <f t="shared" si="256"/>
        <v>0</v>
      </c>
      <c r="AN420" s="54"/>
      <c r="AO420" s="54"/>
      <c r="AP420" s="54"/>
      <c r="AQ420" s="54">
        <f t="shared" si="257"/>
        <v>0</v>
      </c>
      <c r="AR420" s="53"/>
      <c r="AS420" s="50">
        <f t="shared" si="273"/>
        <v>-9063083.9899999984</v>
      </c>
      <c r="AT420" s="73">
        <f t="shared" si="281"/>
        <v>1512424.2799999998</v>
      </c>
      <c r="AU420" s="50">
        <f t="shared" si="251"/>
        <v>0</v>
      </c>
      <c r="AV420" s="50">
        <f t="shared" si="282"/>
        <v>-488122.45</v>
      </c>
      <c r="AW420" s="50"/>
      <c r="AX420" s="50">
        <f t="shared" ref="AX420:AX428" si="296">SUM(G420,M420,S420,Y420,AE420,AK420)</f>
        <v>-8038782.1600000001</v>
      </c>
      <c r="AY420" s="50">
        <f t="shared" si="259"/>
        <v>9300000</v>
      </c>
      <c r="AZ420" s="50">
        <f t="shared" si="260"/>
        <v>1261217.8399999999</v>
      </c>
      <c r="BA420" s="15">
        <f t="shared" si="293"/>
        <v>-6698.9851333333336</v>
      </c>
      <c r="BB420" s="15">
        <f t="shared" si="284"/>
        <v>-43313.525191666668</v>
      </c>
    </row>
    <row r="421" spans="2:54" s="58" customFormat="1" x14ac:dyDescent="0.3">
      <c r="B421" s="99">
        <f t="shared" ref="B421" si="297">B420+3</f>
        <v>44753</v>
      </c>
      <c r="C421" s="44">
        <f t="shared" si="263"/>
        <v>-4260875.04</v>
      </c>
      <c r="D421" s="45">
        <v>478094.62</v>
      </c>
      <c r="E421" s="45"/>
      <c r="F421" s="45">
        <v>-165.17</v>
      </c>
      <c r="G421" s="45">
        <f t="shared" si="288"/>
        <v>-3782945.59</v>
      </c>
      <c r="H421" s="44">
        <v>4300000</v>
      </c>
      <c r="I421" s="46">
        <f t="shared" si="264"/>
        <v>-3781491.8699999996</v>
      </c>
      <c r="J421" s="47"/>
      <c r="K421" s="47"/>
      <c r="L421" s="47">
        <v>-265411.33</v>
      </c>
      <c r="M421" s="47">
        <f t="shared" si="276"/>
        <v>-4046903.1999999997</v>
      </c>
      <c r="N421" s="46">
        <v>5000000</v>
      </c>
      <c r="O421" s="48">
        <f t="shared" si="265"/>
        <v>1098.7499999999927</v>
      </c>
      <c r="P421" s="55">
        <v>513.5</v>
      </c>
      <c r="Q421" s="55"/>
      <c r="R421" s="55"/>
      <c r="S421" s="55">
        <f t="shared" si="266"/>
        <v>1612.2499999999927</v>
      </c>
      <c r="T421" s="48"/>
      <c r="U421" s="49">
        <f t="shared" si="267"/>
        <v>25.210000000000218</v>
      </c>
      <c r="V421" s="51"/>
      <c r="W421" s="51"/>
      <c r="X421" s="51"/>
      <c r="Y421" s="51">
        <f t="shared" si="268"/>
        <v>25.210000000000218</v>
      </c>
      <c r="Z421" s="52"/>
      <c r="AA421" s="53">
        <f t="shared" si="269"/>
        <v>2451.8899999998976</v>
      </c>
      <c r="AB421" s="54"/>
      <c r="AC421" s="54"/>
      <c r="AD421" s="54">
        <v>-343</v>
      </c>
      <c r="AE421" s="54">
        <f t="shared" si="270"/>
        <v>2108.8899999998976</v>
      </c>
      <c r="AF421" s="53"/>
      <c r="AG421" s="53">
        <f t="shared" si="249"/>
        <v>8.9000000000000057</v>
      </c>
      <c r="AH421" s="54"/>
      <c r="AI421" s="54"/>
      <c r="AJ421" s="54"/>
      <c r="AK421" s="54">
        <f t="shared" si="271"/>
        <v>8.9000000000000057</v>
      </c>
      <c r="AL421" s="53"/>
      <c r="AM421" s="53">
        <f t="shared" si="256"/>
        <v>0</v>
      </c>
      <c r="AN421" s="54"/>
      <c r="AO421" s="54"/>
      <c r="AP421" s="54"/>
      <c r="AQ421" s="54">
        <f t="shared" si="257"/>
        <v>0</v>
      </c>
      <c r="AR421" s="53"/>
      <c r="AS421" s="50">
        <f t="shared" si="273"/>
        <v>-8038782.1600000001</v>
      </c>
      <c r="AT421" s="73">
        <f t="shared" si="281"/>
        <v>478608.12</v>
      </c>
      <c r="AU421" s="50">
        <f t="shared" si="251"/>
        <v>0</v>
      </c>
      <c r="AV421" s="50">
        <f t="shared" si="282"/>
        <v>-265919.5</v>
      </c>
      <c r="AW421" s="50"/>
      <c r="AX421" s="50">
        <f t="shared" si="296"/>
        <v>-7826093.5399999991</v>
      </c>
      <c r="AY421" s="50">
        <f t="shared" si="259"/>
        <v>9300000</v>
      </c>
      <c r="AZ421" s="50">
        <f t="shared" si="260"/>
        <v>1473906.4600000009</v>
      </c>
      <c r="BA421" s="15">
        <f t="shared" si="293"/>
        <v>-6521.7446166666659</v>
      </c>
      <c r="BB421" s="15">
        <f t="shared" si="284"/>
        <v>-49835.269808333331</v>
      </c>
    </row>
    <row r="422" spans="2:54" s="58" customFormat="1" x14ac:dyDescent="0.3">
      <c r="B422" s="99">
        <f t="shared" ref="B422" si="298">B421+1</f>
        <v>44754</v>
      </c>
      <c r="C422" s="44">
        <f t="shared" si="263"/>
        <v>-3782945.59</v>
      </c>
      <c r="D422" s="45">
        <v>41247.07</v>
      </c>
      <c r="E422" s="45"/>
      <c r="F422" s="45">
        <v>-397792.46</v>
      </c>
      <c r="G422" s="45">
        <f t="shared" si="288"/>
        <v>-4139490.98</v>
      </c>
      <c r="H422" s="44">
        <v>4300000</v>
      </c>
      <c r="I422" s="46">
        <f t="shared" si="264"/>
        <v>-4046903.1999999997</v>
      </c>
      <c r="J422" s="47">
        <v>224301.5</v>
      </c>
      <c r="K422" s="47"/>
      <c r="L422" s="47">
        <v>-40029.039999999397</v>
      </c>
      <c r="M422" s="47">
        <f t="shared" si="276"/>
        <v>-3862630.7399999993</v>
      </c>
      <c r="N422" s="46">
        <v>5000000</v>
      </c>
      <c r="O422" s="48">
        <f t="shared" si="265"/>
        <v>1612.2499999999927</v>
      </c>
      <c r="P422" s="55"/>
      <c r="Q422" s="55"/>
      <c r="R422" s="55"/>
      <c r="S422" s="55">
        <f t="shared" si="266"/>
        <v>1612.2499999999927</v>
      </c>
      <c r="T422" s="48"/>
      <c r="U422" s="49">
        <f t="shared" si="267"/>
        <v>25.210000000000218</v>
      </c>
      <c r="V422" s="51"/>
      <c r="W422" s="51"/>
      <c r="X422" s="51"/>
      <c r="Y422" s="51">
        <f t="shared" si="268"/>
        <v>25.210000000000218</v>
      </c>
      <c r="Z422" s="52"/>
      <c r="AA422" s="53">
        <f t="shared" si="269"/>
        <v>2108.8899999998976</v>
      </c>
      <c r="AB422" s="54"/>
      <c r="AC422" s="54"/>
      <c r="AD422" s="54">
        <v>-864.75</v>
      </c>
      <c r="AE422" s="54">
        <f t="shared" si="270"/>
        <v>1244.1399999998976</v>
      </c>
      <c r="AF422" s="53"/>
      <c r="AG422" s="53">
        <f t="shared" si="249"/>
        <v>8.9000000000000057</v>
      </c>
      <c r="AH422" s="54"/>
      <c r="AI422" s="54"/>
      <c r="AJ422" s="54"/>
      <c r="AK422" s="54">
        <f t="shared" si="271"/>
        <v>8.9000000000000057</v>
      </c>
      <c r="AL422" s="53"/>
      <c r="AM422" s="53">
        <f t="shared" si="256"/>
        <v>0</v>
      </c>
      <c r="AN422" s="54"/>
      <c r="AO422" s="54"/>
      <c r="AP422" s="54"/>
      <c r="AQ422" s="54">
        <f t="shared" si="257"/>
        <v>0</v>
      </c>
      <c r="AR422" s="53"/>
      <c r="AS422" s="50">
        <f t="shared" si="273"/>
        <v>-7826093.5399999991</v>
      </c>
      <c r="AT422" s="73">
        <f t="shared" si="281"/>
        <v>265548.57</v>
      </c>
      <c r="AU422" s="50">
        <f t="shared" si="251"/>
        <v>0</v>
      </c>
      <c r="AV422" s="50">
        <f t="shared" si="282"/>
        <v>-438686.24999999942</v>
      </c>
      <c r="AW422" s="50"/>
      <c r="AX422" s="50">
        <f t="shared" si="296"/>
        <v>-7999231.2199999988</v>
      </c>
      <c r="AY422" s="50">
        <f t="shared" si="259"/>
        <v>9300000</v>
      </c>
      <c r="AZ422" s="50">
        <f t="shared" si="260"/>
        <v>1300768.7800000012</v>
      </c>
      <c r="BA422" s="15">
        <f t="shared" si="293"/>
        <v>-6666.0260166666658</v>
      </c>
      <c r="BB422" s="15">
        <f t="shared" si="284"/>
        <v>-56501.295824999994</v>
      </c>
    </row>
    <row r="423" spans="2:54" s="58" customFormat="1" x14ac:dyDescent="0.3">
      <c r="B423" s="99">
        <f t="shared" si="287"/>
        <v>44755</v>
      </c>
      <c r="C423" s="44">
        <f t="shared" si="263"/>
        <v>-4139490.98</v>
      </c>
      <c r="D423" s="45"/>
      <c r="E423" s="45"/>
      <c r="F423" s="45">
        <f>-16508.73+1703.47</f>
        <v>-14805.26</v>
      </c>
      <c r="G423" s="45">
        <f t="shared" si="288"/>
        <v>-4154296.2399999998</v>
      </c>
      <c r="H423" s="44">
        <v>4300000</v>
      </c>
      <c r="I423" s="46">
        <f t="shared" si="264"/>
        <v>-3862630.7399999993</v>
      </c>
      <c r="J423" s="47">
        <v>208537.99</v>
      </c>
      <c r="K423" s="47"/>
      <c r="L423" s="47">
        <v>-56339.28</v>
      </c>
      <c r="M423" s="47">
        <f t="shared" si="276"/>
        <v>-3710432.0299999989</v>
      </c>
      <c r="N423" s="46">
        <v>5000000</v>
      </c>
      <c r="O423" s="48">
        <f t="shared" si="265"/>
        <v>1612.2499999999927</v>
      </c>
      <c r="P423" s="55">
        <f>611.75+512.32+222.38+163.84</f>
        <v>1510.2900000000002</v>
      </c>
      <c r="Q423" s="55"/>
      <c r="R423" s="55"/>
      <c r="S423" s="55">
        <f t="shared" si="266"/>
        <v>3122.5399999999927</v>
      </c>
      <c r="T423" s="48"/>
      <c r="U423" s="49">
        <f t="shared" si="267"/>
        <v>25.210000000000218</v>
      </c>
      <c r="V423" s="51"/>
      <c r="W423" s="51"/>
      <c r="X423" s="51"/>
      <c r="Y423" s="51">
        <f t="shared" si="268"/>
        <v>25.210000000000218</v>
      </c>
      <c r="Z423" s="52"/>
      <c r="AA423" s="53">
        <f t="shared" si="269"/>
        <v>1244.1399999998976</v>
      </c>
      <c r="AB423" s="54"/>
      <c r="AC423" s="54"/>
      <c r="AD423" s="54"/>
      <c r="AE423" s="54">
        <f t="shared" si="270"/>
        <v>1244.1399999998976</v>
      </c>
      <c r="AF423" s="53"/>
      <c r="AG423" s="53">
        <f t="shared" si="249"/>
        <v>8.9000000000000057</v>
      </c>
      <c r="AH423" s="54"/>
      <c r="AI423" s="54"/>
      <c r="AJ423" s="54"/>
      <c r="AK423" s="54">
        <f t="shared" si="271"/>
        <v>8.9000000000000057</v>
      </c>
      <c r="AL423" s="53"/>
      <c r="AM423" s="53">
        <f t="shared" si="256"/>
        <v>0</v>
      </c>
      <c r="AN423" s="54"/>
      <c r="AO423" s="54"/>
      <c r="AP423" s="54"/>
      <c r="AQ423" s="54">
        <f t="shared" si="257"/>
        <v>0</v>
      </c>
      <c r="AR423" s="53"/>
      <c r="AS423" s="50">
        <f t="shared" si="273"/>
        <v>-7999231.2199999988</v>
      </c>
      <c r="AT423" s="73">
        <f t="shared" si="281"/>
        <v>210048.28</v>
      </c>
      <c r="AU423" s="50">
        <f t="shared" si="251"/>
        <v>0</v>
      </c>
      <c r="AV423" s="50">
        <f t="shared" si="282"/>
        <v>-71144.539999999994</v>
      </c>
      <c r="AW423" s="50"/>
      <c r="AX423" s="50">
        <f t="shared" si="296"/>
        <v>-7860327.4799999986</v>
      </c>
      <c r="AY423" s="50">
        <f t="shared" si="259"/>
        <v>9300000</v>
      </c>
      <c r="AZ423" s="50">
        <f t="shared" si="260"/>
        <v>1439672.5200000014</v>
      </c>
      <c r="BA423" s="15">
        <f t="shared" si="293"/>
        <v>-6550.272899999999</v>
      </c>
      <c r="BB423" s="15">
        <f t="shared" si="284"/>
        <v>-63051.56872499999</v>
      </c>
    </row>
    <row r="424" spans="2:54" s="58" customFormat="1" x14ac:dyDescent="0.3">
      <c r="B424" s="99">
        <f t="shared" si="287"/>
        <v>44756</v>
      </c>
      <c r="C424" s="44">
        <f t="shared" si="263"/>
        <v>-4154296.2399999998</v>
      </c>
      <c r="D424" s="45">
        <v>170656.34</v>
      </c>
      <c r="E424" s="45"/>
      <c r="F424" s="45">
        <v>-1752.47</v>
      </c>
      <c r="G424" s="45">
        <f t="shared" si="288"/>
        <v>-3985392.37</v>
      </c>
      <c r="H424" s="44">
        <v>4300000</v>
      </c>
      <c r="I424" s="46">
        <f t="shared" si="264"/>
        <v>-3710432.0299999989</v>
      </c>
      <c r="J424" s="47"/>
      <c r="K424" s="47"/>
      <c r="L424" s="47">
        <v>-60573.180000000903</v>
      </c>
      <c r="M424" s="47">
        <f t="shared" si="276"/>
        <v>-3771005.21</v>
      </c>
      <c r="N424" s="46">
        <v>5000000</v>
      </c>
      <c r="O424" s="48">
        <f t="shared" si="265"/>
        <v>3122.5399999999927</v>
      </c>
      <c r="P424" s="55"/>
      <c r="Q424" s="55"/>
      <c r="R424" s="55">
        <v>-1400</v>
      </c>
      <c r="S424" s="55">
        <f t="shared" si="266"/>
        <v>1722.5399999999927</v>
      </c>
      <c r="T424" s="48"/>
      <c r="U424" s="49">
        <f t="shared" si="267"/>
        <v>25.210000000000218</v>
      </c>
      <c r="V424" s="51"/>
      <c r="W424" s="51"/>
      <c r="X424" s="51"/>
      <c r="Y424" s="51">
        <f t="shared" si="268"/>
        <v>25.210000000000218</v>
      </c>
      <c r="Z424" s="52"/>
      <c r="AA424" s="53">
        <f t="shared" si="269"/>
        <v>1244.1399999998976</v>
      </c>
      <c r="AB424" s="54"/>
      <c r="AC424" s="54"/>
      <c r="AD424" s="54">
        <v>-1100</v>
      </c>
      <c r="AE424" s="54">
        <f t="shared" si="270"/>
        <v>144.13999999989755</v>
      </c>
      <c r="AF424" s="53"/>
      <c r="AG424" s="53">
        <f t="shared" si="249"/>
        <v>8.9000000000000057</v>
      </c>
      <c r="AH424" s="54"/>
      <c r="AI424" s="54"/>
      <c r="AJ424" s="54"/>
      <c r="AK424" s="54">
        <f t="shared" si="271"/>
        <v>8.9000000000000057</v>
      </c>
      <c r="AL424" s="53"/>
      <c r="AM424" s="53">
        <f t="shared" si="256"/>
        <v>0</v>
      </c>
      <c r="AN424" s="54"/>
      <c r="AO424" s="54"/>
      <c r="AP424" s="54"/>
      <c r="AQ424" s="54">
        <f t="shared" si="257"/>
        <v>0</v>
      </c>
      <c r="AR424" s="53"/>
      <c r="AS424" s="50">
        <f t="shared" si="273"/>
        <v>-7860327.4799999986</v>
      </c>
      <c r="AT424" s="73">
        <f t="shared" si="281"/>
        <v>170656.34</v>
      </c>
      <c r="AU424" s="50">
        <f t="shared" si="251"/>
        <v>0</v>
      </c>
      <c r="AV424" s="50">
        <f t="shared" si="282"/>
        <v>-64825.650000000904</v>
      </c>
      <c r="AW424" s="50"/>
      <c r="AX424" s="50">
        <f t="shared" si="296"/>
        <v>-7754496.79</v>
      </c>
      <c r="AY424" s="50">
        <f t="shared" si="259"/>
        <v>9300000</v>
      </c>
      <c r="AZ424" s="50">
        <f t="shared" si="260"/>
        <v>1545503.21</v>
      </c>
      <c r="BA424" s="15">
        <f t="shared" si="293"/>
        <v>-6462.0806583333342</v>
      </c>
      <c r="BB424" s="15">
        <f t="shared" si="284"/>
        <v>-69513.649383333322</v>
      </c>
    </row>
    <row r="425" spans="2:54" s="58" customFormat="1" ht="17.25" customHeight="1" x14ac:dyDescent="0.3">
      <c r="B425" s="99">
        <f t="shared" si="287"/>
        <v>44757</v>
      </c>
      <c r="C425" s="44">
        <f t="shared" si="263"/>
        <v>-3985392.37</v>
      </c>
      <c r="D425" s="45">
        <v>182676.31</v>
      </c>
      <c r="E425" s="45">
        <v>-200000</v>
      </c>
      <c r="F425" s="45">
        <v>-49647.32</v>
      </c>
      <c r="G425" s="45">
        <f t="shared" si="288"/>
        <v>-4052363.38</v>
      </c>
      <c r="H425" s="44">
        <v>4300000</v>
      </c>
      <c r="I425" s="46">
        <f t="shared" si="264"/>
        <v>-3771005.21</v>
      </c>
      <c r="J425" s="47"/>
      <c r="K425" s="47">
        <v>235000</v>
      </c>
      <c r="L425" s="47">
        <v>-797375.1</v>
      </c>
      <c r="M425" s="47">
        <f t="shared" si="276"/>
        <v>-4333380.3099999996</v>
      </c>
      <c r="N425" s="46">
        <v>5000000</v>
      </c>
      <c r="O425" s="48">
        <f t="shared" si="265"/>
        <v>1722.5399999999927</v>
      </c>
      <c r="P425" s="55">
        <f>162.88+6050+25213.75</f>
        <v>31426.63</v>
      </c>
      <c r="Q425" s="55">
        <f>8000-35000</f>
        <v>-27000</v>
      </c>
      <c r="R425" s="55">
        <v>-10</v>
      </c>
      <c r="S425" s="55">
        <f t="shared" si="266"/>
        <v>6139.169999999991</v>
      </c>
      <c r="T425" s="48"/>
      <c r="U425" s="49">
        <f t="shared" si="267"/>
        <v>25.210000000000218</v>
      </c>
      <c r="V425" s="51">
        <v>8041.07</v>
      </c>
      <c r="W425" s="51">
        <f>-8000</f>
        <v>-8000</v>
      </c>
      <c r="X425" s="51">
        <v>-1.3</v>
      </c>
      <c r="Y425" s="51">
        <f t="shared" si="268"/>
        <v>64.979999999999748</v>
      </c>
      <c r="Z425" s="52"/>
      <c r="AA425" s="53">
        <f t="shared" si="269"/>
        <v>144.13999999989755</v>
      </c>
      <c r="AB425" s="54"/>
      <c r="AC425" s="54"/>
      <c r="AD425" s="54"/>
      <c r="AE425" s="54">
        <f t="shared" si="270"/>
        <v>144.13999999989755</v>
      </c>
      <c r="AF425" s="53"/>
      <c r="AG425" s="53">
        <f t="shared" ref="AG425:AG488" si="299">AK424</f>
        <v>8.9000000000000057</v>
      </c>
      <c r="AH425" s="54"/>
      <c r="AI425" s="54"/>
      <c r="AJ425" s="54"/>
      <c r="AK425" s="54">
        <f t="shared" si="271"/>
        <v>8.9000000000000057</v>
      </c>
      <c r="AL425" s="53"/>
      <c r="AM425" s="53">
        <f t="shared" si="256"/>
        <v>0</v>
      </c>
      <c r="AN425" s="54"/>
      <c r="AO425" s="54"/>
      <c r="AP425" s="54"/>
      <c r="AQ425" s="54">
        <f t="shared" si="257"/>
        <v>0</v>
      </c>
      <c r="AR425" s="53"/>
      <c r="AS425" s="50">
        <f t="shared" si="273"/>
        <v>-7754496.79</v>
      </c>
      <c r="AT425" s="73">
        <f t="shared" si="281"/>
        <v>222144.01</v>
      </c>
      <c r="AU425" s="50">
        <f t="shared" si="251"/>
        <v>0</v>
      </c>
      <c r="AV425" s="50">
        <f t="shared" si="282"/>
        <v>-847033.72</v>
      </c>
      <c r="AW425" s="50"/>
      <c r="AX425" s="50">
        <f t="shared" si="296"/>
        <v>-8379386.4999999991</v>
      </c>
      <c r="AY425" s="50">
        <f t="shared" si="259"/>
        <v>9300000</v>
      </c>
      <c r="AZ425" s="50">
        <f t="shared" si="260"/>
        <v>920613.50000000093</v>
      </c>
      <c r="BA425" s="15">
        <f t="shared" si="293"/>
        <v>-6982.8220833333326</v>
      </c>
      <c r="BB425" s="15">
        <f t="shared" si="284"/>
        <v>-76496.471466666655</v>
      </c>
    </row>
    <row r="426" spans="2:54" s="58" customFormat="1" x14ac:dyDescent="0.3">
      <c r="B426" s="99">
        <f t="shared" ref="B426" si="300">B425+3</f>
        <v>44760</v>
      </c>
      <c r="C426" s="44">
        <f t="shared" si="263"/>
        <v>-4052363.38</v>
      </c>
      <c r="D426" s="45"/>
      <c r="E426" s="45">
        <f>92000+70000</f>
        <v>162000</v>
      </c>
      <c r="F426" s="45">
        <f>-237569.23+24074.12</f>
        <v>-213495.11000000002</v>
      </c>
      <c r="G426" s="45">
        <f t="shared" si="288"/>
        <v>-4103858.4899999998</v>
      </c>
      <c r="H426" s="44">
        <v>4300000</v>
      </c>
      <c r="I426" s="46">
        <f t="shared" si="264"/>
        <v>-4333380.3099999996</v>
      </c>
      <c r="J426" s="47">
        <v>733225.51</v>
      </c>
      <c r="K426" s="47"/>
      <c r="L426" s="47">
        <v>-42688.000000000298</v>
      </c>
      <c r="M426" s="47">
        <f t="shared" si="276"/>
        <v>-3642842.8000000003</v>
      </c>
      <c r="N426" s="46">
        <v>5000000</v>
      </c>
      <c r="O426" s="48">
        <f t="shared" si="265"/>
        <v>6139.169999999991</v>
      </c>
      <c r="P426" s="55"/>
      <c r="Q426" s="55">
        <f>73000-70000</f>
        <v>3000</v>
      </c>
      <c r="R426" s="55">
        <v>-10</v>
      </c>
      <c r="S426" s="55">
        <f t="shared" si="266"/>
        <v>9129.169999999991</v>
      </c>
      <c r="T426" s="48"/>
      <c r="U426" s="49">
        <f t="shared" si="267"/>
        <v>64.979999999999748</v>
      </c>
      <c r="V426" s="51">
        <v>73118.53</v>
      </c>
      <c r="W426" s="51">
        <v>-73000</v>
      </c>
      <c r="X426" s="51">
        <v>-1.3</v>
      </c>
      <c r="Y426" s="51">
        <f t="shared" si="268"/>
        <v>182.20999999999475</v>
      </c>
      <c r="Z426" s="52"/>
      <c r="AA426" s="53">
        <f t="shared" si="269"/>
        <v>144.13999999989755</v>
      </c>
      <c r="AB426" s="54"/>
      <c r="AC426" s="54"/>
      <c r="AD426" s="54"/>
      <c r="AE426" s="54">
        <f t="shared" si="270"/>
        <v>144.13999999989755</v>
      </c>
      <c r="AF426" s="53"/>
      <c r="AG426" s="53">
        <f t="shared" si="299"/>
        <v>8.9000000000000057</v>
      </c>
      <c r="AH426" s="54">
        <v>92379.37</v>
      </c>
      <c r="AI426" s="54">
        <v>-92000</v>
      </c>
      <c r="AJ426" s="54"/>
      <c r="AK426" s="54">
        <f t="shared" si="271"/>
        <v>388.26999999998952</v>
      </c>
      <c r="AL426" s="53"/>
      <c r="AM426" s="53">
        <f t="shared" si="256"/>
        <v>0</v>
      </c>
      <c r="AN426" s="54"/>
      <c r="AO426" s="54"/>
      <c r="AP426" s="54"/>
      <c r="AQ426" s="54">
        <f t="shared" si="257"/>
        <v>0</v>
      </c>
      <c r="AR426" s="53"/>
      <c r="AS426" s="50">
        <f t="shared" si="273"/>
        <v>-8379386.4999999991</v>
      </c>
      <c r="AT426" s="73">
        <f t="shared" si="281"/>
        <v>898723.41</v>
      </c>
      <c r="AU426" s="50">
        <f t="shared" ref="AU426:AU489" si="301">SUM(E426,K426,Q426,W426,AC426,AI426)</f>
        <v>0</v>
      </c>
      <c r="AV426" s="50">
        <f t="shared" si="282"/>
        <v>-256194.41000000029</v>
      </c>
      <c r="AW426" s="50"/>
      <c r="AX426" s="50">
        <f t="shared" si="296"/>
        <v>-7736857.5000000009</v>
      </c>
      <c r="AY426" s="50">
        <f t="shared" si="259"/>
        <v>9300000</v>
      </c>
      <c r="AZ426" s="50">
        <f t="shared" si="260"/>
        <v>1563142.4999999991</v>
      </c>
      <c r="BA426" s="15">
        <f t="shared" si="293"/>
        <v>-6447.3812500000013</v>
      </c>
      <c r="BB426" s="15">
        <f t="shared" si="284"/>
        <v>-82943.852716666661</v>
      </c>
    </row>
    <row r="427" spans="2:54" s="58" customFormat="1" x14ac:dyDescent="0.3">
      <c r="B427" s="99">
        <f t="shared" ref="B427" si="302">B426+1</f>
        <v>44761</v>
      </c>
      <c r="C427" s="44">
        <f t="shared" si="263"/>
        <v>-4103858.4899999998</v>
      </c>
      <c r="D427" s="45">
        <f>183130.98-69305.8</f>
        <v>113825.18000000001</v>
      </c>
      <c r="E427" s="45"/>
      <c r="F427" s="45">
        <v>-24074.97</v>
      </c>
      <c r="G427" s="45">
        <f t="shared" si="288"/>
        <v>-4014108.28</v>
      </c>
      <c r="H427" s="44">
        <v>4300000</v>
      </c>
      <c r="I427" s="46">
        <f t="shared" si="264"/>
        <v>-3642842.8000000003</v>
      </c>
      <c r="J427" s="47"/>
      <c r="K427" s="47"/>
      <c r="L427" s="47">
        <v>-606837.74</v>
      </c>
      <c r="M427" s="47">
        <f t="shared" si="276"/>
        <v>-4249680.54</v>
      </c>
      <c r="N427" s="46">
        <v>5000000</v>
      </c>
      <c r="O427" s="48">
        <f t="shared" si="265"/>
        <v>9129.169999999991</v>
      </c>
      <c r="P427" s="55"/>
      <c r="Q427" s="55"/>
      <c r="R427" s="55"/>
      <c r="S427" s="55">
        <f t="shared" si="266"/>
        <v>9129.169999999991</v>
      </c>
      <c r="T427" s="48"/>
      <c r="U427" s="49">
        <f t="shared" si="267"/>
        <v>182.20999999999475</v>
      </c>
      <c r="V427" s="51"/>
      <c r="W427" s="51"/>
      <c r="X427" s="51"/>
      <c r="Y427" s="51">
        <f t="shared" si="268"/>
        <v>182.20999999999475</v>
      </c>
      <c r="Z427" s="52"/>
      <c r="AA427" s="53">
        <f t="shared" si="269"/>
        <v>144.13999999989755</v>
      </c>
      <c r="AB427" s="54"/>
      <c r="AC427" s="54"/>
      <c r="AD427" s="54"/>
      <c r="AE427" s="54">
        <f t="shared" si="270"/>
        <v>144.13999999989755</v>
      </c>
      <c r="AF427" s="53"/>
      <c r="AG427" s="53">
        <f t="shared" si="299"/>
        <v>388.26999999998952</v>
      </c>
      <c r="AH427" s="54"/>
      <c r="AI427" s="54"/>
      <c r="AJ427" s="54"/>
      <c r="AK427" s="54">
        <f t="shared" si="271"/>
        <v>388.26999999998952</v>
      </c>
      <c r="AL427" s="53"/>
      <c r="AM427" s="53">
        <f t="shared" si="256"/>
        <v>0</v>
      </c>
      <c r="AN427" s="54"/>
      <c r="AO427" s="54"/>
      <c r="AP427" s="54"/>
      <c r="AQ427" s="54">
        <f t="shared" si="257"/>
        <v>0</v>
      </c>
      <c r="AR427" s="53"/>
      <c r="AS427" s="50">
        <f t="shared" si="273"/>
        <v>-7736857.5000000009</v>
      </c>
      <c r="AT427" s="73">
        <f t="shared" si="281"/>
        <v>113825.18000000001</v>
      </c>
      <c r="AU427" s="50">
        <f t="shared" si="301"/>
        <v>0</v>
      </c>
      <c r="AV427" s="50">
        <f t="shared" si="282"/>
        <v>-630912.71</v>
      </c>
      <c r="AW427" s="50"/>
      <c r="AX427" s="50">
        <f t="shared" si="296"/>
        <v>-8253945.0300000012</v>
      </c>
      <c r="AY427" s="50">
        <f t="shared" si="259"/>
        <v>9300000</v>
      </c>
      <c r="AZ427" s="50">
        <f t="shared" si="260"/>
        <v>1046054.9699999988</v>
      </c>
      <c r="BA427" s="15">
        <f t="shared" si="293"/>
        <v>-6878.2875250000016</v>
      </c>
      <c r="BB427" s="15">
        <f t="shared" si="284"/>
        <v>-89822.140241666668</v>
      </c>
    </row>
    <row r="428" spans="2:54" s="58" customFormat="1" x14ac:dyDescent="0.3">
      <c r="B428" s="99">
        <f t="shared" si="287"/>
        <v>44762</v>
      </c>
      <c r="C428" s="44">
        <f t="shared" si="263"/>
        <v>-4014108.28</v>
      </c>
      <c r="D428" s="45">
        <f>69305.8+23340.49+71534.56</f>
        <v>164180.85</v>
      </c>
      <c r="E428" s="45">
        <v>-300000</v>
      </c>
      <c r="F428" s="45">
        <v>-638.28</v>
      </c>
      <c r="G428" s="45">
        <f t="shared" si="288"/>
        <v>-4150565.7099999995</v>
      </c>
      <c r="H428" s="44">
        <v>4300000</v>
      </c>
      <c r="I428" s="46">
        <f t="shared" si="264"/>
        <v>-4249680.54</v>
      </c>
      <c r="J428" s="47"/>
      <c r="K428" s="47">
        <f>300000+545000</f>
        <v>845000</v>
      </c>
      <c r="L428" s="47">
        <v>-1164972.21</v>
      </c>
      <c r="M428" s="47">
        <f t="shared" si="276"/>
        <v>-4569652.75</v>
      </c>
      <c r="N428" s="46">
        <v>5000000</v>
      </c>
      <c r="O428" s="48">
        <f t="shared" si="265"/>
        <v>9129.169999999991</v>
      </c>
      <c r="P428" s="55"/>
      <c r="Q428" s="55">
        <f>540000-545000</f>
        <v>-5000</v>
      </c>
      <c r="R428" s="55">
        <v>-10</v>
      </c>
      <c r="S428" s="55">
        <f t="shared" si="266"/>
        <v>4119.169999999991</v>
      </c>
      <c r="T428" s="48"/>
      <c r="U428" s="49">
        <f t="shared" si="267"/>
        <v>182.20999999999475</v>
      </c>
      <c r="V428" s="51">
        <v>540278.02</v>
      </c>
      <c r="W428" s="51">
        <v>-540000</v>
      </c>
      <c r="X428" s="51">
        <v>-1.3</v>
      </c>
      <c r="Y428" s="51">
        <f t="shared" si="268"/>
        <v>458.92999999998136</v>
      </c>
      <c r="Z428" s="52"/>
      <c r="AA428" s="53">
        <f t="shared" si="269"/>
        <v>144.13999999989755</v>
      </c>
      <c r="AB428" s="54"/>
      <c r="AC428" s="54"/>
      <c r="AD428" s="54"/>
      <c r="AE428" s="54">
        <f t="shared" si="270"/>
        <v>144.13999999989755</v>
      </c>
      <c r="AF428" s="53"/>
      <c r="AG428" s="53">
        <f t="shared" si="299"/>
        <v>388.26999999998952</v>
      </c>
      <c r="AH428" s="54"/>
      <c r="AI428" s="54"/>
      <c r="AJ428" s="54"/>
      <c r="AK428" s="54">
        <f t="shared" si="271"/>
        <v>388.26999999998952</v>
      </c>
      <c r="AL428" s="53"/>
      <c r="AM428" s="53">
        <f t="shared" si="256"/>
        <v>0</v>
      </c>
      <c r="AN428" s="54"/>
      <c r="AO428" s="54"/>
      <c r="AP428" s="54"/>
      <c r="AQ428" s="54">
        <f t="shared" si="257"/>
        <v>0</v>
      </c>
      <c r="AR428" s="53"/>
      <c r="AS428" s="50">
        <f t="shared" si="273"/>
        <v>-8253945.0300000012</v>
      </c>
      <c r="AT428" s="73">
        <f t="shared" si="281"/>
        <v>704458.87</v>
      </c>
      <c r="AU428" s="50">
        <f t="shared" si="301"/>
        <v>0</v>
      </c>
      <c r="AV428" s="50">
        <f t="shared" si="282"/>
        <v>-1165621.79</v>
      </c>
      <c r="AW428" s="50"/>
      <c r="AX428" s="50">
        <f t="shared" si="296"/>
        <v>-8715107.9499999993</v>
      </c>
      <c r="AY428" s="50">
        <f t="shared" si="259"/>
        <v>9300000</v>
      </c>
      <c r="AZ428" s="50">
        <f t="shared" si="260"/>
        <v>584892.05000000075</v>
      </c>
      <c r="BA428" s="15">
        <f t="shared" si="293"/>
        <v>-7262.589958333333</v>
      </c>
      <c r="BB428" s="15">
        <f t="shared" si="284"/>
        <v>-97084.730200000005</v>
      </c>
    </row>
    <row r="429" spans="2:54" s="58" customFormat="1" x14ac:dyDescent="0.3">
      <c r="B429" s="99">
        <f t="shared" si="287"/>
        <v>44763</v>
      </c>
      <c r="C429" s="44">
        <f t="shared" si="263"/>
        <v>-4150565.7099999995</v>
      </c>
      <c r="D429" s="45">
        <v>57421.38</v>
      </c>
      <c r="E429" s="45"/>
      <c r="F429" s="45"/>
      <c r="G429" s="45">
        <f t="shared" si="288"/>
        <v>-4093144.3299999996</v>
      </c>
      <c r="H429" s="44">
        <v>4300000</v>
      </c>
      <c r="I429" s="46">
        <f t="shared" si="264"/>
        <v>-4569652.75</v>
      </c>
      <c r="J429" s="47"/>
      <c r="K429" s="47">
        <v>230000</v>
      </c>
      <c r="L429" s="47">
        <v>-20818.900000000001</v>
      </c>
      <c r="M429" s="47">
        <f t="shared" si="276"/>
        <v>-4360471.6500000004</v>
      </c>
      <c r="N429" s="46">
        <v>5000000</v>
      </c>
      <c r="O429" s="48">
        <f t="shared" si="265"/>
        <v>4119.169999999991</v>
      </c>
      <c r="P429" s="55">
        <f>157.12+880.1</f>
        <v>1037.22</v>
      </c>
      <c r="Q429" s="55">
        <f>227000-230000</f>
        <v>-3000</v>
      </c>
      <c r="R429" s="55">
        <v>-10</v>
      </c>
      <c r="S429" s="55">
        <f t="shared" si="266"/>
        <v>2146.3899999999912</v>
      </c>
      <c r="T429" s="48"/>
      <c r="U429" s="49">
        <f t="shared" si="267"/>
        <v>458.92999999998136</v>
      </c>
      <c r="V429" s="51">
        <v>226907.9</v>
      </c>
      <c r="W429" s="51">
        <v>-227000</v>
      </c>
      <c r="X429" s="51">
        <v>-1.3</v>
      </c>
      <c r="Y429" s="51">
        <f t="shared" si="268"/>
        <v>365.52999999998718</v>
      </c>
      <c r="Z429" s="52"/>
      <c r="AA429" s="53">
        <f t="shared" si="269"/>
        <v>144.13999999989755</v>
      </c>
      <c r="AB429" s="54"/>
      <c r="AC429" s="54"/>
      <c r="AD429" s="54"/>
      <c r="AE429" s="54">
        <f t="shared" si="270"/>
        <v>144.13999999989755</v>
      </c>
      <c r="AF429" s="53"/>
      <c r="AG429" s="53">
        <f t="shared" si="299"/>
        <v>388.26999999998952</v>
      </c>
      <c r="AH429" s="54"/>
      <c r="AI429" s="54"/>
      <c r="AJ429" s="54"/>
      <c r="AK429" s="54">
        <f t="shared" si="271"/>
        <v>388.26999999998952</v>
      </c>
      <c r="AL429" s="53"/>
      <c r="AM429" s="53">
        <f t="shared" si="256"/>
        <v>0</v>
      </c>
      <c r="AN429" s="54"/>
      <c r="AO429" s="54"/>
      <c r="AP429" s="54"/>
      <c r="AQ429" s="54">
        <f t="shared" si="257"/>
        <v>0</v>
      </c>
      <c r="AR429" s="53"/>
      <c r="AS429" s="50">
        <f t="shared" si="273"/>
        <v>-8715107.9499999993</v>
      </c>
      <c r="AT429" s="73">
        <f t="shared" si="281"/>
        <v>285366.5</v>
      </c>
      <c r="AU429" s="50">
        <f t="shared" si="301"/>
        <v>0</v>
      </c>
      <c r="AV429" s="50">
        <f t="shared" si="282"/>
        <v>-20830.2</v>
      </c>
      <c r="AW429" s="50"/>
      <c r="AX429" s="50">
        <f t="shared" si="258"/>
        <v>-8450571.6500000004</v>
      </c>
      <c r="AY429" s="50">
        <f t="shared" si="259"/>
        <v>9300000</v>
      </c>
      <c r="AZ429" s="50">
        <f t="shared" si="260"/>
        <v>849428.34999999963</v>
      </c>
      <c r="BA429" s="15">
        <f t="shared" si="293"/>
        <v>-7042.1430416666672</v>
      </c>
      <c r="BB429" s="15">
        <f t="shared" si="284"/>
        <v>-104126.87324166668</v>
      </c>
    </row>
    <row r="430" spans="2:54" s="58" customFormat="1" x14ac:dyDescent="0.3">
      <c r="B430" s="99">
        <f t="shared" si="287"/>
        <v>44764</v>
      </c>
      <c r="C430" s="44">
        <f t="shared" si="263"/>
        <v>-4093144.3299999996</v>
      </c>
      <c r="D430" s="45">
        <v>19104.18</v>
      </c>
      <c r="E430" s="45"/>
      <c r="F430" s="45">
        <v>-0.85</v>
      </c>
      <c r="G430" s="45">
        <f t="shared" si="288"/>
        <v>-4074040.9999999995</v>
      </c>
      <c r="H430" s="44">
        <v>4300000</v>
      </c>
      <c r="I430" s="46">
        <f t="shared" si="264"/>
        <v>-4360471.6500000004</v>
      </c>
      <c r="J430" s="47">
        <f>6533.71+5101.98+153171.73</f>
        <v>164807.42000000001</v>
      </c>
      <c r="K430" s="47">
        <v>56000</v>
      </c>
      <c r="L430" s="47">
        <v>-46418.079999999602</v>
      </c>
      <c r="M430" s="47">
        <f t="shared" si="276"/>
        <v>-4186082.31</v>
      </c>
      <c r="N430" s="46">
        <v>5000000</v>
      </c>
      <c r="O430" s="48">
        <f t="shared" si="265"/>
        <v>2146.3899999999912</v>
      </c>
      <c r="P430" s="55">
        <v>18704.88</v>
      </c>
      <c r="Q430" s="55">
        <f>-56000+56500</f>
        <v>500</v>
      </c>
      <c r="R430" s="55"/>
      <c r="S430" s="55">
        <f t="shared" si="266"/>
        <v>21351.269999999993</v>
      </c>
      <c r="T430" s="48"/>
      <c r="U430" s="49">
        <f t="shared" si="267"/>
        <v>365.52999999998718</v>
      </c>
      <c r="V430" s="51">
        <v>56159.839999999997</v>
      </c>
      <c r="W430" s="51">
        <v>-56500</v>
      </c>
      <c r="X430" s="51">
        <v>-1.3</v>
      </c>
      <c r="Y430" s="51">
        <f t="shared" si="268"/>
        <v>24.069999999980791</v>
      </c>
      <c r="Z430" s="52"/>
      <c r="AA430" s="53">
        <f t="shared" si="269"/>
        <v>144.13999999989755</v>
      </c>
      <c r="AB430" s="54">
        <v>153290.42000000001</v>
      </c>
      <c r="AC430" s="54"/>
      <c r="AD430" s="54"/>
      <c r="AE430" s="54">
        <f t="shared" si="270"/>
        <v>153434.55999999991</v>
      </c>
      <c r="AF430" s="53"/>
      <c r="AG430" s="53">
        <f t="shared" si="299"/>
        <v>388.26999999998952</v>
      </c>
      <c r="AH430" s="54"/>
      <c r="AI430" s="54"/>
      <c r="AJ430" s="54"/>
      <c r="AK430" s="54">
        <f t="shared" si="271"/>
        <v>388.26999999998952</v>
      </c>
      <c r="AL430" s="53"/>
      <c r="AM430" s="53">
        <f t="shared" si="256"/>
        <v>0</v>
      </c>
      <c r="AN430" s="54"/>
      <c r="AO430" s="54"/>
      <c r="AP430" s="54"/>
      <c r="AQ430" s="54">
        <f t="shared" si="257"/>
        <v>0</v>
      </c>
      <c r="AR430" s="53"/>
      <c r="AS430" s="50">
        <f t="shared" si="273"/>
        <v>-8450571.6500000004</v>
      </c>
      <c r="AT430" s="73">
        <f t="shared" si="281"/>
        <v>412066.74</v>
      </c>
      <c r="AU430" s="50">
        <f t="shared" si="301"/>
        <v>0</v>
      </c>
      <c r="AV430" s="50">
        <f t="shared" si="282"/>
        <v>-46420.229999999603</v>
      </c>
      <c r="AW430" s="50"/>
      <c r="AX430" s="50">
        <f t="shared" si="258"/>
        <v>-8084925.1400000006</v>
      </c>
      <c r="AY430" s="50">
        <f t="shared" si="259"/>
        <v>9300000</v>
      </c>
      <c r="AZ430" s="50">
        <f t="shared" si="260"/>
        <v>1215074.8599999994</v>
      </c>
      <c r="BA430" s="15">
        <f t="shared" si="293"/>
        <v>-6737.437616666668</v>
      </c>
      <c r="BB430" s="15">
        <f t="shared" si="284"/>
        <v>-110864.31085833334</v>
      </c>
    </row>
    <row r="431" spans="2:54" s="58" customFormat="1" x14ac:dyDescent="0.3">
      <c r="B431" s="99">
        <f t="shared" ref="B431" si="303">B430+3</f>
        <v>44767</v>
      </c>
      <c r="C431" s="44">
        <f t="shared" si="263"/>
        <v>-4074040.9999999995</v>
      </c>
      <c r="D431" s="45">
        <v>287771.69</v>
      </c>
      <c r="E431" s="45"/>
      <c r="F431" s="45">
        <v>-42987.46</v>
      </c>
      <c r="G431" s="45">
        <f t="shared" si="288"/>
        <v>-3829256.7699999996</v>
      </c>
      <c r="H431" s="44">
        <v>4300000</v>
      </c>
      <c r="I431" s="46">
        <f t="shared" si="264"/>
        <v>-4186082.31</v>
      </c>
      <c r="J431" s="47"/>
      <c r="K431" s="47">
        <v>40000</v>
      </c>
      <c r="L431" s="47">
        <v>-71319.179999999906</v>
      </c>
      <c r="M431" s="47">
        <f t="shared" si="276"/>
        <v>-4217401.49</v>
      </c>
      <c r="N431" s="46">
        <v>5000000</v>
      </c>
      <c r="O431" s="48">
        <f t="shared" si="265"/>
        <v>21351.269999999993</v>
      </c>
      <c r="P431" s="55">
        <f>1003.52+24911.54</f>
        <v>25915.06</v>
      </c>
      <c r="Q431" s="55">
        <v>-40000</v>
      </c>
      <c r="R431" s="55">
        <v>-103</v>
      </c>
      <c r="S431" s="55">
        <f t="shared" si="266"/>
        <v>7163.3299999999945</v>
      </c>
      <c r="T431" s="48"/>
      <c r="U431" s="49">
        <f t="shared" si="267"/>
        <v>24.069999999980791</v>
      </c>
      <c r="V431" s="51"/>
      <c r="W431" s="51"/>
      <c r="X431" s="51"/>
      <c r="Y431" s="51">
        <f t="shared" si="268"/>
        <v>24.069999999980791</v>
      </c>
      <c r="Z431" s="52"/>
      <c r="AA431" s="53">
        <f t="shared" si="269"/>
        <v>153434.55999999991</v>
      </c>
      <c r="AB431" s="54"/>
      <c r="AC431" s="54"/>
      <c r="AD431" s="54"/>
      <c r="AE431" s="54">
        <f t="shared" si="270"/>
        <v>153434.55999999991</v>
      </c>
      <c r="AF431" s="53"/>
      <c r="AG431" s="53">
        <f t="shared" si="299"/>
        <v>388.26999999998952</v>
      </c>
      <c r="AH431" s="54"/>
      <c r="AI431" s="54"/>
      <c r="AJ431" s="54"/>
      <c r="AK431" s="54">
        <f t="shared" si="271"/>
        <v>388.26999999998952</v>
      </c>
      <c r="AL431" s="53"/>
      <c r="AM431" s="53">
        <f t="shared" si="256"/>
        <v>0</v>
      </c>
      <c r="AN431" s="54"/>
      <c r="AO431" s="54"/>
      <c r="AP431" s="54"/>
      <c r="AQ431" s="54">
        <f t="shared" si="257"/>
        <v>0</v>
      </c>
      <c r="AR431" s="53"/>
      <c r="AS431" s="50">
        <f t="shared" si="273"/>
        <v>-8084925.1400000006</v>
      </c>
      <c r="AT431" s="73">
        <f t="shared" si="281"/>
        <v>313686.75</v>
      </c>
      <c r="AU431" s="50">
        <f t="shared" si="301"/>
        <v>0</v>
      </c>
      <c r="AV431" s="50">
        <f t="shared" si="282"/>
        <v>-114409.6399999999</v>
      </c>
      <c r="AW431" s="50"/>
      <c r="AX431" s="50">
        <f t="shared" si="258"/>
        <v>-7885648.0300000003</v>
      </c>
      <c r="AY431" s="50">
        <f t="shared" si="259"/>
        <v>9300000</v>
      </c>
      <c r="AZ431" s="50">
        <f t="shared" si="260"/>
        <v>1414351.9699999997</v>
      </c>
      <c r="BA431" s="15">
        <f t="shared" si="293"/>
        <v>-6571.3733583333342</v>
      </c>
      <c r="BB431" s="15">
        <f t="shared" si="284"/>
        <v>-117435.68421666668</v>
      </c>
    </row>
    <row r="432" spans="2:54" s="58" customFormat="1" x14ac:dyDescent="0.3">
      <c r="B432" s="99">
        <f t="shared" ref="B432" si="304">B431+1</f>
        <v>44768</v>
      </c>
      <c r="C432" s="44">
        <f t="shared" si="263"/>
        <v>-3829256.7699999996</v>
      </c>
      <c r="D432" s="45"/>
      <c r="E432" s="45"/>
      <c r="F432" s="45">
        <v>-11000</v>
      </c>
      <c r="G432" s="45">
        <f t="shared" si="288"/>
        <v>-3840256.7699999996</v>
      </c>
      <c r="H432" s="44">
        <v>4300000</v>
      </c>
      <c r="I432" s="46">
        <f t="shared" si="264"/>
        <v>-4217401.49</v>
      </c>
      <c r="J432" s="47"/>
      <c r="K432" s="47">
        <v>152000</v>
      </c>
      <c r="L432" s="47">
        <v>-30889.149999999801</v>
      </c>
      <c r="M432" s="47">
        <f t="shared" si="276"/>
        <v>-4096290.64</v>
      </c>
      <c r="N432" s="46">
        <v>5000000</v>
      </c>
      <c r="O432" s="48">
        <f t="shared" si="265"/>
        <v>7163.3299999999945</v>
      </c>
      <c r="P432" s="55"/>
      <c r="Q432" s="55"/>
      <c r="R432" s="55"/>
      <c r="S432" s="55">
        <f t="shared" si="266"/>
        <v>7163.3299999999945</v>
      </c>
      <c r="T432" s="48"/>
      <c r="U432" s="49">
        <f t="shared" si="267"/>
        <v>24.069999999980791</v>
      </c>
      <c r="V432" s="51"/>
      <c r="W432" s="51"/>
      <c r="X432" s="51"/>
      <c r="Y432" s="51">
        <f t="shared" si="268"/>
        <v>24.069999999980791</v>
      </c>
      <c r="Z432" s="52"/>
      <c r="AA432" s="53">
        <f t="shared" si="269"/>
        <v>153434.55999999991</v>
      </c>
      <c r="AB432" s="54"/>
      <c r="AC432" s="54">
        <v>-152000</v>
      </c>
      <c r="AD432" s="54">
        <v>-382</v>
      </c>
      <c r="AE432" s="54">
        <f t="shared" si="270"/>
        <v>1052.5599999999104</v>
      </c>
      <c r="AF432" s="53"/>
      <c r="AG432" s="53">
        <f t="shared" si="299"/>
        <v>388.26999999998952</v>
      </c>
      <c r="AH432" s="54"/>
      <c r="AI432" s="54"/>
      <c r="AJ432" s="54"/>
      <c r="AK432" s="54">
        <f t="shared" si="271"/>
        <v>388.26999999998952</v>
      </c>
      <c r="AL432" s="53"/>
      <c r="AM432" s="53">
        <f t="shared" si="256"/>
        <v>0</v>
      </c>
      <c r="AN432" s="54"/>
      <c r="AO432" s="54"/>
      <c r="AP432" s="54"/>
      <c r="AQ432" s="54">
        <f t="shared" si="257"/>
        <v>0</v>
      </c>
      <c r="AR432" s="53"/>
      <c r="AS432" s="50">
        <f t="shared" si="273"/>
        <v>-7885648.0300000003</v>
      </c>
      <c r="AT432" s="73">
        <f t="shared" si="281"/>
        <v>0</v>
      </c>
      <c r="AU432" s="50">
        <f t="shared" si="301"/>
        <v>0</v>
      </c>
      <c r="AV432" s="50">
        <f t="shared" si="282"/>
        <v>-42271.149999999805</v>
      </c>
      <c r="AW432" s="50"/>
      <c r="AX432" s="50">
        <f t="shared" si="258"/>
        <v>-7927919.1800000006</v>
      </c>
      <c r="AY432" s="50">
        <f t="shared" si="259"/>
        <v>9300000</v>
      </c>
      <c r="AZ432" s="50">
        <f t="shared" si="260"/>
        <v>1372080.8199999994</v>
      </c>
      <c r="BA432" s="15">
        <f t="shared" si="293"/>
        <v>-6606.5993166666676</v>
      </c>
      <c r="BB432" s="15">
        <f t="shared" si="284"/>
        <v>-124042.28353333335</v>
      </c>
    </row>
    <row r="433" spans="2:54" s="58" customFormat="1" x14ac:dyDescent="0.3">
      <c r="B433" s="99">
        <f t="shared" si="287"/>
        <v>44769</v>
      </c>
      <c r="C433" s="44">
        <f t="shared" si="263"/>
        <v>-3840256.7699999996</v>
      </c>
      <c r="D433" s="45">
        <v>566128.10000000009</v>
      </c>
      <c r="E433" s="45">
        <v>-200000</v>
      </c>
      <c r="F433" s="45"/>
      <c r="G433" s="45">
        <f t="shared" si="288"/>
        <v>-3474128.6699999995</v>
      </c>
      <c r="H433" s="44">
        <v>4300000</v>
      </c>
      <c r="I433" s="46">
        <f t="shared" si="264"/>
        <v>-4096290.64</v>
      </c>
      <c r="J433" s="47">
        <f>168875+40661.07+9291.15+21265.75</f>
        <v>240092.97</v>
      </c>
      <c r="K433" s="47">
        <v>200000</v>
      </c>
      <c r="L433" s="47">
        <v>-808729.58</v>
      </c>
      <c r="M433" s="47">
        <f t="shared" si="276"/>
        <v>-4464927.25</v>
      </c>
      <c r="N433" s="46">
        <v>5000000</v>
      </c>
      <c r="O433" s="48">
        <f t="shared" si="265"/>
        <v>7163.3299999999945</v>
      </c>
      <c r="P433" s="55"/>
      <c r="Q433" s="55">
        <v>25000</v>
      </c>
      <c r="R433" s="55"/>
      <c r="S433" s="55">
        <f t="shared" si="266"/>
        <v>32163.329999999994</v>
      </c>
      <c r="T433" s="48"/>
      <c r="U433" s="49">
        <f t="shared" si="267"/>
        <v>24.069999999980791</v>
      </c>
      <c r="V433" s="51">
        <v>25148.05</v>
      </c>
      <c r="W433" s="51">
        <v>-25000</v>
      </c>
      <c r="X433" s="51">
        <v>-1.3</v>
      </c>
      <c r="Y433" s="51">
        <f t="shared" si="268"/>
        <v>170.81999999998078</v>
      </c>
      <c r="Z433" s="52"/>
      <c r="AA433" s="53">
        <f t="shared" si="269"/>
        <v>1052.5599999999104</v>
      </c>
      <c r="AB433" s="54"/>
      <c r="AC433" s="54"/>
      <c r="AD433" s="54"/>
      <c r="AE433" s="54">
        <f t="shared" si="270"/>
        <v>1052.5599999999104</v>
      </c>
      <c r="AF433" s="53"/>
      <c r="AG433" s="53">
        <f t="shared" si="299"/>
        <v>388.26999999998952</v>
      </c>
      <c r="AH433" s="54"/>
      <c r="AI433" s="54"/>
      <c r="AJ433" s="54"/>
      <c r="AK433" s="54">
        <f t="shared" si="271"/>
        <v>388.26999999998952</v>
      </c>
      <c r="AL433" s="53"/>
      <c r="AM433" s="53">
        <f t="shared" si="256"/>
        <v>0</v>
      </c>
      <c r="AN433" s="54"/>
      <c r="AO433" s="54"/>
      <c r="AP433" s="54"/>
      <c r="AQ433" s="54">
        <f t="shared" si="257"/>
        <v>0</v>
      </c>
      <c r="AR433" s="53"/>
      <c r="AS433" s="50">
        <f t="shared" si="273"/>
        <v>-7927919.1800000006</v>
      </c>
      <c r="AT433" s="73">
        <f t="shared" si="281"/>
        <v>831369.12000000011</v>
      </c>
      <c r="AU433" s="50">
        <f t="shared" si="301"/>
        <v>0</v>
      </c>
      <c r="AV433" s="50">
        <f t="shared" si="282"/>
        <v>-808730.88</v>
      </c>
      <c r="AW433" s="50"/>
      <c r="AX433" s="50">
        <f t="shared" si="258"/>
        <v>-7905280.9400000004</v>
      </c>
      <c r="AY433" s="50">
        <f t="shared" si="259"/>
        <v>9300000</v>
      </c>
      <c r="AZ433" s="50">
        <f t="shared" si="260"/>
        <v>1394719.0599999996</v>
      </c>
      <c r="BA433" s="15">
        <f t="shared" si="293"/>
        <v>-6587.7341166666674</v>
      </c>
      <c r="BB433" s="15">
        <f t="shared" si="284"/>
        <v>-130630.01765000002</v>
      </c>
    </row>
    <row r="434" spans="2:54" s="58" customFormat="1" x14ac:dyDescent="0.3">
      <c r="B434" s="99">
        <f t="shared" si="287"/>
        <v>44770</v>
      </c>
      <c r="C434" s="44">
        <f t="shared" si="263"/>
        <v>-3474128.6699999995</v>
      </c>
      <c r="D434" s="45">
        <v>317121.15999999997</v>
      </c>
      <c r="E434" s="45"/>
      <c r="F434" s="45"/>
      <c r="G434" s="45">
        <f t="shared" si="288"/>
        <v>-3157007.5099999993</v>
      </c>
      <c r="H434" s="44">
        <v>4300000</v>
      </c>
      <c r="I434" s="46">
        <f t="shared" si="264"/>
        <v>-4464927.25</v>
      </c>
      <c r="J434" s="47">
        <v>97785.63</v>
      </c>
      <c r="K434" s="47">
        <v>324000</v>
      </c>
      <c r="L434" s="47">
        <v>-80508.409999999902</v>
      </c>
      <c r="M434" s="47">
        <f t="shared" si="276"/>
        <v>-4123650.03</v>
      </c>
      <c r="N434" s="46">
        <v>5000000</v>
      </c>
      <c r="O434" s="48">
        <f t="shared" si="265"/>
        <v>32163.329999999994</v>
      </c>
      <c r="P434" s="55"/>
      <c r="Q434" s="55"/>
      <c r="R434" s="55"/>
      <c r="S434" s="55">
        <f t="shared" si="266"/>
        <v>32163.329999999994</v>
      </c>
      <c r="T434" s="48"/>
      <c r="U434" s="49">
        <f t="shared" si="267"/>
        <v>170.81999999998078</v>
      </c>
      <c r="V434" s="51"/>
      <c r="W434" s="51"/>
      <c r="X434" s="51"/>
      <c r="Y434" s="51">
        <f t="shared" si="268"/>
        <v>170.81999999998078</v>
      </c>
      <c r="Z434" s="52"/>
      <c r="AA434" s="53">
        <f t="shared" si="269"/>
        <v>1052.5599999999104</v>
      </c>
      <c r="AB434" s="54"/>
      <c r="AC434" s="54">
        <f>-324000+323800</f>
        <v>-200</v>
      </c>
      <c r="AD434" s="54"/>
      <c r="AE434" s="54">
        <f t="shared" si="270"/>
        <v>852.55999999991036</v>
      </c>
      <c r="AF434" s="53"/>
      <c r="AG434" s="53">
        <f t="shared" si="299"/>
        <v>388.26999999998952</v>
      </c>
      <c r="AH434" s="54">
        <f>101238.55+222243.24</f>
        <v>323481.78999999998</v>
      </c>
      <c r="AI434" s="54">
        <v>-323800</v>
      </c>
      <c r="AJ434" s="54"/>
      <c r="AK434" s="54">
        <f t="shared" si="271"/>
        <v>70.059999999939464</v>
      </c>
      <c r="AL434" s="53"/>
      <c r="AM434" s="53">
        <f t="shared" si="256"/>
        <v>0</v>
      </c>
      <c r="AN434" s="54"/>
      <c r="AO434" s="54"/>
      <c r="AP434" s="54"/>
      <c r="AQ434" s="54">
        <f t="shared" si="257"/>
        <v>0</v>
      </c>
      <c r="AR434" s="53"/>
      <c r="AS434" s="50">
        <f t="shared" si="273"/>
        <v>-7905280.9400000004</v>
      </c>
      <c r="AT434" s="73">
        <f t="shared" si="281"/>
        <v>738388.58</v>
      </c>
      <c r="AU434" s="50">
        <f t="shared" si="301"/>
        <v>0</v>
      </c>
      <c r="AV434" s="50">
        <f t="shared" si="282"/>
        <v>-80508.409999999902</v>
      </c>
      <c r="AW434" s="50"/>
      <c r="AX434" s="50">
        <f t="shared" si="258"/>
        <v>-7247400.7699999996</v>
      </c>
      <c r="AY434" s="50">
        <f t="shared" si="259"/>
        <v>9300000</v>
      </c>
      <c r="AZ434" s="50">
        <f t="shared" si="260"/>
        <v>2052599.2300000004</v>
      </c>
      <c r="BA434" s="15">
        <f t="shared" si="293"/>
        <v>-6039.5006416666665</v>
      </c>
      <c r="BB434" s="15">
        <f t="shared" si="284"/>
        <v>-136669.5182916667</v>
      </c>
    </row>
    <row r="435" spans="2:54" s="58" customFormat="1" x14ac:dyDescent="0.3">
      <c r="B435" s="99">
        <f t="shared" si="287"/>
        <v>44771</v>
      </c>
      <c r="C435" s="44">
        <f t="shared" si="263"/>
        <v>-3157007.5099999993</v>
      </c>
      <c r="D435" s="45">
        <f>36521.54+61670.71+16964.33</f>
        <v>115156.58</v>
      </c>
      <c r="E435" s="45">
        <v>-1000000</v>
      </c>
      <c r="F435" s="45">
        <v>-72355.39</v>
      </c>
      <c r="G435" s="45">
        <f t="shared" si="288"/>
        <v>-4114206.3199999994</v>
      </c>
      <c r="H435" s="44">
        <v>4300000</v>
      </c>
      <c r="I435" s="46">
        <f t="shared" si="264"/>
        <v>-4123650.03</v>
      </c>
      <c r="J435" s="47">
        <v>631284.77000000014</v>
      </c>
      <c r="K435" s="47">
        <f>1000000+89000</f>
        <v>1089000</v>
      </c>
      <c r="L435" s="47">
        <v>-31206.429999999775</v>
      </c>
      <c r="M435" s="47">
        <f t="shared" si="276"/>
        <v>-2434571.6899999995</v>
      </c>
      <c r="N435" s="46">
        <v>5000000</v>
      </c>
      <c r="O435" s="48">
        <f t="shared" si="265"/>
        <v>32163.329999999994</v>
      </c>
      <c r="P435" s="55">
        <f>9084.68</f>
        <v>9084.68</v>
      </c>
      <c r="Q435" s="55"/>
      <c r="R435" s="55">
        <v>-4057.8</v>
      </c>
      <c r="S435" s="55">
        <f t="shared" si="266"/>
        <v>37190.209999999992</v>
      </c>
      <c r="T435" s="48"/>
      <c r="U435" s="49">
        <f t="shared" si="267"/>
        <v>170.81999999998078</v>
      </c>
      <c r="V435" s="51"/>
      <c r="W435" s="51"/>
      <c r="X435" s="51"/>
      <c r="Y435" s="51">
        <f t="shared" si="268"/>
        <v>170.81999999998078</v>
      </c>
      <c r="Z435" s="52"/>
      <c r="AA435" s="53">
        <f t="shared" si="269"/>
        <v>852.55999999991036</v>
      </c>
      <c r="AB435" s="54"/>
      <c r="AC435" s="54"/>
      <c r="AD435" s="54"/>
      <c r="AE435" s="54">
        <f t="shared" si="270"/>
        <v>852.55999999991036</v>
      </c>
      <c r="AF435" s="53"/>
      <c r="AG435" s="53">
        <f t="shared" si="299"/>
        <v>70.059999999939464</v>
      </c>
      <c r="AH435" s="54">
        <v>89032.67</v>
      </c>
      <c r="AI435" s="54">
        <v>-89000</v>
      </c>
      <c r="AJ435" s="54">
        <v>-60</v>
      </c>
      <c r="AK435" s="54">
        <f t="shared" si="271"/>
        <v>42.729999999937718</v>
      </c>
      <c r="AL435" s="53"/>
      <c r="AM435" s="53">
        <f t="shared" si="256"/>
        <v>0</v>
      </c>
      <c r="AN435" s="54"/>
      <c r="AO435" s="54"/>
      <c r="AP435" s="54"/>
      <c r="AQ435" s="54">
        <f t="shared" si="257"/>
        <v>0</v>
      </c>
      <c r="AR435" s="53"/>
      <c r="AS435" s="50">
        <f t="shared" si="273"/>
        <v>-7247400.7699999996</v>
      </c>
      <c r="AT435" s="73">
        <f t="shared" si="281"/>
        <v>844558.70000000019</v>
      </c>
      <c r="AU435" s="50">
        <f t="shared" si="301"/>
        <v>0</v>
      </c>
      <c r="AV435" s="50">
        <f t="shared" si="282"/>
        <v>-107679.61999999978</v>
      </c>
      <c r="AW435" s="50"/>
      <c r="AX435" s="50">
        <f t="shared" si="258"/>
        <v>-6510521.6899999995</v>
      </c>
      <c r="AY435" s="50">
        <f t="shared" si="259"/>
        <v>9300000</v>
      </c>
      <c r="AZ435" s="50">
        <f t="shared" si="260"/>
        <v>2789478.3100000005</v>
      </c>
      <c r="BA435" s="82">
        <f t="shared" si="293"/>
        <v>-5425.4347416666669</v>
      </c>
      <c r="BB435" s="82">
        <f t="shared" si="284"/>
        <v>-142094.95303333335</v>
      </c>
    </row>
    <row r="436" spans="2:54" s="58" customFormat="1" x14ac:dyDescent="0.3">
      <c r="B436" s="99">
        <f t="shared" ref="B436" si="305">B435+3</f>
        <v>44774</v>
      </c>
      <c r="C436" s="44">
        <f t="shared" si="263"/>
        <v>-4114206.3199999994</v>
      </c>
      <c r="D436" s="45">
        <v>176280.56</v>
      </c>
      <c r="E436" s="45">
        <v>-50000</v>
      </c>
      <c r="F436" s="45">
        <v>-92370.06</v>
      </c>
      <c r="G436" s="45">
        <f t="shared" si="288"/>
        <v>-4080295.8199999994</v>
      </c>
      <c r="H436" s="44">
        <v>4300000</v>
      </c>
      <c r="I436" s="46">
        <f t="shared" si="264"/>
        <v>-2434571.6899999995</v>
      </c>
      <c r="J436" s="47">
        <v>178852.07</v>
      </c>
      <c r="K436" s="47">
        <f>50000+90000+195000</f>
        <v>335000</v>
      </c>
      <c r="L436" s="47">
        <v>-2435369.56</v>
      </c>
      <c r="M436" s="47">
        <f t="shared" si="276"/>
        <v>-4356089.18</v>
      </c>
      <c r="N436" s="46">
        <v>5000000</v>
      </c>
      <c r="O436" s="48">
        <f t="shared" si="265"/>
        <v>37190.209999999992</v>
      </c>
      <c r="P436" s="55">
        <v>198095.59</v>
      </c>
      <c r="Q436" s="55">
        <f>-90000-195000+54900</f>
        <v>-230100</v>
      </c>
      <c r="R436" s="55">
        <f>-1377.36-280-20</f>
        <v>-1677.36</v>
      </c>
      <c r="S436" s="55">
        <f t="shared" si="266"/>
        <v>3508.4399999999887</v>
      </c>
      <c r="T436" s="48"/>
      <c r="U436" s="49">
        <f t="shared" si="267"/>
        <v>170.81999999998078</v>
      </c>
      <c r="V436" s="51">
        <v>54823.42</v>
      </c>
      <c r="W436" s="51">
        <v>-54900</v>
      </c>
      <c r="X436" s="51"/>
      <c r="Y436" s="51">
        <f t="shared" si="268"/>
        <v>94.239999999976135</v>
      </c>
      <c r="Z436" s="52"/>
      <c r="AA436" s="53">
        <f t="shared" si="269"/>
        <v>852.55999999991036</v>
      </c>
      <c r="AB436" s="54"/>
      <c r="AC436" s="54"/>
      <c r="AD436" s="54">
        <f>-338.31+1.2</f>
        <v>-337.11</v>
      </c>
      <c r="AE436" s="54">
        <f t="shared" si="270"/>
        <v>515.44999999991035</v>
      </c>
      <c r="AF436" s="53"/>
      <c r="AG436" s="53">
        <f t="shared" si="299"/>
        <v>42.729999999937718</v>
      </c>
      <c r="AH436" s="54"/>
      <c r="AI436" s="54"/>
      <c r="AJ436" s="54"/>
      <c r="AK436" s="54">
        <f t="shared" si="271"/>
        <v>42.729999999937718</v>
      </c>
      <c r="AL436" s="53"/>
      <c r="AM436" s="53">
        <f t="shared" si="256"/>
        <v>0</v>
      </c>
      <c r="AN436" s="54"/>
      <c r="AO436" s="54"/>
      <c r="AP436" s="54"/>
      <c r="AQ436" s="54">
        <f t="shared" si="257"/>
        <v>0</v>
      </c>
      <c r="AR436" s="53"/>
      <c r="AS436" s="50">
        <f t="shared" si="273"/>
        <v>-6510521.6899999995</v>
      </c>
      <c r="AT436" s="73">
        <f t="shared" si="281"/>
        <v>608051.64</v>
      </c>
      <c r="AU436" s="50">
        <f t="shared" si="301"/>
        <v>0</v>
      </c>
      <c r="AV436" s="50">
        <f t="shared" si="282"/>
        <v>-2529754.09</v>
      </c>
      <c r="AW436" s="50"/>
      <c r="AX436" s="50">
        <f t="shared" si="258"/>
        <v>-8432224.1400000006</v>
      </c>
      <c r="AY436" s="50">
        <f t="shared" si="259"/>
        <v>9300000</v>
      </c>
      <c r="AZ436" s="50">
        <f t="shared" si="260"/>
        <v>867775.8599999994</v>
      </c>
      <c r="BA436" s="15">
        <f t="shared" si="293"/>
        <v>-7026.8534500000005</v>
      </c>
      <c r="BB436" s="15">
        <f>BA436</f>
        <v>-7026.8534500000005</v>
      </c>
    </row>
    <row r="437" spans="2:54" s="58" customFormat="1" x14ac:dyDescent="0.3">
      <c r="B437" s="99">
        <f t="shared" ref="B437" si="306">B436+1</f>
        <v>44775</v>
      </c>
      <c r="C437" s="44">
        <f t="shared" si="263"/>
        <v>-4080295.8199999994</v>
      </c>
      <c r="D437" s="45">
        <v>15313.99</v>
      </c>
      <c r="E437" s="45"/>
      <c r="F437" s="45">
        <v>-216713.66</v>
      </c>
      <c r="G437" s="45">
        <f t="shared" si="288"/>
        <v>-4281695.4899999993</v>
      </c>
      <c r="H437" s="44">
        <v>4300000</v>
      </c>
      <c r="I437" s="46">
        <f t="shared" si="264"/>
        <v>-4356089.18</v>
      </c>
      <c r="J437" s="47"/>
      <c r="K437" s="47"/>
      <c r="L437" s="47">
        <v>-147031.78</v>
      </c>
      <c r="M437" s="47">
        <f t="shared" si="276"/>
        <v>-4503120.96</v>
      </c>
      <c r="N437" s="46">
        <v>5000000</v>
      </c>
      <c r="O437" s="48">
        <f t="shared" si="265"/>
        <v>3508.4399999999887</v>
      </c>
      <c r="P437" s="55"/>
      <c r="Q437" s="55"/>
      <c r="R437" s="55"/>
      <c r="S437" s="55">
        <f t="shared" si="266"/>
        <v>3508.4399999999887</v>
      </c>
      <c r="T437" s="48"/>
      <c r="U437" s="49">
        <f t="shared" si="267"/>
        <v>94.239999999976135</v>
      </c>
      <c r="V437" s="51"/>
      <c r="W437" s="51"/>
      <c r="X437" s="51">
        <v>-61.25</v>
      </c>
      <c r="Y437" s="51">
        <f t="shared" si="268"/>
        <v>32.989999999976135</v>
      </c>
      <c r="Z437" s="52"/>
      <c r="AA437" s="53">
        <f t="shared" si="269"/>
        <v>515.44999999991035</v>
      </c>
      <c r="AB437" s="54"/>
      <c r="AC437" s="54"/>
      <c r="AD437" s="54"/>
      <c r="AE437" s="54">
        <f t="shared" si="270"/>
        <v>515.44999999991035</v>
      </c>
      <c r="AF437" s="53"/>
      <c r="AG437" s="53">
        <f t="shared" si="299"/>
        <v>42.729999999937718</v>
      </c>
      <c r="AH437" s="54"/>
      <c r="AI437" s="54"/>
      <c r="AJ437" s="54"/>
      <c r="AK437" s="54">
        <f t="shared" si="271"/>
        <v>42.729999999937718</v>
      </c>
      <c r="AL437" s="53"/>
      <c r="AM437" s="53">
        <f t="shared" ref="AM437:AM500" si="307">AQ436</f>
        <v>0</v>
      </c>
      <c r="AN437" s="54"/>
      <c r="AO437" s="54"/>
      <c r="AP437" s="54"/>
      <c r="AQ437" s="54">
        <f t="shared" ref="AQ437:AQ500" si="308">SUM(AM437:AP437)</f>
        <v>0</v>
      </c>
      <c r="AR437" s="53"/>
      <c r="AS437" s="50">
        <f t="shared" si="273"/>
        <v>-8432224.1400000006</v>
      </c>
      <c r="AT437" s="73">
        <f t="shared" si="281"/>
        <v>15313.99</v>
      </c>
      <c r="AU437" s="50">
        <f t="shared" si="301"/>
        <v>0</v>
      </c>
      <c r="AV437" s="50">
        <f t="shared" si="282"/>
        <v>-363806.69</v>
      </c>
      <c r="AW437" s="50"/>
      <c r="AX437" s="50">
        <f t="shared" si="258"/>
        <v>-8780716.8399999999</v>
      </c>
      <c r="AY437" s="50">
        <f t="shared" si="259"/>
        <v>9300000</v>
      </c>
      <c r="AZ437" s="50">
        <f t="shared" si="260"/>
        <v>519283.16000000015</v>
      </c>
      <c r="BA437" s="15">
        <f t="shared" si="293"/>
        <v>-7317.2640333333338</v>
      </c>
      <c r="BB437" s="15">
        <f t="shared" si="284"/>
        <v>-14344.117483333335</v>
      </c>
    </row>
    <row r="438" spans="2:54" s="58" customFormat="1" x14ac:dyDescent="0.3">
      <c r="B438" s="99">
        <f t="shared" si="287"/>
        <v>44776</v>
      </c>
      <c r="C438" s="44">
        <f t="shared" si="263"/>
        <v>-4281695.4899999993</v>
      </c>
      <c r="D438" s="45"/>
      <c r="E438" s="45"/>
      <c r="F438" s="45">
        <f>-11-0.85-304-1222.88</f>
        <v>-1538.73</v>
      </c>
      <c r="G438" s="45">
        <f t="shared" si="288"/>
        <v>-4283234.22</v>
      </c>
      <c r="H438" s="44">
        <v>4300000</v>
      </c>
      <c r="I438" s="46">
        <f t="shared" si="264"/>
        <v>-4503120.96</v>
      </c>
      <c r="J438" s="47"/>
      <c r="K438" s="47"/>
      <c r="L438" s="47">
        <v>-151250.04</v>
      </c>
      <c r="M438" s="47">
        <f t="shared" si="276"/>
        <v>-4654371</v>
      </c>
      <c r="N438" s="46">
        <v>5000000</v>
      </c>
      <c r="O438" s="48">
        <f t="shared" si="265"/>
        <v>3508.4399999999887</v>
      </c>
      <c r="P438" s="55"/>
      <c r="Q438" s="55"/>
      <c r="R438" s="55"/>
      <c r="S438" s="55">
        <f t="shared" si="266"/>
        <v>3508.4399999999887</v>
      </c>
      <c r="T438" s="48"/>
      <c r="U438" s="49">
        <f t="shared" si="267"/>
        <v>32.989999999976135</v>
      </c>
      <c r="V438" s="51"/>
      <c r="W438" s="51"/>
      <c r="X438" s="51"/>
      <c r="Y438" s="51">
        <f t="shared" si="268"/>
        <v>32.989999999976135</v>
      </c>
      <c r="Z438" s="52"/>
      <c r="AA438" s="53">
        <f t="shared" si="269"/>
        <v>515.44999999991035</v>
      </c>
      <c r="AB438" s="54"/>
      <c r="AC438" s="54"/>
      <c r="AD438" s="54"/>
      <c r="AE438" s="54">
        <f t="shared" si="270"/>
        <v>515.44999999991035</v>
      </c>
      <c r="AF438" s="53"/>
      <c r="AG438" s="53">
        <f t="shared" si="299"/>
        <v>42.729999999937718</v>
      </c>
      <c r="AH438" s="54"/>
      <c r="AI438" s="54"/>
      <c r="AJ438" s="54"/>
      <c r="AK438" s="54">
        <f t="shared" si="271"/>
        <v>42.729999999937718</v>
      </c>
      <c r="AL438" s="53"/>
      <c r="AM438" s="53">
        <f t="shared" si="307"/>
        <v>0</v>
      </c>
      <c r="AN438" s="54"/>
      <c r="AO438" s="54"/>
      <c r="AP438" s="54"/>
      <c r="AQ438" s="54">
        <f t="shared" si="308"/>
        <v>0</v>
      </c>
      <c r="AR438" s="53"/>
      <c r="AS438" s="50">
        <f t="shared" si="273"/>
        <v>-8780716.8399999999</v>
      </c>
      <c r="AT438" s="73">
        <f t="shared" si="281"/>
        <v>0</v>
      </c>
      <c r="AU438" s="50">
        <f t="shared" si="301"/>
        <v>0</v>
      </c>
      <c r="AV438" s="50">
        <f t="shared" si="282"/>
        <v>-152788.77000000002</v>
      </c>
      <c r="AW438" s="50"/>
      <c r="AX438" s="50">
        <f t="shared" ref="AX438:AX501" si="309">SUM(G438,M438,S438,Y438,AE438,AK438)</f>
        <v>-8933505.6099999994</v>
      </c>
      <c r="AY438" s="50">
        <f t="shared" ref="AY438:AY501" si="310">SUM(H438,N438,T438,Z438,AF438,AL438)</f>
        <v>9300000</v>
      </c>
      <c r="AZ438" s="50">
        <f t="shared" ref="AZ438:AZ501" si="311">AX438+AY438</f>
        <v>366494.3900000006</v>
      </c>
      <c r="BA438" s="15">
        <f t="shared" si="293"/>
        <v>-7444.5880083333332</v>
      </c>
      <c r="BB438" s="15">
        <f t="shared" si="284"/>
        <v>-21788.705491666668</v>
      </c>
    </row>
    <row r="439" spans="2:54" s="58" customFormat="1" x14ac:dyDescent="0.3">
      <c r="B439" s="99">
        <f t="shared" si="287"/>
        <v>44777</v>
      </c>
      <c r="C439" s="44">
        <f t="shared" si="263"/>
        <v>-4283234.22</v>
      </c>
      <c r="D439" s="45">
        <v>23227.87</v>
      </c>
      <c r="E439" s="45"/>
      <c r="F439" s="45">
        <v>-1409.36</v>
      </c>
      <c r="G439" s="45">
        <f t="shared" si="288"/>
        <v>-4261415.71</v>
      </c>
      <c r="H439" s="44">
        <v>4300000</v>
      </c>
      <c r="I439" s="46">
        <f t="shared" si="264"/>
        <v>-4654371</v>
      </c>
      <c r="J439" s="47">
        <v>1032167.1400000001</v>
      </c>
      <c r="K439" s="47"/>
      <c r="L439" s="47">
        <v>-34485.1</v>
      </c>
      <c r="M439" s="47">
        <f t="shared" si="276"/>
        <v>-3656688.96</v>
      </c>
      <c r="N439" s="46">
        <v>5000000</v>
      </c>
      <c r="O439" s="48">
        <f t="shared" si="265"/>
        <v>3508.4399999999887</v>
      </c>
      <c r="P439" s="55">
        <f>9446.26+372153.44</f>
        <v>381599.7</v>
      </c>
      <c r="Q439" s="55"/>
      <c r="R439" s="55"/>
      <c r="S439" s="55">
        <f t="shared" si="266"/>
        <v>385108.14</v>
      </c>
      <c r="T439" s="48"/>
      <c r="U439" s="49">
        <f t="shared" si="267"/>
        <v>32.989999999976135</v>
      </c>
      <c r="V439" s="51"/>
      <c r="W439" s="51"/>
      <c r="X439" s="51"/>
      <c r="Y439" s="51">
        <f t="shared" si="268"/>
        <v>32.989999999976135</v>
      </c>
      <c r="Z439" s="52"/>
      <c r="AA439" s="53">
        <f t="shared" si="269"/>
        <v>515.44999999991035</v>
      </c>
      <c r="AB439" s="54"/>
      <c r="AC439" s="54"/>
      <c r="AD439" s="54"/>
      <c r="AE439" s="54">
        <f t="shared" si="270"/>
        <v>515.44999999991035</v>
      </c>
      <c r="AF439" s="53"/>
      <c r="AG439" s="53">
        <f t="shared" si="299"/>
        <v>42.729999999937718</v>
      </c>
      <c r="AH439" s="54"/>
      <c r="AI439" s="54"/>
      <c r="AJ439" s="54"/>
      <c r="AK439" s="54">
        <f t="shared" si="271"/>
        <v>42.729999999937718</v>
      </c>
      <c r="AL439" s="53"/>
      <c r="AM439" s="53">
        <f t="shared" si="307"/>
        <v>0</v>
      </c>
      <c r="AN439" s="54"/>
      <c r="AO439" s="54"/>
      <c r="AP439" s="54"/>
      <c r="AQ439" s="54">
        <f t="shared" si="308"/>
        <v>0</v>
      </c>
      <c r="AR439" s="53"/>
      <c r="AS439" s="50">
        <f t="shared" si="273"/>
        <v>-8933505.6099999994</v>
      </c>
      <c r="AT439" s="73">
        <f t="shared" si="281"/>
        <v>1436994.7100000002</v>
      </c>
      <c r="AU439" s="50">
        <f t="shared" si="301"/>
        <v>0</v>
      </c>
      <c r="AV439" s="50">
        <f t="shared" si="282"/>
        <v>-35894.46</v>
      </c>
      <c r="AW439" s="50"/>
      <c r="AX439" s="50">
        <f t="shared" si="309"/>
        <v>-7532405.3600000003</v>
      </c>
      <c r="AY439" s="50">
        <f t="shared" si="310"/>
        <v>9300000</v>
      </c>
      <c r="AZ439" s="50">
        <f t="shared" si="311"/>
        <v>1767594.6399999997</v>
      </c>
      <c r="BA439" s="15">
        <f t="shared" si="293"/>
        <v>-6277.0044666666672</v>
      </c>
      <c r="BB439" s="15">
        <f t="shared" si="284"/>
        <v>-28065.709958333333</v>
      </c>
    </row>
    <row r="440" spans="2:54" s="58" customFormat="1" x14ac:dyDescent="0.3">
      <c r="B440" s="99">
        <f t="shared" si="287"/>
        <v>44778</v>
      </c>
      <c r="C440" s="44">
        <f t="shared" si="263"/>
        <v>-4261415.71</v>
      </c>
      <c r="D440" s="45">
        <v>2828.64</v>
      </c>
      <c r="E440" s="45">
        <v>55000</v>
      </c>
      <c r="F440" s="45">
        <v>-14570</v>
      </c>
      <c r="G440" s="45">
        <f t="shared" si="288"/>
        <v>-4218157.07</v>
      </c>
      <c r="H440" s="44">
        <v>4300000</v>
      </c>
      <c r="I440" s="46">
        <f t="shared" si="264"/>
        <v>-3656688.96</v>
      </c>
      <c r="J440" s="47">
        <v>119420.44</v>
      </c>
      <c r="K440" s="47"/>
      <c r="L440" s="47">
        <v>-837851.92</v>
      </c>
      <c r="M440" s="47">
        <f t="shared" si="276"/>
        <v>-4375120.4400000004</v>
      </c>
      <c r="N440" s="46">
        <v>5000000</v>
      </c>
      <c r="O440" s="48">
        <f t="shared" si="265"/>
        <v>385108.14</v>
      </c>
      <c r="P440" s="55">
        <f>61.44+284.58</f>
        <v>346.02</v>
      </c>
      <c r="Q440" s="55">
        <f>-55000-300000</f>
        <v>-355000</v>
      </c>
      <c r="R440" s="55">
        <f>-26052.76-10</f>
        <v>-26062.76</v>
      </c>
      <c r="S440" s="55">
        <f t="shared" si="266"/>
        <v>4391.4000000000342</v>
      </c>
      <c r="T440" s="48"/>
      <c r="U440" s="49">
        <f t="shared" si="267"/>
        <v>32.989999999976135</v>
      </c>
      <c r="V440" s="51"/>
      <c r="W440" s="51"/>
      <c r="X440" s="51"/>
      <c r="Y440" s="51">
        <f t="shared" si="268"/>
        <v>32.989999999976135</v>
      </c>
      <c r="Z440" s="52"/>
      <c r="AA440" s="53">
        <f t="shared" si="269"/>
        <v>515.44999999991035</v>
      </c>
      <c r="AB440" s="54"/>
      <c r="AC440" s="54">
        <v>300000</v>
      </c>
      <c r="AD440" s="54">
        <v>-49107.019999999902</v>
      </c>
      <c r="AE440" s="54">
        <f t="shared" si="270"/>
        <v>251408.43</v>
      </c>
      <c r="AF440" s="53"/>
      <c r="AG440" s="53">
        <f t="shared" si="299"/>
        <v>42.729999999937718</v>
      </c>
      <c r="AH440" s="54"/>
      <c r="AI440" s="54"/>
      <c r="AJ440" s="54"/>
      <c r="AK440" s="54">
        <f t="shared" si="271"/>
        <v>42.729999999937718</v>
      </c>
      <c r="AL440" s="53"/>
      <c r="AM440" s="53">
        <f t="shared" si="307"/>
        <v>0</v>
      </c>
      <c r="AN440" s="54"/>
      <c r="AO440" s="54"/>
      <c r="AP440" s="54"/>
      <c r="AQ440" s="54">
        <f t="shared" si="308"/>
        <v>0</v>
      </c>
      <c r="AR440" s="53"/>
      <c r="AS440" s="50">
        <f t="shared" si="273"/>
        <v>-7532405.3600000003</v>
      </c>
      <c r="AT440" s="73">
        <f t="shared" si="281"/>
        <v>122595.1</v>
      </c>
      <c r="AU440" s="50">
        <f t="shared" si="301"/>
        <v>0</v>
      </c>
      <c r="AV440" s="50">
        <f t="shared" si="282"/>
        <v>-927591.7</v>
      </c>
      <c r="AW440" s="50"/>
      <c r="AX440" s="50">
        <f t="shared" si="309"/>
        <v>-8337401.9600000018</v>
      </c>
      <c r="AY440" s="50">
        <f t="shared" si="310"/>
        <v>9300000</v>
      </c>
      <c r="AZ440" s="50">
        <f t="shared" si="311"/>
        <v>962598.03999999817</v>
      </c>
      <c r="BA440" s="15">
        <f t="shared" si="293"/>
        <v>-6947.8349666666691</v>
      </c>
      <c r="BB440" s="15">
        <f t="shared" si="284"/>
        <v>-35013.544925000002</v>
      </c>
    </row>
    <row r="441" spans="2:54" s="58" customFormat="1" x14ac:dyDescent="0.3">
      <c r="B441" s="99">
        <f t="shared" ref="B441" si="312">B440+3</f>
        <v>44781</v>
      </c>
      <c r="C441" s="44">
        <f t="shared" si="263"/>
        <v>-4218157.07</v>
      </c>
      <c r="D441" s="45">
        <f>100569.09+20459.3</f>
        <v>121028.39</v>
      </c>
      <c r="E441" s="45"/>
      <c r="F441" s="45">
        <v>-5000</v>
      </c>
      <c r="G441" s="45">
        <f t="shared" si="288"/>
        <v>-4102128.68</v>
      </c>
      <c r="H441" s="44">
        <v>4300000</v>
      </c>
      <c r="I441" s="46">
        <f t="shared" si="264"/>
        <v>-4375120.4400000004</v>
      </c>
      <c r="J441" s="47"/>
      <c r="K441" s="47"/>
      <c r="L441" s="47">
        <v>-95974.609999999593</v>
      </c>
      <c r="M441" s="47">
        <f t="shared" si="276"/>
        <v>-4471095.05</v>
      </c>
      <c r="N441" s="46">
        <v>5000000</v>
      </c>
      <c r="O441" s="48">
        <f t="shared" si="265"/>
        <v>4391.4000000000342</v>
      </c>
      <c r="P441" s="55"/>
      <c r="Q441" s="55"/>
      <c r="R441" s="55"/>
      <c r="S441" s="55">
        <f t="shared" si="266"/>
        <v>4391.4000000000342</v>
      </c>
      <c r="T441" s="48"/>
      <c r="U441" s="49">
        <f t="shared" si="267"/>
        <v>32.989999999976135</v>
      </c>
      <c r="V441" s="51"/>
      <c r="W441" s="51"/>
      <c r="X441" s="51"/>
      <c r="Y441" s="51">
        <f t="shared" si="268"/>
        <v>32.989999999976135</v>
      </c>
      <c r="Z441" s="52"/>
      <c r="AA441" s="53">
        <f t="shared" si="269"/>
        <v>251408.43</v>
      </c>
      <c r="AB441" s="54"/>
      <c r="AC441" s="54"/>
      <c r="AD441" s="54">
        <v>-240760.85</v>
      </c>
      <c r="AE441" s="54">
        <f t="shared" si="270"/>
        <v>10647.579999999987</v>
      </c>
      <c r="AF441" s="53"/>
      <c r="AG441" s="53">
        <f t="shared" si="299"/>
        <v>42.729999999937718</v>
      </c>
      <c r="AH441" s="54"/>
      <c r="AI441" s="54"/>
      <c r="AJ441" s="54"/>
      <c r="AK441" s="54">
        <f t="shared" si="271"/>
        <v>42.729999999937718</v>
      </c>
      <c r="AL441" s="53"/>
      <c r="AM441" s="53">
        <f t="shared" si="307"/>
        <v>0</v>
      </c>
      <c r="AN441" s="54"/>
      <c r="AO441" s="54"/>
      <c r="AP441" s="54"/>
      <c r="AQ441" s="54">
        <f t="shared" si="308"/>
        <v>0</v>
      </c>
      <c r="AR441" s="53"/>
      <c r="AS441" s="50">
        <f t="shared" si="273"/>
        <v>-8337401.9600000018</v>
      </c>
      <c r="AT441" s="73">
        <f t="shared" si="281"/>
        <v>121028.39</v>
      </c>
      <c r="AU441" s="50">
        <f t="shared" si="301"/>
        <v>0</v>
      </c>
      <c r="AV441" s="50">
        <f t="shared" si="282"/>
        <v>-341735.45999999961</v>
      </c>
      <c r="AW441" s="50"/>
      <c r="AX441" s="50">
        <f t="shared" si="309"/>
        <v>-8558109.0299999993</v>
      </c>
      <c r="AY441" s="50">
        <f t="shared" si="310"/>
        <v>9300000</v>
      </c>
      <c r="AZ441" s="50">
        <f t="shared" si="311"/>
        <v>741890.97000000067</v>
      </c>
      <c r="BA441" s="15">
        <f t="shared" si="293"/>
        <v>-7131.757525</v>
      </c>
      <c r="BB441" s="15">
        <f t="shared" si="284"/>
        <v>-42145.302450000003</v>
      </c>
    </row>
    <row r="442" spans="2:54" s="58" customFormat="1" x14ac:dyDescent="0.3">
      <c r="B442" s="99">
        <f t="shared" ref="B442" si="313">B441+1</f>
        <v>44782</v>
      </c>
      <c r="C442" s="44">
        <f t="shared" si="263"/>
        <v>-4102128.68</v>
      </c>
      <c r="D442" s="45">
        <f>64496.67+219623.43+55665.31</f>
        <v>339785.41</v>
      </c>
      <c r="E442" s="45"/>
      <c r="F442" s="45">
        <v>-58.8</v>
      </c>
      <c r="G442" s="45">
        <f t="shared" si="288"/>
        <v>-3762402.07</v>
      </c>
      <c r="H442" s="44">
        <v>4300000</v>
      </c>
      <c r="I442" s="46">
        <f t="shared" si="264"/>
        <v>-4471095.05</v>
      </c>
      <c r="J442" s="47"/>
      <c r="K442" s="47"/>
      <c r="L442" s="47">
        <v>-75047.0900000002</v>
      </c>
      <c r="M442" s="47">
        <f t="shared" si="276"/>
        <v>-4546142.1399999997</v>
      </c>
      <c r="N442" s="46">
        <v>5000000</v>
      </c>
      <c r="O442" s="48">
        <f t="shared" si="265"/>
        <v>4391.4000000000342</v>
      </c>
      <c r="P442" s="55"/>
      <c r="Q442" s="55"/>
      <c r="R442" s="55">
        <v>-10</v>
      </c>
      <c r="S442" s="55">
        <f t="shared" si="266"/>
        <v>4381.4000000000342</v>
      </c>
      <c r="T442" s="48"/>
      <c r="U442" s="49">
        <f t="shared" si="267"/>
        <v>32.989999999976135</v>
      </c>
      <c r="V442" s="51"/>
      <c r="W442" s="51"/>
      <c r="X442" s="51"/>
      <c r="Y442" s="51">
        <f t="shared" si="268"/>
        <v>32.989999999976135</v>
      </c>
      <c r="Z442" s="52"/>
      <c r="AA442" s="53">
        <f t="shared" si="269"/>
        <v>10647.579999999987</v>
      </c>
      <c r="AB442" s="54"/>
      <c r="AC442" s="54"/>
      <c r="AD442" s="54"/>
      <c r="AE442" s="54">
        <f t="shared" si="270"/>
        <v>10647.579999999987</v>
      </c>
      <c r="AF442" s="53"/>
      <c r="AG442" s="53">
        <f t="shared" si="299"/>
        <v>42.729999999937718</v>
      </c>
      <c r="AH442" s="54"/>
      <c r="AI442" s="54"/>
      <c r="AJ442" s="54"/>
      <c r="AK442" s="54">
        <f t="shared" si="271"/>
        <v>42.729999999937718</v>
      </c>
      <c r="AL442" s="53"/>
      <c r="AM442" s="53">
        <f t="shared" si="307"/>
        <v>0</v>
      </c>
      <c r="AN442" s="54"/>
      <c r="AO442" s="54"/>
      <c r="AP442" s="54"/>
      <c r="AQ442" s="54">
        <f t="shared" si="308"/>
        <v>0</v>
      </c>
      <c r="AR442" s="53"/>
      <c r="AS442" s="50">
        <f t="shared" si="273"/>
        <v>-8558109.0299999993</v>
      </c>
      <c r="AT442" s="73">
        <f t="shared" si="281"/>
        <v>339785.41</v>
      </c>
      <c r="AU442" s="50">
        <f t="shared" si="301"/>
        <v>0</v>
      </c>
      <c r="AV442" s="50">
        <f t="shared" si="282"/>
        <v>-75115.890000000203</v>
      </c>
      <c r="AW442" s="50"/>
      <c r="AX442" s="50">
        <f t="shared" si="309"/>
        <v>-8293439.5099999988</v>
      </c>
      <c r="AY442" s="50">
        <f t="shared" si="310"/>
        <v>9300000</v>
      </c>
      <c r="AZ442" s="50">
        <f t="shared" si="311"/>
        <v>1006560.4900000012</v>
      </c>
      <c r="BA442" s="15">
        <f t="shared" si="293"/>
        <v>-6911.1995916666665</v>
      </c>
      <c r="BB442" s="15">
        <f t="shared" si="284"/>
        <v>-49056.502041666667</v>
      </c>
    </row>
    <row r="443" spans="2:54" s="58" customFormat="1" x14ac:dyDescent="0.3">
      <c r="B443" s="99">
        <f t="shared" si="287"/>
        <v>44783</v>
      </c>
      <c r="C443" s="44">
        <f t="shared" ref="C443:C506" si="314">G442</f>
        <v>-3762402.07</v>
      </c>
      <c r="D443" s="45">
        <f>4417.5+18920.16+550702.11</f>
        <v>574039.77</v>
      </c>
      <c r="E443" s="45">
        <v>-30000</v>
      </c>
      <c r="F443" s="45">
        <v>-35.17</v>
      </c>
      <c r="G443" s="45">
        <f t="shared" si="288"/>
        <v>-3218397.4699999997</v>
      </c>
      <c r="H443" s="44">
        <v>4300000</v>
      </c>
      <c r="I443" s="46">
        <f t="shared" ref="I443:I506" si="315">M442</f>
        <v>-4546142.1399999997</v>
      </c>
      <c r="J443" s="47"/>
      <c r="K443" s="47">
        <v>30000</v>
      </c>
      <c r="L443" s="47">
        <v>-172352.21</v>
      </c>
      <c r="M443" s="47">
        <f t="shared" ref="M443:M506" si="316">SUM(I443:L443)</f>
        <v>-4688494.3499999996</v>
      </c>
      <c r="N443" s="46">
        <v>5000000</v>
      </c>
      <c r="O443" s="48">
        <f t="shared" ref="O443:O506" si="317">S442</f>
        <v>4381.4000000000342</v>
      </c>
      <c r="P443" s="55"/>
      <c r="Q443" s="55"/>
      <c r="R443" s="55"/>
      <c r="S443" s="55">
        <f t="shared" ref="S443:S506" si="318">SUM(O443:R443)</f>
        <v>4381.4000000000342</v>
      </c>
      <c r="T443" s="48"/>
      <c r="U443" s="49">
        <f t="shared" ref="U443:U506" si="319">Y442</f>
        <v>32.989999999976135</v>
      </c>
      <c r="V443" s="51"/>
      <c r="W443" s="51"/>
      <c r="X443" s="51"/>
      <c r="Y443" s="51">
        <f t="shared" ref="Y443:Y506" si="320">SUM(U443:X443)</f>
        <v>32.989999999976135</v>
      </c>
      <c r="Z443" s="52"/>
      <c r="AA443" s="53">
        <f t="shared" ref="AA443:AA506" si="321">AE442</f>
        <v>10647.579999999987</v>
      </c>
      <c r="AB443" s="54"/>
      <c r="AC443" s="54"/>
      <c r="AD443" s="54">
        <v>-870</v>
      </c>
      <c r="AE443" s="54">
        <f t="shared" ref="AE443:AE506" si="322">SUM(AA443:AD443)</f>
        <v>9777.5799999999872</v>
      </c>
      <c r="AF443" s="53"/>
      <c r="AG443" s="53">
        <f t="shared" si="299"/>
        <v>42.729999999937718</v>
      </c>
      <c r="AH443" s="54"/>
      <c r="AI443" s="54"/>
      <c r="AJ443" s="54"/>
      <c r="AK443" s="54">
        <f t="shared" ref="AK443:AK506" si="323">SUM(AG443:AJ443)</f>
        <v>42.729999999937718</v>
      </c>
      <c r="AL443" s="53"/>
      <c r="AM443" s="53">
        <f t="shared" si="307"/>
        <v>0</v>
      </c>
      <c r="AN443" s="54"/>
      <c r="AO443" s="54"/>
      <c r="AP443" s="54"/>
      <c r="AQ443" s="54">
        <f t="shared" si="308"/>
        <v>0</v>
      </c>
      <c r="AR443" s="53"/>
      <c r="AS443" s="50">
        <f t="shared" si="273"/>
        <v>-8293439.5099999988</v>
      </c>
      <c r="AT443" s="73">
        <f t="shared" si="281"/>
        <v>574039.77</v>
      </c>
      <c r="AU443" s="50">
        <f t="shared" si="301"/>
        <v>0</v>
      </c>
      <c r="AV443" s="50">
        <f t="shared" si="282"/>
        <v>-173257.38</v>
      </c>
      <c r="AW443" s="50"/>
      <c r="AX443" s="50">
        <f t="shared" si="309"/>
        <v>-7892657.1199999992</v>
      </c>
      <c r="AY443" s="50">
        <f t="shared" si="310"/>
        <v>9300000</v>
      </c>
      <c r="AZ443" s="50">
        <f t="shared" si="311"/>
        <v>1407342.8800000008</v>
      </c>
      <c r="BA443" s="15">
        <f t="shared" si="293"/>
        <v>-6577.2142666666668</v>
      </c>
      <c r="BB443" s="15">
        <f t="shared" si="284"/>
        <v>-55633.716308333336</v>
      </c>
    </row>
    <row r="444" spans="2:54" s="58" customFormat="1" x14ac:dyDescent="0.3">
      <c r="B444" s="99">
        <f t="shared" si="287"/>
        <v>44784</v>
      </c>
      <c r="C444" s="44">
        <f t="shared" si="314"/>
        <v>-3218397.4699999997</v>
      </c>
      <c r="D444" s="45">
        <f>129263.11+2083.33</f>
        <v>131346.44</v>
      </c>
      <c r="E444" s="45">
        <v>-20000</v>
      </c>
      <c r="F444" s="45"/>
      <c r="G444" s="45">
        <f t="shared" si="288"/>
        <v>-3107051.03</v>
      </c>
      <c r="H444" s="44">
        <v>4300000</v>
      </c>
      <c r="I444" s="46">
        <f t="shared" si="315"/>
        <v>-4688494.3499999996</v>
      </c>
      <c r="J444" s="47"/>
      <c r="K444" s="47">
        <v>20000</v>
      </c>
      <c r="L444" s="47">
        <v>-21825.530000000399</v>
      </c>
      <c r="M444" s="47">
        <f t="shared" si="316"/>
        <v>-4690319.88</v>
      </c>
      <c r="N444" s="46">
        <v>5000000</v>
      </c>
      <c r="O444" s="48">
        <f t="shared" si="317"/>
        <v>4381.4000000000342</v>
      </c>
      <c r="P444" s="55"/>
      <c r="Q444" s="55"/>
      <c r="R444" s="55"/>
      <c r="S444" s="55">
        <f t="shared" si="318"/>
        <v>4381.4000000000342</v>
      </c>
      <c r="T444" s="48"/>
      <c r="U444" s="49">
        <f t="shared" si="319"/>
        <v>32.989999999976135</v>
      </c>
      <c r="V444" s="51"/>
      <c r="W444" s="51"/>
      <c r="X444" s="51"/>
      <c r="Y444" s="51">
        <f t="shared" si="320"/>
        <v>32.989999999976135</v>
      </c>
      <c r="Z444" s="52"/>
      <c r="AA444" s="53">
        <f t="shared" si="321"/>
        <v>9777.5799999999872</v>
      </c>
      <c r="AB444" s="54"/>
      <c r="AC444" s="54"/>
      <c r="AD444" s="54">
        <v>-35</v>
      </c>
      <c r="AE444" s="54">
        <f t="shared" si="322"/>
        <v>9742.5799999999872</v>
      </c>
      <c r="AF444" s="53"/>
      <c r="AG444" s="53">
        <f t="shared" si="299"/>
        <v>42.729999999937718</v>
      </c>
      <c r="AH444" s="54"/>
      <c r="AI444" s="54"/>
      <c r="AJ444" s="54"/>
      <c r="AK444" s="54">
        <f t="shared" si="323"/>
        <v>42.729999999937718</v>
      </c>
      <c r="AL444" s="53"/>
      <c r="AM444" s="53">
        <f t="shared" si="307"/>
        <v>0</v>
      </c>
      <c r="AN444" s="54"/>
      <c r="AO444" s="54"/>
      <c r="AP444" s="54"/>
      <c r="AQ444" s="54">
        <f t="shared" si="308"/>
        <v>0</v>
      </c>
      <c r="AR444" s="53"/>
      <c r="AS444" s="50">
        <f t="shared" ref="AS444:AS507" si="324">SUM(C444,I444,O444,U444,AA444,AG444)</f>
        <v>-7892657.1199999992</v>
      </c>
      <c r="AT444" s="73">
        <f t="shared" si="281"/>
        <v>131346.44</v>
      </c>
      <c r="AU444" s="50">
        <f t="shared" si="301"/>
        <v>0</v>
      </c>
      <c r="AV444" s="50">
        <f t="shared" si="282"/>
        <v>-21860.530000000399</v>
      </c>
      <c r="AW444" s="50"/>
      <c r="AX444" s="50">
        <f t="shared" si="309"/>
        <v>-7783171.21</v>
      </c>
      <c r="AY444" s="50">
        <f t="shared" si="310"/>
        <v>9300000</v>
      </c>
      <c r="AZ444" s="50">
        <f t="shared" si="311"/>
        <v>1516828.79</v>
      </c>
      <c r="BA444" s="15">
        <f t="shared" si="293"/>
        <v>-6485.976008333334</v>
      </c>
      <c r="BB444" s="15">
        <f t="shared" si="284"/>
        <v>-62119.692316666667</v>
      </c>
    </row>
    <row r="445" spans="2:54" s="58" customFormat="1" ht="19.5" customHeight="1" x14ac:dyDescent="0.3">
      <c r="B445" s="99">
        <f t="shared" si="287"/>
        <v>44785</v>
      </c>
      <c r="C445" s="44">
        <f t="shared" si="314"/>
        <v>-3107051.03</v>
      </c>
      <c r="D445" s="45">
        <f>45713.55+312.18</f>
        <v>46025.73</v>
      </c>
      <c r="E445" s="45">
        <v>-20000</v>
      </c>
      <c r="F445" s="45">
        <v>-10704.05</v>
      </c>
      <c r="G445" s="45">
        <f t="shared" si="288"/>
        <v>-3091729.3499999996</v>
      </c>
      <c r="H445" s="44">
        <v>4300000</v>
      </c>
      <c r="I445" s="46">
        <f t="shared" si="315"/>
        <v>-4690319.88</v>
      </c>
      <c r="J445" s="47"/>
      <c r="K445" s="47">
        <v>20000</v>
      </c>
      <c r="L445" s="47">
        <v>-20666.3100000001</v>
      </c>
      <c r="M445" s="47">
        <f t="shared" si="316"/>
        <v>-4690986.1900000004</v>
      </c>
      <c r="N445" s="46">
        <v>5000000</v>
      </c>
      <c r="O445" s="48">
        <f t="shared" si="317"/>
        <v>4381.4000000000342</v>
      </c>
      <c r="P445" s="55">
        <f>163.84+512.32</f>
        <v>676.16000000000008</v>
      </c>
      <c r="Q445" s="55"/>
      <c r="R445" s="55">
        <v>-50</v>
      </c>
      <c r="S445" s="55">
        <f t="shared" si="318"/>
        <v>5007.5600000000341</v>
      </c>
      <c r="T445" s="48"/>
      <c r="U445" s="49">
        <f t="shared" si="319"/>
        <v>32.989999999976135</v>
      </c>
      <c r="V445" s="51"/>
      <c r="W445" s="51"/>
      <c r="X445" s="51"/>
      <c r="Y445" s="51">
        <f t="shared" si="320"/>
        <v>32.989999999976135</v>
      </c>
      <c r="Z445" s="52"/>
      <c r="AA445" s="53">
        <f t="shared" si="321"/>
        <v>9742.5799999999872</v>
      </c>
      <c r="AB445" s="54"/>
      <c r="AC445" s="54"/>
      <c r="AD445" s="54"/>
      <c r="AE445" s="54">
        <f t="shared" si="322"/>
        <v>9742.5799999999872</v>
      </c>
      <c r="AF445" s="53"/>
      <c r="AG445" s="53">
        <f t="shared" si="299"/>
        <v>42.729999999937718</v>
      </c>
      <c r="AH445" s="54"/>
      <c r="AI445" s="54"/>
      <c r="AJ445" s="54"/>
      <c r="AK445" s="54">
        <f t="shared" si="323"/>
        <v>42.729999999937718</v>
      </c>
      <c r="AL445" s="53"/>
      <c r="AM445" s="53">
        <f t="shared" si="307"/>
        <v>0</v>
      </c>
      <c r="AN445" s="54"/>
      <c r="AO445" s="54"/>
      <c r="AP445" s="54"/>
      <c r="AQ445" s="54">
        <f t="shared" si="308"/>
        <v>0</v>
      </c>
      <c r="AR445" s="53"/>
      <c r="AS445" s="50">
        <f t="shared" si="324"/>
        <v>-7783171.21</v>
      </c>
      <c r="AT445" s="73">
        <f t="shared" si="281"/>
        <v>46701.890000000007</v>
      </c>
      <c r="AU445" s="50">
        <f t="shared" si="301"/>
        <v>0</v>
      </c>
      <c r="AV445" s="50">
        <f t="shared" si="282"/>
        <v>-31420.360000000099</v>
      </c>
      <c r="AW445" s="50"/>
      <c r="AX445" s="50">
        <f t="shared" si="309"/>
        <v>-7767889.6800000006</v>
      </c>
      <c r="AY445" s="50">
        <f t="shared" si="310"/>
        <v>9300000</v>
      </c>
      <c r="AZ445" s="50">
        <f t="shared" si="311"/>
        <v>1532110.3199999994</v>
      </c>
      <c r="BA445" s="15">
        <f t="shared" si="293"/>
        <v>-6473.2414000000008</v>
      </c>
      <c r="BB445" s="15">
        <f t="shared" si="284"/>
        <v>-68592.933716666666</v>
      </c>
    </row>
    <row r="446" spans="2:54" s="58" customFormat="1" x14ac:dyDescent="0.3">
      <c r="B446" s="99">
        <f t="shared" ref="B446" si="325">B445+3</f>
        <v>44788</v>
      </c>
      <c r="C446" s="44">
        <f t="shared" si="314"/>
        <v>-3091729.3499999996</v>
      </c>
      <c r="D446" s="45">
        <v>299757.37</v>
      </c>
      <c r="E446" s="45">
        <v>-260000</v>
      </c>
      <c r="F446" s="45">
        <v>-39617.379999999997</v>
      </c>
      <c r="G446" s="45">
        <f t="shared" si="288"/>
        <v>-3091589.3599999994</v>
      </c>
      <c r="H446" s="44">
        <v>4300000</v>
      </c>
      <c r="I446" s="46">
        <f t="shared" si="315"/>
        <v>-4690986.1900000004</v>
      </c>
      <c r="J446" s="47">
        <v>4478.2700000000004</v>
      </c>
      <c r="K446" s="47">
        <v>260000</v>
      </c>
      <c r="L446" s="47">
        <v>-561023.31999999902</v>
      </c>
      <c r="M446" s="47">
        <f t="shared" si="316"/>
        <v>-4987531.24</v>
      </c>
      <c r="N446" s="46">
        <v>5000000</v>
      </c>
      <c r="O446" s="48">
        <f t="shared" si="317"/>
        <v>5007.5600000000341</v>
      </c>
      <c r="P446" s="55">
        <v>33175.19</v>
      </c>
      <c r="Q446" s="55"/>
      <c r="R446" s="55"/>
      <c r="S446" s="55">
        <f t="shared" si="318"/>
        <v>38182.750000000036</v>
      </c>
      <c r="T446" s="48"/>
      <c r="U446" s="49">
        <f t="shared" si="319"/>
        <v>32.989999999976135</v>
      </c>
      <c r="V446" s="51">
        <v>76327.08</v>
      </c>
      <c r="W446" s="51"/>
      <c r="X446" s="51"/>
      <c r="Y446" s="51">
        <f t="shared" si="320"/>
        <v>76360.069999999978</v>
      </c>
      <c r="Z446" s="52"/>
      <c r="AA446" s="53">
        <f t="shared" si="321"/>
        <v>9742.5799999999872</v>
      </c>
      <c r="AB446" s="54"/>
      <c r="AC446" s="54"/>
      <c r="AD446" s="54">
        <v>-4954.01</v>
      </c>
      <c r="AE446" s="54">
        <f t="shared" si="322"/>
        <v>4788.569999999987</v>
      </c>
      <c r="AF446" s="53"/>
      <c r="AG446" s="53">
        <f t="shared" si="299"/>
        <v>42.729999999937718</v>
      </c>
      <c r="AH446" s="54"/>
      <c r="AI446" s="54"/>
      <c r="AJ446" s="54"/>
      <c r="AK446" s="54">
        <f t="shared" si="323"/>
        <v>42.729999999937718</v>
      </c>
      <c r="AL446" s="53"/>
      <c r="AM446" s="53">
        <f t="shared" si="307"/>
        <v>0</v>
      </c>
      <c r="AN446" s="54"/>
      <c r="AO446" s="54"/>
      <c r="AP446" s="54"/>
      <c r="AQ446" s="54">
        <f t="shared" si="308"/>
        <v>0</v>
      </c>
      <c r="AR446" s="53"/>
      <c r="AS446" s="50">
        <f t="shared" si="324"/>
        <v>-7767889.6800000006</v>
      </c>
      <c r="AT446" s="73">
        <f t="shared" si="281"/>
        <v>413737.91000000003</v>
      </c>
      <c r="AU446" s="50">
        <f t="shared" si="301"/>
        <v>0</v>
      </c>
      <c r="AV446" s="50">
        <f t="shared" si="282"/>
        <v>-605594.70999999903</v>
      </c>
      <c r="AW446" s="50"/>
      <c r="AX446" s="50">
        <f t="shared" si="309"/>
        <v>-7959746.4799999995</v>
      </c>
      <c r="AY446" s="50">
        <f t="shared" si="310"/>
        <v>9300000</v>
      </c>
      <c r="AZ446" s="50">
        <f t="shared" si="311"/>
        <v>1340253.5200000005</v>
      </c>
      <c r="BA446" s="15">
        <f t="shared" si="293"/>
        <v>-6633.1220666666668</v>
      </c>
      <c r="BB446" s="15">
        <f t="shared" si="284"/>
        <v>-75226.05578333333</v>
      </c>
    </row>
    <row r="447" spans="2:54" s="58" customFormat="1" x14ac:dyDescent="0.3">
      <c r="B447" s="99">
        <f t="shared" ref="B447" si="326">B446+1</f>
        <v>44789</v>
      </c>
      <c r="C447" s="44">
        <f t="shared" si="314"/>
        <v>-3091589.3599999994</v>
      </c>
      <c r="D447" s="45">
        <v>511.31</v>
      </c>
      <c r="E447" s="45">
        <v>-230000</v>
      </c>
      <c r="F447" s="45">
        <v>-388.45</v>
      </c>
      <c r="G447" s="45">
        <f t="shared" si="288"/>
        <v>-3321466.4999999995</v>
      </c>
      <c r="H447" s="44">
        <v>4300000</v>
      </c>
      <c r="I447" s="46">
        <f t="shared" si="315"/>
        <v>-4987531.24</v>
      </c>
      <c r="J447" s="47"/>
      <c r="K447" s="47">
        <f>230000+114000</f>
        <v>344000</v>
      </c>
      <c r="L447" s="47">
        <v>-202898.94</v>
      </c>
      <c r="M447" s="47">
        <f t="shared" si="316"/>
        <v>-4846430.1800000006</v>
      </c>
      <c r="N447" s="46">
        <v>5000000</v>
      </c>
      <c r="O447" s="48">
        <f t="shared" si="317"/>
        <v>38182.750000000036</v>
      </c>
      <c r="P447" s="55"/>
      <c r="Q447" s="55">
        <f>76320-114000</f>
        <v>-37680</v>
      </c>
      <c r="R447" s="55">
        <f>-10</f>
        <v>-10</v>
      </c>
      <c r="S447" s="55">
        <f t="shared" si="318"/>
        <v>492.75000000003638</v>
      </c>
      <c r="T447" s="48"/>
      <c r="U447" s="49">
        <f t="shared" si="319"/>
        <v>76360.069999999978</v>
      </c>
      <c r="V447" s="51"/>
      <c r="W447" s="51">
        <v>-76320</v>
      </c>
      <c r="X447" s="51">
        <v>-1.3</v>
      </c>
      <c r="Y447" s="51">
        <f t="shared" si="320"/>
        <v>38.769999999977884</v>
      </c>
      <c r="Z447" s="52"/>
      <c r="AA447" s="53">
        <f t="shared" si="321"/>
        <v>4788.569999999987</v>
      </c>
      <c r="AB447" s="54"/>
      <c r="AC447" s="54"/>
      <c r="AD447" s="54"/>
      <c r="AE447" s="54">
        <f t="shared" si="322"/>
        <v>4788.569999999987</v>
      </c>
      <c r="AF447" s="53"/>
      <c r="AG447" s="53">
        <f t="shared" si="299"/>
        <v>42.729999999937718</v>
      </c>
      <c r="AH447" s="54"/>
      <c r="AI447" s="54"/>
      <c r="AJ447" s="54"/>
      <c r="AK447" s="54">
        <f t="shared" si="323"/>
        <v>42.729999999937718</v>
      </c>
      <c r="AL447" s="53"/>
      <c r="AM447" s="53">
        <f t="shared" si="307"/>
        <v>0</v>
      </c>
      <c r="AN447" s="54"/>
      <c r="AO447" s="54"/>
      <c r="AP447" s="54"/>
      <c r="AQ447" s="54">
        <f t="shared" si="308"/>
        <v>0</v>
      </c>
      <c r="AR447" s="53"/>
      <c r="AS447" s="50">
        <f t="shared" si="324"/>
        <v>-7959746.4799999995</v>
      </c>
      <c r="AT447" s="73">
        <f t="shared" si="281"/>
        <v>511.31</v>
      </c>
      <c r="AU447" s="50">
        <f t="shared" si="301"/>
        <v>0</v>
      </c>
      <c r="AV447" s="50">
        <f t="shared" si="282"/>
        <v>-203298.69</v>
      </c>
      <c r="AW447" s="50"/>
      <c r="AX447" s="50">
        <f t="shared" si="309"/>
        <v>-8162533.8600000003</v>
      </c>
      <c r="AY447" s="50">
        <f t="shared" si="310"/>
        <v>9300000</v>
      </c>
      <c r="AZ447" s="50">
        <f t="shared" si="311"/>
        <v>1137466.1399999997</v>
      </c>
      <c r="BA447" s="15">
        <f t="shared" si="293"/>
        <v>-6802.1115500000005</v>
      </c>
      <c r="BB447" s="15">
        <f t="shared" si="284"/>
        <v>-82028.167333333331</v>
      </c>
    </row>
    <row r="448" spans="2:54" s="58" customFormat="1" x14ac:dyDescent="0.3">
      <c r="B448" s="99">
        <f t="shared" si="287"/>
        <v>44790</v>
      </c>
      <c r="C448" s="44">
        <f t="shared" si="314"/>
        <v>-3321466.4999999995</v>
      </c>
      <c r="D448" s="45">
        <f>275979.08+275972.1+31505.76+25026.64</f>
        <v>608483.57999999996</v>
      </c>
      <c r="E448" s="45">
        <v>-950000</v>
      </c>
      <c r="F448" s="45">
        <v>-0.85</v>
      </c>
      <c r="G448" s="45">
        <f t="shared" si="288"/>
        <v>-3662983.7699999996</v>
      </c>
      <c r="H448" s="44">
        <v>4300000</v>
      </c>
      <c r="I448" s="46">
        <f t="shared" si="315"/>
        <v>-4846430.1800000006</v>
      </c>
      <c r="J448" s="47"/>
      <c r="K448" s="47">
        <v>950000</v>
      </c>
      <c r="L448" s="47">
        <v>-1074402.6000000001</v>
      </c>
      <c r="M448" s="47">
        <f t="shared" si="316"/>
        <v>-4970832.7800000012</v>
      </c>
      <c r="N448" s="46">
        <v>5000000</v>
      </c>
      <c r="O448" s="48">
        <f t="shared" si="317"/>
        <v>492.75000000003638</v>
      </c>
      <c r="P448" s="55">
        <v>1526.21999999997</v>
      </c>
      <c r="Q448" s="55"/>
      <c r="R448" s="55"/>
      <c r="S448" s="55">
        <f t="shared" si="318"/>
        <v>2018.9700000000064</v>
      </c>
      <c r="T448" s="48"/>
      <c r="U448" s="49">
        <f t="shared" si="319"/>
        <v>38.769999999977884</v>
      </c>
      <c r="V448" s="51"/>
      <c r="W448" s="51"/>
      <c r="X448" s="51"/>
      <c r="Y448" s="51">
        <f t="shared" si="320"/>
        <v>38.769999999977884</v>
      </c>
      <c r="Z448" s="52"/>
      <c r="AA448" s="53">
        <f t="shared" si="321"/>
        <v>4788.569999999987</v>
      </c>
      <c r="AB448" s="54"/>
      <c r="AC448" s="54"/>
      <c r="AD448" s="54"/>
      <c r="AE448" s="54">
        <f t="shared" si="322"/>
        <v>4788.569999999987</v>
      </c>
      <c r="AF448" s="53"/>
      <c r="AG448" s="53">
        <f t="shared" si="299"/>
        <v>42.729999999937718</v>
      </c>
      <c r="AH448" s="54"/>
      <c r="AI448" s="54"/>
      <c r="AJ448" s="54"/>
      <c r="AK448" s="54">
        <f t="shared" si="323"/>
        <v>42.729999999937718</v>
      </c>
      <c r="AL448" s="53"/>
      <c r="AM448" s="53">
        <f t="shared" si="307"/>
        <v>0</v>
      </c>
      <c r="AN448" s="54"/>
      <c r="AO448" s="54"/>
      <c r="AP448" s="54"/>
      <c r="AQ448" s="54">
        <f t="shared" si="308"/>
        <v>0</v>
      </c>
      <c r="AR448" s="53"/>
      <c r="AS448" s="50">
        <f t="shared" si="324"/>
        <v>-8162533.8600000003</v>
      </c>
      <c r="AT448" s="73">
        <f t="shared" si="281"/>
        <v>610009.79999999993</v>
      </c>
      <c r="AU448" s="50">
        <f t="shared" si="301"/>
        <v>0</v>
      </c>
      <c r="AV448" s="50">
        <f t="shared" si="282"/>
        <v>-1074403.4500000002</v>
      </c>
      <c r="AW448" s="50"/>
      <c r="AX448" s="50">
        <f t="shared" si="309"/>
        <v>-8626927.5099999998</v>
      </c>
      <c r="AY448" s="50">
        <f t="shared" si="310"/>
        <v>9300000</v>
      </c>
      <c r="AZ448" s="50">
        <f t="shared" si="311"/>
        <v>673072.49000000022</v>
      </c>
      <c r="BA448" s="15">
        <f t="shared" si="293"/>
        <v>-7189.1062583333332</v>
      </c>
      <c r="BB448" s="15">
        <f t="shared" si="284"/>
        <v>-89217.273591666657</v>
      </c>
    </row>
    <row r="449" spans="2:54" s="58" customFormat="1" x14ac:dyDescent="0.3">
      <c r="B449" s="99">
        <f t="shared" si="287"/>
        <v>44791</v>
      </c>
      <c r="C449" s="44">
        <f t="shared" si="314"/>
        <v>-3662983.7699999996</v>
      </c>
      <c r="D449" s="45">
        <f>26814.08+74282.12+67384.05+226736.03</f>
        <v>395216.28</v>
      </c>
      <c r="E449" s="45">
        <v>-10000</v>
      </c>
      <c r="F449" s="45">
        <f>-(0.85+7317.91+251.02+27418.45)</f>
        <v>-34988.230000000003</v>
      </c>
      <c r="G449" s="45">
        <f t="shared" si="288"/>
        <v>-3312755.7199999993</v>
      </c>
      <c r="H449" s="44">
        <v>4300000</v>
      </c>
      <c r="I449" s="46">
        <f t="shared" si="315"/>
        <v>-4970832.7800000012</v>
      </c>
      <c r="J449" s="47"/>
      <c r="K449" s="47">
        <v>10000</v>
      </c>
      <c r="L449" s="47">
        <v>-35286.769999998804</v>
      </c>
      <c r="M449" s="47">
        <f t="shared" si="316"/>
        <v>-4996119.55</v>
      </c>
      <c r="N449" s="46">
        <v>5000000</v>
      </c>
      <c r="O449" s="48">
        <f t="shared" si="317"/>
        <v>2018.9700000000064</v>
      </c>
      <c r="P449" s="55">
        <v>30.54</v>
      </c>
      <c r="Q449" s="55"/>
      <c r="R449" s="55"/>
      <c r="S449" s="55">
        <f t="shared" si="318"/>
        <v>2049.5100000000066</v>
      </c>
      <c r="T449" s="48"/>
      <c r="U449" s="49">
        <f t="shared" si="319"/>
        <v>38.769999999977884</v>
      </c>
      <c r="V449" s="51"/>
      <c r="W449" s="51"/>
      <c r="X449" s="51"/>
      <c r="Y449" s="51">
        <f t="shared" si="320"/>
        <v>38.769999999977884</v>
      </c>
      <c r="Z449" s="52"/>
      <c r="AA449" s="53">
        <f t="shared" si="321"/>
        <v>4788.569999999987</v>
      </c>
      <c r="AB449" s="54"/>
      <c r="AC449" s="54"/>
      <c r="AD449" s="54"/>
      <c r="AE449" s="54">
        <f t="shared" si="322"/>
        <v>4788.569999999987</v>
      </c>
      <c r="AF449" s="53"/>
      <c r="AG449" s="53">
        <f t="shared" si="299"/>
        <v>42.729999999937718</v>
      </c>
      <c r="AH449" s="54"/>
      <c r="AI449" s="54"/>
      <c r="AJ449" s="54"/>
      <c r="AK449" s="54">
        <f t="shared" si="323"/>
        <v>42.729999999937718</v>
      </c>
      <c r="AL449" s="53"/>
      <c r="AM449" s="53">
        <f t="shared" si="307"/>
        <v>0</v>
      </c>
      <c r="AN449" s="54"/>
      <c r="AO449" s="54"/>
      <c r="AP449" s="54"/>
      <c r="AQ449" s="54">
        <f t="shared" si="308"/>
        <v>0</v>
      </c>
      <c r="AR449" s="53"/>
      <c r="AS449" s="50">
        <f t="shared" si="324"/>
        <v>-8626927.5099999998</v>
      </c>
      <c r="AT449" s="73">
        <f t="shared" si="281"/>
        <v>395246.82</v>
      </c>
      <c r="AU449" s="50">
        <f t="shared" si="301"/>
        <v>0</v>
      </c>
      <c r="AV449" s="50">
        <f t="shared" si="282"/>
        <v>-70274.999999998807</v>
      </c>
      <c r="AW449" s="50"/>
      <c r="AX449" s="50">
        <f t="shared" si="309"/>
        <v>-8301955.6900000004</v>
      </c>
      <c r="AY449" s="50">
        <f t="shared" si="310"/>
        <v>9300000</v>
      </c>
      <c r="AZ449" s="50">
        <f t="shared" si="311"/>
        <v>998044.30999999959</v>
      </c>
      <c r="BA449" s="15">
        <f t="shared" si="293"/>
        <v>-6918.2964083333345</v>
      </c>
      <c r="BB449" s="15">
        <f t="shared" si="284"/>
        <v>-96135.569999999992</v>
      </c>
    </row>
    <row r="450" spans="2:54" s="58" customFormat="1" x14ac:dyDescent="0.3">
      <c r="B450" s="99">
        <f t="shared" si="287"/>
        <v>44792</v>
      </c>
      <c r="C450" s="44">
        <f t="shared" si="314"/>
        <v>-3312755.7199999993</v>
      </c>
      <c r="D450" s="45">
        <f>295352.29-2177.82</f>
        <v>293174.46999999997</v>
      </c>
      <c r="E450" s="45">
        <v>-620000</v>
      </c>
      <c r="F450" s="45">
        <v>-0.85</v>
      </c>
      <c r="G450" s="45">
        <f t="shared" si="288"/>
        <v>-3639582.0999999992</v>
      </c>
      <c r="H450" s="44">
        <v>4300000</v>
      </c>
      <c r="I450" s="46">
        <f t="shared" si="315"/>
        <v>-4996119.55</v>
      </c>
      <c r="J450" s="47"/>
      <c r="K450" s="47">
        <v>620000</v>
      </c>
      <c r="L450" s="47">
        <v>-701546.26</v>
      </c>
      <c r="M450" s="47">
        <f t="shared" si="316"/>
        <v>-5077665.8099999996</v>
      </c>
      <c r="N450" s="46">
        <v>5000000</v>
      </c>
      <c r="O450" s="48">
        <f t="shared" si="317"/>
        <v>2049.5100000000066</v>
      </c>
      <c r="P450" s="55"/>
      <c r="Q450" s="55"/>
      <c r="R450" s="55"/>
      <c r="S450" s="55">
        <f t="shared" si="318"/>
        <v>2049.5100000000066</v>
      </c>
      <c r="T450" s="48"/>
      <c r="U450" s="49">
        <f t="shared" si="319"/>
        <v>38.769999999977884</v>
      </c>
      <c r="V450" s="51"/>
      <c r="W450" s="51"/>
      <c r="X450" s="51"/>
      <c r="Y450" s="51">
        <f t="shared" si="320"/>
        <v>38.769999999977884</v>
      </c>
      <c r="Z450" s="52"/>
      <c r="AA450" s="53">
        <f t="shared" si="321"/>
        <v>4788.569999999987</v>
      </c>
      <c r="AB450" s="54"/>
      <c r="AC450" s="54"/>
      <c r="AD450" s="54"/>
      <c r="AE450" s="54">
        <f t="shared" si="322"/>
        <v>4788.569999999987</v>
      </c>
      <c r="AF450" s="53"/>
      <c r="AG450" s="53">
        <f t="shared" si="299"/>
        <v>42.729999999937718</v>
      </c>
      <c r="AH450" s="54"/>
      <c r="AI450" s="54"/>
      <c r="AJ450" s="54"/>
      <c r="AK450" s="54">
        <f t="shared" si="323"/>
        <v>42.729999999937718</v>
      </c>
      <c r="AL450" s="53"/>
      <c r="AM450" s="53">
        <f t="shared" si="307"/>
        <v>0</v>
      </c>
      <c r="AN450" s="54"/>
      <c r="AO450" s="54"/>
      <c r="AP450" s="54"/>
      <c r="AQ450" s="54">
        <f t="shared" si="308"/>
        <v>0</v>
      </c>
      <c r="AR450" s="53"/>
      <c r="AS450" s="50">
        <f t="shared" si="324"/>
        <v>-8301955.6900000004</v>
      </c>
      <c r="AT450" s="73">
        <f t="shared" si="281"/>
        <v>293174.46999999997</v>
      </c>
      <c r="AU450" s="50">
        <f t="shared" si="301"/>
        <v>0</v>
      </c>
      <c r="AV450" s="50">
        <f t="shared" si="282"/>
        <v>-701547.11</v>
      </c>
      <c r="AW450" s="50"/>
      <c r="AX450" s="50">
        <f t="shared" si="309"/>
        <v>-8710328.3299999982</v>
      </c>
      <c r="AY450" s="50">
        <f t="shared" si="310"/>
        <v>9300000</v>
      </c>
      <c r="AZ450" s="50">
        <f t="shared" si="311"/>
        <v>589671.67000000179</v>
      </c>
      <c r="BA450" s="15">
        <f t="shared" si="293"/>
        <v>-7258.606941666666</v>
      </c>
      <c r="BB450" s="15">
        <f t="shared" si="284"/>
        <v>-103394.17694166666</v>
      </c>
    </row>
    <row r="451" spans="2:54" s="58" customFormat="1" ht="17.25" customHeight="1" x14ac:dyDescent="0.3">
      <c r="B451" s="99">
        <f t="shared" ref="B451" si="327">B450+3</f>
        <v>44795</v>
      </c>
      <c r="C451" s="44">
        <f>G450</f>
        <v>-3639582.0999999992</v>
      </c>
      <c r="D451" s="45">
        <v>2177.8200000000002</v>
      </c>
      <c r="E451" s="45">
        <v>-150000</v>
      </c>
      <c r="F451" s="45">
        <v>-0.85</v>
      </c>
      <c r="G451" s="45">
        <f t="shared" si="288"/>
        <v>-3787405.1299999994</v>
      </c>
      <c r="H451" s="44">
        <v>4300000</v>
      </c>
      <c r="I451" s="46">
        <f t="shared" si="315"/>
        <v>-5077665.8099999996</v>
      </c>
      <c r="J451" s="47"/>
      <c r="K451" s="47">
        <v>244000</v>
      </c>
      <c r="L451" s="47">
        <v>-98135.780000000406</v>
      </c>
      <c r="M451" s="47">
        <f t="shared" si="316"/>
        <v>-4931801.59</v>
      </c>
      <c r="N451" s="46">
        <v>5000000</v>
      </c>
      <c r="O451" s="48">
        <f t="shared" si="317"/>
        <v>2049.5100000000066</v>
      </c>
      <c r="P451" s="55">
        <f>1044.24</f>
        <v>1044.24</v>
      </c>
      <c r="Q451" s="55">
        <f>-94000+92780</f>
        <v>-1220</v>
      </c>
      <c r="R451" s="55">
        <v>-10</v>
      </c>
      <c r="S451" s="55">
        <f t="shared" si="318"/>
        <v>1863.7500000000064</v>
      </c>
      <c r="T451" s="48"/>
      <c r="U451" s="49">
        <f t="shared" si="319"/>
        <v>38.769999999977884</v>
      </c>
      <c r="V451" s="51">
        <v>92787.62</v>
      </c>
      <c r="W451" s="51">
        <v>-92780</v>
      </c>
      <c r="X451" s="51"/>
      <c r="Y451" s="51">
        <f t="shared" si="320"/>
        <v>46.389999999970314</v>
      </c>
      <c r="Z451" s="52"/>
      <c r="AA451" s="53">
        <f t="shared" si="321"/>
        <v>4788.569999999987</v>
      </c>
      <c r="AB451" s="54"/>
      <c r="AC451" s="54"/>
      <c r="AD451" s="54"/>
      <c r="AE451" s="54">
        <f t="shared" si="322"/>
        <v>4788.569999999987</v>
      </c>
      <c r="AF451" s="53"/>
      <c r="AG451" s="53">
        <f t="shared" si="299"/>
        <v>42.729999999937718</v>
      </c>
      <c r="AH451" s="54"/>
      <c r="AI451" s="54"/>
      <c r="AJ451" s="54"/>
      <c r="AK451" s="54">
        <f t="shared" si="323"/>
        <v>42.729999999937718</v>
      </c>
      <c r="AL451" s="53"/>
      <c r="AM451" s="53">
        <f t="shared" si="307"/>
        <v>0</v>
      </c>
      <c r="AN451" s="54"/>
      <c r="AO451" s="54"/>
      <c r="AP451" s="54"/>
      <c r="AQ451" s="54">
        <f t="shared" si="308"/>
        <v>0</v>
      </c>
      <c r="AR451" s="53"/>
      <c r="AS451" s="50">
        <f t="shared" si="324"/>
        <v>-8710328.3299999982</v>
      </c>
      <c r="AT451" s="73">
        <f t="shared" si="281"/>
        <v>96009.68</v>
      </c>
      <c r="AU451" s="50">
        <f t="shared" si="301"/>
        <v>0</v>
      </c>
      <c r="AV451" s="50">
        <f t="shared" si="282"/>
        <v>-98146.630000000412</v>
      </c>
      <c r="AW451" s="50"/>
      <c r="AX451" s="50">
        <f t="shared" si="309"/>
        <v>-8712465.2799999975</v>
      </c>
      <c r="AY451" s="50">
        <f t="shared" si="310"/>
        <v>9300000</v>
      </c>
      <c r="AZ451" s="50">
        <f t="shared" si="311"/>
        <v>587534.72000000253</v>
      </c>
      <c r="BA451" s="15">
        <f t="shared" si="293"/>
        <v>-7260.3877333333321</v>
      </c>
      <c r="BB451" s="15">
        <f t="shared" si="284"/>
        <v>-110654.564675</v>
      </c>
    </row>
    <row r="452" spans="2:54" s="58" customFormat="1" x14ac:dyDescent="0.3">
      <c r="B452" s="99">
        <f t="shared" ref="B452" si="328">B451+1</f>
        <v>44796</v>
      </c>
      <c r="C452" s="44">
        <f t="shared" si="314"/>
        <v>-3787405.1299999994</v>
      </c>
      <c r="D452" s="45"/>
      <c r="E452" s="45"/>
      <c r="F452" s="45">
        <v>-0.85</v>
      </c>
      <c r="G452" s="45">
        <f t="shared" si="288"/>
        <v>-3787405.9799999995</v>
      </c>
      <c r="H452" s="44">
        <v>4300000</v>
      </c>
      <c r="I452" s="46">
        <f t="shared" si="315"/>
        <v>-4931801.59</v>
      </c>
      <c r="J452" s="47"/>
      <c r="K452" s="47"/>
      <c r="L452" s="47">
        <v>-12101.950000000101</v>
      </c>
      <c r="M452" s="47">
        <f t="shared" si="316"/>
        <v>-4943903.54</v>
      </c>
      <c r="N452" s="46">
        <v>5000000</v>
      </c>
      <c r="O452" s="48">
        <f t="shared" si="317"/>
        <v>1863.7500000000064</v>
      </c>
      <c r="P452" s="55"/>
      <c r="Q452" s="55"/>
      <c r="R452" s="55"/>
      <c r="S452" s="55">
        <f t="shared" si="318"/>
        <v>1863.7500000000064</v>
      </c>
      <c r="T452" s="48"/>
      <c r="U452" s="49">
        <f t="shared" si="319"/>
        <v>46.389999999970314</v>
      </c>
      <c r="V452" s="51">
        <v>9381.25</v>
      </c>
      <c r="W452" s="51"/>
      <c r="X452" s="51"/>
      <c r="Y452" s="51">
        <f t="shared" si="320"/>
        <v>9427.6399999999703</v>
      </c>
      <c r="Z452" s="52"/>
      <c r="AA452" s="53">
        <f t="shared" si="321"/>
        <v>4788.569999999987</v>
      </c>
      <c r="AB452" s="54"/>
      <c r="AC452" s="54"/>
      <c r="AD452" s="54"/>
      <c r="AE452" s="54">
        <f t="shared" si="322"/>
        <v>4788.569999999987</v>
      </c>
      <c r="AF452" s="53"/>
      <c r="AG452" s="53">
        <f t="shared" si="299"/>
        <v>42.729999999937718</v>
      </c>
      <c r="AH452" s="54"/>
      <c r="AI452" s="54"/>
      <c r="AJ452" s="54"/>
      <c r="AK452" s="54">
        <f t="shared" si="323"/>
        <v>42.729999999937718</v>
      </c>
      <c r="AL452" s="53"/>
      <c r="AM452" s="53">
        <f t="shared" si="307"/>
        <v>0</v>
      </c>
      <c r="AN452" s="54"/>
      <c r="AO452" s="54"/>
      <c r="AP452" s="54"/>
      <c r="AQ452" s="54">
        <f t="shared" si="308"/>
        <v>0</v>
      </c>
      <c r="AR452" s="53"/>
      <c r="AS452" s="50">
        <f t="shared" si="324"/>
        <v>-8712465.2799999975</v>
      </c>
      <c r="AT452" s="73">
        <f t="shared" si="281"/>
        <v>9381.25</v>
      </c>
      <c r="AU452" s="50">
        <f t="shared" si="301"/>
        <v>0</v>
      </c>
      <c r="AV452" s="50">
        <f t="shared" si="282"/>
        <v>-12102.800000000101</v>
      </c>
      <c r="AW452" s="50"/>
      <c r="AX452" s="50">
        <f t="shared" si="309"/>
        <v>-8715186.8299999982</v>
      </c>
      <c r="AY452" s="50">
        <f t="shared" si="310"/>
        <v>9300000</v>
      </c>
      <c r="AZ452" s="50">
        <f t="shared" si="311"/>
        <v>584813.17000000179</v>
      </c>
      <c r="BA452" s="15">
        <f t="shared" si="293"/>
        <v>-7262.6556916666659</v>
      </c>
      <c r="BB452" s="15">
        <f t="shared" si="284"/>
        <v>-117917.22036666666</v>
      </c>
    </row>
    <row r="453" spans="2:54" s="58" customFormat="1" x14ac:dyDescent="0.3">
      <c r="B453" s="99">
        <f t="shared" si="287"/>
        <v>44797</v>
      </c>
      <c r="C453" s="44">
        <f t="shared" si="314"/>
        <v>-3787405.9799999995</v>
      </c>
      <c r="D453" s="45">
        <v>19777</v>
      </c>
      <c r="E453" s="45"/>
      <c r="F453" s="45">
        <v>-12444.2</v>
      </c>
      <c r="G453" s="45">
        <f t="shared" si="288"/>
        <v>-3780073.1799999997</v>
      </c>
      <c r="H453" s="44">
        <v>4300000</v>
      </c>
      <c r="I453" s="46">
        <f t="shared" si="315"/>
        <v>-4943903.54</v>
      </c>
      <c r="J453" s="47">
        <f>37003.45+9291.15</f>
        <v>46294.6</v>
      </c>
      <c r="K453" s="47"/>
      <c r="L453" s="47">
        <v>-21715.9999999996</v>
      </c>
      <c r="M453" s="47">
        <f t="shared" si="316"/>
        <v>-4919324.9400000004</v>
      </c>
      <c r="N453" s="46">
        <v>5000000</v>
      </c>
      <c r="O453" s="48">
        <f t="shared" si="317"/>
        <v>1863.7500000000064</v>
      </c>
      <c r="P453" s="55"/>
      <c r="Q453" s="55"/>
      <c r="R453" s="55"/>
      <c r="S453" s="55">
        <f t="shared" si="318"/>
        <v>1863.7500000000064</v>
      </c>
      <c r="T453" s="48"/>
      <c r="U453" s="49">
        <f t="shared" si="319"/>
        <v>9427.6399999999703</v>
      </c>
      <c r="V453" s="51"/>
      <c r="W453" s="51"/>
      <c r="X453" s="51"/>
      <c r="Y453" s="51">
        <f t="shared" si="320"/>
        <v>9427.6399999999703</v>
      </c>
      <c r="Z453" s="52"/>
      <c r="AA453" s="53">
        <f t="shared" si="321"/>
        <v>4788.569999999987</v>
      </c>
      <c r="AB453" s="54"/>
      <c r="AC453" s="54"/>
      <c r="AD453" s="54"/>
      <c r="AE453" s="54">
        <f t="shared" si="322"/>
        <v>4788.569999999987</v>
      </c>
      <c r="AF453" s="53"/>
      <c r="AG453" s="53">
        <f t="shared" si="299"/>
        <v>42.729999999937718</v>
      </c>
      <c r="AH453" s="54"/>
      <c r="AI453" s="54"/>
      <c r="AJ453" s="54"/>
      <c r="AK453" s="54">
        <f t="shared" si="323"/>
        <v>42.729999999937718</v>
      </c>
      <c r="AL453" s="53"/>
      <c r="AM453" s="53">
        <f t="shared" si="307"/>
        <v>0</v>
      </c>
      <c r="AN453" s="54"/>
      <c r="AO453" s="54"/>
      <c r="AP453" s="54"/>
      <c r="AQ453" s="54">
        <f t="shared" si="308"/>
        <v>0</v>
      </c>
      <c r="AR453" s="53"/>
      <c r="AS453" s="50">
        <f t="shared" si="324"/>
        <v>-8715186.8299999982</v>
      </c>
      <c r="AT453" s="73">
        <f t="shared" si="281"/>
        <v>66071.600000000006</v>
      </c>
      <c r="AU453" s="50">
        <f t="shared" si="301"/>
        <v>0</v>
      </c>
      <c r="AV453" s="50">
        <f t="shared" si="282"/>
        <v>-34160.199999999604</v>
      </c>
      <c r="AW453" s="50"/>
      <c r="AX453" s="50">
        <f t="shared" si="309"/>
        <v>-8683275.4299999997</v>
      </c>
      <c r="AY453" s="50">
        <f t="shared" si="310"/>
        <v>9300000</v>
      </c>
      <c r="AZ453" s="50">
        <f t="shared" si="311"/>
        <v>616724.5700000003</v>
      </c>
      <c r="BA453" s="15">
        <f t="shared" si="293"/>
        <v>-7236.0628583333337</v>
      </c>
      <c r="BB453" s="15">
        <f t="shared" si="284"/>
        <v>-125153.28322499999</v>
      </c>
    </row>
    <row r="454" spans="2:54" s="58" customFormat="1" x14ac:dyDescent="0.3">
      <c r="B454" s="99">
        <f t="shared" si="287"/>
        <v>44798</v>
      </c>
      <c r="C454" s="44">
        <f t="shared" si="314"/>
        <v>-3780073.1799999997</v>
      </c>
      <c r="D454" s="45">
        <v>273828.01</v>
      </c>
      <c r="E454" s="45">
        <v>-65000</v>
      </c>
      <c r="F454" s="45">
        <f>-201992.86+65000</f>
        <v>-136992.85999999999</v>
      </c>
      <c r="G454" s="45">
        <f t="shared" si="288"/>
        <v>-3708238.03</v>
      </c>
      <c r="H454" s="44">
        <v>4300000</v>
      </c>
      <c r="I454" s="46">
        <f t="shared" si="315"/>
        <v>-4919324.9400000004</v>
      </c>
      <c r="J454" s="47">
        <v>48392.460000000006</v>
      </c>
      <c r="K454" s="47">
        <v>65000</v>
      </c>
      <c r="L454" s="47">
        <v>-140783.25</v>
      </c>
      <c r="M454" s="47">
        <f t="shared" si="316"/>
        <v>-4946715.7300000004</v>
      </c>
      <c r="N454" s="46">
        <v>5000000</v>
      </c>
      <c r="O454" s="48">
        <f t="shared" si="317"/>
        <v>1863.7500000000064</v>
      </c>
      <c r="P454" s="55">
        <f>24911.54</f>
        <v>24911.54</v>
      </c>
      <c r="Q454" s="55">
        <v>9000</v>
      </c>
      <c r="R454" s="55">
        <f>-242.85-1630-58-93</f>
        <v>-2023.85</v>
      </c>
      <c r="S454" s="55">
        <f t="shared" si="318"/>
        <v>33751.44000000001</v>
      </c>
      <c r="T454" s="48"/>
      <c r="U454" s="49">
        <f t="shared" si="319"/>
        <v>9427.6399999999703</v>
      </c>
      <c r="V454" s="51"/>
      <c r="W454" s="51">
        <v>-9000</v>
      </c>
      <c r="X454" s="51"/>
      <c r="Y454" s="51">
        <f t="shared" si="320"/>
        <v>427.63999999997031</v>
      </c>
      <c r="Z454" s="52"/>
      <c r="AA454" s="53">
        <f t="shared" si="321"/>
        <v>4788.569999999987</v>
      </c>
      <c r="AB454" s="54"/>
      <c r="AC454" s="54"/>
      <c r="AD454" s="54"/>
      <c r="AE454" s="54">
        <f t="shared" si="322"/>
        <v>4788.569999999987</v>
      </c>
      <c r="AF454" s="53"/>
      <c r="AG454" s="53">
        <f t="shared" si="299"/>
        <v>42.729999999937718</v>
      </c>
      <c r="AH454" s="54"/>
      <c r="AI454" s="54"/>
      <c r="AJ454" s="54"/>
      <c r="AK454" s="54">
        <f t="shared" si="323"/>
        <v>42.729999999937718</v>
      </c>
      <c r="AL454" s="53"/>
      <c r="AM454" s="53">
        <f t="shared" si="307"/>
        <v>0</v>
      </c>
      <c r="AN454" s="54"/>
      <c r="AO454" s="54"/>
      <c r="AP454" s="54"/>
      <c r="AQ454" s="54">
        <f t="shared" si="308"/>
        <v>0</v>
      </c>
      <c r="AR454" s="53"/>
      <c r="AS454" s="50">
        <f t="shared" si="324"/>
        <v>-8683275.4299999997</v>
      </c>
      <c r="AT454" s="73">
        <f t="shared" si="281"/>
        <v>347132.01</v>
      </c>
      <c r="AU454" s="50">
        <f t="shared" si="301"/>
        <v>0</v>
      </c>
      <c r="AV454" s="50">
        <f t="shared" si="282"/>
        <v>-279799.95999999996</v>
      </c>
      <c r="AW454" s="50"/>
      <c r="AX454" s="50">
        <f t="shared" si="309"/>
        <v>-8615943.379999999</v>
      </c>
      <c r="AY454" s="50">
        <f t="shared" si="310"/>
        <v>9300000</v>
      </c>
      <c r="AZ454" s="50">
        <f t="shared" si="311"/>
        <v>684056.62000000104</v>
      </c>
      <c r="BA454" s="15">
        <f t="shared" si="293"/>
        <v>-7179.952816666666</v>
      </c>
      <c r="BB454" s="15">
        <f t="shared" si="284"/>
        <v>-132333.23604166665</v>
      </c>
    </row>
    <row r="455" spans="2:54" s="58" customFormat="1" x14ac:dyDescent="0.3">
      <c r="B455" s="99">
        <f t="shared" si="287"/>
        <v>44799</v>
      </c>
      <c r="C455" s="44">
        <f t="shared" si="314"/>
        <v>-3708238.03</v>
      </c>
      <c r="D455" s="45"/>
      <c r="E455" s="45"/>
      <c r="F455" s="45"/>
      <c r="G455" s="45">
        <f t="shared" si="288"/>
        <v>-3708238.03</v>
      </c>
      <c r="H455" s="44">
        <v>4300000</v>
      </c>
      <c r="I455" s="46">
        <f t="shared" si="315"/>
        <v>-4946715.7300000004</v>
      </c>
      <c r="J455" s="47">
        <v>260374.04</v>
      </c>
      <c r="K455" s="47"/>
      <c r="L455" s="47">
        <v>-59640.209999999599</v>
      </c>
      <c r="M455" s="47">
        <f t="shared" si="316"/>
        <v>-4745981.9000000004</v>
      </c>
      <c r="N455" s="46">
        <v>5000000</v>
      </c>
      <c r="O455" s="48">
        <f t="shared" si="317"/>
        <v>33751.44000000001</v>
      </c>
      <c r="P455" s="55"/>
      <c r="Q455" s="55"/>
      <c r="R455" s="55"/>
      <c r="S455" s="55">
        <f t="shared" si="318"/>
        <v>33751.44000000001</v>
      </c>
      <c r="T455" s="48"/>
      <c r="U455" s="49">
        <f t="shared" si="319"/>
        <v>427.63999999997031</v>
      </c>
      <c r="V455" s="51">
        <v>101333.23</v>
      </c>
      <c r="W455" s="51"/>
      <c r="X455" s="51"/>
      <c r="Y455" s="51">
        <f t="shared" si="320"/>
        <v>101760.86999999997</v>
      </c>
      <c r="Z455" s="52"/>
      <c r="AA455" s="53">
        <f t="shared" si="321"/>
        <v>4788.569999999987</v>
      </c>
      <c r="AB455" s="54"/>
      <c r="AC455" s="54"/>
      <c r="AD455" s="54"/>
      <c r="AE455" s="54">
        <f t="shared" si="322"/>
        <v>4788.569999999987</v>
      </c>
      <c r="AF455" s="53"/>
      <c r="AG455" s="53">
        <f t="shared" si="299"/>
        <v>42.729999999937718</v>
      </c>
      <c r="AH455" s="54">
        <v>89032.67</v>
      </c>
      <c r="AI455" s="54"/>
      <c r="AJ455" s="54">
        <v>-60</v>
      </c>
      <c r="AK455" s="54">
        <f t="shared" si="323"/>
        <v>89015.399999999936</v>
      </c>
      <c r="AL455" s="53"/>
      <c r="AM455" s="53">
        <f t="shared" si="307"/>
        <v>0</v>
      </c>
      <c r="AN455" s="54"/>
      <c r="AO455" s="54"/>
      <c r="AP455" s="54"/>
      <c r="AQ455" s="54">
        <f t="shared" si="308"/>
        <v>0</v>
      </c>
      <c r="AR455" s="53"/>
      <c r="AS455" s="50">
        <f t="shared" si="324"/>
        <v>-8615943.379999999</v>
      </c>
      <c r="AT455" s="73">
        <f t="shared" si="281"/>
        <v>450739.94</v>
      </c>
      <c r="AU455" s="50">
        <f t="shared" si="301"/>
        <v>0</v>
      </c>
      <c r="AV455" s="50">
        <f t="shared" si="282"/>
        <v>-59700.209999999599</v>
      </c>
      <c r="AW455" s="50"/>
      <c r="AX455" s="50">
        <f t="shared" si="309"/>
        <v>-8224903.6499999994</v>
      </c>
      <c r="AY455" s="50">
        <f t="shared" si="310"/>
        <v>9300000</v>
      </c>
      <c r="AZ455" s="50">
        <f t="shared" si="311"/>
        <v>1075096.3500000006</v>
      </c>
      <c r="BA455" s="15">
        <f t="shared" si="293"/>
        <v>-6854.0863749999999</v>
      </c>
      <c r="BB455" s="15">
        <f t="shared" si="284"/>
        <v>-139187.32241666666</v>
      </c>
    </row>
    <row r="456" spans="2:54" s="58" customFormat="1" x14ac:dyDescent="0.3">
      <c r="B456" s="99">
        <f>B455+3</f>
        <v>44802</v>
      </c>
      <c r="C456" s="44">
        <f t="shared" si="314"/>
        <v>-3708238.03</v>
      </c>
      <c r="D456" s="45">
        <f>222997.5+48073.72</f>
        <v>271071.21999999997</v>
      </c>
      <c r="E456" s="45">
        <v>-200000</v>
      </c>
      <c r="F456" s="45">
        <v>-0.85</v>
      </c>
      <c r="G456" s="45">
        <f t="shared" si="288"/>
        <v>-3637167.6599999997</v>
      </c>
      <c r="H456" s="44">
        <v>4300000</v>
      </c>
      <c r="I456" s="46">
        <f t="shared" si="315"/>
        <v>-4745981.9000000004</v>
      </c>
      <c r="J456" s="47">
        <f>119420.44+211093.75</f>
        <v>330514.19</v>
      </c>
      <c r="K456" s="47">
        <f>380000+93000</f>
        <v>473000</v>
      </c>
      <c r="L456" s="47">
        <v>-973019.14</v>
      </c>
      <c r="M456" s="47">
        <f t="shared" si="316"/>
        <v>-4915486.8499999996</v>
      </c>
      <c r="N456" s="46">
        <v>5000000</v>
      </c>
      <c r="O456" s="48">
        <f t="shared" si="317"/>
        <v>33751.44000000001</v>
      </c>
      <c r="P456" s="55"/>
      <c r="Q456" s="55">
        <f>160800-180000</f>
        <v>-19200</v>
      </c>
      <c r="R456" s="55">
        <f>-10-697.5-972.65-8792.55</f>
        <v>-10472.699999999999</v>
      </c>
      <c r="S456" s="55">
        <f t="shared" si="318"/>
        <v>4078.7400000000107</v>
      </c>
      <c r="T456" s="48"/>
      <c r="U456" s="49">
        <f t="shared" si="319"/>
        <v>101760.86999999997</v>
      </c>
      <c r="V456" s="51">
        <v>59101.85</v>
      </c>
      <c r="W456" s="51">
        <v>-160800</v>
      </c>
      <c r="X456" s="51">
        <v>-1.3</v>
      </c>
      <c r="Y456" s="51">
        <f t="shared" si="320"/>
        <v>61.419999999972063</v>
      </c>
      <c r="Z456" s="52"/>
      <c r="AA456" s="53">
        <f t="shared" si="321"/>
        <v>4788.569999999987</v>
      </c>
      <c r="AB456" s="54"/>
      <c r="AC456" s="54">
        <f>89000-93000</f>
        <v>-4000</v>
      </c>
      <c r="AD456" s="54"/>
      <c r="AE456" s="54">
        <f t="shared" si="322"/>
        <v>788.56999999998698</v>
      </c>
      <c r="AF456" s="53"/>
      <c r="AG456" s="53">
        <f t="shared" si="299"/>
        <v>89015.399999999936</v>
      </c>
      <c r="AH456" s="54"/>
      <c r="AI456" s="54">
        <v>-89000</v>
      </c>
      <c r="AJ456" s="54"/>
      <c r="AK456" s="54">
        <f t="shared" si="323"/>
        <v>15.399999999935972</v>
      </c>
      <c r="AL456" s="53"/>
      <c r="AM456" s="53">
        <f t="shared" si="307"/>
        <v>0</v>
      </c>
      <c r="AN456" s="54"/>
      <c r="AO456" s="54"/>
      <c r="AP456" s="54"/>
      <c r="AQ456" s="54">
        <f t="shared" si="308"/>
        <v>0</v>
      </c>
      <c r="AR456" s="53"/>
      <c r="AS456" s="50">
        <f t="shared" si="324"/>
        <v>-8224903.6499999994</v>
      </c>
      <c r="AT456" s="73">
        <f t="shared" si="281"/>
        <v>660687.25999999989</v>
      </c>
      <c r="AU456" s="50">
        <f t="shared" si="301"/>
        <v>0</v>
      </c>
      <c r="AV456" s="50">
        <f t="shared" si="282"/>
        <v>-983493.99</v>
      </c>
      <c r="AW456" s="50"/>
      <c r="AX456" s="50">
        <f t="shared" si="309"/>
        <v>-8547710.379999999</v>
      </c>
      <c r="AY456" s="50">
        <f t="shared" si="310"/>
        <v>9300000</v>
      </c>
      <c r="AZ456" s="50">
        <f t="shared" si="311"/>
        <v>752289.62000000104</v>
      </c>
      <c r="BA456" s="15">
        <f t="shared" si="293"/>
        <v>-7123.0919833333328</v>
      </c>
      <c r="BB456" s="15">
        <f t="shared" si="284"/>
        <v>-146310.41440000001</v>
      </c>
    </row>
    <row r="457" spans="2:54" s="58" customFormat="1" x14ac:dyDescent="0.3">
      <c r="B457" s="99">
        <f t="shared" ref="B457" si="329">B456+1</f>
        <v>44803</v>
      </c>
      <c r="C457" s="44">
        <f t="shared" si="314"/>
        <v>-3637167.6599999997</v>
      </c>
      <c r="D457" s="45">
        <v>1055397.5</v>
      </c>
      <c r="E457" s="45"/>
      <c r="F457" s="45"/>
      <c r="G457" s="45">
        <f t="shared" si="288"/>
        <v>-2581770.1599999997</v>
      </c>
      <c r="H457" s="44">
        <v>4300000</v>
      </c>
      <c r="I457" s="46">
        <f t="shared" si="315"/>
        <v>-4915486.8499999996</v>
      </c>
      <c r="J457" s="47">
        <v>444712.02</v>
      </c>
      <c r="K457" s="47">
        <v>262400</v>
      </c>
      <c r="L457" s="47">
        <v>-131180.480000001</v>
      </c>
      <c r="M457" s="47">
        <f t="shared" si="316"/>
        <v>-4339555.3100000015</v>
      </c>
      <c r="N457" s="46">
        <v>5000000</v>
      </c>
      <c r="O457" s="48">
        <f t="shared" si="317"/>
        <v>4078.7400000000107</v>
      </c>
      <c r="P457" s="55">
        <f>693704.35-70800</f>
        <v>622904.35</v>
      </c>
      <c r="Q457" s="55">
        <v>70800</v>
      </c>
      <c r="R457" s="55">
        <v>-979.2</v>
      </c>
      <c r="S457" s="55">
        <f t="shared" si="318"/>
        <v>696803.89</v>
      </c>
      <c r="T457" s="48"/>
      <c r="U457" s="49">
        <f t="shared" si="319"/>
        <v>61.419999999972063</v>
      </c>
      <c r="V457" s="51">
        <v>70762.899999999994</v>
      </c>
      <c r="W457" s="51">
        <v>-70800</v>
      </c>
      <c r="X457" s="51">
        <f>-1.3</f>
        <v>-1.3</v>
      </c>
      <c r="Y457" s="51">
        <f t="shared" si="320"/>
        <v>23.019999999963328</v>
      </c>
      <c r="Z457" s="52"/>
      <c r="AA457" s="53">
        <f t="shared" si="321"/>
        <v>788.56999999998698</v>
      </c>
      <c r="AB457" s="54"/>
      <c r="AC457" s="54"/>
      <c r="AD457" s="54"/>
      <c r="AE457" s="54">
        <f t="shared" si="322"/>
        <v>788.56999999998698</v>
      </c>
      <c r="AF457" s="53"/>
      <c r="AG457" s="53">
        <f t="shared" si="299"/>
        <v>15.399999999935972</v>
      </c>
      <c r="AH457" s="54">
        <f>91582.1+170864.1</f>
        <v>262446.2</v>
      </c>
      <c r="AI457" s="54">
        <v>-262400</v>
      </c>
      <c r="AJ457" s="54">
        <v>-60</v>
      </c>
      <c r="AK457" s="54">
        <f t="shared" si="323"/>
        <v>1.5999999999767169</v>
      </c>
      <c r="AL457" s="53"/>
      <c r="AM457" s="53">
        <f t="shared" si="307"/>
        <v>0</v>
      </c>
      <c r="AN457" s="54"/>
      <c r="AO457" s="54"/>
      <c r="AP457" s="54"/>
      <c r="AQ457" s="54">
        <f t="shared" si="308"/>
        <v>0</v>
      </c>
      <c r="AR457" s="53"/>
      <c r="AS457" s="50">
        <f t="shared" si="324"/>
        <v>-8547710.379999999</v>
      </c>
      <c r="AT457" s="73">
        <f t="shared" si="281"/>
        <v>2456222.9700000002</v>
      </c>
      <c r="AU457" s="50">
        <f t="shared" si="301"/>
        <v>0</v>
      </c>
      <c r="AV457" s="50">
        <f t="shared" si="282"/>
        <v>-132220.980000001</v>
      </c>
      <c r="AW457" s="50"/>
      <c r="AX457" s="50">
        <f t="shared" si="309"/>
        <v>-6223708.3900000015</v>
      </c>
      <c r="AY457" s="50">
        <f t="shared" si="310"/>
        <v>9300000</v>
      </c>
      <c r="AZ457" s="50">
        <f t="shared" si="311"/>
        <v>3076291.6099999985</v>
      </c>
      <c r="BA457" s="15">
        <f t="shared" si="293"/>
        <v>-5186.423658333335</v>
      </c>
      <c r="BB457" s="15">
        <f t="shared" si="284"/>
        <v>-151496.83805833335</v>
      </c>
    </row>
    <row r="458" spans="2:54" s="58" customFormat="1" x14ac:dyDescent="0.3">
      <c r="B458" s="99">
        <f t="shared" si="287"/>
        <v>44804</v>
      </c>
      <c r="C458" s="44">
        <f t="shared" si="314"/>
        <v>-2581770.1599999997</v>
      </c>
      <c r="D458" s="45">
        <v>45942</v>
      </c>
      <c r="E458" s="45"/>
      <c r="F458" s="45">
        <v>-72138.98</v>
      </c>
      <c r="G458" s="45">
        <f t="shared" si="288"/>
        <v>-2607967.1399999997</v>
      </c>
      <c r="H458" s="44">
        <v>4300000</v>
      </c>
      <c r="I458" s="46">
        <f t="shared" si="315"/>
        <v>-4339555.3100000015</v>
      </c>
      <c r="J458" s="47">
        <v>84610.7</v>
      </c>
      <c r="K458" s="47">
        <v>680000</v>
      </c>
      <c r="L458" s="47">
        <v>-31559.8399999986</v>
      </c>
      <c r="M458" s="47">
        <f t="shared" si="316"/>
        <v>-3606504.4499999997</v>
      </c>
      <c r="N458" s="46">
        <v>5000000</v>
      </c>
      <c r="O458" s="48">
        <f t="shared" si="317"/>
        <v>696803.89</v>
      </c>
      <c r="P458" s="55">
        <v>3991.06</v>
      </c>
      <c r="Q458" s="55">
        <v>-680000</v>
      </c>
      <c r="R458" s="55">
        <v>-2373.9000000000701</v>
      </c>
      <c r="S458" s="55">
        <f t="shared" si="318"/>
        <v>18421.05</v>
      </c>
      <c r="T458" s="48"/>
      <c r="U458" s="49">
        <f t="shared" si="319"/>
        <v>23.019999999963328</v>
      </c>
      <c r="V458" s="51">
        <v>430.5</v>
      </c>
      <c r="W458" s="51"/>
      <c r="X458" s="51"/>
      <c r="Y458" s="51">
        <f t="shared" si="320"/>
        <v>453.51999999996332</v>
      </c>
      <c r="Z458" s="52"/>
      <c r="AA458" s="53">
        <f t="shared" si="321"/>
        <v>788.56999999998698</v>
      </c>
      <c r="AB458" s="54"/>
      <c r="AC458" s="54"/>
      <c r="AD458" s="54">
        <v>-140</v>
      </c>
      <c r="AE458" s="54">
        <f t="shared" si="322"/>
        <v>648.56999999998698</v>
      </c>
      <c r="AF458" s="53"/>
      <c r="AG458" s="53">
        <f t="shared" si="299"/>
        <v>1.5999999999767169</v>
      </c>
      <c r="AH458" s="54">
        <v>100</v>
      </c>
      <c r="AI458" s="54"/>
      <c r="AJ458" s="54">
        <v>-9.6</v>
      </c>
      <c r="AK458" s="54">
        <f t="shared" si="323"/>
        <v>91.999999999976723</v>
      </c>
      <c r="AL458" s="53"/>
      <c r="AM458" s="53">
        <f t="shared" si="307"/>
        <v>0</v>
      </c>
      <c r="AN458" s="54"/>
      <c r="AO458" s="54"/>
      <c r="AP458" s="54"/>
      <c r="AQ458" s="54">
        <f t="shared" si="308"/>
        <v>0</v>
      </c>
      <c r="AR458" s="53"/>
      <c r="AS458" s="50">
        <f t="shared" si="324"/>
        <v>-6223708.3900000015</v>
      </c>
      <c r="AT458" s="73">
        <f t="shared" ref="AT458:AT521" si="330">SUM(D458,J458,P458,V458,AB458,AH458)</f>
        <v>135074.26</v>
      </c>
      <c r="AU458" s="50">
        <f t="shared" si="301"/>
        <v>0</v>
      </c>
      <c r="AV458" s="50">
        <f t="shared" ref="AV458:AV521" si="331">SUM(F458,L458,R458,X458,AD458,AJ458)</f>
        <v>-106222.31999999867</v>
      </c>
      <c r="AW458" s="50"/>
      <c r="AX458" s="50">
        <f t="shared" si="309"/>
        <v>-6194856.4500000002</v>
      </c>
      <c r="AY458" s="50">
        <f t="shared" si="310"/>
        <v>9300000</v>
      </c>
      <c r="AZ458" s="50">
        <f t="shared" si="311"/>
        <v>3105143.55</v>
      </c>
      <c r="BA458" s="82">
        <f t="shared" si="293"/>
        <v>-5162.3803750000006</v>
      </c>
      <c r="BB458" s="82">
        <f t="shared" si="284"/>
        <v>-156659.21843333336</v>
      </c>
    </row>
    <row r="459" spans="2:54" s="58" customFormat="1" x14ac:dyDescent="0.3">
      <c r="B459" s="99">
        <f t="shared" si="287"/>
        <v>44805</v>
      </c>
      <c r="C459" s="44">
        <f t="shared" si="314"/>
        <v>-2607967.1399999997</v>
      </c>
      <c r="D459" s="45"/>
      <c r="E459" s="45">
        <v>-1000000</v>
      </c>
      <c r="F459" s="45">
        <v>-71839.25</v>
      </c>
      <c r="G459" s="45">
        <f t="shared" si="288"/>
        <v>-3679806.3899999997</v>
      </c>
      <c r="H459" s="44">
        <v>4300000</v>
      </c>
      <c r="I459" s="46">
        <f t="shared" si="315"/>
        <v>-3606504.4499999997</v>
      </c>
      <c r="J459" s="47">
        <v>3629.41</v>
      </c>
      <c r="K459" s="47">
        <v>1000000</v>
      </c>
      <c r="L459" s="47">
        <v>-2311682.4500000002</v>
      </c>
      <c r="M459" s="47">
        <f t="shared" si="316"/>
        <v>-4914557.49</v>
      </c>
      <c r="N459" s="46">
        <v>5000000</v>
      </c>
      <c r="O459" s="48">
        <f t="shared" si="317"/>
        <v>18421.05</v>
      </c>
      <c r="P459" s="55"/>
      <c r="Q459" s="55"/>
      <c r="R459" s="55">
        <v>-13364.51</v>
      </c>
      <c r="S459" s="55">
        <f t="shared" si="318"/>
        <v>5056.5399999999991</v>
      </c>
      <c r="T459" s="48"/>
      <c r="U459" s="49">
        <f t="shared" si="319"/>
        <v>453.51999999996332</v>
      </c>
      <c r="V459" s="51"/>
      <c r="W459" s="51"/>
      <c r="X459" s="51"/>
      <c r="Y459" s="51">
        <f t="shared" si="320"/>
        <v>453.51999999996332</v>
      </c>
      <c r="Z459" s="52"/>
      <c r="AA459" s="53">
        <f t="shared" si="321"/>
        <v>648.56999999998698</v>
      </c>
      <c r="AB459" s="54"/>
      <c r="AC459" s="54"/>
      <c r="AD459" s="54">
        <v>-327.87999999998698</v>
      </c>
      <c r="AE459" s="54">
        <f t="shared" si="322"/>
        <v>320.69</v>
      </c>
      <c r="AF459" s="53"/>
      <c r="AG459" s="53">
        <f t="shared" si="299"/>
        <v>91.999999999976723</v>
      </c>
      <c r="AH459" s="54"/>
      <c r="AI459" s="54"/>
      <c r="AJ459" s="54"/>
      <c r="AK459" s="54">
        <f t="shared" si="323"/>
        <v>91.999999999976723</v>
      </c>
      <c r="AL459" s="53"/>
      <c r="AM459" s="53">
        <f t="shared" si="307"/>
        <v>0</v>
      </c>
      <c r="AN459" s="54"/>
      <c r="AO459" s="54"/>
      <c r="AP459" s="54"/>
      <c r="AQ459" s="54">
        <f t="shared" si="308"/>
        <v>0</v>
      </c>
      <c r="AR459" s="53"/>
      <c r="AS459" s="50">
        <f t="shared" si="324"/>
        <v>-6194856.4500000002</v>
      </c>
      <c r="AT459" s="73">
        <f t="shared" si="330"/>
        <v>3629.41</v>
      </c>
      <c r="AU459" s="50">
        <f t="shared" si="301"/>
        <v>0</v>
      </c>
      <c r="AV459" s="50">
        <f t="shared" si="331"/>
        <v>-2397214.09</v>
      </c>
      <c r="AW459" s="50"/>
      <c r="AX459" s="50">
        <f t="shared" si="309"/>
        <v>-8588441.1300000008</v>
      </c>
      <c r="AY459" s="50">
        <f t="shared" si="310"/>
        <v>9300000</v>
      </c>
      <c r="AZ459" s="50">
        <f t="shared" si="311"/>
        <v>711558.86999999918</v>
      </c>
      <c r="BA459" s="15">
        <f t="shared" si="293"/>
        <v>-7157.0342750000009</v>
      </c>
      <c r="BB459" s="15">
        <f>BA459</f>
        <v>-7157.0342750000009</v>
      </c>
    </row>
    <row r="460" spans="2:54" s="58" customFormat="1" x14ac:dyDescent="0.3">
      <c r="B460" s="99">
        <f t="shared" si="287"/>
        <v>44806</v>
      </c>
      <c r="C460" s="44">
        <f t="shared" si="314"/>
        <v>-3679806.3899999997</v>
      </c>
      <c r="D460" s="45">
        <v>110777.35</v>
      </c>
      <c r="E460" s="45">
        <v>-100000</v>
      </c>
      <c r="F460" s="45">
        <v>-239110.35</v>
      </c>
      <c r="G460" s="45">
        <f t="shared" si="288"/>
        <v>-3908139.3899999997</v>
      </c>
      <c r="H460" s="44">
        <v>4300000</v>
      </c>
      <c r="I460" s="46">
        <f t="shared" si="315"/>
        <v>-4914557.49</v>
      </c>
      <c r="J460" s="47">
        <v>0.05</v>
      </c>
      <c r="K460" s="47">
        <v>100000</v>
      </c>
      <c r="L460" s="47">
        <v>-137284.38</v>
      </c>
      <c r="M460" s="47">
        <f t="shared" si="316"/>
        <v>-4951841.82</v>
      </c>
      <c r="N460" s="46">
        <v>5000000</v>
      </c>
      <c r="O460" s="48">
        <f t="shared" si="317"/>
        <v>5056.5399999999991</v>
      </c>
      <c r="P460" s="55">
        <v>143.36000000000001</v>
      </c>
      <c r="Q460" s="55"/>
      <c r="R460" s="55"/>
      <c r="S460" s="55">
        <f t="shared" si="318"/>
        <v>5199.8999999999987</v>
      </c>
      <c r="T460" s="48"/>
      <c r="U460" s="49">
        <f t="shared" si="319"/>
        <v>453.51999999996332</v>
      </c>
      <c r="V460" s="51"/>
      <c r="W460" s="51"/>
      <c r="X460" s="51">
        <v>-59.95</v>
      </c>
      <c r="Y460" s="51">
        <f t="shared" si="320"/>
        <v>393.56999999996333</v>
      </c>
      <c r="Z460" s="52"/>
      <c r="AA460" s="53">
        <f t="shared" si="321"/>
        <v>320.69</v>
      </c>
      <c r="AB460" s="54"/>
      <c r="AC460" s="54"/>
      <c r="AD460" s="54">
        <v>-30</v>
      </c>
      <c r="AE460" s="54">
        <f t="shared" si="322"/>
        <v>290.69</v>
      </c>
      <c r="AF460" s="53"/>
      <c r="AG460" s="53">
        <f t="shared" si="299"/>
        <v>91.999999999976723</v>
      </c>
      <c r="AH460" s="54">
        <v>0.24</v>
      </c>
      <c r="AI460" s="54"/>
      <c r="AJ460" s="54"/>
      <c r="AK460" s="54">
        <f t="shared" si="323"/>
        <v>92.239999999976718</v>
      </c>
      <c r="AL460" s="53"/>
      <c r="AM460" s="53">
        <f t="shared" si="307"/>
        <v>0</v>
      </c>
      <c r="AN460" s="54"/>
      <c r="AO460" s="54"/>
      <c r="AP460" s="54"/>
      <c r="AQ460" s="54">
        <f t="shared" si="308"/>
        <v>0</v>
      </c>
      <c r="AR460" s="53"/>
      <c r="AS460" s="50">
        <f t="shared" si="324"/>
        <v>-8588441.1300000008</v>
      </c>
      <c r="AT460" s="73">
        <f t="shared" si="330"/>
        <v>110921.00000000001</v>
      </c>
      <c r="AU460" s="50">
        <f t="shared" si="301"/>
        <v>0</v>
      </c>
      <c r="AV460" s="50">
        <f t="shared" si="331"/>
        <v>-376484.68</v>
      </c>
      <c r="AW460" s="50"/>
      <c r="AX460" s="50">
        <f t="shared" si="309"/>
        <v>-8854004.8100000005</v>
      </c>
      <c r="AY460" s="50">
        <f t="shared" si="310"/>
        <v>9300000</v>
      </c>
      <c r="AZ460" s="50">
        <f t="shared" si="311"/>
        <v>445995.18999999948</v>
      </c>
      <c r="BA460" s="15">
        <f t="shared" si="293"/>
        <v>-7378.3373416666673</v>
      </c>
      <c r="BB460" s="15">
        <f t="shared" si="284"/>
        <v>-14535.371616666667</v>
      </c>
    </row>
    <row r="461" spans="2:54" s="58" customFormat="1" x14ac:dyDescent="0.3">
      <c r="B461" s="99">
        <f t="shared" ref="B461" si="332">B460+3</f>
        <v>44809</v>
      </c>
      <c r="C461" s="44">
        <f t="shared" si="314"/>
        <v>-3908139.3899999997</v>
      </c>
      <c r="D461" s="45">
        <v>56017</v>
      </c>
      <c r="E461" s="45">
        <v>-300000</v>
      </c>
      <c r="F461" s="45">
        <f>-0.85-751.56-3477.49-8137.21</f>
        <v>-12367.11</v>
      </c>
      <c r="G461" s="45">
        <f t="shared" si="288"/>
        <v>-4164489.4999999995</v>
      </c>
      <c r="H461" s="44">
        <v>4300000</v>
      </c>
      <c r="I461" s="46">
        <f t="shared" si="315"/>
        <v>-4951841.82</v>
      </c>
      <c r="J461" s="47">
        <f>354184+24259.18+66599.5</f>
        <v>445042.68</v>
      </c>
      <c r="K461" s="47">
        <f>300000+870000+125000</f>
        <v>1295000</v>
      </c>
      <c r="L461" s="47">
        <v>-695313.27999999898</v>
      </c>
      <c r="M461" s="47">
        <f t="shared" si="316"/>
        <v>-3907112.4199999995</v>
      </c>
      <c r="N461" s="46">
        <v>5000000</v>
      </c>
      <c r="O461" s="48">
        <f t="shared" si="317"/>
        <v>5199.8999999999987</v>
      </c>
      <c r="P461" s="55">
        <f>1044.24+10.15</f>
        <v>1054.3900000000001</v>
      </c>
      <c r="Q461" s="55">
        <f>123800-125000</f>
        <v>-1200</v>
      </c>
      <c r="R461" s="55">
        <v>-10</v>
      </c>
      <c r="S461" s="55">
        <f t="shared" si="318"/>
        <v>5044.2899999999991</v>
      </c>
      <c r="T461" s="48"/>
      <c r="U461" s="49">
        <f t="shared" si="319"/>
        <v>393.56999999996333</v>
      </c>
      <c r="V461" s="51">
        <v>123454.04</v>
      </c>
      <c r="W461" s="51">
        <v>-123800</v>
      </c>
      <c r="X461" s="51"/>
      <c r="Y461" s="51">
        <f t="shared" si="320"/>
        <v>47.609999999956926</v>
      </c>
      <c r="Z461" s="52"/>
      <c r="AA461" s="53">
        <f t="shared" si="321"/>
        <v>290.69</v>
      </c>
      <c r="AB461" s="54">
        <v>1120946.68</v>
      </c>
      <c r="AC461" s="54">
        <v>-870000</v>
      </c>
      <c r="AD461" s="54"/>
      <c r="AE461" s="54">
        <f t="shared" si="322"/>
        <v>251237.36999999988</v>
      </c>
      <c r="AF461" s="53"/>
      <c r="AG461" s="53">
        <f t="shared" si="299"/>
        <v>92.239999999976718</v>
      </c>
      <c r="AH461" s="54"/>
      <c r="AI461" s="54"/>
      <c r="AJ461" s="54"/>
      <c r="AK461" s="54">
        <f t="shared" si="323"/>
        <v>92.239999999976718</v>
      </c>
      <c r="AL461" s="53"/>
      <c r="AM461" s="53">
        <f t="shared" si="307"/>
        <v>0</v>
      </c>
      <c r="AN461" s="54"/>
      <c r="AO461" s="54"/>
      <c r="AP461" s="54"/>
      <c r="AQ461" s="54">
        <f t="shared" si="308"/>
        <v>0</v>
      </c>
      <c r="AR461" s="53"/>
      <c r="AS461" s="50">
        <f t="shared" si="324"/>
        <v>-8854004.8100000005</v>
      </c>
      <c r="AT461" s="73">
        <f t="shared" si="330"/>
        <v>1746514.79</v>
      </c>
      <c r="AU461" s="50">
        <f t="shared" si="301"/>
        <v>0</v>
      </c>
      <c r="AV461" s="50">
        <f t="shared" si="331"/>
        <v>-707690.38999999897</v>
      </c>
      <c r="AW461" s="50"/>
      <c r="AX461" s="50">
        <f t="shared" si="309"/>
        <v>-7815180.4099999983</v>
      </c>
      <c r="AY461" s="50">
        <f t="shared" si="310"/>
        <v>9300000</v>
      </c>
      <c r="AZ461" s="50">
        <f t="shared" si="311"/>
        <v>1484819.5900000017</v>
      </c>
      <c r="BA461" s="15">
        <f t="shared" si="293"/>
        <v>-6512.6503416666656</v>
      </c>
      <c r="BB461" s="15">
        <f t="shared" si="284"/>
        <v>-21048.021958333331</v>
      </c>
    </row>
    <row r="462" spans="2:54" s="58" customFormat="1" ht="17.25" customHeight="1" x14ac:dyDescent="0.3">
      <c r="B462" s="99">
        <f t="shared" ref="B462" si="333">B461+1</f>
        <v>44810</v>
      </c>
      <c r="C462" s="44">
        <f t="shared" si="314"/>
        <v>-4164489.4999999995</v>
      </c>
      <c r="D462" s="45">
        <v>120548.46</v>
      </c>
      <c r="E462" s="45"/>
      <c r="F462" s="45">
        <v>-14712.12</v>
      </c>
      <c r="G462" s="45">
        <f t="shared" si="288"/>
        <v>-4058653.1599999997</v>
      </c>
      <c r="H462" s="44">
        <v>4300000</v>
      </c>
      <c r="I462" s="46">
        <f t="shared" si="315"/>
        <v>-3907112.4199999995</v>
      </c>
      <c r="J462" s="47"/>
      <c r="K462" s="47"/>
      <c r="L462" s="47">
        <v>-481646.67000000097</v>
      </c>
      <c r="M462" s="47">
        <f t="shared" si="316"/>
        <v>-4388759.0900000008</v>
      </c>
      <c r="N462" s="46">
        <v>5000000</v>
      </c>
      <c r="O462" s="48">
        <f t="shared" si="317"/>
        <v>5044.2899999999991</v>
      </c>
      <c r="P462" s="55">
        <f>163.84+512.32</f>
        <v>676.16000000000008</v>
      </c>
      <c r="Q462" s="55"/>
      <c r="R462" s="55">
        <f>-1200*2</f>
        <v>-2400</v>
      </c>
      <c r="S462" s="55">
        <f t="shared" si="318"/>
        <v>3320.4499999999989</v>
      </c>
      <c r="T462" s="48"/>
      <c r="U462" s="49">
        <f t="shared" si="319"/>
        <v>47.609999999956926</v>
      </c>
      <c r="V462" s="51"/>
      <c r="W462" s="51"/>
      <c r="X462" s="51">
        <v>-1.3</v>
      </c>
      <c r="Y462" s="51">
        <f t="shared" si="320"/>
        <v>46.309999999956929</v>
      </c>
      <c r="Z462" s="52"/>
      <c r="AA462" s="53">
        <f t="shared" si="321"/>
        <v>251237.36999999988</v>
      </c>
      <c r="AB462" s="54"/>
      <c r="AC462" s="54"/>
      <c r="AD462" s="54">
        <v>-239996.72</v>
      </c>
      <c r="AE462" s="54">
        <f t="shared" si="322"/>
        <v>11240.649999999878</v>
      </c>
      <c r="AF462" s="53"/>
      <c r="AG462" s="53">
        <f t="shared" si="299"/>
        <v>92.239999999976718</v>
      </c>
      <c r="AH462" s="54"/>
      <c r="AI462" s="54"/>
      <c r="AJ462" s="54"/>
      <c r="AK462" s="54">
        <f t="shared" si="323"/>
        <v>92.239999999976718</v>
      </c>
      <c r="AL462" s="53"/>
      <c r="AM462" s="53">
        <f t="shared" si="307"/>
        <v>0</v>
      </c>
      <c r="AN462" s="54"/>
      <c r="AO462" s="54"/>
      <c r="AP462" s="54"/>
      <c r="AQ462" s="54">
        <f t="shared" si="308"/>
        <v>0</v>
      </c>
      <c r="AR462" s="53"/>
      <c r="AS462" s="50">
        <f t="shared" si="324"/>
        <v>-7815180.4099999983</v>
      </c>
      <c r="AT462" s="73">
        <f t="shared" si="330"/>
        <v>121224.62000000001</v>
      </c>
      <c r="AU462" s="50">
        <f t="shared" si="301"/>
        <v>0</v>
      </c>
      <c r="AV462" s="50">
        <f t="shared" si="331"/>
        <v>-738756.81000000099</v>
      </c>
      <c r="AW462" s="50"/>
      <c r="AX462" s="50">
        <f t="shared" si="309"/>
        <v>-8432712.5999999996</v>
      </c>
      <c r="AY462" s="50">
        <f t="shared" si="310"/>
        <v>9300000</v>
      </c>
      <c r="AZ462" s="50">
        <f t="shared" si="311"/>
        <v>867287.40000000037</v>
      </c>
      <c r="BA462" s="15">
        <f t="shared" si="293"/>
        <v>-7027.2605000000003</v>
      </c>
      <c r="BB462" s="15">
        <f t="shared" ref="BB462:BB526" si="334">BA462+BB461</f>
        <v>-28075.282458333331</v>
      </c>
    </row>
    <row r="463" spans="2:54" s="58" customFormat="1" x14ac:dyDescent="0.3">
      <c r="B463" s="99">
        <f t="shared" si="287"/>
        <v>44811</v>
      </c>
      <c r="C463" s="44">
        <f t="shared" si="314"/>
        <v>-4058653.1599999997</v>
      </c>
      <c r="D463" s="45"/>
      <c r="E463" s="45"/>
      <c r="F463" s="45"/>
      <c r="G463" s="45">
        <f t="shared" si="288"/>
        <v>-4058653.1599999997</v>
      </c>
      <c r="H463" s="44">
        <v>4300000</v>
      </c>
      <c r="I463" s="46">
        <f t="shared" si="315"/>
        <v>-4388759.0900000008</v>
      </c>
      <c r="J463" s="47"/>
      <c r="K463" s="47"/>
      <c r="L463" s="47"/>
      <c r="M463" s="47">
        <f t="shared" si="316"/>
        <v>-4388759.0900000008</v>
      </c>
      <c r="N463" s="46">
        <v>5000000</v>
      </c>
      <c r="O463" s="48">
        <f t="shared" si="317"/>
        <v>3320.4499999999989</v>
      </c>
      <c r="P463" s="55"/>
      <c r="Q463" s="55"/>
      <c r="R463" s="55"/>
      <c r="S463" s="55">
        <f t="shared" si="318"/>
        <v>3320.4499999999989</v>
      </c>
      <c r="T463" s="48"/>
      <c r="U463" s="49">
        <f t="shared" si="319"/>
        <v>46.309999999956929</v>
      </c>
      <c r="V463" s="51"/>
      <c r="W463" s="51"/>
      <c r="X463" s="51"/>
      <c r="Y463" s="51">
        <f t="shared" si="320"/>
        <v>46.309999999956929</v>
      </c>
      <c r="Z463" s="52"/>
      <c r="AA463" s="53">
        <f t="shared" si="321"/>
        <v>11240.649999999878</v>
      </c>
      <c r="AB463" s="54"/>
      <c r="AC463" s="54"/>
      <c r="AD463" s="54"/>
      <c r="AE463" s="54">
        <f t="shared" si="322"/>
        <v>11240.649999999878</v>
      </c>
      <c r="AF463" s="53"/>
      <c r="AG463" s="53">
        <f t="shared" si="299"/>
        <v>92.239999999976718</v>
      </c>
      <c r="AH463" s="54"/>
      <c r="AI463" s="54"/>
      <c r="AJ463" s="54"/>
      <c r="AK463" s="54">
        <f t="shared" si="323"/>
        <v>92.239999999976718</v>
      </c>
      <c r="AL463" s="53"/>
      <c r="AM463" s="53">
        <f t="shared" si="307"/>
        <v>0</v>
      </c>
      <c r="AN463" s="54"/>
      <c r="AO463" s="54"/>
      <c r="AP463" s="54"/>
      <c r="AQ463" s="54">
        <f t="shared" si="308"/>
        <v>0</v>
      </c>
      <c r="AR463" s="53"/>
      <c r="AS463" s="50">
        <f t="shared" si="324"/>
        <v>-8432712.5999999996</v>
      </c>
      <c r="AT463" s="73">
        <f t="shared" si="330"/>
        <v>0</v>
      </c>
      <c r="AU463" s="50">
        <f t="shared" si="301"/>
        <v>0</v>
      </c>
      <c r="AV463" s="50">
        <f t="shared" si="331"/>
        <v>0</v>
      </c>
      <c r="AW463" s="50"/>
      <c r="AX463" s="50">
        <f t="shared" si="309"/>
        <v>-8432712.5999999996</v>
      </c>
      <c r="AY463" s="50">
        <f t="shared" si="310"/>
        <v>9300000</v>
      </c>
      <c r="AZ463" s="50">
        <f t="shared" si="311"/>
        <v>867287.40000000037</v>
      </c>
      <c r="BA463" s="15">
        <f t="shared" si="293"/>
        <v>-7027.2605000000003</v>
      </c>
      <c r="BB463" s="15">
        <f t="shared" si="334"/>
        <v>-35102.542958333332</v>
      </c>
    </row>
    <row r="464" spans="2:54" s="58" customFormat="1" x14ac:dyDescent="0.3">
      <c r="B464" s="99">
        <f t="shared" si="287"/>
        <v>44812</v>
      </c>
      <c r="C464" s="44">
        <f t="shared" si="314"/>
        <v>-4058653.1599999997</v>
      </c>
      <c r="D464" s="45">
        <v>183706.42</v>
      </c>
      <c r="E464" s="45"/>
      <c r="F464" s="45">
        <v>-1960.2</v>
      </c>
      <c r="G464" s="45">
        <f t="shared" si="288"/>
        <v>-3876906.94</v>
      </c>
      <c r="H464" s="44">
        <v>4300000</v>
      </c>
      <c r="I464" s="46">
        <f t="shared" si="315"/>
        <v>-4388759.0900000008</v>
      </c>
      <c r="J464" s="47"/>
      <c r="K464" s="47">
        <v>445000</v>
      </c>
      <c r="L464" s="47">
        <v>-322930.239999999</v>
      </c>
      <c r="M464" s="47">
        <f t="shared" si="316"/>
        <v>-4266689.33</v>
      </c>
      <c r="N464" s="46">
        <v>5000000</v>
      </c>
      <c r="O464" s="48">
        <f t="shared" si="317"/>
        <v>3320.4499999999989</v>
      </c>
      <c r="P464" s="55">
        <f>162.88+1044.24</f>
        <v>1207.1199999999999</v>
      </c>
      <c r="Q464" s="55">
        <f>446100-445000</f>
        <v>1100</v>
      </c>
      <c r="R464" s="55">
        <f>-742.67-700-10</f>
        <v>-1452.67</v>
      </c>
      <c r="S464" s="55">
        <f t="shared" si="318"/>
        <v>4174.8999999999987</v>
      </c>
      <c r="T464" s="48"/>
      <c r="U464" s="49">
        <f t="shared" si="319"/>
        <v>46.309999999956929</v>
      </c>
      <c r="V464" s="51">
        <v>446120</v>
      </c>
      <c r="W464" s="51">
        <v>-446100</v>
      </c>
      <c r="X464" s="51">
        <v>-1.3</v>
      </c>
      <c r="Y464" s="51">
        <f t="shared" si="320"/>
        <v>65.009999999939467</v>
      </c>
      <c r="Z464" s="52"/>
      <c r="AA464" s="53">
        <f t="shared" si="321"/>
        <v>11240.649999999878</v>
      </c>
      <c r="AB464" s="54"/>
      <c r="AC464" s="54"/>
      <c r="AD464" s="54">
        <v>-672.7</v>
      </c>
      <c r="AE464" s="54">
        <f t="shared" si="322"/>
        <v>10567.949999999877</v>
      </c>
      <c r="AF464" s="53"/>
      <c r="AG464" s="53">
        <f t="shared" si="299"/>
        <v>92.239999999976718</v>
      </c>
      <c r="AH464" s="54"/>
      <c r="AI464" s="54"/>
      <c r="AJ464" s="54"/>
      <c r="AK464" s="54">
        <f t="shared" si="323"/>
        <v>92.239999999976718</v>
      </c>
      <c r="AL464" s="53"/>
      <c r="AM464" s="53">
        <f t="shared" si="307"/>
        <v>0</v>
      </c>
      <c r="AN464" s="54"/>
      <c r="AO464" s="54"/>
      <c r="AP464" s="54"/>
      <c r="AQ464" s="54">
        <f t="shared" si="308"/>
        <v>0</v>
      </c>
      <c r="AR464" s="53"/>
      <c r="AS464" s="50">
        <f t="shared" si="324"/>
        <v>-8432712.5999999996</v>
      </c>
      <c r="AT464" s="73">
        <f t="shared" si="330"/>
        <v>631033.54</v>
      </c>
      <c r="AU464" s="50">
        <f t="shared" si="301"/>
        <v>0</v>
      </c>
      <c r="AV464" s="50">
        <f t="shared" si="331"/>
        <v>-327017.109999999</v>
      </c>
      <c r="AW464" s="50"/>
      <c r="AX464" s="50">
        <f t="shared" si="309"/>
        <v>-8128696.169999999</v>
      </c>
      <c r="AY464" s="50">
        <f t="shared" si="310"/>
        <v>9300000</v>
      </c>
      <c r="AZ464" s="50">
        <f t="shared" si="311"/>
        <v>1171303.830000001</v>
      </c>
      <c r="BA464" s="15">
        <f t="shared" si="293"/>
        <v>-6773.9134749999994</v>
      </c>
      <c r="BB464" s="15">
        <f t="shared" si="334"/>
        <v>-41876.456433333333</v>
      </c>
    </row>
    <row r="465" spans="2:54" s="58" customFormat="1" x14ac:dyDescent="0.3">
      <c r="B465" s="99">
        <f t="shared" si="287"/>
        <v>44813</v>
      </c>
      <c r="C465" s="44">
        <f t="shared" si="314"/>
        <v>-3876906.94</v>
      </c>
      <c r="D465" s="45"/>
      <c r="E465" s="45"/>
      <c r="F465" s="45">
        <f>-475.9-230</f>
        <v>-705.9</v>
      </c>
      <c r="G465" s="45">
        <f t="shared" si="288"/>
        <v>-3877612.84</v>
      </c>
      <c r="H465" s="44">
        <v>4300000</v>
      </c>
      <c r="I465" s="46">
        <f t="shared" si="315"/>
        <v>-4266689.33</v>
      </c>
      <c r="J465" s="47">
        <f>122420.25+15880.38</f>
        <v>138300.63</v>
      </c>
      <c r="K465" s="47"/>
      <c r="L465" s="47">
        <v>-140327.94</v>
      </c>
      <c r="M465" s="47">
        <f t="shared" si="316"/>
        <v>-4268716.6400000006</v>
      </c>
      <c r="N465" s="46">
        <v>5000000</v>
      </c>
      <c r="O465" s="48">
        <f t="shared" si="317"/>
        <v>4174.8999999999987</v>
      </c>
      <c r="P465" s="55"/>
      <c r="Q465" s="55"/>
      <c r="R465" s="55">
        <v>-1488.82</v>
      </c>
      <c r="S465" s="55">
        <f t="shared" si="318"/>
        <v>2686.079999999999</v>
      </c>
      <c r="T465" s="48"/>
      <c r="U465" s="49">
        <f t="shared" si="319"/>
        <v>65.009999999939467</v>
      </c>
      <c r="V465" s="51"/>
      <c r="W465" s="51"/>
      <c r="X465" s="51"/>
      <c r="Y465" s="51">
        <f t="shared" si="320"/>
        <v>65.009999999939467</v>
      </c>
      <c r="Z465" s="52"/>
      <c r="AA465" s="53">
        <f t="shared" si="321"/>
        <v>10567.949999999877</v>
      </c>
      <c r="AB465" s="54"/>
      <c r="AC465" s="54"/>
      <c r="AD465" s="54"/>
      <c r="AE465" s="54">
        <f t="shared" si="322"/>
        <v>10567.949999999877</v>
      </c>
      <c r="AF465" s="53"/>
      <c r="AG465" s="53">
        <f t="shared" si="299"/>
        <v>92.239999999976718</v>
      </c>
      <c r="AH465" s="54"/>
      <c r="AI465" s="54"/>
      <c r="AJ465" s="54"/>
      <c r="AK465" s="54">
        <f t="shared" si="323"/>
        <v>92.239999999976718</v>
      </c>
      <c r="AL465" s="53"/>
      <c r="AM465" s="53">
        <f t="shared" si="307"/>
        <v>0</v>
      </c>
      <c r="AN465" s="54"/>
      <c r="AO465" s="54"/>
      <c r="AP465" s="54"/>
      <c r="AQ465" s="54">
        <f t="shared" si="308"/>
        <v>0</v>
      </c>
      <c r="AR465" s="53"/>
      <c r="AS465" s="50">
        <f t="shared" si="324"/>
        <v>-8128696.169999999</v>
      </c>
      <c r="AT465" s="73">
        <f t="shared" si="330"/>
        <v>138300.63</v>
      </c>
      <c r="AU465" s="50">
        <f t="shared" si="301"/>
        <v>0</v>
      </c>
      <c r="AV465" s="50">
        <f t="shared" si="331"/>
        <v>-142522.66</v>
      </c>
      <c r="AW465" s="50"/>
      <c r="AX465" s="50">
        <f t="shared" si="309"/>
        <v>-8132918.2000000002</v>
      </c>
      <c r="AY465" s="50">
        <f t="shared" si="310"/>
        <v>9300000</v>
      </c>
      <c r="AZ465" s="50">
        <f t="shared" si="311"/>
        <v>1167081.7999999998</v>
      </c>
      <c r="BA465" s="15">
        <f t="shared" si="293"/>
        <v>-6777.431833333334</v>
      </c>
      <c r="BB465" s="15">
        <f t="shared" si="334"/>
        <v>-48653.888266666669</v>
      </c>
    </row>
    <row r="466" spans="2:54" s="58" customFormat="1" x14ac:dyDescent="0.3">
      <c r="B466" s="99">
        <f>B465+3</f>
        <v>44816</v>
      </c>
      <c r="C466" s="44">
        <f>G465</f>
        <v>-3877612.84</v>
      </c>
      <c r="D466" s="45">
        <v>555406.71</v>
      </c>
      <c r="E466" s="45"/>
      <c r="F466" s="45">
        <f>-14981.85+1460.21</f>
        <v>-13521.64</v>
      </c>
      <c r="G466" s="45">
        <f t="shared" si="288"/>
        <v>-3335727.77</v>
      </c>
      <c r="H466" s="44">
        <v>4300000</v>
      </c>
      <c r="I466" s="46">
        <f>M465</f>
        <v>-4268716.6400000006</v>
      </c>
      <c r="J466" s="47">
        <v>34948.199999999997</v>
      </c>
      <c r="K466" s="47">
        <v>200000</v>
      </c>
      <c r="L466" s="47">
        <v>-220111.22</v>
      </c>
      <c r="M466" s="47">
        <f t="shared" si="316"/>
        <v>-4253879.66</v>
      </c>
      <c r="N466" s="46">
        <v>5000000</v>
      </c>
      <c r="O466" s="48">
        <f>S465</f>
        <v>2686.079999999999</v>
      </c>
      <c r="P466" s="55">
        <f>122.88</f>
        <v>122.88</v>
      </c>
      <c r="Q466" s="55">
        <f>-200000+203700</f>
        <v>3700</v>
      </c>
      <c r="R466" s="55">
        <v>-10</v>
      </c>
      <c r="S466" s="55">
        <f t="shared" si="318"/>
        <v>6498.9599999999991</v>
      </c>
      <c r="T466" s="48"/>
      <c r="U466" s="49">
        <f>Y465</f>
        <v>65.009999999939467</v>
      </c>
      <c r="V466" s="51">
        <v>203676.65</v>
      </c>
      <c r="W466" s="51">
        <v>-203700</v>
      </c>
      <c r="X466" s="51"/>
      <c r="Y466" s="51">
        <f t="shared" si="320"/>
        <v>41.659999999945285</v>
      </c>
      <c r="Z466" s="52"/>
      <c r="AA466" s="53">
        <f>AE465</f>
        <v>10567.949999999877</v>
      </c>
      <c r="AB466" s="54"/>
      <c r="AC466" s="54"/>
      <c r="AD466" s="54">
        <v>-343</v>
      </c>
      <c r="AE466" s="54">
        <f t="shared" si="322"/>
        <v>10224.949999999877</v>
      </c>
      <c r="AF466" s="53"/>
      <c r="AG466" s="53">
        <f>AK465</f>
        <v>92.239999999976718</v>
      </c>
      <c r="AH466" s="54"/>
      <c r="AI466" s="54"/>
      <c r="AJ466" s="54"/>
      <c r="AK466" s="54">
        <f t="shared" si="323"/>
        <v>92.239999999976718</v>
      </c>
      <c r="AL466" s="53"/>
      <c r="AM466" s="53">
        <f t="shared" si="307"/>
        <v>0</v>
      </c>
      <c r="AN466" s="54"/>
      <c r="AO466" s="54"/>
      <c r="AP466" s="54"/>
      <c r="AQ466" s="54">
        <f t="shared" si="308"/>
        <v>0</v>
      </c>
      <c r="AR466" s="53"/>
      <c r="AS466" s="50">
        <f t="shared" si="324"/>
        <v>-8132918.2000000002</v>
      </c>
      <c r="AT466" s="73">
        <f t="shared" si="330"/>
        <v>794154.44</v>
      </c>
      <c r="AU466" s="50">
        <f t="shared" si="301"/>
        <v>0</v>
      </c>
      <c r="AV466" s="50">
        <f t="shared" si="331"/>
        <v>-233985.86</v>
      </c>
      <c r="AW466" s="50"/>
      <c r="AX466" s="50">
        <f t="shared" si="309"/>
        <v>-7572749.6199999992</v>
      </c>
      <c r="AY466" s="50">
        <f t="shared" si="310"/>
        <v>9300000</v>
      </c>
      <c r="AZ466" s="50">
        <f t="shared" si="311"/>
        <v>1727250.3800000008</v>
      </c>
      <c r="BA466" s="15">
        <f t="shared" si="293"/>
        <v>-6310.6246833333335</v>
      </c>
      <c r="BB466" s="15">
        <f t="shared" si="334"/>
        <v>-54964.512950000004</v>
      </c>
    </row>
    <row r="467" spans="2:54" s="58" customFormat="1" ht="16.5" customHeight="1" x14ac:dyDescent="0.3">
      <c r="B467" s="99">
        <f t="shared" ref="B467:B530" si="335">B466+1</f>
        <v>44817</v>
      </c>
      <c r="C467" s="44">
        <f t="shared" si="314"/>
        <v>-3335727.77</v>
      </c>
      <c r="D467" s="45"/>
      <c r="E467" s="45"/>
      <c r="F467" s="45">
        <v>-1691.41</v>
      </c>
      <c r="G467" s="45">
        <f t="shared" si="288"/>
        <v>-3337419.18</v>
      </c>
      <c r="H467" s="44">
        <v>4300000</v>
      </c>
      <c r="I467" s="46">
        <f t="shared" si="315"/>
        <v>-4253879.66</v>
      </c>
      <c r="J467" s="47"/>
      <c r="K467" s="47">
        <v>55000</v>
      </c>
      <c r="L467" s="47">
        <v>-41343.449999999801</v>
      </c>
      <c r="M467" s="47">
        <f t="shared" si="316"/>
        <v>-4240223.1100000003</v>
      </c>
      <c r="N467" s="46">
        <v>5000000</v>
      </c>
      <c r="O467" s="48">
        <f t="shared" si="317"/>
        <v>6498.9599999999991</v>
      </c>
      <c r="P467" s="55"/>
      <c r="Q467" s="55">
        <f>53600-55000</f>
        <v>-1400</v>
      </c>
      <c r="R467" s="55">
        <v>-10</v>
      </c>
      <c r="S467" s="55">
        <f t="shared" si="318"/>
        <v>5088.9599999999991</v>
      </c>
      <c r="T467" s="48"/>
      <c r="U467" s="49">
        <f t="shared" si="319"/>
        <v>41.659999999945285</v>
      </c>
      <c r="V467" s="51">
        <v>53607.12</v>
      </c>
      <c r="W467" s="51">
        <v>-53600</v>
      </c>
      <c r="X467" s="51">
        <f>-1.3*2</f>
        <v>-2.6</v>
      </c>
      <c r="Y467" s="51">
        <f t="shared" si="320"/>
        <v>46.179999999947903</v>
      </c>
      <c r="Z467" s="52"/>
      <c r="AA467" s="53">
        <f t="shared" si="321"/>
        <v>10224.949999999877</v>
      </c>
      <c r="AB467" s="54"/>
      <c r="AC467" s="54"/>
      <c r="AD467" s="54"/>
      <c r="AE467" s="54">
        <f t="shared" si="322"/>
        <v>10224.949999999877</v>
      </c>
      <c r="AF467" s="53"/>
      <c r="AG467" s="53">
        <f t="shared" si="299"/>
        <v>92.239999999976718</v>
      </c>
      <c r="AH467" s="54"/>
      <c r="AI467" s="54"/>
      <c r="AJ467" s="54"/>
      <c r="AK467" s="54">
        <f t="shared" si="323"/>
        <v>92.239999999976718</v>
      </c>
      <c r="AL467" s="53"/>
      <c r="AM467" s="53">
        <f t="shared" si="307"/>
        <v>0</v>
      </c>
      <c r="AN467" s="54"/>
      <c r="AO467" s="54"/>
      <c r="AP467" s="54"/>
      <c r="AQ467" s="54">
        <f t="shared" si="308"/>
        <v>0</v>
      </c>
      <c r="AR467" s="53"/>
      <c r="AS467" s="50">
        <f t="shared" si="324"/>
        <v>-7572749.6199999992</v>
      </c>
      <c r="AT467" s="73">
        <f t="shared" si="330"/>
        <v>53607.12</v>
      </c>
      <c r="AU467" s="50">
        <f t="shared" si="301"/>
        <v>0</v>
      </c>
      <c r="AV467" s="50">
        <f t="shared" si="331"/>
        <v>-43047.459999999803</v>
      </c>
      <c r="AW467" s="50"/>
      <c r="AX467" s="50">
        <f t="shared" si="309"/>
        <v>-7562189.9600000009</v>
      </c>
      <c r="AY467" s="50">
        <f t="shared" si="310"/>
        <v>9300000</v>
      </c>
      <c r="AZ467" s="50">
        <f t="shared" si="311"/>
        <v>1737810.0399999991</v>
      </c>
      <c r="BA467" s="15">
        <f t="shared" si="293"/>
        <v>-6301.8249666666679</v>
      </c>
      <c r="BB467" s="15">
        <f t="shared" si="334"/>
        <v>-61266.337916666671</v>
      </c>
    </row>
    <row r="468" spans="2:54" s="58" customFormat="1" ht="17.25" customHeight="1" x14ac:dyDescent="0.3">
      <c r="B468" s="99">
        <f t="shared" si="335"/>
        <v>44818</v>
      </c>
      <c r="C468" s="44">
        <f t="shared" si="314"/>
        <v>-3337419.18</v>
      </c>
      <c r="D468" s="45"/>
      <c r="E468" s="45"/>
      <c r="F468" s="45"/>
      <c r="G468" s="45">
        <f t="shared" si="288"/>
        <v>-3337419.18</v>
      </c>
      <c r="H468" s="44">
        <v>4300000</v>
      </c>
      <c r="I468" s="46">
        <f t="shared" si="315"/>
        <v>-4240223.1100000003</v>
      </c>
      <c r="J468" s="47"/>
      <c r="K468" s="47"/>
      <c r="L468" s="47">
        <v>-86561.379999999699</v>
      </c>
      <c r="M468" s="47">
        <f t="shared" si="316"/>
        <v>-4326784.49</v>
      </c>
      <c r="N468" s="46">
        <v>5000000</v>
      </c>
      <c r="O468" s="48">
        <f t="shared" si="317"/>
        <v>5088.9599999999991</v>
      </c>
      <c r="P468" s="55"/>
      <c r="Q468" s="55"/>
      <c r="R468" s="55"/>
      <c r="S468" s="55">
        <f t="shared" si="318"/>
        <v>5088.9599999999991</v>
      </c>
      <c r="T468" s="48"/>
      <c r="U468" s="49">
        <f t="shared" si="319"/>
        <v>46.179999999947903</v>
      </c>
      <c r="V468" s="51"/>
      <c r="W468" s="51"/>
      <c r="X468" s="51"/>
      <c r="Y468" s="51">
        <f t="shared" si="320"/>
        <v>46.179999999947903</v>
      </c>
      <c r="Z468" s="52"/>
      <c r="AA468" s="53">
        <f t="shared" si="321"/>
        <v>10224.949999999877</v>
      </c>
      <c r="AB468" s="54"/>
      <c r="AC468" s="54"/>
      <c r="AD468" s="54"/>
      <c r="AE468" s="54">
        <f t="shared" si="322"/>
        <v>10224.949999999877</v>
      </c>
      <c r="AF468" s="53"/>
      <c r="AG468" s="53">
        <f t="shared" si="299"/>
        <v>92.239999999976718</v>
      </c>
      <c r="AH468" s="54"/>
      <c r="AI468" s="54"/>
      <c r="AJ468" s="54"/>
      <c r="AK468" s="54">
        <f t="shared" si="323"/>
        <v>92.239999999976718</v>
      </c>
      <c r="AL468" s="53"/>
      <c r="AM468" s="53">
        <f t="shared" si="307"/>
        <v>0</v>
      </c>
      <c r="AN468" s="54"/>
      <c r="AO468" s="54"/>
      <c r="AP468" s="54"/>
      <c r="AQ468" s="54">
        <f t="shared" si="308"/>
        <v>0</v>
      </c>
      <c r="AR468" s="53"/>
      <c r="AS468" s="50">
        <f t="shared" si="324"/>
        <v>-7562189.9600000009</v>
      </c>
      <c r="AT468" s="73">
        <f t="shared" si="330"/>
        <v>0</v>
      </c>
      <c r="AU468" s="50">
        <f t="shared" si="301"/>
        <v>0</v>
      </c>
      <c r="AV468" s="50">
        <f t="shared" si="331"/>
        <v>-86561.379999999699</v>
      </c>
      <c r="AW468" s="50"/>
      <c r="AX468" s="50">
        <f t="shared" si="309"/>
        <v>-7648751.3399999999</v>
      </c>
      <c r="AY468" s="50">
        <f t="shared" si="310"/>
        <v>9300000</v>
      </c>
      <c r="AZ468" s="50">
        <f t="shared" si="311"/>
        <v>1651248.6600000001</v>
      </c>
      <c r="BA468" s="15">
        <f t="shared" si="293"/>
        <v>-6373.9594500000003</v>
      </c>
      <c r="BB468" s="15">
        <f t="shared" si="334"/>
        <v>-67640.297366666666</v>
      </c>
    </row>
    <row r="469" spans="2:54" s="58" customFormat="1" ht="17.25" customHeight="1" x14ac:dyDescent="0.3">
      <c r="B469" s="99">
        <f t="shared" si="335"/>
        <v>44819</v>
      </c>
      <c r="C469" s="44">
        <f t="shared" si="314"/>
        <v>-3337419.18</v>
      </c>
      <c r="D469" s="45">
        <f>45713.55+303.56</f>
        <v>46017.11</v>
      </c>
      <c r="E469" s="45">
        <v>-800000</v>
      </c>
      <c r="F469" s="45">
        <v>-37208.93</v>
      </c>
      <c r="G469" s="45">
        <f t="shared" ref="G469:G532" si="336">SUM(C469:F469)</f>
        <v>-4128611.0000000005</v>
      </c>
      <c r="H469" s="44">
        <v>4300000</v>
      </c>
      <c r="I469" s="46">
        <f t="shared" si="315"/>
        <v>-4326784.49</v>
      </c>
      <c r="J469" s="47">
        <f>63530.55+9048.5+18817.84+1742.97+1859.29+4351.4+619.76</f>
        <v>99970.309999999983</v>
      </c>
      <c r="K469" s="47">
        <v>810000</v>
      </c>
      <c r="L469" s="47">
        <v>-249238.459999999</v>
      </c>
      <c r="M469" s="47">
        <f t="shared" si="316"/>
        <v>-3666052.6399999997</v>
      </c>
      <c r="N469" s="46">
        <v>5000000</v>
      </c>
      <c r="O469" s="48">
        <f t="shared" si="317"/>
        <v>5088.9599999999991</v>
      </c>
      <c r="P469" s="55"/>
      <c r="Q469" s="55"/>
      <c r="R469" s="55"/>
      <c r="S469" s="55">
        <f t="shared" si="318"/>
        <v>5088.9599999999991</v>
      </c>
      <c r="T469" s="48"/>
      <c r="U469" s="49">
        <f t="shared" si="319"/>
        <v>46.179999999947903</v>
      </c>
      <c r="V469" s="51">
        <f>27315.98</f>
        <v>27315.98</v>
      </c>
      <c r="W469" s="51"/>
      <c r="X469" s="51"/>
      <c r="Y469" s="51">
        <f t="shared" si="320"/>
        <v>27362.159999999949</v>
      </c>
      <c r="Z469" s="52"/>
      <c r="AA469" s="53">
        <f t="shared" si="321"/>
        <v>10224.949999999877</v>
      </c>
      <c r="AB469" s="54"/>
      <c r="AC469" s="54">
        <f>500000-510000</f>
        <v>-10000</v>
      </c>
      <c r="AD469" s="54"/>
      <c r="AE469" s="54">
        <f t="shared" si="322"/>
        <v>224.94999999987704</v>
      </c>
      <c r="AF469" s="53"/>
      <c r="AG469" s="53">
        <f t="shared" si="299"/>
        <v>92.239999999976718</v>
      </c>
      <c r="AH469" s="54"/>
      <c r="AI469" s="54"/>
      <c r="AJ469" s="54"/>
      <c r="AK469" s="54">
        <f t="shared" si="323"/>
        <v>92.239999999976718</v>
      </c>
      <c r="AL469" s="53"/>
      <c r="AM469" s="53">
        <f t="shared" si="307"/>
        <v>0</v>
      </c>
      <c r="AN469" s="54"/>
      <c r="AO469" s="54"/>
      <c r="AP469" s="54"/>
      <c r="AQ469" s="54">
        <f t="shared" si="308"/>
        <v>0</v>
      </c>
      <c r="AR469" s="53"/>
      <c r="AS469" s="50">
        <f t="shared" si="324"/>
        <v>-7648751.3399999999</v>
      </c>
      <c r="AT469" s="73">
        <f t="shared" si="330"/>
        <v>173303.4</v>
      </c>
      <c r="AU469" s="50">
        <f t="shared" si="301"/>
        <v>0</v>
      </c>
      <c r="AV469" s="50">
        <f t="shared" si="331"/>
        <v>-286447.38999999902</v>
      </c>
      <c r="AW469" s="50"/>
      <c r="AX469" s="50">
        <f t="shared" si="309"/>
        <v>-7761895.3300000001</v>
      </c>
      <c r="AY469" s="50">
        <f t="shared" si="310"/>
        <v>9300000</v>
      </c>
      <c r="AZ469" s="50">
        <f t="shared" si="311"/>
        <v>1538104.67</v>
      </c>
      <c r="BA469" s="15">
        <f t="shared" si="293"/>
        <v>-6468.2461083333337</v>
      </c>
      <c r="BB469" s="15">
        <f t="shared" si="334"/>
        <v>-74108.543474999999</v>
      </c>
    </row>
    <row r="470" spans="2:54" s="58" customFormat="1" x14ac:dyDescent="0.3">
      <c r="B470" s="99">
        <f t="shared" si="335"/>
        <v>44820</v>
      </c>
      <c r="C470" s="44">
        <f t="shared" si="314"/>
        <v>-4128611.0000000005</v>
      </c>
      <c r="D470" s="45"/>
      <c r="E470" s="45"/>
      <c r="F470" s="45"/>
      <c r="G470" s="45">
        <f t="shared" si="336"/>
        <v>-4128611.0000000005</v>
      </c>
      <c r="H470" s="44">
        <v>4300000</v>
      </c>
      <c r="I470" s="46">
        <f t="shared" si="315"/>
        <v>-3666052.6399999997</v>
      </c>
      <c r="J470" s="47">
        <v>175577.69</v>
      </c>
      <c r="K470" s="47"/>
      <c r="L470" s="47">
        <v>-529321.12</v>
      </c>
      <c r="M470" s="47">
        <f t="shared" si="316"/>
        <v>-4019796.07</v>
      </c>
      <c r="N470" s="46">
        <v>5000000</v>
      </c>
      <c r="O470" s="48">
        <f t="shared" si="317"/>
        <v>5088.9599999999991</v>
      </c>
      <c r="P470" s="55"/>
      <c r="Q470" s="55">
        <v>55450</v>
      </c>
      <c r="R470" s="55">
        <v>-783.02</v>
      </c>
      <c r="S470" s="55">
        <f t="shared" si="318"/>
        <v>59755.94</v>
      </c>
      <c r="T470" s="48"/>
      <c r="U470" s="49">
        <f t="shared" si="319"/>
        <v>27362.159999999949</v>
      </c>
      <c r="V470" s="51">
        <v>28143.74</v>
      </c>
      <c r="W470" s="51">
        <v>-55450</v>
      </c>
      <c r="X470" s="51">
        <f>-1.3</f>
        <v>-1.3</v>
      </c>
      <c r="Y470" s="51">
        <f t="shared" si="320"/>
        <v>54.599999999950526</v>
      </c>
      <c r="Z470" s="52"/>
      <c r="AA470" s="53">
        <f t="shared" si="321"/>
        <v>224.94999999987704</v>
      </c>
      <c r="AB470" s="54"/>
      <c r="AC470" s="54"/>
      <c r="AD470" s="54"/>
      <c r="AE470" s="54">
        <f t="shared" si="322"/>
        <v>224.94999999987704</v>
      </c>
      <c r="AF470" s="53"/>
      <c r="AG470" s="53">
        <f t="shared" si="299"/>
        <v>92.239999999976718</v>
      </c>
      <c r="AH470" s="54"/>
      <c r="AI470" s="54"/>
      <c r="AJ470" s="54"/>
      <c r="AK470" s="54">
        <f t="shared" si="323"/>
        <v>92.239999999976718</v>
      </c>
      <c r="AL470" s="53"/>
      <c r="AM470" s="53">
        <f t="shared" si="307"/>
        <v>0</v>
      </c>
      <c r="AN470" s="54"/>
      <c r="AO470" s="54"/>
      <c r="AP470" s="54"/>
      <c r="AQ470" s="54">
        <f t="shared" si="308"/>
        <v>0</v>
      </c>
      <c r="AR470" s="53"/>
      <c r="AS470" s="50">
        <f t="shared" si="324"/>
        <v>-7761895.3300000001</v>
      </c>
      <c r="AT470" s="73">
        <f t="shared" si="330"/>
        <v>203721.43</v>
      </c>
      <c r="AU470" s="50">
        <f t="shared" si="301"/>
        <v>0</v>
      </c>
      <c r="AV470" s="50">
        <f t="shared" si="331"/>
        <v>-530105.44000000006</v>
      </c>
      <c r="AW470" s="50"/>
      <c r="AX470" s="50">
        <f t="shared" si="309"/>
        <v>-8088279.3399999999</v>
      </c>
      <c r="AY470" s="50">
        <f t="shared" si="310"/>
        <v>9300000</v>
      </c>
      <c r="AZ470" s="50">
        <f t="shared" si="311"/>
        <v>1211720.6600000001</v>
      </c>
      <c r="BA470" s="15">
        <f t="shared" si="293"/>
        <v>-6740.2327833333338</v>
      </c>
      <c r="BB470" s="15">
        <f t="shared" si="334"/>
        <v>-80848.776258333339</v>
      </c>
    </row>
    <row r="471" spans="2:54" s="58" customFormat="1" x14ac:dyDescent="0.3">
      <c r="B471" s="99">
        <f t="shared" ref="B471" si="337">B470+3</f>
        <v>44823</v>
      </c>
      <c r="C471" s="44">
        <f t="shared" si="314"/>
        <v>-4128611.0000000005</v>
      </c>
      <c r="D471" s="45">
        <f>275979.38+111246.2</f>
        <v>387225.58</v>
      </c>
      <c r="E471" s="45"/>
      <c r="F471" s="45">
        <v>-453.76</v>
      </c>
      <c r="G471" s="45">
        <f t="shared" si="336"/>
        <v>-3741839.18</v>
      </c>
      <c r="H471" s="44">
        <v>4300000</v>
      </c>
      <c r="I471" s="46">
        <f t="shared" si="315"/>
        <v>-4019796.07</v>
      </c>
      <c r="J471" s="47">
        <v>211093.75</v>
      </c>
      <c r="K471" s="47">
        <v>165000</v>
      </c>
      <c r="L471" s="47">
        <v>-614168.4</v>
      </c>
      <c r="M471" s="47">
        <f t="shared" si="316"/>
        <v>-4257870.72</v>
      </c>
      <c r="N471" s="46">
        <v>5000000</v>
      </c>
      <c r="O471" s="48">
        <f t="shared" si="317"/>
        <v>59755.94</v>
      </c>
      <c r="P471" s="55">
        <f>157.12+880.1</f>
        <v>1037.22</v>
      </c>
      <c r="Q471" s="55">
        <f>-165000+108100</f>
        <v>-56900</v>
      </c>
      <c r="R471" s="55">
        <v>-10</v>
      </c>
      <c r="S471" s="55">
        <f t="shared" si="318"/>
        <v>3883.1600000000035</v>
      </c>
      <c r="T471" s="48"/>
      <c r="U471" s="49">
        <f t="shared" si="319"/>
        <v>54.599999999950526</v>
      </c>
      <c r="V471" s="51">
        <v>108096.43</v>
      </c>
      <c r="W471" s="51">
        <v>-108100</v>
      </c>
      <c r="X471" s="51">
        <v>-1.3</v>
      </c>
      <c r="Y471" s="51">
        <f t="shared" si="320"/>
        <v>49.729999999940631</v>
      </c>
      <c r="Z471" s="52"/>
      <c r="AA471" s="53">
        <f t="shared" si="321"/>
        <v>224.94999999987704</v>
      </c>
      <c r="AB471" s="54"/>
      <c r="AC471" s="54"/>
      <c r="AD471" s="54"/>
      <c r="AE471" s="54">
        <f t="shared" si="322"/>
        <v>224.94999999987704</v>
      </c>
      <c r="AF471" s="53"/>
      <c r="AG471" s="53">
        <f t="shared" si="299"/>
        <v>92.239999999976718</v>
      </c>
      <c r="AH471" s="54"/>
      <c r="AI471" s="54"/>
      <c r="AJ471" s="54"/>
      <c r="AK471" s="54">
        <f t="shared" si="323"/>
        <v>92.239999999976718</v>
      </c>
      <c r="AL471" s="53"/>
      <c r="AM471" s="53">
        <f t="shared" si="307"/>
        <v>0</v>
      </c>
      <c r="AN471" s="54"/>
      <c r="AO471" s="54"/>
      <c r="AP471" s="54"/>
      <c r="AQ471" s="54">
        <f t="shared" si="308"/>
        <v>0</v>
      </c>
      <c r="AR471" s="53"/>
      <c r="AS471" s="50">
        <f t="shared" si="324"/>
        <v>-8088279.3399999999</v>
      </c>
      <c r="AT471" s="73">
        <f t="shared" si="330"/>
        <v>707452.98</v>
      </c>
      <c r="AU471" s="50">
        <f t="shared" si="301"/>
        <v>0</v>
      </c>
      <c r="AV471" s="50">
        <f t="shared" si="331"/>
        <v>-614633.46000000008</v>
      </c>
      <c r="AW471" s="50"/>
      <c r="AX471" s="50">
        <f t="shared" si="309"/>
        <v>-7995459.8200000003</v>
      </c>
      <c r="AY471" s="50">
        <f t="shared" si="310"/>
        <v>9300000</v>
      </c>
      <c r="AZ471" s="50">
        <f t="shared" si="311"/>
        <v>1304540.1799999997</v>
      </c>
      <c r="BA471" s="15">
        <f t="shared" si="293"/>
        <v>-6662.8831833333343</v>
      </c>
      <c r="BB471" s="15">
        <f t="shared" si="334"/>
        <v>-87511.659441666678</v>
      </c>
    </row>
    <row r="472" spans="2:54" s="58" customFormat="1" x14ac:dyDescent="0.3">
      <c r="B472" s="99">
        <f t="shared" ref="B472" si="338">B471+1</f>
        <v>44824</v>
      </c>
      <c r="C472" s="44">
        <f t="shared" si="314"/>
        <v>-3741839.18</v>
      </c>
      <c r="D472" s="45">
        <v>97387.199999999997</v>
      </c>
      <c r="E472" s="45">
        <v>-500000</v>
      </c>
      <c r="F472" s="45">
        <v>-787.72</v>
      </c>
      <c r="G472" s="45">
        <f t="shared" si="336"/>
        <v>-4145239.7</v>
      </c>
      <c r="H472" s="44">
        <v>4300000</v>
      </c>
      <c r="I472" s="46">
        <f t="shared" si="315"/>
        <v>-4257870.72</v>
      </c>
      <c r="J472" s="47"/>
      <c r="K472" s="47">
        <v>500000</v>
      </c>
      <c r="L472" s="47">
        <v>-1077600.58</v>
      </c>
      <c r="M472" s="47">
        <f t="shared" si="316"/>
        <v>-4835471.3</v>
      </c>
      <c r="N472" s="46">
        <v>5000000</v>
      </c>
      <c r="O472" s="48">
        <f t="shared" si="317"/>
        <v>3883.1600000000035</v>
      </c>
      <c r="P472" s="55"/>
      <c r="Q472" s="55"/>
      <c r="R472" s="55">
        <v>-310</v>
      </c>
      <c r="S472" s="55">
        <f t="shared" si="318"/>
        <v>3573.1600000000035</v>
      </c>
      <c r="T472" s="48"/>
      <c r="U472" s="49">
        <f t="shared" si="319"/>
        <v>49.729999999940631</v>
      </c>
      <c r="V472" s="51"/>
      <c r="W472" s="51"/>
      <c r="X472" s="51"/>
      <c r="Y472" s="51">
        <f t="shared" si="320"/>
        <v>49.729999999940631</v>
      </c>
      <c r="Z472" s="52"/>
      <c r="AA472" s="53">
        <f t="shared" si="321"/>
        <v>224.94999999987704</v>
      </c>
      <c r="AB472" s="54"/>
      <c r="AC472" s="54"/>
      <c r="AD472" s="54"/>
      <c r="AE472" s="54">
        <f t="shared" si="322"/>
        <v>224.94999999987704</v>
      </c>
      <c r="AF472" s="53"/>
      <c r="AG472" s="53">
        <f t="shared" si="299"/>
        <v>92.239999999976718</v>
      </c>
      <c r="AH472" s="54"/>
      <c r="AI472" s="54"/>
      <c r="AJ472" s="54"/>
      <c r="AK472" s="54">
        <f t="shared" si="323"/>
        <v>92.239999999976718</v>
      </c>
      <c r="AL472" s="53"/>
      <c r="AM472" s="53">
        <f t="shared" si="307"/>
        <v>0</v>
      </c>
      <c r="AN472" s="54"/>
      <c r="AO472" s="54"/>
      <c r="AP472" s="54"/>
      <c r="AQ472" s="54">
        <f t="shared" si="308"/>
        <v>0</v>
      </c>
      <c r="AR472" s="53"/>
      <c r="AS472" s="50">
        <f t="shared" si="324"/>
        <v>-7995459.8200000003</v>
      </c>
      <c r="AT472" s="73">
        <f t="shared" si="330"/>
        <v>97387.199999999997</v>
      </c>
      <c r="AU472" s="50">
        <f t="shared" si="301"/>
        <v>0</v>
      </c>
      <c r="AV472" s="50">
        <f t="shared" si="331"/>
        <v>-1078698.3</v>
      </c>
      <c r="AW472" s="50"/>
      <c r="AX472" s="50">
        <f t="shared" si="309"/>
        <v>-8976770.9199999999</v>
      </c>
      <c r="AY472" s="50">
        <f t="shared" si="310"/>
        <v>9300000</v>
      </c>
      <c r="AZ472" s="50">
        <f t="shared" si="311"/>
        <v>323229.08000000007</v>
      </c>
      <c r="BA472" s="15">
        <f t="shared" si="293"/>
        <v>-7480.6424333333334</v>
      </c>
      <c r="BB472" s="15">
        <f t="shared" si="334"/>
        <v>-94992.301875000005</v>
      </c>
    </row>
    <row r="473" spans="2:54" s="58" customFormat="1" x14ac:dyDescent="0.3">
      <c r="B473" s="99">
        <f t="shared" si="335"/>
        <v>44825</v>
      </c>
      <c r="C473" s="44">
        <f t="shared" si="314"/>
        <v>-4145239.7</v>
      </c>
      <c r="D473" s="45"/>
      <c r="E473" s="45"/>
      <c r="F473" s="45"/>
      <c r="G473" s="45">
        <f t="shared" si="336"/>
        <v>-4145239.7</v>
      </c>
      <c r="H473" s="44">
        <v>4300000</v>
      </c>
      <c r="I473" s="46">
        <f t="shared" si="315"/>
        <v>-4835471.3</v>
      </c>
      <c r="J473" s="47">
        <f>9291.15+16469.83+9381.25</f>
        <v>35142.230000000003</v>
      </c>
      <c r="K473" s="47"/>
      <c r="L473" s="47">
        <v>-5574.9600000006303</v>
      </c>
      <c r="M473" s="47">
        <f t="shared" si="316"/>
        <v>-4805904.03</v>
      </c>
      <c r="N473" s="46">
        <v>5000000</v>
      </c>
      <c r="O473" s="48">
        <f t="shared" si="317"/>
        <v>3573.1600000000035</v>
      </c>
      <c r="P473" s="55"/>
      <c r="Q473" s="55"/>
      <c r="R473" s="55"/>
      <c r="S473" s="55">
        <f t="shared" si="318"/>
        <v>3573.1600000000035</v>
      </c>
      <c r="T473" s="48"/>
      <c r="U473" s="49">
        <f t="shared" si="319"/>
        <v>49.729999999940631</v>
      </c>
      <c r="V473" s="51"/>
      <c r="W473" s="51"/>
      <c r="X473" s="51"/>
      <c r="Y473" s="51">
        <f t="shared" si="320"/>
        <v>49.729999999940631</v>
      </c>
      <c r="Z473" s="52"/>
      <c r="AA473" s="53">
        <f t="shared" si="321"/>
        <v>224.94999999987704</v>
      </c>
      <c r="AB473" s="54"/>
      <c r="AC473" s="54"/>
      <c r="AD473" s="54"/>
      <c r="AE473" s="54">
        <f t="shared" si="322"/>
        <v>224.94999999987704</v>
      </c>
      <c r="AF473" s="53"/>
      <c r="AG473" s="53">
        <f t="shared" si="299"/>
        <v>92.239999999976718</v>
      </c>
      <c r="AH473" s="54"/>
      <c r="AI473" s="54"/>
      <c r="AJ473" s="54"/>
      <c r="AK473" s="54">
        <f t="shared" si="323"/>
        <v>92.239999999976718</v>
      </c>
      <c r="AL473" s="53"/>
      <c r="AM473" s="53">
        <f t="shared" si="307"/>
        <v>0</v>
      </c>
      <c r="AN473" s="54"/>
      <c r="AO473" s="54"/>
      <c r="AP473" s="54"/>
      <c r="AQ473" s="54">
        <f t="shared" si="308"/>
        <v>0</v>
      </c>
      <c r="AR473" s="53"/>
      <c r="AS473" s="50">
        <f t="shared" si="324"/>
        <v>-8976770.9199999999</v>
      </c>
      <c r="AT473" s="73">
        <f t="shared" si="330"/>
        <v>35142.230000000003</v>
      </c>
      <c r="AU473" s="50">
        <f t="shared" si="301"/>
        <v>0</v>
      </c>
      <c r="AV473" s="50">
        <f t="shared" si="331"/>
        <v>-5574.9600000006303</v>
      </c>
      <c r="AW473" s="50"/>
      <c r="AX473" s="50">
        <f t="shared" si="309"/>
        <v>-8947203.6500000004</v>
      </c>
      <c r="AY473" s="50">
        <f t="shared" si="310"/>
        <v>9300000</v>
      </c>
      <c r="AZ473" s="50">
        <f t="shared" si="311"/>
        <v>352796.34999999963</v>
      </c>
      <c r="BA473" s="15">
        <f t="shared" si="293"/>
        <v>-7456.0030416666677</v>
      </c>
      <c r="BB473" s="15">
        <f t="shared" si="334"/>
        <v>-102448.30491666668</v>
      </c>
    </row>
    <row r="474" spans="2:54" s="58" customFormat="1" x14ac:dyDescent="0.3">
      <c r="B474" s="99">
        <f t="shared" si="335"/>
        <v>44826</v>
      </c>
      <c r="C474" s="44">
        <f t="shared" si="314"/>
        <v>-4145239.7</v>
      </c>
      <c r="D474" s="45">
        <v>69430.97</v>
      </c>
      <c r="E474" s="45"/>
      <c r="F474" s="45">
        <v>-0.85</v>
      </c>
      <c r="G474" s="45">
        <f t="shared" si="336"/>
        <v>-4075809.58</v>
      </c>
      <c r="H474" s="44">
        <v>4300000</v>
      </c>
      <c r="I474" s="46">
        <f t="shared" si="315"/>
        <v>-4805904.03</v>
      </c>
      <c r="J474" s="47"/>
      <c r="K474" s="47"/>
      <c r="L474" s="47">
        <v>-18868.279999999701</v>
      </c>
      <c r="M474" s="47">
        <f t="shared" si="316"/>
        <v>-4824772.3099999996</v>
      </c>
      <c r="N474" s="46">
        <v>5000000</v>
      </c>
      <c r="O474" s="48">
        <f t="shared" si="317"/>
        <v>3573.1600000000035</v>
      </c>
      <c r="P474" s="55"/>
      <c r="Q474" s="55"/>
      <c r="R474" s="55"/>
      <c r="S474" s="55">
        <f t="shared" si="318"/>
        <v>3573.1600000000035</v>
      </c>
      <c r="T474" s="48"/>
      <c r="U474" s="49">
        <f t="shared" si="319"/>
        <v>49.729999999940631</v>
      </c>
      <c r="V474" s="51"/>
      <c r="W474" s="51"/>
      <c r="X474" s="51"/>
      <c r="Y474" s="51">
        <f t="shared" si="320"/>
        <v>49.729999999940631</v>
      </c>
      <c r="Z474" s="52"/>
      <c r="AA474" s="53">
        <f t="shared" si="321"/>
        <v>224.94999999987704</v>
      </c>
      <c r="AB474" s="54"/>
      <c r="AC474" s="54"/>
      <c r="AD474" s="54"/>
      <c r="AE474" s="54">
        <f t="shared" si="322"/>
        <v>224.94999999987704</v>
      </c>
      <c r="AF474" s="53"/>
      <c r="AG474" s="53">
        <f t="shared" si="299"/>
        <v>92.239999999976718</v>
      </c>
      <c r="AH474" s="54"/>
      <c r="AI474" s="54"/>
      <c r="AJ474" s="54"/>
      <c r="AK474" s="54">
        <f t="shared" si="323"/>
        <v>92.239999999976718</v>
      </c>
      <c r="AL474" s="53"/>
      <c r="AM474" s="53">
        <f t="shared" si="307"/>
        <v>0</v>
      </c>
      <c r="AN474" s="54"/>
      <c r="AO474" s="54"/>
      <c r="AP474" s="54"/>
      <c r="AQ474" s="54">
        <f t="shared" si="308"/>
        <v>0</v>
      </c>
      <c r="AR474" s="53"/>
      <c r="AS474" s="50">
        <f t="shared" si="324"/>
        <v>-8947203.6500000004</v>
      </c>
      <c r="AT474" s="73">
        <f t="shared" si="330"/>
        <v>69430.97</v>
      </c>
      <c r="AU474" s="50">
        <f t="shared" si="301"/>
        <v>0</v>
      </c>
      <c r="AV474" s="50">
        <f t="shared" si="331"/>
        <v>-18869.129999999699</v>
      </c>
      <c r="AW474" s="50"/>
      <c r="AX474" s="50">
        <f t="shared" si="309"/>
        <v>-8896641.8100000005</v>
      </c>
      <c r="AY474" s="50">
        <f t="shared" si="310"/>
        <v>9300000</v>
      </c>
      <c r="AZ474" s="50">
        <f t="shared" si="311"/>
        <v>403358.18999999948</v>
      </c>
      <c r="BA474" s="15">
        <f t="shared" si="293"/>
        <v>-7413.8681750000005</v>
      </c>
      <c r="BB474" s="15">
        <f t="shared" si="334"/>
        <v>-109862.17309166667</v>
      </c>
    </row>
    <row r="475" spans="2:54" s="58" customFormat="1" ht="17.25" customHeight="1" x14ac:dyDescent="0.3">
      <c r="B475" s="99">
        <f t="shared" si="335"/>
        <v>44827</v>
      </c>
      <c r="C475" s="44">
        <f t="shared" si="314"/>
        <v>-4075809.58</v>
      </c>
      <c r="D475" s="45"/>
      <c r="E475" s="45"/>
      <c r="F475" s="45">
        <v>-150497.48000000001</v>
      </c>
      <c r="G475" s="45">
        <f t="shared" si="336"/>
        <v>-4226307.0600000005</v>
      </c>
      <c r="H475" s="44">
        <v>4300000</v>
      </c>
      <c r="I475" s="46">
        <f t="shared" si="315"/>
        <v>-4824772.3099999996</v>
      </c>
      <c r="J475" s="47">
        <v>30310.75</v>
      </c>
      <c r="K475" s="47"/>
      <c r="L475" s="47">
        <v>-12154.700000000401</v>
      </c>
      <c r="M475" s="47">
        <f t="shared" si="316"/>
        <v>-4806616.26</v>
      </c>
      <c r="N475" s="46">
        <v>5000000</v>
      </c>
      <c r="O475" s="48">
        <f t="shared" si="317"/>
        <v>3573.1600000000035</v>
      </c>
      <c r="P475" s="55">
        <v>45190.63</v>
      </c>
      <c r="Q475" s="55"/>
      <c r="R475" s="55"/>
      <c r="S475" s="55">
        <f t="shared" si="318"/>
        <v>48763.79</v>
      </c>
      <c r="T475" s="48"/>
      <c r="U475" s="49">
        <f t="shared" si="319"/>
        <v>49.729999999940631</v>
      </c>
      <c r="V475" s="51"/>
      <c r="W475" s="51"/>
      <c r="X475" s="51"/>
      <c r="Y475" s="51">
        <f t="shared" si="320"/>
        <v>49.729999999940631</v>
      </c>
      <c r="Z475" s="52"/>
      <c r="AA475" s="53">
        <f t="shared" si="321"/>
        <v>224.94999999987704</v>
      </c>
      <c r="AB475" s="54"/>
      <c r="AC475" s="54"/>
      <c r="AD475" s="54"/>
      <c r="AE475" s="54">
        <f t="shared" si="322"/>
        <v>224.94999999987704</v>
      </c>
      <c r="AF475" s="53"/>
      <c r="AG475" s="53">
        <f t="shared" si="299"/>
        <v>92.239999999976718</v>
      </c>
      <c r="AH475" s="54"/>
      <c r="AI475" s="54"/>
      <c r="AJ475" s="54"/>
      <c r="AK475" s="54">
        <f t="shared" si="323"/>
        <v>92.239999999976718</v>
      </c>
      <c r="AL475" s="53"/>
      <c r="AM475" s="53">
        <f t="shared" si="307"/>
        <v>0</v>
      </c>
      <c r="AN475" s="54"/>
      <c r="AO475" s="54"/>
      <c r="AP475" s="54"/>
      <c r="AQ475" s="54">
        <f t="shared" si="308"/>
        <v>0</v>
      </c>
      <c r="AR475" s="53"/>
      <c r="AS475" s="50">
        <f t="shared" si="324"/>
        <v>-8896641.8100000005</v>
      </c>
      <c r="AT475" s="73">
        <f t="shared" si="330"/>
        <v>75501.38</v>
      </c>
      <c r="AU475" s="50">
        <f t="shared" si="301"/>
        <v>0</v>
      </c>
      <c r="AV475" s="50">
        <f t="shared" si="331"/>
        <v>-162652.1800000004</v>
      </c>
      <c r="AW475" s="50"/>
      <c r="AX475" s="50">
        <f t="shared" si="309"/>
        <v>-8983792.6100000013</v>
      </c>
      <c r="AY475" s="50">
        <f t="shared" si="310"/>
        <v>9300000</v>
      </c>
      <c r="AZ475" s="50">
        <f t="shared" si="311"/>
        <v>316207.38999999873</v>
      </c>
      <c r="BA475" s="15">
        <f t="shared" si="293"/>
        <v>-7486.4938416666682</v>
      </c>
      <c r="BB475" s="15">
        <f t="shared" si="334"/>
        <v>-117348.66693333334</v>
      </c>
    </row>
    <row r="476" spans="2:54" s="58" customFormat="1" ht="17.25" customHeight="1" x14ac:dyDescent="0.3">
      <c r="B476" s="99">
        <f t="shared" ref="B476" si="339">B475+3</f>
        <v>44830</v>
      </c>
      <c r="C476" s="44">
        <f t="shared" si="314"/>
        <v>-4226307.0600000005</v>
      </c>
      <c r="D476" s="45">
        <v>318131.39</v>
      </c>
      <c r="E476" s="45"/>
      <c r="F476" s="45">
        <v>-170667.12</v>
      </c>
      <c r="G476" s="45">
        <f t="shared" si="336"/>
        <v>-4078842.7900000005</v>
      </c>
      <c r="H476" s="44">
        <v>4300000</v>
      </c>
      <c r="I476" s="46">
        <f t="shared" si="315"/>
        <v>-4806616.26</v>
      </c>
      <c r="J476" s="47">
        <v>1850</v>
      </c>
      <c r="K476" s="47">
        <v>115000</v>
      </c>
      <c r="L476" s="47">
        <v>-106240.36</v>
      </c>
      <c r="M476" s="47">
        <f t="shared" si="316"/>
        <v>-4796006.62</v>
      </c>
      <c r="N476" s="46">
        <v>5000000</v>
      </c>
      <c r="O476" s="48">
        <f t="shared" si="317"/>
        <v>48763.79</v>
      </c>
      <c r="P476" s="55"/>
      <c r="Q476" s="55">
        <f>112000-115000</f>
        <v>-3000</v>
      </c>
      <c r="R476" s="55">
        <f>-11-93</f>
        <v>-104</v>
      </c>
      <c r="S476" s="55">
        <f t="shared" si="318"/>
        <v>45659.79</v>
      </c>
      <c r="T476" s="48"/>
      <c r="U476" s="49">
        <f t="shared" si="319"/>
        <v>49.729999999940631</v>
      </c>
      <c r="V476" s="51">
        <v>111974.48</v>
      </c>
      <c r="W476" s="51">
        <v>-112000</v>
      </c>
      <c r="X476" s="51">
        <v>-1.3</v>
      </c>
      <c r="Y476" s="51">
        <f t="shared" si="320"/>
        <v>22.909999999933643</v>
      </c>
      <c r="Z476" s="52"/>
      <c r="AA476" s="53">
        <f t="shared" si="321"/>
        <v>224.94999999987704</v>
      </c>
      <c r="AB476" s="54"/>
      <c r="AC476" s="54"/>
      <c r="AD476" s="54"/>
      <c r="AE476" s="54">
        <f t="shared" si="322"/>
        <v>224.94999999987704</v>
      </c>
      <c r="AF476" s="53"/>
      <c r="AG476" s="53">
        <f t="shared" si="299"/>
        <v>92.239999999976718</v>
      </c>
      <c r="AH476" s="54"/>
      <c r="AI476" s="54"/>
      <c r="AJ476" s="54"/>
      <c r="AK476" s="54">
        <f t="shared" si="323"/>
        <v>92.239999999976718</v>
      </c>
      <c r="AL476" s="53"/>
      <c r="AM476" s="53">
        <f t="shared" si="307"/>
        <v>0</v>
      </c>
      <c r="AN476" s="54"/>
      <c r="AO476" s="54"/>
      <c r="AP476" s="54"/>
      <c r="AQ476" s="54">
        <f t="shared" si="308"/>
        <v>0</v>
      </c>
      <c r="AR476" s="53"/>
      <c r="AS476" s="50">
        <f t="shared" si="324"/>
        <v>-8983792.6100000013</v>
      </c>
      <c r="AT476" s="73">
        <f t="shared" si="330"/>
        <v>431955.87</v>
      </c>
      <c r="AU476" s="50">
        <f t="shared" si="301"/>
        <v>0</v>
      </c>
      <c r="AV476" s="50">
        <f t="shared" si="331"/>
        <v>-277012.77999999997</v>
      </c>
      <c r="AW476" s="50"/>
      <c r="AX476" s="50">
        <f t="shared" si="309"/>
        <v>-8828849.5200000014</v>
      </c>
      <c r="AY476" s="50">
        <f t="shared" si="310"/>
        <v>9300000</v>
      </c>
      <c r="AZ476" s="50">
        <f t="shared" si="311"/>
        <v>471150.47999999858</v>
      </c>
      <c r="BA476" s="15">
        <f t="shared" si="293"/>
        <v>-7357.3746000000019</v>
      </c>
      <c r="BB476" s="15">
        <f t="shared" si="334"/>
        <v>-124706.04153333334</v>
      </c>
    </row>
    <row r="477" spans="2:54" s="58" customFormat="1" ht="17.25" customHeight="1" x14ac:dyDescent="0.3">
      <c r="B477" s="99">
        <f t="shared" ref="B477" si="340">B476+1</f>
        <v>44831</v>
      </c>
      <c r="C477" s="44">
        <f t="shared" si="314"/>
        <v>-4078842.7900000005</v>
      </c>
      <c r="D477" s="45"/>
      <c r="E477" s="45">
        <v>-220000</v>
      </c>
      <c r="F477" s="45">
        <v>-253</v>
      </c>
      <c r="G477" s="45">
        <f t="shared" si="336"/>
        <v>-4299095.790000001</v>
      </c>
      <c r="H477" s="44">
        <v>4300000</v>
      </c>
      <c r="I477" s="46">
        <f t="shared" si="315"/>
        <v>-4796006.62</v>
      </c>
      <c r="J477" s="47">
        <v>3080940</v>
      </c>
      <c r="K477" s="47">
        <f>290000+5000</f>
        <v>295000</v>
      </c>
      <c r="L477" s="47">
        <v>-12039.8999999999</v>
      </c>
      <c r="M477" s="47">
        <f t="shared" si="316"/>
        <v>-1432106.52</v>
      </c>
      <c r="N477" s="46">
        <v>5000000</v>
      </c>
      <c r="O477" s="48">
        <f t="shared" si="317"/>
        <v>45659.79</v>
      </c>
      <c r="P477" s="55">
        <f>30162.5+1101.25</f>
        <v>31263.75</v>
      </c>
      <c r="Q477" s="55">
        <v>-75000</v>
      </c>
      <c r="R477" s="55">
        <v>-1731.47000000001</v>
      </c>
      <c r="S477" s="55">
        <f t="shared" si="318"/>
        <v>192.06999999999812</v>
      </c>
      <c r="T477" s="48"/>
      <c r="U477" s="49">
        <f t="shared" si="319"/>
        <v>22.909999999933643</v>
      </c>
      <c r="V477" s="51"/>
      <c r="W477" s="51"/>
      <c r="X477" s="51"/>
      <c r="Y477" s="51">
        <f t="shared" si="320"/>
        <v>22.909999999933643</v>
      </c>
      <c r="Z477" s="52"/>
      <c r="AA477" s="53">
        <f t="shared" si="321"/>
        <v>224.94999999987704</v>
      </c>
      <c r="AB477" s="54"/>
      <c r="AC477" s="54"/>
      <c r="AD477" s="54"/>
      <c r="AE477" s="54">
        <f t="shared" si="322"/>
        <v>224.94999999987704</v>
      </c>
      <c r="AF477" s="53"/>
      <c r="AG477" s="53">
        <f t="shared" si="299"/>
        <v>92.239999999976718</v>
      </c>
      <c r="AH477" s="54">
        <v>95726.06</v>
      </c>
      <c r="AI477" s="54"/>
      <c r="AJ477" s="54">
        <v>-60</v>
      </c>
      <c r="AK477" s="54">
        <f t="shared" si="323"/>
        <v>95758.299999999974</v>
      </c>
      <c r="AL477" s="53"/>
      <c r="AM477" s="53">
        <f t="shared" si="307"/>
        <v>0</v>
      </c>
      <c r="AN477" s="54"/>
      <c r="AO477" s="54"/>
      <c r="AP477" s="54"/>
      <c r="AQ477" s="54">
        <f t="shared" si="308"/>
        <v>0</v>
      </c>
      <c r="AR477" s="53"/>
      <c r="AS477" s="50">
        <f t="shared" si="324"/>
        <v>-8828849.5200000014</v>
      </c>
      <c r="AT477" s="73">
        <f t="shared" si="330"/>
        <v>3207929.81</v>
      </c>
      <c r="AU477" s="50">
        <f t="shared" si="301"/>
        <v>0</v>
      </c>
      <c r="AV477" s="50">
        <f t="shared" si="331"/>
        <v>-14084.36999999991</v>
      </c>
      <c r="AW477" s="50"/>
      <c r="AX477" s="50">
        <f t="shared" si="309"/>
        <v>-5635004.0800000001</v>
      </c>
      <c r="AY477" s="50">
        <f t="shared" si="310"/>
        <v>9300000</v>
      </c>
      <c r="AZ477" s="50">
        <f t="shared" si="311"/>
        <v>3664995.92</v>
      </c>
      <c r="BA477" s="15">
        <f t="shared" si="293"/>
        <v>-4695.8367333333335</v>
      </c>
      <c r="BB477" s="15">
        <f t="shared" si="334"/>
        <v>-129401.87826666667</v>
      </c>
    </row>
    <row r="478" spans="2:54" s="58" customFormat="1" ht="17.25" customHeight="1" x14ac:dyDescent="0.3">
      <c r="B478" s="99">
        <f t="shared" si="335"/>
        <v>44832</v>
      </c>
      <c r="C478" s="44">
        <f t="shared" si="314"/>
        <v>-4299095.790000001</v>
      </c>
      <c r="D478" s="45">
        <v>999651.82</v>
      </c>
      <c r="E478" s="45"/>
      <c r="F478" s="45">
        <v>-51257.13</v>
      </c>
      <c r="G478" s="45">
        <f t="shared" si="336"/>
        <v>-3350701.100000001</v>
      </c>
      <c r="H478" s="44">
        <v>4300000</v>
      </c>
      <c r="I478" s="46">
        <f t="shared" si="315"/>
        <v>-1432106.52</v>
      </c>
      <c r="J478" s="47">
        <f>203218.27+67092.38+24433.4+356727.61</f>
        <v>651471.66</v>
      </c>
      <c r="K478" s="47"/>
      <c r="L478" s="47">
        <v>-1681387.9</v>
      </c>
      <c r="M478" s="47">
        <f t="shared" si="316"/>
        <v>-2462022.7599999998</v>
      </c>
      <c r="N478" s="46">
        <v>5000000</v>
      </c>
      <c r="O478" s="48">
        <f t="shared" si="317"/>
        <v>192.06999999999812</v>
      </c>
      <c r="P478" s="55"/>
      <c r="Q478" s="55"/>
      <c r="R478" s="55"/>
      <c r="S478" s="55">
        <f t="shared" si="318"/>
        <v>192.06999999999812</v>
      </c>
      <c r="T478" s="48"/>
      <c r="U478" s="49">
        <f t="shared" si="319"/>
        <v>22.909999999933643</v>
      </c>
      <c r="V478" s="51"/>
      <c r="W478" s="51"/>
      <c r="X478" s="51"/>
      <c r="Y478" s="51">
        <f t="shared" si="320"/>
        <v>22.909999999933643</v>
      </c>
      <c r="Z478" s="52"/>
      <c r="AA478" s="53">
        <f t="shared" si="321"/>
        <v>224.94999999987704</v>
      </c>
      <c r="AB478" s="54"/>
      <c r="AC478" s="54"/>
      <c r="AD478" s="54"/>
      <c r="AE478" s="54">
        <f t="shared" si="322"/>
        <v>224.94999999987704</v>
      </c>
      <c r="AF478" s="53"/>
      <c r="AG478" s="53">
        <f t="shared" si="299"/>
        <v>95758.299999999974</v>
      </c>
      <c r="AH478" s="54"/>
      <c r="AI478" s="54"/>
      <c r="AJ478" s="54"/>
      <c r="AK478" s="54">
        <f t="shared" si="323"/>
        <v>95758.299999999974</v>
      </c>
      <c r="AL478" s="53"/>
      <c r="AM478" s="53">
        <f t="shared" si="307"/>
        <v>0</v>
      </c>
      <c r="AN478" s="54"/>
      <c r="AO478" s="54"/>
      <c r="AP478" s="54"/>
      <c r="AQ478" s="54">
        <f t="shared" si="308"/>
        <v>0</v>
      </c>
      <c r="AR478" s="53"/>
      <c r="AS478" s="50">
        <f t="shared" si="324"/>
        <v>-5635004.0800000001</v>
      </c>
      <c r="AT478" s="73">
        <f t="shared" si="330"/>
        <v>1651123.48</v>
      </c>
      <c r="AU478" s="50">
        <f t="shared" si="301"/>
        <v>0</v>
      </c>
      <c r="AV478" s="50">
        <f t="shared" si="331"/>
        <v>-1732645.0299999998</v>
      </c>
      <c r="AW478" s="50"/>
      <c r="AX478" s="50">
        <f t="shared" si="309"/>
        <v>-5716525.6300000008</v>
      </c>
      <c r="AY478" s="50">
        <f t="shared" si="310"/>
        <v>9300000</v>
      </c>
      <c r="AZ478" s="50">
        <f t="shared" si="311"/>
        <v>3583474.3699999992</v>
      </c>
      <c r="BA478" s="15">
        <f t="shared" ref="BA478:BA541" si="341">AX478*$BA$1</f>
        <v>-4763.7713583333343</v>
      </c>
      <c r="BB478" s="15">
        <f t="shared" si="334"/>
        <v>-134165.64962499999</v>
      </c>
    </row>
    <row r="479" spans="2:54" s="58" customFormat="1" ht="17.25" customHeight="1" x14ac:dyDescent="0.3">
      <c r="B479" s="99">
        <f t="shared" si="335"/>
        <v>44833</v>
      </c>
      <c r="C479" s="44">
        <f t="shared" si="314"/>
        <v>-3350701.100000001</v>
      </c>
      <c r="D479" s="45">
        <f>372084.04+23263.97+23656.96</f>
        <v>419004.97000000003</v>
      </c>
      <c r="E479" s="45"/>
      <c r="F479" s="45">
        <v>-0.85</v>
      </c>
      <c r="G479" s="45">
        <f t="shared" si="336"/>
        <v>-2931696.9800000009</v>
      </c>
      <c r="H479" s="44">
        <v>4300000</v>
      </c>
      <c r="I479" s="46">
        <f t="shared" si="315"/>
        <v>-2462022.7599999998</v>
      </c>
      <c r="J479" s="47">
        <v>287580.2</v>
      </c>
      <c r="K479" s="47"/>
      <c r="L479" s="47">
        <v>-121576.77</v>
      </c>
      <c r="M479" s="47">
        <f t="shared" si="316"/>
        <v>-2296019.3299999996</v>
      </c>
      <c r="N479" s="46">
        <v>5000000</v>
      </c>
      <c r="O479" s="48">
        <f t="shared" si="317"/>
        <v>192.06999999999812</v>
      </c>
      <c r="P479" s="55"/>
      <c r="Q479" s="55"/>
      <c r="R479" s="55"/>
      <c r="S479" s="55">
        <f t="shared" si="318"/>
        <v>192.06999999999812</v>
      </c>
      <c r="T479" s="48"/>
      <c r="U479" s="49">
        <f t="shared" si="319"/>
        <v>22.909999999933643</v>
      </c>
      <c r="V479" s="51">
        <v>308623.69</v>
      </c>
      <c r="W479" s="51"/>
      <c r="X479" s="51"/>
      <c r="Y479" s="51">
        <f t="shared" si="320"/>
        <v>308646.59999999992</v>
      </c>
      <c r="Z479" s="52"/>
      <c r="AA479" s="53">
        <f t="shared" si="321"/>
        <v>224.94999999987704</v>
      </c>
      <c r="AB479" s="54"/>
      <c r="AC479" s="54"/>
      <c r="AD479" s="54"/>
      <c r="AE479" s="54">
        <f t="shared" si="322"/>
        <v>224.94999999987704</v>
      </c>
      <c r="AF479" s="53"/>
      <c r="AG479" s="53">
        <f t="shared" si="299"/>
        <v>95758.299999999974</v>
      </c>
      <c r="AH479" s="54">
        <f>86176.67+184868.13</f>
        <v>271044.8</v>
      </c>
      <c r="AI479" s="54"/>
      <c r="AJ479" s="54"/>
      <c r="AK479" s="54">
        <f t="shared" si="323"/>
        <v>366803.1</v>
      </c>
      <c r="AL479" s="53"/>
      <c r="AM479" s="53">
        <f t="shared" si="307"/>
        <v>0</v>
      </c>
      <c r="AN479" s="54"/>
      <c r="AO479" s="54"/>
      <c r="AP479" s="54"/>
      <c r="AQ479" s="54">
        <f t="shared" si="308"/>
        <v>0</v>
      </c>
      <c r="AR479" s="53"/>
      <c r="AS479" s="50">
        <f t="shared" si="324"/>
        <v>-5716525.6300000008</v>
      </c>
      <c r="AT479" s="73">
        <f t="shared" si="330"/>
        <v>1286253.6600000001</v>
      </c>
      <c r="AU479" s="50">
        <f t="shared" si="301"/>
        <v>0</v>
      </c>
      <c r="AV479" s="50">
        <f t="shared" si="331"/>
        <v>-121577.62000000001</v>
      </c>
      <c r="AW479" s="50"/>
      <c r="AX479" s="50">
        <f t="shared" si="309"/>
        <v>-4551849.5900000008</v>
      </c>
      <c r="AY479" s="50">
        <f t="shared" si="310"/>
        <v>9300000</v>
      </c>
      <c r="AZ479" s="50">
        <f t="shared" si="311"/>
        <v>4748150.4099999992</v>
      </c>
      <c r="BA479" s="15">
        <f t="shared" si="341"/>
        <v>-3793.2079916666676</v>
      </c>
      <c r="BB479" s="15">
        <f t="shared" si="334"/>
        <v>-137958.85761666665</v>
      </c>
    </row>
    <row r="480" spans="2:54" s="58" customFormat="1" ht="17.25" customHeight="1" x14ac:dyDescent="0.3">
      <c r="B480" s="99">
        <f t="shared" si="335"/>
        <v>44834</v>
      </c>
      <c r="C480" s="44">
        <f t="shared" si="314"/>
        <v>-2931696.9800000009</v>
      </c>
      <c r="D480" s="45">
        <v>377118.28</v>
      </c>
      <c r="E480" s="45">
        <v>-800000</v>
      </c>
      <c r="F480" s="45">
        <v>-75533.069999998901</v>
      </c>
      <c r="G480" s="45">
        <f t="shared" si="336"/>
        <v>-3430111.77</v>
      </c>
      <c r="H480" s="44">
        <v>4300000</v>
      </c>
      <c r="I480" s="46">
        <f t="shared" si="315"/>
        <v>-2296019.3299999996</v>
      </c>
      <c r="J480" s="47">
        <v>787961.99000000011</v>
      </c>
      <c r="K480" s="47">
        <f>800000+1240000+360000</f>
        <v>2400000</v>
      </c>
      <c r="L480" s="47">
        <v>-731352.91000000096</v>
      </c>
      <c r="M480" s="47">
        <f t="shared" si="316"/>
        <v>160589.74999999965</v>
      </c>
      <c r="N480" s="46">
        <v>5000000</v>
      </c>
      <c r="O480" s="48">
        <f t="shared" si="317"/>
        <v>192.06999999999812</v>
      </c>
      <c r="P480" s="55">
        <v>792275.06</v>
      </c>
      <c r="Q480" s="55"/>
      <c r="R480" s="55"/>
      <c r="S480" s="55">
        <f t="shared" si="318"/>
        <v>792467.13</v>
      </c>
      <c r="T480" s="48"/>
      <c r="U480" s="49">
        <f t="shared" si="319"/>
        <v>308646.59999999992</v>
      </c>
      <c r="V480" s="51">
        <v>63442.6</v>
      </c>
      <c r="W480" s="51"/>
      <c r="X480" s="51"/>
      <c r="Y480" s="51">
        <f t="shared" si="320"/>
        <v>372089.1999999999</v>
      </c>
      <c r="Z480" s="52"/>
      <c r="AA480" s="53">
        <f t="shared" si="321"/>
        <v>224.94999999987704</v>
      </c>
      <c r="AB480" s="54">
        <v>1248126.77</v>
      </c>
      <c r="AC480" s="54">
        <v>-1240000</v>
      </c>
      <c r="AD480" s="54"/>
      <c r="AE480" s="54">
        <f t="shared" si="322"/>
        <v>8351.7199999999721</v>
      </c>
      <c r="AF480" s="53"/>
      <c r="AG480" s="53">
        <f t="shared" si="299"/>
        <v>366803.1</v>
      </c>
      <c r="AH480" s="54"/>
      <c r="AI480" s="54">
        <v>-360000</v>
      </c>
      <c r="AJ480" s="54">
        <v>-8.7799999999770098</v>
      </c>
      <c r="AK480" s="54">
        <f t="shared" si="323"/>
        <v>6794.32</v>
      </c>
      <c r="AL480" s="53"/>
      <c r="AM480" s="53">
        <f t="shared" si="307"/>
        <v>0</v>
      </c>
      <c r="AN480" s="54"/>
      <c r="AO480" s="54"/>
      <c r="AP480" s="54"/>
      <c r="AQ480" s="54">
        <f t="shared" si="308"/>
        <v>0</v>
      </c>
      <c r="AR480" s="53"/>
      <c r="AS480" s="50">
        <f t="shared" si="324"/>
        <v>-4551849.5900000008</v>
      </c>
      <c r="AT480" s="73">
        <f t="shared" si="330"/>
        <v>3268924.7</v>
      </c>
      <c r="AU480" s="50">
        <f t="shared" si="301"/>
        <v>0</v>
      </c>
      <c r="AV480" s="50">
        <f t="shared" si="331"/>
        <v>-806894.75999999989</v>
      </c>
      <c r="AW480" s="50"/>
      <c r="AX480" s="50">
        <f t="shared" si="309"/>
        <v>-2089819.6500000008</v>
      </c>
      <c r="AY480" s="50">
        <f t="shared" si="310"/>
        <v>9300000</v>
      </c>
      <c r="AZ480" s="50">
        <f t="shared" si="311"/>
        <v>7210180.3499999996</v>
      </c>
      <c r="BA480" s="82">
        <f t="shared" si="341"/>
        <v>-1741.5163750000008</v>
      </c>
      <c r="BB480" s="82">
        <f t="shared" si="334"/>
        <v>-139700.37399166665</v>
      </c>
    </row>
    <row r="481" spans="2:54" s="58" customFormat="1" ht="17.25" customHeight="1" x14ac:dyDescent="0.3">
      <c r="B481" s="99">
        <f t="shared" ref="B481" si="342">B480+3</f>
        <v>44837</v>
      </c>
      <c r="C481" s="44">
        <f t="shared" si="314"/>
        <v>-3430111.77</v>
      </c>
      <c r="D481" s="45">
        <v>45942</v>
      </c>
      <c r="E481" s="45"/>
      <c r="F481" s="45">
        <f>-260463.478+58424.59</f>
        <v>-202038.88800000001</v>
      </c>
      <c r="G481" s="45">
        <f t="shared" si="336"/>
        <v>-3586208.6579999998</v>
      </c>
      <c r="H481" s="44">
        <v>4300000</v>
      </c>
      <c r="I481" s="46">
        <f t="shared" si="315"/>
        <v>160589.74999999965</v>
      </c>
      <c r="J481" s="47">
        <f>28155+3629.41</f>
        <v>31784.41</v>
      </c>
      <c r="K481" s="47">
        <v>1160000</v>
      </c>
      <c r="L481" s="47">
        <v>-57929.649999999601</v>
      </c>
      <c r="M481" s="47">
        <f t="shared" si="316"/>
        <v>1294444.51</v>
      </c>
      <c r="N481" s="46">
        <v>5000000</v>
      </c>
      <c r="O481" s="48">
        <f t="shared" si="317"/>
        <v>792467.13</v>
      </c>
      <c r="P481" s="55"/>
      <c r="Q481" s="55">
        <f>372000-1160000</f>
        <v>-788000</v>
      </c>
      <c r="R481" s="55">
        <v>-10</v>
      </c>
      <c r="S481" s="55">
        <f t="shared" si="318"/>
        <v>4457.1300000000047</v>
      </c>
      <c r="T481" s="48"/>
      <c r="U481" s="49">
        <f t="shared" si="319"/>
        <v>372089.1999999999</v>
      </c>
      <c r="V481" s="51"/>
      <c r="W481" s="51">
        <v>-372000</v>
      </c>
      <c r="X481" s="51"/>
      <c r="Y481" s="51">
        <f t="shared" si="320"/>
        <v>89.199999999895226</v>
      </c>
      <c r="Z481" s="52"/>
      <c r="AA481" s="53">
        <f t="shared" si="321"/>
        <v>8351.7199999999721</v>
      </c>
      <c r="AB481" s="54"/>
      <c r="AC481" s="54"/>
      <c r="AD481" s="54"/>
      <c r="AE481" s="54">
        <f t="shared" si="322"/>
        <v>8351.7199999999721</v>
      </c>
      <c r="AF481" s="53"/>
      <c r="AG481" s="53">
        <f t="shared" si="299"/>
        <v>6794.32</v>
      </c>
      <c r="AH481" s="54"/>
      <c r="AI481" s="54"/>
      <c r="AJ481" s="54"/>
      <c r="AK481" s="54">
        <f t="shared" si="323"/>
        <v>6794.32</v>
      </c>
      <c r="AL481" s="53"/>
      <c r="AM481" s="53">
        <f t="shared" si="307"/>
        <v>0</v>
      </c>
      <c r="AN481" s="54"/>
      <c r="AO481" s="54"/>
      <c r="AP481" s="54"/>
      <c r="AQ481" s="54">
        <f t="shared" si="308"/>
        <v>0</v>
      </c>
      <c r="AR481" s="53"/>
      <c r="AS481" s="50">
        <f t="shared" si="324"/>
        <v>-2089819.6500000008</v>
      </c>
      <c r="AT481" s="73">
        <f t="shared" si="330"/>
        <v>77726.41</v>
      </c>
      <c r="AU481" s="50">
        <f t="shared" si="301"/>
        <v>0</v>
      </c>
      <c r="AV481" s="50">
        <f t="shared" si="331"/>
        <v>-259978.53799999959</v>
      </c>
      <c r="AW481" s="50"/>
      <c r="AX481" s="50">
        <f t="shared" si="309"/>
        <v>-2272071.7780000004</v>
      </c>
      <c r="AY481" s="50">
        <f t="shared" si="310"/>
        <v>9300000</v>
      </c>
      <c r="AZ481" s="50">
        <f t="shared" si="311"/>
        <v>7027928.2219999991</v>
      </c>
      <c r="BA481" s="15">
        <f t="shared" si="341"/>
        <v>-1893.3931483333338</v>
      </c>
      <c r="BB481" s="15">
        <f>BA481</f>
        <v>-1893.3931483333338</v>
      </c>
    </row>
    <row r="482" spans="2:54" s="58" customFormat="1" ht="17.25" customHeight="1" x14ac:dyDescent="0.3">
      <c r="B482" s="99">
        <f t="shared" ref="B482" si="343">B481+1</f>
        <v>44838</v>
      </c>
      <c r="C482" s="44">
        <f t="shared" si="314"/>
        <v>-3586208.6579999998</v>
      </c>
      <c r="D482" s="45"/>
      <c r="E482" s="45">
        <v>-250000</v>
      </c>
      <c r="F482" s="45">
        <v>-99065.72</v>
      </c>
      <c r="G482" s="45">
        <f t="shared" si="336"/>
        <v>-3935274.378</v>
      </c>
      <c r="H482" s="44">
        <v>4300000</v>
      </c>
      <c r="I482" s="46">
        <f t="shared" si="315"/>
        <v>1294444.51</v>
      </c>
      <c r="J482" s="47">
        <v>119420.44</v>
      </c>
      <c r="K482" s="47"/>
      <c r="L482" s="47">
        <v>-2760882.51</v>
      </c>
      <c r="M482" s="47">
        <f t="shared" si="316"/>
        <v>-1347017.5599999998</v>
      </c>
      <c r="N482" s="46">
        <v>5000000</v>
      </c>
      <c r="O482" s="48">
        <f t="shared" si="317"/>
        <v>4457.1300000000047</v>
      </c>
      <c r="P482" s="55"/>
      <c r="Q482" s="55"/>
      <c r="R482" s="55">
        <f>-1140.52-1377.36</f>
        <v>-2517.88</v>
      </c>
      <c r="S482" s="55">
        <f t="shared" si="318"/>
        <v>1939.2500000000045</v>
      </c>
      <c r="T482" s="48"/>
      <c r="U482" s="49">
        <f t="shared" si="319"/>
        <v>89.199999999895226</v>
      </c>
      <c r="V482" s="51"/>
      <c r="W482" s="51"/>
      <c r="X482" s="51">
        <f>-59.95-1.3</f>
        <v>-61.25</v>
      </c>
      <c r="Y482" s="51">
        <f t="shared" si="320"/>
        <v>27.949999999895226</v>
      </c>
      <c r="Z482" s="52"/>
      <c r="AA482" s="53">
        <f t="shared" si="321"/>
        <v>8351.7199999999721</v>
      </c>
      <c r="AB482" s="54"/>
      <c r="AC482" s="54">
        <v>250000</v>
      </c>
      <c r="AD482" s="54"/>
      <c r="AE482" s="54">
        <f t="shared" si="322"/>
        <v>258351.71999999997</v>
      </c>
      <c r="AF482" s="53"/>
      <c r="AG482" s="53">
        <f t="shared" si="299"/>
        <v>6794.32</v>
      </c>
      <c r="AH482" s="54"/>
      <c r="AI482" s="54"/>
      <c r="AJ482" s="54"/>
      <c r="AK482" s="54">
        <f t="shared" si="323"/>
        <v>6794.32</v>
      </c>
      <c r="AL482" s="53"/>
      <c r="AM482" s="53">
        <f t="shared" si="307"/>
        <v>0</v>
      </c>
      <c r="AN482" s="54"/>
      <c r="AO482" s="54"/>
      <c r="AP482" s="54"/>
      <c r="AQ482" s="54">
        <f t="shared" si="308"/>
        <v>0</v>
      </c>
      <c r="AR482" s="53"/>
      <c r="AS482" s="50">
        <f t="shared" si="324"/>
        <v>-2272071.7780000004</v>
      </c>
      <c r="AT482" s="73">
        <f t="shared" si="330"/>
        <v>119420.44</v>
      </c>
      <c r="AU482" s="50">
        <f t="shared" si="301"/>
        <v>0</v>
      </c>
      <c r="AV482" s="50">
        <f t="shared" si="331"/>
        <v>-2862527.36</v>
      </c>
      <c r="AW482" s="50"/>
      <c r="AX482" s="50">
        <f t="shared" si="309"/>
        <v>-5015178.6979999999</v>
      </c>
      <c r="AY482" s="50">
        <f t="shared" si="310"/>
        <v>9300000</v>
      </c>
      <c r="AZ482" s="50">
        <f t="shared" si="311"/>
        <v>4284821.3020000001</v>
      </c>
      <c r="BA482" s="15">
        <f t="shared" si="341"/>
        <v>-4179.3155816666667</v>
      </c>
      <c r="BB482" s="15">
        <f t="shared" si="334"/>
        <v>-6072.7087300000003</v>
      </c>
    </row>
    <row r="483" spans="2:54" s="58" customFormat="1" ht="17.25" customHeight="1" x14ac:dyDescent="0.3">
      <c r="B483" s="99">
        <f t="shared" si="335"/>
        <v>44839</v>
      </c>
      <c r="C483" s="44">
        <f t="shared" si="314"/>
        <v>-3935274.378</v>
      </c>
      <c r="D483" s="45">
        <v>569301.65</v>
      </c>
      <c r="E483" s="45">
        <v>-550000</v>
      </c>
      <c r="F483" s="45">
        <f>-11693.66-8-21000-807.25</f>
        <v>-33508.910000000003</v>
      </c>
      <c r="G483" s="45">
        <f t="shared" si="336"/>
        <v>-3949481.6380000003</v>
      </c>
      <c r="H483" s="44">
        <v>4300000</v>
      </c>
      <c r="I483" s="46">
        <f t="shared" si="315"/>
        <v>-1347017.5599999998</v>
      </c>
      <c r="J483" s="47">
        <v>71328.58</v>
      </c>
      <c r="K483" s="47">
        <v>550000</v>
      </c>
      <c r="L483" s="47">
        <v>-550223.77</v>
      </c>
      <c r="M483" s="47">
        <f t="shared" si="316"/>
        <v>-1275912.7499999998</v>
      </c>
      <c r="N483" s="46">
        <v>5000000</v>
      </c>
      <c r="O483" s="48">
        <f t="shared" si="317"/>
        <v>1939.2500000000045</v>
      </c>
      <c r="P483" s="55"/>
      <c r="Q483" s="55"/>
      <c r="R483" s="55"/>
      <c r="S483" s="55">
        <f t="shared" si="318"/>
        <v>1939.2500000000045</v>
      </c>
      <c r="T483" s="48"/>
      <c r="U483" s="49">
        <f t="shared" si="319"/>
        <v>27.949999999895226</v>
      </c>
      <c r="V483" s="51"/>
      <c r="W483" s="51"/>
      <c r="X483" s="51"/>
      <c r="Y483" s="51">
        <f t="shared" si="320"/>
        <v>27.949999999895226</v>
      </c>
      <c r="Z483" s="52"/>
      <c r="AA483" s="53">
        <f t="shared" si="321"/>
        <v>258351.71999999997</v>
      </c>
      <c r="AB483" s="54"/>
      <c r="AC483" s="54"/>
      <c r="AD483" s="54">
        <v>-231242.94</v>
      </c>
      <c r="AE483" s="54">
        <f t="shared" si="322"/>
        <v>27108.77999999997</v>
      </c>
      <c r="AF483" s="53"/>
      <c r="AG483" s="53">
        <f t="shared" si="299"/>
        <v>6794.32</v>
      </c>
      <c r="AH483" s="54"/>
      <c r="AI483" s="54"/>
      <c r="AJ483" s="54"/>
      <c r="AK483" s="54">
        <f t="shared" si="323"/>
        <v>6794.32</v>
      </c>
      <c r="AL483" s="53"/>
      <c r="AM483" s="53">
        <f t="shared" si="307"/>
        <v>0</v>
      </c>
      <c r="AN483" s="54"/>
      <c r="AO483" s="54"/>
      <c r="AP483" s="54"/>
      <c r="AQ483" s="54">
        <f t="shared" si="308"/>
        <v>0</v>
      </c>
      <c r="AR483" s="53"/>
      <c r="AS483" s="50">
        <f t="shared" si="324"/>
        <v>-5015178.6979999999</v>
      </c>
      <c r="AT483" s="73">
        <f t="shared" si="330"/>
        <v>640630.23</v>
      </c>
      <c r="AU483" s="50">
        <f t="shared" si="301"/>
        <v>0</v>
      </c>
      <c r="AV483" s="50">
        <f t="shared" si="331"/>
        <v>-814975.62000000011</v>
      </c>
      <c r="AW483" s="50"/>
      <c r="AX483" s="50">
        <f t="shared" si="309"/>
        <v>-5189524.0879999995</v>
      </c>
      <c r="AY483" s="50">
        <f t="shared" si="310"/>
        <v>9300000</v>
      </c>
      <c r="AZ483" s="50">
        <f t="shared" si="311"/>
        <v>4110475.9120000005</v>
      </c>
      <c r="BA483" s="15">
        <f t="shared" si="341"/>
        <v>-4324.6034066666662</v>
      </c>
      <c r="BB483" s="15">
        <f t="shared" si="334"/>
        <v>-10397.312136666667</v>
      </c>
    </row>
    <row r="484" spans="2:54" s="58" customFormat="1" ht="17.25" customHeight="1" x14ac:dyDescent="0.3">
      <c r="B484" s="99">
        <f t="shared" si="335"/>
        <v>44840</v>
      </c>
      <c r="C484" s="44">
        <f t="shared" si="314"/>
        <v>-3949481.6380000003</v>
      </c>
      <c r="D484" s="45"/>
      <c r="E484" s="45"/>
      <c r="F484" s="45">
        <v>-1200.8499999999999</v>
      </c>
      <c r="G484" s="45">
        <f t="shared" si="336"/>
        <v>-3950682.4880000004</v>
      </c>
      <c r="H484" s="44">
        <v>4300000</v>
      </c>
      <c r="I484" s="46">
        <f t="shared" si="315"/>
        <v>-1275912.7499999998</v>
      </c>
      <c r="J484" s="47">
        <v>327536.51</v>
      </c>
      <c r="K484" s="47"/>
      <c r="L484" s="47">
        <v>-282186.06</v>
      </c>
      <c r="M484" s="47">
        <f t="shared" si="316"/>
        <v>-1230562.2999999998</v>
      </c>
      <c r="N484" s="46">
        <v>5000000</v>
      </c>
      <c r="O484" s="48">
        <f t="shared" si="317"/>
        <v>1939.2500000000045</v>
      </c>
      <c r="P484" s="55"/>
      <c r="Q484" s="55"/>
      <c r="R484" s="55"/>
      <c r="S484" s="55">
        <f t="shared" si="318"/>
        <v>1939.2500000000045</v>
      </c>
      <c r="T484" s="48"/>
      <c r="U484" s="49">
        <f t="shared" si="319"/>
        <v>27.949999999895226</v>
      </c>
      <c r="V484" s="51">
        <v>61871.55</v>
      </c>
      <c r="W484" s="51"/>
      <c r="X484" s="51"/>
      <c r="Y484" s="51">
        <f t="shared" si="320"/>
        <v>61899.499999999898</v>
      </c>
      <c r="Z484" s="52"/>
      <c r="AA484" s="53">
        <f t="shared" si="321"/>
        <v>27108.77999999997</v>
      </c>
      <c r="AB484" s="54"/>
      <c r="AC484" s="54"/>
      <c r="AD484" s="54"/>
      <c r="AE484" s="54">
        <f t="shared" si="322"/>
        <v>27108.77999999997</v>
      </c>
      <c r="AF484" s="53"/>
      <c r="AG484" s="53">
        <f t="shared" si="299"/>
        <v>6794.32</v>
      </c>
      <c r="AH484" s="54"/>
      <c r="AI484" s="54"/>
      <c r="AJ484" s="54"/>
      <c r="AK484" s="54">
        <f t="shared" si="323"/>
        <v>6794.32</v>
      </c>
      <c r="AL484" s="53"/>
      <c r="AM484" s="53">
        <f t="shared" si="307"/>
        <v>0</v>
      </c>
      <c r="AN484" s="54"/>
      <c r="AO484" s="54"/>
      <c r="AP484" s="54"/>
      <c r="AQ484" s="54">
        <f t="shared" si="308"/>
        <v>0</v>
      </c>
      <c r="AR484" s="53"/>
      <c r="AS484" s="50">
        <f t="shared" si="324"/>
        <v>-5189524.0879999995</v>
      </c>
      <c r="AT484" s="73">
        <f t="shared" si="330"/>
        <v>389408.06</v>
      </c>
      <c r="AU484" s="50">
        <f t="shared" si="301"/>
        <v>0</v>
      </c>
      <c r="AV484" s="50">
        <f t="shared" si="331"/>
        <v>-283386.90999999997</v>
      </c>
      <c r="AW484" s="50"/>
      <c r="AX484" s="50">
        <f t="shared" si="309"/>
        <v>-5083502.9380000001</v>
      </c>
      <c r="AY484" s="50">
        <f t="shared" si="310"/>
        <v>9300000</v>
      </c>
      <c r="AZ484" s="50">
        <f t="shared" si="311"/>
        <v>4216497.0619999999</v>
      </c>
      <c r="BA484" s="15">
        <f t="shared" si="341"/>
        <v>-4236.2524483333336</v>
      </c>
      <c r="BB484" s="15">
        <f t="shared" si="334"/>
        <v>-14633.564585</v>
      </c>
    </row>
    <row r="485" spans="2:54" s="58" customFormat="1" ht="17.25" customHeight="1" x14ac:dyDescent="0.3">
      <c r="B485" s="99">
        <f t="shared" si="335"/>
        <v>44841</v>
      </c>
      <c r="C485" s="44">
        <f t="shared" si="314"/>
        <v>-3950682.4880000004</v>
      </c>
      <c r="D485" s="45">
        <f>52949.42+43348.34+17200.09</f>
        <v>113497.84999999999</v>
      </c>
      <c r="E485" s="45">
        <v>-100000</v>
      </c>
      <c r="F485" s="45">
        <f>-451.59-1222.88-1.55</f>
        <v>-1676.02</v>
      </c>
      <c r="G485" s="45">
        <f t="shared" si="336"/>
        <v>-3938860.6580000003</v>
      </c>
      <c r="H485" s="44">
        <v>4300000</v>
      </c>
      <c r="I485" s="46">
        <f t="shared" si="315"/>
        <v>-1230562.2999999998</v>
      </c>
      <c r="J485" s="47"/>
      <c r="K485" s="47">
        <f>180000+160000</f>
        <v>340000</v>
      </c>
      <c r="L485" s="47">
        <v>-422794.04</v>
      </c>
      <c r="M485" s="47">
        <f t="shared" si="316"/>
        <v>-1313356.3399999999</v>
      </c>
      <c r="N485" s="46">
        <v>5000000</v>
      </c>
      <c r="O485" s="48">
        <f t="shared" si="317"/>
        <v>1939.2500000000045</v>
      </c>
      <c r="P485" s="55">
        <f>143.36+10.18</f>
        <v>153.54000000000002</v>
      </c>
      <c r="Q485" s="55">
        <f>178960-180000</f>
        <v>-1040</v>
      </c>
      <c r="R485" s="55">
        <v>-10</v>
      </c>
      <c r="S485" s="55">
        <f t="shared" si="318"/>
        <v>1042.7900000000045</v>
      </c>
      <c r="T485" s="48"/>
      <c r="U485" s="49">
        <f t="shared" si="319"/>
        <v>61899.499999999898</v>
      </c>
      <c r="V485" s="51">
        <v>117068.49</v>
      </c>
      <c r="W485" s="51">
        <v>-178960</v>
      </c>
      <c r="X485" s="51">
        <v>-1.3</v>
      </c>
      <c r="Y485" s="51">
        <f t="shared" si="320"/>
        <v>6.6899999999033755</v>
      </c>
      <c r="Z485" s="52"/>
      <c r="AA485" s="53">
        <f t="shared" si="321"/>
        <v>27108.77999999997</v>
      </c>
      <c r="AB485" s="54"/>
      <c r="AC485" s="54">
        <f>34000-60000</f>
        <v>-26000</v>
      </c>
      <c r="AD485" s="54"/>
      <c r="AE485" s="54">
        <f t="shared" si="322"/>
        <v>1108.7799999999697</v>
      </c>
      <c r="AF485" s="53"/>
      <c r="AG485" s="53">
        <f t="shared" si="299"/>
        <v>6794.32</v>
      </c>
      <c r="AH485" s="54">
        <v>27457.68</v>
      </c>
      <c r="AI485" s="54">
        <v>-34000</v>
      </c>
      <c r="AJ485" s="54"/>
      <c r="AK485" s="54">
        <f t="shared" si="323"/>
        <v>252</v>
      </c>
      <c r="AL485" s="53"/>
      <c r="AM485" s="53">
        <f t="shared" si="307"/>
        <v>0</v>
      </c>
      <c r="AN485" s="54"/>
      <c r="AO485" s="54"/>
      <c r="AP485" s="54"/>
      <c r="AQ485" s="54">
        <f t="shared" si="308"/>
        <v>0</v>
      </c>
      <c r="AR485" s="53"/>
      <c r="AS485" s="50">
        <f t="shared" si="324"/>
        <v>-5083502.9380000001</v>
      </c>
      <c r="AT485" s="73">
        <f t="shared" si="330"/>
        <v>258177.56</v>
      </c>
      <c r="AU485" s="50">
        <f t="shared" si="301"/>
        <v>0</v>
      </c>
      <c r="AV485" s="50">
        <f t="shared" si="331"/>
        <v>-424481.36</v>
      </c>
      <c r="AW485" s="50"/>
      <c r="AX485" s="50">
        <f t="shared" si="309"/>
        <v>-5249806.7379999999</v>
      </c>
      <c r="AY485" s="50">
        <f t="shared" si="310"/>
        <v>9300000</v>
      </c>
      <c r="AZ485" s="50">
        <f t="shared" si="311"/>
        <v>4050193.2620000001</v>
      </c>
      <c r="BA485" s="15">
        <f t="shared" si="341"/>
        <v>-4374.838948333334</v>
      </c>
      <c r="BB485" s="15">
        <f t="shared" si="334"/>
        <v>-19008.403533333334</v>
      </c>
    </row>
    <row r="486" spans="2:54" s="58" customFormat="1" ht="17.25" customHeight="1" x14ac:dyDescent="0.3">
      <c r="B486" s="99">
        <f t="shared" ref="B486" si="344">B485+3</f>
        <v>44844</v>
      </c>
      <c r="C486" s="44">
        <f t="shared" si="314"/>
        <v>-3938860.6580000003</v>
      </c>
      <c r="D486" s="45">
        <v>717643.66</v>
      </c>
      <c r="E486" s="45">
        <v>-200000</v>
      </c>
      <c r="F486" s="45">
        <f>-38.34-1089.05</f>
        <v>-1127.3899999999999</v>
      </c>
      <c r="G486" s="45">
        <f t="shared" si="336"/>
        <v>-3422344.3880000003</v>
      </c>
      <c r="H486" s="44">
        <v>4300000</v>
      </c>
      <c r="I486" s="46">
        <f t="shared" si="315"/>
        <v>-1313356.3399999999</v>
      </c>
      <c r="J486" s="47">
        <v>22524</v>
      </c>
      <c r="K486" s="47">
        <v>460000</v>
      </c>
      <c r="L486" s="47">
        <v>-387363.95</v>
      </c>
      <c r="M486" s="47">
        <f t="shared" si="316"/>
        <v>-1218196.2899999998</v>
      </c>
      <c r="N486" s="46">
        <v>5000000</v>
      </c>
      <c r="O486" s="48">
        <f t="shared" si="317"/>
        <v>1042.7900000000045</v>
      </c>
      <c r="P486" s="55"/>
      <c r="Q486" s="55">
        <f>265000-260000</f>
        <v>5000</v>
      </c>
      <c r="R486" s="55">
        <v>-10</v>
      </c>
      <c r="S486" s="55">
        <f t="shared" si="318"/>
        <v>6032.7900000000045</v>
      </c>
      <c r="T486" s="48"/>
      <c r="U486" s="49">
        <f t="shared" si="319"/>
        <v>6.6899999999033755</v>
      </c>
      <c r="V486" s="51">
        <f>265016.49+22467.69</f>
        <v>287484.18</v>
      </c>
      <c r="W486" s="51">
        <v>-265000</v>
      </c>
      <c r="X486" s="51"/>
      <c r="Y486" s="51">
        <f t="shared" si="320"/>
        <v>22490.869999999879</v>
      </c>
      <c r="Z486" s="52"/>
      <c r="AA486" s="53">
        <f t="shared" si="321"/>
        <v>1108.7799999999697</v>
      </c>
      <c r="AB486" s="54"/>
      <c r="AC486" s="54"/>
      <c r="AD486" s="54">
        <v>-341.71999999997001</v>
      </c>
      <c r="AE486" s="54">
        <f t="shared" si="322"/>
        <v>767.05999999999972</v>
      </c>
      <c r="AF486" s="53"/>
      <c r="AG486" s="53">
        <f t="shared" si="299"/>
        <v>252</v>
      </c>
      <c r="AH486" s="54"/>
      <c r="AI486" s="54"/>
      <c r="AJ486" s="54"/>
      <c r="AK486" s="54">
        <f t="shared" si="323"/>
        <v>252</v>
      </c>
      <c r="AL486" s="53"/>
      <c r="AM486" s="53">
        <f t="shared" si="307"/>
        <v>0</v>
      </c>
      <c r="AN486" s="54"/>
      <c r="AO486" s="54"/>
      <c r="AP486" s="54"/>
      <c r="AQ486" s="54">
        <f t="shared" si="308"/>
        <v>0</v>
      </c>
      <c r="AR486" s="53"/>
      <c r="AS486" s="50">
        <f t="shared" si="324"/>
        <v>-5249806.7379999999</v>
      </c>
      <c r="AT486" s="73">
        <f t="shared" si="330"/>
        <v>1027651.8400000001</v>
      </c>
      <c r="AU486" s="50">
        <f t="shared" si="301"/>
        <v>0</v>
      </c>
      <c r="AV486" s="50">
        <f t="shared" si="331"/>
        <v>-388843.06</v>
      </c>
      <c r="AW486" s="50"/>
      <c r="AX486" s="50">
        <f t="shared" si="309"/>
        <v>-4610997.9580000006</v>
      </c>
      <c r="AY486" s="50">
        <f t="shared" si="310"/>
        <v>9300000</v>
      </c>
      <c r="AZ486" s="50">
        <f t="shared" si="311"/>
        <v>4689002.0419999994</v>
      </c>
      <c r="BA486" s="15">
        <f t="shared" si="341"/>
        <v>-3842.4982983333339</v>
      </c>
      <c r="BB486" s="15">
        <f t="shared" si="334"/>
        <v>-22850.90183166667</v>
      </c>
    </row>
    <row r="487" spans="2:54" s="58" customFormat="1" ht="17.25" customHeight="1" x14ac:dyDescent="0.3">
      <c r="B487" s="99">
        <f t="shared" ref="B487" si="345">B486+1</f>
        <v>44845</v>
      </c>
      <c r="C487" s="44">
        <f t="shared" si="314"/>
        <v>-3422344.3880000003</v>
      </c>
      <c r="D487" s="45">
        <v>23826.639999999999</v>
      </c>
      <c r="E487" s="45"/>
      <c r="F487" s="45">
        <v>-2998.54</v>
      </c>
      <c r="G487" s="45">
        <f t="shared" si="336"/>
        <v>-3401516.2880000002</v>
      </c>
      <c r="H487" s="44">
        <v>4300000</v>
      </c>
      <c r="I487" s="46">
        <f t="shared" si="315"/>
        <v>-1218196.2899999998</v>
      </c>
      <c r="J487" s="47"/>
      <c r="K487" s="47"/>
      <c r="L487" s="47">
        <v>-38514.270000000201</v>
      </c>
      <c r="M487" s="47">
        <f t="shared" si="316"/>
        <v>-1256710.56</v>
      </c>
      <c r="N487" s="46">
        <v>5000000</v>
      </c>
      <c r="O487" s="48">
        <f t="shared" si="317"/>
        <v>6032.7900000000045</v>
      </c>
      <c r="P487" s="55"/>
      <c r="Q487" s="55">
        <v>22400</v>
      </c>
      <c r="R487" s="55">
        <v>-330</v>
      </c>
      <c r="S487" s="55">
        <f t="shared" si="318"/>
        <v>28102.790000000005</v>
      </c>
      <c r="T487" s="48"/>
      <c r="U487" s="49">
        <f t="shared" si="319"/>
        <v>22490.869999999879</v>
      </c>
      <c r="V487" s="51"/>
      <c r="W487" s="51">
        <v>-22400</v>
      </c>
      <c r="X487" s="51">
        <f>1.3*2</f>
        <v>2.6</v>
      </c>
      <c r="Y487" s="51">
        <f t="shared" si="320"/>
        <v>93.469999999878922</v>
      </c>
      <c r="Z487" s="52"/>
      <c r="AA487" s="53">
        <f t="shared" si="321"/>
        <v>767.05999999999972</v>
      </c>
      <c r="AB487" s="54"/>
      <c r="AC487" s="54"/>
      <c r="AD487" s="54">
        <v>-682</v>
      </c>
      <c r="AE487" s="54">
        <f t="shared" si="322"/>
        <v>85.059999999999718</v>
      </c>
      <c r="AF487" s="53"/>
      <c r="AG487" s="53">
        <f t="shared" si="299"/>
        <v>252</v>
      </c>
      <c r="AH487" s="54"/>
      <c r="AI487" s="54"/>
      <c r="AJ487" s="54"/>
      <c r="AK487" s="54">
        <f t="shared" si="323"/>
        <v>252</v>
      </c>
      <c r="AL487" s="53"/>
      <c r="AM487" s="53">
        <f t="shared" si="307"/>
        <v>0</v>
      </c>
      <c r="AN487" s="54"/>
      <c r="AO487" s="54"/>
      <c r="AP487" s="54"/>
      <c r="AQ487" s="54">
        <f t="shared" si="308"/>
        <v>0</v>
      </c>
      <c r="AR487" s="53"/>
      <c r="AS487" s="50">
        <f t="shared" si="324"/>
        <v>-4610997.9580000006</v>
      </c>
      <c r="AT487" s="73">
        <f t="shared" si="330"/>
        <v>23826.639999999999</v>
      </c>
      <c r="AU487" s="50">
        <f t="shared" si="301"/>
        <v>0</v>
      </c>
      <c r="AV487" s="50">
        <f t="shared" si="331"/>
        <v>-42522.210000000203</v>
      </c>
      <c r="AW487" s="50"/>
      <c r="AX487" s="50">
        <f t="shared" si="309"/>
        <v>-4629693.5280000009</v>
      </c>
      <c r="AY487" s="50">
        <f t="shared" si="310"/>
        <v>9300000</v>
      </c>
      <c r="AZ487" s="50">
        <f t="shared" si="311"/>
        <v>4670306.4719999991</v>
      </c>
      <c r="BA487" s="15">
        <f t="shared" si="341"/>
        <v>-3858.077940000001</v>
      </c>
      <c r="BB487" s="15">
        <f t="shared" si="334"/>
        <v>-26708.979771666673</v>
      </c>
    </row>
    <row r="488" spans="2:54" s="58" customFormat="1" ht="17.25" customHeight="1" x14ac:dyDescent="0.3">
      <c r="B488" s="99">
        <f t="shared" si="335"/>
        <v>44846</v>
      </c>
      <c r="C488" s="44">
        <f t="shared" si="314"/>
        <v>-3401516.2880000002</v>
      </c>
      <c r="D488" s="45"/>
      <c r="E488" s="45"/>
      <c r="F488" s="45"/>
      <c r="G488" s="45">
        <f t="shared" si="336"/>
        <v>-3401516.2880000002</v>
      </c>
      <c r="H488" s="44">
        <v>4300000</v>
      </c>
      <c r="I488" s="46">
        <f t="shared" si="315"/>
        <v>-1256710.56</v>
      </c>
      <c r="J488" s="47"/>
      <c r="K488" s="47"/>
      <c r="L488" s="47"/>
      <c r="M488" s="47">
        <f t="shared" si="316"/>
        <v>-1256710.56</v>
      </c>
      <c r="N488" s="46">
        <v>5000000</v>
      </c>
      <c r="O488" s="48">
        <f t="shared" si="317"/>
        <v>28102.790000000005</v>
      </c>
      <c r="P488" s="55"/>
      <c r="Q488" s="55"/>
      <c r="R488" s="55"/>
      <c r="S488" s="55">
        <f t="shared" si="318"/>
        <v>28102.790000000005</v>
      </c>
      <c r="T488" s="48"/>
      <c r="U488" s="49">
        <f t="shared" si="319"/>
        <v>93.469999999878922</v>
      </c>
      <c r="V488" s="51"/>
      <c r="W488" s="51"/>
      <c r="X488" s="51">
        <v>-5.1699999998789297</v>
      </c>
      <c r="Y488" s="51">
        <f t="shared" si="320"/>
        <v>88.3</v>
      </c>
      <c r="Z488" s="52"/>
      <c r="AA488" s="53">
        <f t="shared" si="321"/>
        <v>85.059999999999718</v>
      </c>
      <c r="AB488" s="54"/>
      <c r="AC488" s="54"/>
      <c r="AD488" s="54"/>
      <c r="AE488" s="54">
        <f t="shared" si="322"/>
        <v>85.059999999999718</v>
      </c>
      <c r="AF488" s="53"/>
      <c r="AG488" s="53">
        <f t="shared" si="299"/>
        <v>252</v>
      </c>
      <c r="AH488" s="54"/>
      <c r="AI488" s="54"/>
      <c r="AJ488" s="54"/>
      <c r="AK488" s="54">
        <f t="shared" si="323"/>
        <v>252</v>
      </c>
      <c r="AL488" s="53"/>
      <c r="AM488" s="53">
        <f t="shared" si="307"/>
        <v>0</v>
      </c>
      <c r="AN488" s="54"/>
      <c r="AO488" s="54"/>
      <c r="AP488" s="54"/>
      <c r="AQ488" s="54">
        <f t="shared" si="308"/>
        <v>0</v>
      </c>
      <c r="AR488" s="53"/>
      <c r="AS488" s="50">
        <f t="shared" si="324"/>
        <v>-4629693.5280000009</v>
      </c>
      <c r="AT488" s="73">
        <f t="shared" si="330"/>
        <v>0</v>
      </c>
      <c r="AU488" s="50">
        <f t="shared" si="301"/>
        <v>0</v>
      </c>
      <c r="AV488" s="50">
        <f t="shared" si="331"/>
        <v>-5.1699999998789297</v>
      </c>
      <c r="AW488" s="50"/>
      <c r="AX488" s="50">
        <f t="shared" si="309"/>
        <v>-4629698.6980000008</v>
      </c>
      <c r="AY488" s="50">
        <f t="shared" si="310"/>
        <v>9300000</v>
      </c>
      <c r="AZ488" s="50">
        <f t="shared" si="311"/>
        <v>4670301.3019999992</v>
      </c>
      <c r="BA488" s="15">
        <f t="shared" si="341"/>
        <v>-3858.0822483333341</v>
      </c>
      <c r="BB488" s="15">
        <f t="shared" si="334"/>
        <v>-30567.062020000005</v>
      </c>
    </row>
    <row r="489" spans="2:54" s="58" customFormat="1" ht="15" customHeight="1" x14ac:dyDescent="0.3">
      <c r="B489" s="99">
        <f t="shared" si="335"/>
        <v>44847</v>
      </c>
      <c r="C489" s="44">
        <f t="shared" si="314"/>
        <v>-3401516.2880000002</v>
      </c>
      <c r="D489" s="45">
        <v>49696.95</v>
      </c>
      <c r="E489" s="45"/>
      <c r="F489" s="45">
        <f>-14154.99+1483.3</f>
        <v>-12671.69</v>
      </c>
      <c r="G489" s="45">
        <f t="shared" si="336"/>
        <v>-3364491.0279999999</v>
      </c>
      <c r="H489" s="44">
        <v>4300000</v>
      </c>
      <c r="I489" s="46">
        <f t="shared" si="315"/>
        <v>-1256710.56</v>
      </c>
      <c r="J489" s="47">
        <f>64300.92+318841.43</f>
        <v>383142.35</v>
      </c>
      <c r="K489" s="47"/>
      <c r="L489" s="47">
        <v>-103662.39999999999</v>
      </c>
      <c r="M489" s="47">
        <f t="shared" si="316"/>
        <v>-977230.6100000001</v>
      </c>
      <c r="N489" s="46">
        <v>5000000</v>
      </c>
      <c r="O489" s="48">
        <f t="shared" si="317"/>
        <v>28102.790000000005</v>
      </c>
      <c r="P489" s="55">
        <f>157.12+880.1</f>
        <v>1037.22</v>
      </c>
      <c r="Q489" s="55"/>
      <c r="R489" s="55"/>
      <c r="S489" s="55">
        <f t="shared" si="318"/>
        <v>29140.010000000006</v>
      </c>
      <c r="T489" s="48"/>
      <c r="U489" s="49">
        <f t="shared" si="319"/>
        <v>88.3</v>
      </c>
      <c r="V489" s="51"/>
      <c r="W489" s="51"/>
      <c r="X489" s="51"/>
      <c r="Y489" s="51">
        <f t="shared" si="320"/>
        <v>88.3</v>
      </c>
      <c r="Z489" s="52"/>
      <c r="AA489" s="53">
        <f t="shared" si="321"/>
        <v>85.059999999999718</v>
      </c>
      <c r="AB489" s="54"/>
      <c r="AC489" s="54"/>
      <c r="AD489" s="54"/>
      <c r="AE489" s="54">
        <f t="shared" si="322"/>
        <v>85.059999999999718</v>
      </c>
      <c r="AF489" s="53"/>
      <c r="AG489" s="53">
        <f t="shared" ref="AG489:AG552" si="346">AK488</f>
        <v>252</v>
      </c>
      <c r="AH489" s="54"/>
      <c r="AI489" s="54"/>
      <c r="AJ489" s="54"/>
      <c r="AK489" s="54">
        <f t="shared" si="323"/>
        <v>252</v>
      </c>
      <c r="AL489" s="53"/>
      <c r="AM489" s="53">
        <f t="shared" si="307"/>
        <v>0</v>
      </c>
      <c r="AN489" s="54"/>
      <c r="AO489" s="54"/>
      <c r="AP489" s="54"/>
      <c r="AQ489" s="54">
        <f t="shared" si="308"/>
        <v>0</v>
      </c>
      <c r="AR489" s="53"/>
      <c r="AS489" s="50">
        <f t="shared" si="324"/>
        <v>-4629698.6980000008</v>
      </c>
      <c r="AT489" s="73">
        <f t="shared" si="330"/>
        <v>433876.51999999996</v>
      </c>
      <c r="AU489" s="50">
        <f t="shared" si="301"/>
        <v>0</v>
      </c>
      <c r="AV489" s="50">
        <f t="shared" si="331"/>
        <v>-116334.09</v>
      </c>
      <c r="AW489" s="50"/>
      <c r="AX489" s="50">
        <f t="shared" si="309"/>
        <v>-4312156.2680000011</v>
      </c>
      <c r="AY489" s="50">
        <f t="shared" si="310"/>
        <v>9300000</v>
      </c>
      <c r="AZ489" s="50">
        <f t="shared" si="311"/>
        <v>4987843.7319999989</v>
      </c>
      <c r="BA489" s="15">
        <f t="shared" si="341"/>
        <v>-3593.463556666668</v>
      </c>
      <c r="BB489" s="15">
        <f t="shared" si="334"/>
        <v>-34160.525576666674</v>
      </c>
    </row>
    <row r="490" spans="2:54" s="58" customFormat="1" ht="15" customHeight="1" x14ac:dyDescent="0.3">
      <c r="B490" s="99">
        <f t="shared" si="335"/>
        <v>44848</v>
      </c>
      <c r="C490" s="44">
        <f t="shared" si="314"/>
        <v>-3364491.0279999999</v>
      </c>
      <c r="D490" s="45">
        <f>129263.11+2083.33</f>
        <v>131346.44</v>
      </c>
      <c r="E490" s="45"/>
      <c r="F490" s="45">
        <v>-1483.3</v>
      </c>
      <c r="G490" s="45">
        <f t="shared" si="336"/>
        <v>-3234627.8879999998</v>
      </c>
      <c r="H490" s="44">
        <v>4300000</v>
      </c>
      <c r="I490" s="46">
        <f t="shared" si="315"/>
        <v>-977230.6100000001</v>
      </c>
      <c r="J490" s="47"/>
      <c r="K490" s="47"/>
      <c r="L490" s="47">
        <v>-66509.919999999896</v>
      </c>
      <c r="M490" s="47">
        <f t="shared" si="316"/>
        <v>-1043740.53</v>
      </c>
      <c r="N490" s="46">
        <v>5000000</v>
      </c>
      <c r="O490" s="48">
        <f t="shared" si="317"/>
        <v>29140.010000000006</v>
      </c>
      <c r="P490" s="55"/>
      <c r="Q490" s="55">
        <v>94150</v>
      </c>
      <c r="R490" s="55">
        <v>-1343.56</v>
      </c>
      <c r="S490" s="55">
        <f t="shared" si="318"/>
        <v>121946.45000000001</v>
      </c>
      <c r="T490" s="48"/>
      <c r="U490" s="49">
        <f t="shared" si="319"/>
        <v>88.3</v>
      </c>
      <c r="V490" s="51">
        <v>94069.61</v>
      </c>
      <c r="W490" s="51">
        <v>-94150</v>
      </c>
      <c r="X490" s="51">
        <v>-1.3</v>
      </c>
      <c r="Y490" s="51">
        <f t="shared" si="320"/>
        <v>6.6100000000034926</v>
      </c>
      <c r="Z490" s="52"/>
      <c r="AA490" s="53">
        <f t="shared" si="321"/>
        <v>85.059999999999718</v>
      </c>
      <c r="AB490" s="54"/>
      <c r="AC490" s="54"/>
      <c r="AD490" s="54"/>
      <c r="AE490" s="54">
        <f t="shared" si="322"/>
        <v>85.059999999999718</v>
      </c>
      <c r="AF490" s="53"/>
      <c r="AG490" s="53">
        <f t="shared" si="346"/>
        <v>252</v>
      </c>
      <c r="AH490" s="54"/>
      <c r="AI490" s="54"/>
      <c r="AJ490" s="54"/>
      <c r="AK490" s="54">
        <f t="shared" si="323"/>
        <v>252</v>
      </c>
      <c r="AL490" s="53"/>
      <c r="AM490" s="53">
        <f t="shared" si="307"/>
        <v>0</v>
      </c>
      <c r="AN490" s="54"/>
      <c r="AO490" s="54"/>
      <c r="AP490" s="54"/>
      <c r="AQ490" s="54">
        <f t="shared" si="308"/>
        <v>0</v>
      </c>
      <c r="AR490" s="53"/>
      <c r="AS490" s="50">
        <f t="shared" si="324"/>
        <v>-4312156.2680000011</v>
      </c>
      <c r="AT490" s="73">
        <f t="shared" si="330"/>
        <v>225416.05</v>
      </c>
      <c r="AU490" s="50">
        <f t="shared" ref="AU490:AU553" si="347">SUM(E490,K490,Q490,W490,AC490,AI490)</f>
        <v>0</v>
      </c>
      <c r="AV490" s="50">
        <f t="shared" si="331"/>
        <v>-69338.0799999999</v>
      </c>
      <c r="AW490" s="50"/>
      <c r="AX490" s="50">
        <f t="shared" si="309"/>
        <v>-4156078.2979999995</v>
      </c>
      <c r="AY490" s="50">
        <f t="shared" si="310"/>
        <v>9300000</v>
      </c>
      <c r="AZ490" s="50">
        <f t="shared" si="311"/>
        <v>5143921.7020000005</v>
      </c>
      <c r="BA490" s="15">
        <f t="shared" si="341"/>
        <v>-3463.3985816666664</v>
      </c>
      <c r="BB490" s="15">
        <f t="shared" si="334"/>
        <v>-37623.924158333342</v>
      </c>
    </row>
    <row r="491" spans="2:54" s="58" customFormat="1" ht="15" customHeight="1" x14ac:dyDescent="0.3">
      <c r="B491" s="99">
        <f t="shared" ref="B491" si="348">B490+3</f>
        <v>44851</v>
      </c>
      <c r="C491" s="44">
        <f t="shared" si="314"/>
        <v>-3234627.8879999998</v>
      </c>
      <c r="D491" s="45"/>
      <c r="E491" s="45"/>
      <c r="F491" s="45">
        <v>-37604.620000000003</v>
      </c>
      <c r="G491" s="45">
        <f t="shared" si="336"/>
        <v>-3272232.5079999999</v>
      </c>
      <c r="H491" s="44">
        <v>4300000</v>
      </c>
      <c r="I491" s="46">
        <f t="shared" si="315"/>
        <v>-1043740.53</v>
      </c>
      <c r="J491" s="47"/>
      <c r="K491" s="47">
        <v>190000</v>
      </c>
      <c r="L491" s="47">
        <v>-226517.15</v>
      </c>
      <c r="M491" s="47">
        <f t="shared" si="316"/>
        <v>-1080257.68</v>
      </c>
      <c r="N491" s="46">
        <v>5000000</v>
      </c>
      <c r="O491" s="48">
        <f t="shared" si="317"/>
        <v>121946.45000000001</v>
      </c>
      <c r="P491" s="55">
        <f>72784.28-70350</f>
        <v>2434.2799999999988</v>
      </c>
      <c r="Q491" s="55">
        <f>-190000+70350</f>
        <v>-119650</v>
      </c>
      <c r="R491" s="55">
        <v>-10</v>
      </c>
      <c r="S491" s="55">
        <f t="shared" si="318"/>
        <v>4720.7300000000105</v>
      </c>
      <c r="T491" s="48"/>
      <c r="U491" s="49">
        <f t="shared" si="319"/>
        <v>6.6100000000034926</v>
      </c>
      <c r="V491" s="51">
        <v>70351.460000000006</v>
      </c>
      <c r="W491" s="51">
        <v>-70350</v>
      </c>
      <c r="X491" s="51">
        <v>-1.3</v>
      </c>
      <c r="Y491" s="51">
        <f t="shared" si="320"/>
        <v>6.7700000000069851</v>
      </c>
      <c r="Z491" s="52"/>
      <c r="AA491" s="53">
        <f t="shared" si="321"/>
        <v>85.059999999999718</v>
      </c>
      <c r="AB491" s="54"/>
      <c r="AC491" s="54"/>
      <c r="AD491" s="54"/>
      <c r="AE491" s="54">
        <f t="shared" si="322"/>
        <v>85.059999999999718</v>
      </c>
      <c r="AF491" s="53"/>
      <c r="AG491" s="53">
        <f t="shared" si="346"/>
        <v>252</v>
      </c>
      <c r="AH491" s="54"/>
      <c r="AI491" s="54"/>
      <c r="AJ491" s="54"/>
      <c r="AK491" s="54">
        <f t="shared" si="323"/>
        <v>252</v>
      </c>
      <c r="AL491" s="53"/>
      <c r="AM491" s="53">
        <f t="shared" si="307"/>
        <v>0</v>
      </c>
      <c r="AN491" s="54"/>
      <c r="AO491" s="54"/>
      <c r="AP491" s="54"/>
      <c r="AQ491" s="54">
        <f t="shared" si="308"/>
        <v>0</v>
      </c>
      <c r="AR491" s="53"/>
      <c r="AS491" s="50">
        <f t="shared" si="324"/>
        <v>-4156078.2979999995</v>
      </c>
      <c r="AT491" s="73">
        <f t="shared" si="330"/>
        <v>72785.740000000005</v>
      </c>
      <c r="AU491" s="50">
        <f t="shared" si="347"/>
        <v>0</v>
      </c>
      <c r="AV491" s="50">
        <f t="shared" si="331"/>
        <v>-264133.07</v>
      </c>
      <c r="AW491" s="50"/>
      <c r="AX491" s="50">
        <f t="shared" si="309"/>
        <v>-4347425.6280000005</v>
      </c>
      <c r="AY491" s="50">
        <f t="shared" si="310"/>
        <v>9300000</v>
      </c>
      <c r="AZ491" s="50">
        <f t="shared" si="311"/>
        <v>4952574.3719999995</v>
      </c>
      <c r="BA491" s="15">
        <f t="shared" si="341"/>
        <v>-3622.8546900000006</v>
      </c>
      <c r="BB491" s="15">
        <f t="shared" si="334"/>
        <v>-41246.778848333342</v>
      </c>
    </row>
    <row r="492" spans="2:54" s="58" customFormat="1" ht="15" customHeight="1" x14ac:dyDescent="0.3">
      <c r="B492" s="99">
        <f t="shared" ref="B492" si="349">B491+1</f>
        <v>44852</v>
      </c>
      <c r="C492" s="44">
        <f t="shared" si="314"/>
        <v>-3272232.5079999999</v>
      </c>
      <c r="D492" s="45">
        <f>222997.5+44340.15</f>
        <v>267337.65000000002</v>
      </c>
      <c r="E492" s="45">
        <v>-295000</v>
      </c>
      <c r="F492" s="45"/>
      <c r="G492" s="45">
        <f t="shared" si="336"/>
        <v>-3299894.858</v>
      </c>
      <c r="H492" s="44">
        <v>4300000</v>
      </c>
      <c r="I492" s="46">
        <f t="shared" si="315"/>
        <v>-1080257.68</v>
      </c>
      <c r="J492" s="47">
        <v>297139.46000000002</v>
      </c>
      <c r="K492" s="47">
        <v>295000</v>
      </c>
      <c r="L492" s="47">
        <v>-593121.65</v>
      </c>
      <c r="M492" s="47">
        <f t="shared" si="316"/>
        <v>-1081239.8700000001</v>
      </c>
      <c r="N492" s="46">
        <v>5000000</v>
      </c>
      <c r="O492" s="48">
        <f t="shared" si="317"/>
        <v>4720.7300000000105</v>
      </c>
      <c r="P492" s="55"/>
      <c r="Q492" s="55"/>
      <c r="R492" s="55"/>
      <c r="S492" s="55">
        <f t="shared" si="318"/>
        <v>4720.7300000000105</v>
      </c>
      <c r="T492" s="48"/>
      <c r="U492" s="49">
        <f t="shared" si="319"/>
        <v>6.7700000000069851</v>
      </c>
      <c r="V492" s="51"/>
      <c r="W492" s="51"/>
      <c r="X492" s="51"/>
      <c r="Y492" s="51">
        <f t="shared" si="320"/>
        <v>6.7700000000069851</v>
      </c>
      <c r="Z492" s="52"/>
      <c r="AA492" s="53">
        <f t="shared" si="321"/>
        <v>85.059999999999718</v>
      </c>
      <c r="AB492" s="54"/>
      <c r="AC492" s="54"/>
      <c r="AD492" s="54"/>
      <c r="AE492" s="54">
        <f t="shared" si="322"/>
        <v>85.059999999999718</v>
      </c>
      <c r="AF492" s="53"/>
      <c r="AG492" s="53">
        <f t="shared" si="346"/>
        <v>252</v>
      </c>
      <c r="AH492" s="54"/>
      <c r="AI492" s="54"/>
      <c r="AJ492" s="54"/>
      <c r="AK492" s="54">
        <f t="shared" si="323"/>
        <v>252</v>
      </c>
      <c r="AL492" s="53"/>
      <c r="AM492" s="53">
        <f t="shared" si="307"/>
        <v>0</v>
      </c>
      <c r="AN492" s="54"/>
      <c r="AO492" s="54"/>
      <c r="AP492" s="54"/>
      <c r="AQ492" s="54">
        <f t="shared" si="308"/>
        <v>0</v>
      </c>
      <c r="AR492" s="53"/>
      <c r="AS492" s="50">
        <f t="shared" si="324"/>
        <v>-4347425.6280000005</v>
      </c>
      <c r="AT492" s="73">
        <f t="shared" si="330"/>
        <v>564477.1100000001</v>
      </c>
      <c r="AU492" s="50">
        <f t="shared" si="347"/>
        <v>0</v>
      </c>
      <c r="AV492" s="50">
        <f t="shared" si="331"/>
        <v>-593121.65</v>
      </c>
      <c r="AW492" s="50"/>
      <c r="AX492" s="50">
        <f t="shared" si="309"/>
        <v>-4376070.1680000005</v>
      </c>
      <c r="AY492" s="50">
        <f t="shared" si="310"/>
        <v>9300000</v>
      </c>
      <c r="AZ492" s="50">
        <f t="shared" si="311"/>
        <v>4923929.8319999995</v>
      </c>
      <c r="BA492" s="15">
        <f t="shared" si="341"/>
        <v>-3646.7251400000005</v>
      </c>
      <c r="BB492" s="15">
        <f t="shared" si="334"/>
        <v>-44893.503988333345</v>
      </c>
    </row>
    <row r="493" spans="2:54" s="58" customFormat="1" ht="15" customHeight="1" x14ac:dyDescent="0.3">
      <c r="B493" s="99">
        <f t="shared" si="335"/>
        <v>44853</v>
      </c>
      <c r="C493" s="44">
        <f t="shared" si="314"/>
        <v>-3299894.858</v>
      </c>
      <c r="D493" s="45">
        <f>707781.47-83684.69</f>
        <v>624096.78</v>
      </c>
      <c r="E493" s="45"/>
      <c r="F493" s="45">
        <v>-746.47</v>
      </c>
      <c r="G493" s="45">
        <f t="shared" si="336"/>
        <v>-2676544.548</v>
      </c>
      <c r="H493" s="44">
        <v>4300000</v>
      </c>
      <c r="I493" s="46">
        <f t="shared" si="315"/>
        <v>-1081239.8700000001</v>
      </c>
      <c r="J493" s="47">
        <f>211093.75+27109.02+166488.95</f>
        <v>404691.72</v>
      </c>
      <c r="K493" s="47"/>
      <c r="L493" s="47">
        <v>-501480.59</v>
      </c>
      <c r="M493" s="47">
        <f t="shared" si="316"/>
        <v>-1178028.7400000002</v>
      </c>
      <c r="N493" s="46">
        <v>5000000</v>
      </c>
      <c r="O493" s="48">
        <f t="shared" si="317"/>
        <v>4720.7300000000105</v>
      </c>
      <c r="P493" s="55"/>
      <c r="Q493" s="55"/>
      <c r="R493" s="55"/>
      <c r="S493" s="55">
        <f t="shared" si="318"/>
        <v>4720.7300000000105</v>
      </c>
      <c r="T493" s="48"/>
      <c r="U493" s="49">
        <f t="shared" si="319"/>
        <v>6.7700000000069851</v>
      </c>
      <c r="V493" s="51"/>
      <c r="W493" s="51"/>
      <c r="X493" s="51"/>
      <c r="Y493" s="51">
        <f t="shared" si="320"/>
        <v>6.7700000000069851</v>
      </c>
      <c r="Z493" s="52"/>
      <c r="AA493" s="53">
        <f t="shared" si="321"/>
        <v>85.059999999999718</v>
      </c>
      <c r="AB493" s="54"/>
      <c r="AC493" s="54"/>
      <c r="AD493" s="54"/>
      <c r="AE493" s="54">
        <f t="shared" si="322"/>
        <v>85.059999999999718</v>
      </c>
      <c r="AF493" s="53"/>
      <c r="AG493" s="53">
        <f t="shared" si="346"/>
        <v>252</v>
      </c>
      <c r="AH493" s="54"/>
      <c r="AI493" s="54"/>
      <c r="AJ493" s="54"/>
      <c r="AK493" s="54">
        <f t="shared" si="323"/>
        <v>252</v>
      </c>
      <c r="AL493" s="53"/>
      <c r="AM493" s="53">
        <f t="shared" si="307"/>
        <v>0</v>
      </c>
      <c r="AN493" s="54"/>
      <c r="AO493" s="54"/>
      <c r="AP493" s="54"/>
      <c r="AQ493" s="54">
        <f t="shared" si="308"/>
        <v>0</v>
      </c>
      <c r="AR493" s="53"/>
      <c r="AS493" s="50">
        <f t="shared" si="324"/>
        <v>-4376070.1680000005</v>
      </c>
      <c r="AT493" s="73">
        <f t="shared" si="330"/>
        <v>1028788.5</v>
      </c>
      <c r="AU493" s="50">
        <f t="shared" si="347"/>
        <v>0</v>
      </c>
      <c r="AV493" s="50">
        <f t="shared" si="331"/>
        <v>-502227.06</v>
      </c>
      <c r="AW493" s="50"/>
      <c r="AX493" s="50">
        <f t="shared" si="309"/>
        <v>-3849508.7280000001</v>
      </c>
      <c r="AY493" s="50">
        <f t="shared" si="310"/>
        <v>9300000</v>
      </c>
      <c r="AZ493" s="50">
        <f t="shared" si="311"/>
        <v>5450491.2719999999</v>
      </c>
      <c r="BA493" s="15">
        <f t="shared" si="341"/>
        <v>-3207.9239400000001</v>
      </c>
      <c r="BB493" s="15">
        <f t="shared" si="334"/>
        <v>-48101.427928333345</v>
      </c>
    </row>
    <row r="494" spans="2:54" s="58" customFormat="1" ht="15" customHeight="1" x14ac:dyDescent="0.3">
      <c r="B494" s="99">
        <f t="shared" si="335"/>
        <v>44854</v>
      </c>
      <c r="C494" s="44">
        <f t="shared" si="314"/>
        <v>-2676544.548</v>
      </c>
      <c r="D494" s="45">
        <f>83684.69+23340.49</f>
        <v>107025.18000000001</v>
      </c>
      <c r="E494" s="45"/>
      <c r="F494" s="45">
        <v>-1586463.06</v>
      </c>
      <c r="G494" s="45">
        <f t="shared" si="336"/>
        <v>-4155982.4279999998</v>
      </c>
      <c r="H494" s="44">
        <v>4300000</v>
      </c>
      <c r="I494" s="46">
        <f t="shared" si="315"/>
        <v>-1178028.7400000002</v>
      </c>
      <c r="J494" s="47">
        <f>97147.6</f>
        <v>97147.6</v>
      </c>
      <c r="K494" s="47">
        <v>65000</v>
      </c>
      <c r="L494" s="47">
        <v>-131182.20000000001</v>
      </c>
      <c r="M494" s="47">
        <f t="shared" si="316"/>
        <v>-1147063.3400000001</v>
      </c>
      <c r="N494" s="46">
        <v>5000000</v>
      </c>
      <c r="O494" s="48">
        <f t="shared" si="317"/>
        <v>4720.7300000000105</v>
      </c>
      <c r="P494" s="55"/>
      <c r="Q494" s="55">
        <f>62550-65000</f>
        <v>-2450</v>
      </c>
      <c r="R494" s="55">
        <v>-10</v>
      </c>
      <c r="S494" s="55">
        <f t="shared" si="318"/>
        <v>2260.7300000000105</v>
      </c>
      <c r="T494" s="48"/>
      <c r="U494" s="49">
        <f t="shared" si="319"/>
        <v>6.7700000000069851</v>
      </c>
      <c r="V494" s="51">
        <v>62554.78</v>
      </c>
      <c r="W494" s="51">
        <v>-62550</v>
      </c>
      <c r="X494" s="51">
        <v>-1.3</v>
      </c>
      <c r="Y494" s="51">
        <f t="shared" si="320"/>
        <v>10.25000000000291</v>
      </c>
      <c r="Z494" s="52"/>
      <c r="AA494" s="53">
        <f t="shared" si="321"/>
        <v>85.059999999999718</v>
      </c>
      <c r="AB494" s="54"/>
      <c r="AC494" s="54"/>
      <c r="AD494" s="54"/>
      <c r="AE494" s="54">
        <f t="shared" si="322"/>
        <v>85.059999999999718</v>
      </c>
      <c r="AF494" s="53"/>
      <c r="AG494" s="53">
        <f t="shared" si="346"/>
        <v>252</v>
      </c>
      <c r="AH494" s="54"/>
      <c r="AI494" s="54"/>
      <c r="AJ494" s="54"/>
      <c r="AK494" s="54">
        <f t="shared" si="323"/>
        <v>252</v>
      </c>
      <c r="AL494" s="53"/>
      <c r="AM494" s="53">
        <f t="shared" si="307"/>
        <v>0</v>
      </c>
      <c r="AN494" s="54"/>
      <c r="AO494" s="54"/>
      <c r="AP494" s="54"/>
      <c r="AQ494" s="54">
        <f t="shared" si="308"/>
        <v>0</v>
      </c>
      <c r="AR494" s="53"/>
      <c r="AS494" s="50">
        <f t="shared" si="324"/>
        <v>-3849508.7280000001</v>
      </c>
      <c r="AT494" s="73">
        <f t="shared" si="330"/>
        <v>266727.56000000006</v>
      </c>
      <c r="AU494" s="50">
        <f t="shared" si="347"/>
        <v>0</v>
      </c>
      <c r="AV494" s="50">
        <f t="shared" si="331"/>
        <v>-1717656.56</v>
      </c>
      <c r="AW494" s="50"/>
      <c r="AX494" s="50">
        <f t="shared" si="309"/>
        <v>-5300437.7280000001</v>
      </c>
      <c r="AY494" s="50">
        <f t="shared" si="310"/>
        <v>9300000</v>
      </c>
      <c r="AZ494" s="50">
        <f t="shared" si="311"/>
        <v>3999562.2719999999</v>
      </c>
      <c r="BA494" s="15">
        <f t="shared" si="341"/>
        <v>-4417.0314400000007</v>
      </c>
      <c r="BB494" s="15">
        <f t="shared" si="334"/>
        <v>-52518.459368333344</v>
      </c>
    </row>
    <row r="495" spans="2:54" s="58" customFormat="1" ht="15" customHeight="1" x14ac:dyDescent="0.3">
      <c r="B495" s="99">
        <f t="shared" si="335"/>
        <v>44855</v>
      </c>
      <c r="C495" s="44">
        <f t="shared" si="314"/>
        <v>-4155982.4279999998</v>
      </c>
      <c r="D495" s="45">
        <f>56017+18263.91</f>
        <v>74280.91</v>
      </c>
      <c r="E495" s="45"/>
      <c r="F495" s="45">
        <v>-123.2</v>
      </c>
      <c r="G495" s="45">
        <f t="shared" si="336"/>
        <v>-4081824.7179999999</v>
      </c>
      <c r="H495" s="44">
        <v>4300000</v>
      </c>
      <c r="I495" s="46">
        <f t="shared" si="315"/>
        <v>-1147063.3400000001</v>
      </c>
      <c r="J495" s="47">
        <f>42653.8+10274.7</f>
        <v>52928.5</v>
      </c>
      <c r="K495" s="47"/>
      <c r="L495" s="47">
        <v>-13202.279999999901</v>
      </c>
      <c r="M495" s="47">
        <f t="shared" si="316"/>
        <v>-1107337.1199999999</v>
      </c>
      <c r="N495" s="46">
        <v>5000000</v>
      </c>
      <c r="O495" s="48">
        <f t="shared" si="317"/>
        <v>2260.7300000000105</v>
      </c>
      <c r="P495" s="55"/>
      <c r="Q495" s="55"/>
      <c r="R495" s="55"/>
      <c r="S495" s="55">
        <f t="shared" si="318"/>
        <v>2260.7300000000105</v>
      </c>
      <c r="T495" s="48"/>
      <c r="U495" s="49">
        <f t="shared" si="319"/>
        <v>10.25000000000291</v>
      </c>
      <c r="V495" s="51"/>
      <c r="W495" s="51"/>
      <c r="X495" s="51"/>
      <c r="Y495" s="51">
        <f t="shared" si="320"/>
        <v>10.25000000000291</v>
      </c>
      <c r="Z495" s="52"/>
      <c r="AA495" s="53">
        <f t="shared" si="321"/>
        <v>85.059999999999718</v>
      </c>
      <c r="AB495" s="54"/>
      <c r="AC495" s="54"/>
      <c r="AD495" s="54"/>
      <c r="AE495" s="54">
        <f t="shared" si="322"/>
        <v>85.059999999999718</v>
      </c>
      <c r="AF495" s="53"/>
      <c r="AG495" s="53">
        <f t="shared" si="346"/>
        <v>252</v>
      </c>
      <c r="AH495" s="54"/>
      <c r="AI495" s="54"/>
      <c r="AJ495" s="54"/>
      <c r="AK495" s="54">
        <f t="shared" si="323"/>
        <v>252</v>
      </c>
      <c r="AL495" s="53"/>
      <c r="AM495" s="53">
        <f t="shared" si="307"/>
        <v>0</v>
      </c>
      <c r="AN495" s="54"/>
      <c r="AO495" s="54"/>
      <c r="AP495" s="54"/>
      <c r="AQ495" s="54">
        <f t="shared" si="308"/>
        <v>0</v>
      </c>
      <c r="AR495" s="53"/>
      <c r="AS495" s="50">
        <f t="shared" si="324"/>
        <v>-5300437.7280000001</v>
      </c>
      <c r="AT495" s="73">
        <f t="shared" si="330"/>
        <v>127209.41</v>
      </c>
      <c r="AU495" s="50">
        <f t="shared" si="347"/>
        <v>0</v>
      </c>
      <c r="AV495" s="50">
        <f t="shared" si="331"/>
        <v>-13325.479999999901</v>
      </c>
      <c r="AW495" s="50"/>
      <c r="AX495" s="50">
        <f t="shared" si="309"/>
        <v>-5186553.7979999995</v>
      </c>
      <c r="AY495" s="50">
        <f t="shared" si="310"/>
        <v>9300000</v>
      </c>
      <c r="AZ495" s="50">
        <f t="shared" si="311"/>
        <v>4113446.2020000005</v>
      </c>
      <c r="BA495" s="15">
        <f t="shared" si="341"/>
        <v>-4322.1281650000001</v>
      </c>
      <c r="BB495" s="15">
        <f t="shared" si="334"/>
        <v>-56840.587533333346</v>
      </c>
    </row>
    <row r="496" spans="2:54" s="58" customFormat="1" ht="15" customHeight="1" x14ac:dyDescent="0.3">
      <c r="B496" s="99">
        <f t="shared" ref="B496" si="350">B495+3</f>
        <v>44858</v>
      </c>
      <c r="C496" s="44">
        <f t="shared" si="314"/>
        <v>-4081824.7179999999</v>
      </c>
      <c r="D496" s="45">
        <f>174634.54+58662.83+2519.26+347193.91</f>
        <v>583010.54</v>
      </c>
      <c r="E496" s="45"/>
      <c r="F496" s="45"/>
      <c r="G496" s="45">
        <f t="shared" si="336"/>
        <v>-3498814.1779999998</v>
      </c>
      <c r="H496" s="44">
        <v>4300000</v>
      </c>
      <c r="I496" s="46">
        <f t="shared" si="315"/>
        <v>-1107337.1199999999</v>
      </c>
      <c r="J496" s="47"/>
      <c r="K496" s="47"/>
      <c r="L496" s="47">
        <v>-22283.960000000101</v>
      </c>
      <c r="M496" s="47">
        <f t="shared" si="316"/>
        <v>-1129621.08</v>
      </c>
      <c r="N496" s="46">
        <v>5000000</v>
      </c>
      <c r="O496" s="48">
        <f t="shared" si="317"/>
        <v>2260.7300000000105</v>
      </c>
      <c r="P496" s="55"/>
      <c r="Q496" s="55"/>
      <c r="R496" s="55"/>
      <c r="S496" s="55">
        <f t="shared" si="318"/>
        <v>2260.7300000000105</v>
      </c>
      <c r="T496" s="48"/>
      <c r="U496" s="49">
        <f t="shared" si="319"/>
        <v>10.25000000000291</v>
      </c>
      <c r="V496" s="51"/>
      <c r="W496" s="51"/>
      <c r="X496" s="51"/>
      <c r="Y496" s="51">
        <f t="shared" si="320"/>
        <v>10.25000000000291</v>
      </c>
      <c r="Z496" s="52"/>
      <c r="AA496" s="53">
        <f t="shared" si="321"/>
        <v>85.059999999999718</v>
      </c>
      <c r="AB496" s="54"/>
      <c r="AC496" s="54"/>
      <c r="AD496" s="54"/>
      <c r="AE496" s="54">
        <f t="shared" si="322"/>
        <v>85.059999999999718</v>
      </c>
      <c r="AF496" s="53"/>
      <c r="AG496" s="53">
        <f t="shared" si="346"/>
        <v>252</v>
      </c>
      <c r="AH496" s="54"/>
      <c r="AI496" s="54"/>
      <c r="AJ496" s="54"/>
      <c r="AK496" s="54">
        <f t="shared" si="323"/>
        <v>252</v>
      </c>
      <c r="AL496" s="53"/>
      <c r="AM496" s="53">
        <f t="shared" si="307"/>
        <v>0</v>
      </c>
      <c r="AN496" s="54"/>
      <c r="AO496" s="54"/>
      <c r="AP496" s="54"/>
      <c r="AQ496" s="54">
        <f t="shared" si="308"/>
        <v>0</v>
      </c>
      <c r="AR496" s="53"/>
      <c r="AS496" s="50">
        <f t="shared" si="324"/>
        <v>-5186553.7979999995</v>
      </c>
      <c r="AT496" s="73">
        <f t="shared" si="330"/>
        <v>583010.54</v>
      </c>
      <c r="AU496" s="50">
        <f t="shared" si="347"/>
        <v>0</v>
      </c>
      <c r="AV496" s="50">
        <f t="shared" si="331"/>
        <v>-22283.960000000101</v>
      </c>
      <c r="AW496" s="50"/>
      <c r="AX496" s="50">
        <f t="shared" si="309"/>
        <v>-4625827.2179999994</v>
      </c>
      <c r="AY496" s="50">
        <f t="shared" si="310"/>
        <v>9300000</v>
      </c>
      <c r="AZ496" s="50">
        <f t="shared" si="311"/>
        <v>4674172.7820000006</v>
      </c>
      <c r="BA496" s="15">
        <f t="shared" si="341"/>
        <v>-3854.8560149999998</v>
      </c>
      <c r="BB496" s="15">
        <f t="shared" si="334"/>
        <v>-60695.443548333344</v>
      </c>
    </row>
    <row r="497" spans="2:54" s="58" customFormat="1" ht="15" customHeight="1" x14ac:dyDescent="0.3">
      <c r="B497" s="99">
        <f t="shared" ref="B497" si="351">B496+1</f>
        <v>44859</v>
      </c>
      <c r="C497" s="44">
        <f t="shared" si="314"/>
        <v>-3498814.1779999998</v>
      </c>
      <c r="D497" s="45">
        <v>695071.95</v>
      </c>
      <c r="E497" s="45"/>
      <c r="F497" s="45">
        <v>-263756.11</v>
      </c>
      <c r="G497" s="45">
        <f t="shared" si="336"/>
        <v>-3067498.338</v>
      </c>
      <c r="H497" s="44">
        <v>4300000</v>
      </c>
      <c r="I497" s="46">
        <f t="shared" si="315"/>
        <v>-1129621.08</v>
      </c>
      <c r="J497" s="47"/>
      <c r="K497" s="47"/>
      <c r="L497" s="47">
        <v>-101044.19</v>
      </c>
      <c r="M497" s="47">
        <f t="shared" si="316"/>
        <v>-1230665.27</v>
      </c>
      <c r="N497" s="46">
        <v>5000000</v>
      </c>
      <c r="O497" s="48">
        <f t="shared" si="317"/>
        <v>2260.7300000000105</v>
      </c>
      <c r="P497" s="55"/>
      <c r="Q497" s="55"/>
      <c r="R497" s="55">
        <f>-(458+93)</f>
        <v>-551</v>
      </c>
      <c r="S497" s="55">
        <f t="shared" si="318"/>
        <v>1709.7300000000105</v>
      </c>
      <c r="T497" s="48"/>
      <c r="U497" s="49">
        <f t="shared" si="319"/>
        <v>10.25000000000291</v>
      </c>
      <c r="V497" s="51"/>
      <c r="W497" s="51"/>
      <c r="X497" s="51"/>
      <c r="Y497" s="51">
        <f t="shared" si="320"/>
        <v>10.25000000000291</v>
      </c>
      <c r="Z497" s="52"/>
      <c r="AA497" s="53">
        <f t="shared" si="321"/>
        <v>85.059999999999718</v>
      </c>
      <c r="AB497" s="54"/>
      <c r="AC497" s="54"/>
      <c r="AD497" s="54"/>
      <c r="AE497" s="54">
        <f t="shared" si="322"/>
        <v>85.059999999999718</v>
      </c>
      <c r="AF497" s="53"/>
      <c r="AG497" s="53">
        <f t="shared" si="346"/>
        <v>252</v>
      </c>
      <c r="AH497" s="54"/>
      <c r="AI497" s="54"/>
      <c r="AJ497" s="54"/>
      <c r="AK497" s="54">
        <f t="shared" si="323"/>
        <v>252</v>
      </c>
      <c r="AL497" s="53"/>
      <c r="AM497" s="53">
        <f t="shared" si="307"/>
        <v>0</v>
      </c>
      <c r="AN497" s="54"/>
      <c r="AO497" s="54"/>
      <c r="AP497" s="54"/>
      <c r="AQ497" s="54">
        <f t="shared" si="308"/>
        <v>0</v>
      </c>
      <c r="AR497" s="53"/>
      <c r="AS497" s="50">
        <f t="shared" si="324"/>
        <v>-4625827.2179999994</v>
      </c>
      <c r="AT497" s="73">
        <f t="shared" si="330"/>
        <v>695071.95</v>
      </c>
      <c r="AU497" s="50">
        <f t="shared" si="347"/>
        <v>0</v>
      </c>
      <c r="AV497" s="50">
        <f t="shared" si="331"/>
        <v>-365351.3</v>
      </c>
      <c r="AW497" s="50"/>
      <c r="AX497" s="50">
        <f t="shared" si="309"/>
        <v>-4296106.568</v>
      </c>
      <c r="AY497" s="50">
        <f t="shared" si="310"/>
        <v>9300000</v>
      </c>
      <c r="AZ497" s="50">
        <f t="shared" si="311"/>
        <v>5003893.432</v>
      </c>
      <c r="BA497" s="15">
        <f t="shared" si="341"/>
        <v>-3580.0888066666671</v>
      </c>
      <c r="BB497" s="15">
        <f t="shared" si="334"/>
        <v>-64275.53235500001</v>
      </c>
    </row>
    <row r="498" spans="2:54" s="58" customFormat="1" ht="15" customHeight="1" x14ac:dyDescent="0.3">
      <c r="B498" s="99">
        <f t="shared" si="335"/>
        <v>44860</v>
      </c>
      <c r="C498" s="44">
        <f t="shared" si="314"/>
        <v>-3067498.338</v>
      </c>
      <c r="D498" s="45"/>
      <c r="E498" s="45"/>
      <c r="F498" s="45">
        <v>-468.16</v>
      </c>
      <c r="G498" s="45">
        <f t="shared" si="336"/>
        <v>-3067966.4980000001</v>
      </c>
      <c r="H498" s="44">
        <v>4300000</v>
      </c>
      <c r="I498" s="46">
        <f t="shared" si="315"/>
        <v>-1230665.27</v>
      </c>
      <c r="J498" s="47">
        <f>45607.35+9291.15</f>
        <v>54898.5</v>
      </c>
      <c r="K498" s="47"/>
      <c r="L498" s="47">
        <v>-119493.08</v>
      </c>
      <c r="M498" s="47">
        <f t="shared" si="316"/>
        <v>-1295259.8500000001</v>
      </c>
      <c r="N498" s="46">
        <v>5000000</v>
      </c>
      <c r="O498" s="48">
        <f t="shared" si="317"/>
        <v>1709.7300000000105</v>
      </c>
      <c r="P498" s="55"/>
      <c r="Q498" s="55"/>
      <c r="R498" s="55"/>
      <c r="S498" s="55">
        <f t="shared" si="318"/>
        <v>1709.7300000000105</v>
      </c>
      <c r="T498" s="48"/>
      <c r="U498" s="49">
        <f t="shared" si="319"/>
        <v>10.25000000000291</v>
      </c>
      <c r="V498" s="51"/>
      <c r="W498" s="51"/>
      <c r="X498" s="51"/>
      <c r="Y498" s="51">
        <f t="shared" si="320"/>
        <v>10.25000000000291</v>
      </c>
      <c r="Z498" s="52"/>
      <c r="AA498" s="53">
        <f t="shared" si="321"/>
        <v>85.059999999999718</v>
      </c>
      <c r="AB498" s="54"/>
      <c r="AC498" s="54"/>
      <c r="AD498" s="54"/>
      <c r="AE498" s="54">
        <f t="shared" si="322"/>
        <v>85.059999999999718</v>
      </c>
      <c r="AF498" s="53"/>
      <c r="AG498" s="53">
        <f t="shared" si="346"/>
        <v>252</v>
      </c>
      <c r="AH498" s="54"/>
      <c r="AI498" s="54"/>
      <c r="AJ498" s="54"/>
      <c r="AK498" s="54">
        <f t="shared" si="323"/>
        <v>252</v>
      </c>
      <c r="AL498" s="53"/>
      <c r="AM498" s="53">
        <f t="shared" si="307"/>
        <v>0</v>
      </c>
      <c r="AN498" s="54"/>
      <c r="AO498" s="54"/>
      <c r="AP498" s="54"/>
      <c r="AQ498" s="54">
        <f t="shared" si="308"/>
        <v>0</v>
      </c>
      <c r="AR498" s="53"/>
      <c r="AS498" s="50">
        <f t="shared" si="324"/>
        <v>-4296106.568</v>
      </c>
      <c r="AT498" s="73">
        <f t="shared" si="330"/>
        <v>54898.5</v>
      </c>
      <c r="AU498" s="50">
        <f t="shared" si="347"/>
        <v>0</v>
      </c>
      <c r="AV498" s="50">
        <f t="shared" si="331"/>
        <v>-119961.24</v>
      </c>
      <c r="AW498" s="50"/>
      <c r="AX498" s="50">
        <f t="shared" si="309"/>
        <v>-4361169.3080000002</v>
      </c>
      <c r="AY498" s="50">
        <f t="shared" si="310"/>
        <v>9300000</v>
      </c>
      <c r="AZ498" s="50">
        <f t="shared" si="311"/>
        <v>4938830.6919999998</v>
      </c>
      <c r="BA498" s="15">
        <f t="shared" si="341"/>
        <v>-3634.307756666667</v>
      </c>
      <c r="BB498" s="15">
        <f t="shared" si="334"/>
        <v>-67909.840111666679</v>
      </c>
    </row>
    <row r="499" spans="2:54" s="58" customFormat="1" ht="18" customHeight="1" x14ac:dyDescent="0.3">
      <c r="B499" s="99">
        <f t="shared" si="335"/>
        <v>44861</v>
      </c>
      <c r="C499" s="44">
        <f t="shared" si="314"/>
        <v>-3067966.4980000001</v>
      </c>
      <c r="D499" s="45">
        <v>276448.01</v>
      </c>
      <c r="E499" s="45"/>
      <c r="F499" s="45">
        <f>-443613.31-153265.15</f>
        <v>-596878.46</v>
      </c>
      <c r="G499" s="45">
        <f t="shared" si="336"/>
        <v>-3388396.9479999999</v>
      </c>
      <c r="H499" s="44">
        <v>4300000</v>
      </c>
      <c r="I499" s="46">
        <f t="shared" si="315"/>
        <v>-1295259.8500000001</v>
      </c>
      <c r="J499" s="47">
        <v>202771.75</v>
      </c>
      <c r="K499" s="47"/>
      <c r="L499" s="47">
        <v>-223436.25</v>
      </c>
      <c r="M499" s="47">
        <f t="shared" si="316"/>
        <v>-1315924.3500000001</v>
      </c>
      <c r="N499" s="46">
        <v>5000000</v>
      </c>
      <c r="O499" s="48">
        <f t="shared" si="317"/>
        <v>1709.7300000000105</v>
      </c>
      <c r="P499" s="55"/>
      <c r="Q499" s="55"/>
      <c r="R499" s="55"/>
      <c r="S499" s="55">
        <f t="shared" si="318"/>
        <v>1709.7300000000105</v>
      </c>
      <c r="T499" s="48"/>
      <c r="U499" s="49">
        <f t="shared" si="319"/>
        <v>10.25000000000291</v>
      </c>
      <c r="V499" s="51"/>
      <c r="W499" s="51"/>
      <c r="X499" s="51"/>
      <c r="Y499" s="51">
        <f t="shared" si="320"/>
        <v>10.25000000000291</v>
      </c>
      <c r="Z499" s="52"/>
      <c r="AA499" s="53">
        <f t="shared" si="321"/>
        <v>85.059999999999718</v>
      </c>
      <c r="AB499" s="54"/>
      <c r="AC499" s="54"/>
      <c r="AD499" s="54"/>
      <c r="AE499" s="54">
        <f t="shared" si="322"/>
        <v>85.059999999999718</v>
      </c>
      <c r="AF499" s="53"/>
      <c r="AG499" s="53">
        <f t="shared" si="346"/>
        <v>252</v>
      </c>
      <c r="AH499" s="54"/>
      <c r="AI499" s="54"/>
      <c r="AJ499" s="54"/>
      <c r="AK499" s="54">
        <f t="shared" si="323"/>
        <v>252</v>
      </c>
      <c r="AL499" s="53"/>
      <c r="AM499" s="53">
        <f t="shared" si="307"/>
        <v>0</v>
      </c>
      <c r="AN499" s="54"/>
      <c r="AO499" s="54"/>
      <c r="AP499" s="54"/>
      <c r="AQ499" s="54">
        <f t="shared" si="308"/>
        <v>0</v>
      </c>
      <c r="AR499" s="53"/>
      <c r="AS499" s="50">
        <f t="shared" si="324"/>
        <v>-4361169.3080000002</v>
      </c>
      <c r="AT499" s="73">
        <f t="shared" si="330"/>
        <v>479219.76</v>
      </c>
      <c r="AU499" s="50">
        <f t="shared" si="347"/>
        <v>0</v>
      </c>
      <c r="AV499" s="50">
        <f t="shared" si="331"/>
        <v>-820314.71</v>
      </c>
      <c r="AW499" s="50"/>
      <c r="AX499" s="50">
        <f t="shared" si="309"/>
        <v>-4702264.2580000004</v>
      </c>
      <c r="AY499" s="50">
        <f t="shared" si="310"/>
        <v>9300000</v>
      </c>
      <c r="AZ499" s="50">
        <f t="shared" si="311"/>
        <v>4597735.7419999996</v>
      </c>
      <c r="BA499" s="15">
        <f t="shared" si="341"/>
        <v>-3918.5535483333338</v>
      </c>
      <c r="BB499" s="15">
        <f t="shared" si="334"/>
        <v>-71828.393660000016</v>
      </c>
    </row>
    <row r="500" spans="2:54" s="58" customFormat="1" ht="16.5" customHeight="1" x14ac:dyDescent="0.3">
      <c r="B500" s="99">
        <f t="shared" si="335"/>
        <v>44862</v>
      </c>
      <c r="C500" s="44">
        <f t="shared" si="314"/>
        <v>-3388396.9479999999</v>
      </c>
      <c r="D500" s="45">
        <v>60692.42</v>
      </c>
      <c r="E500" s="45"/>
      <c r="F500" s="45">
        <v>-460</v>
      </c>
      <c r="G500" s="45">
        <f t="shared" si="336"/>
        <v>-3328164.5279999999</v>
      </c>
      <c r="H500" s="44">
        <v>4300000</v>
      </c>
      <c r="I500" s="46">
        <f t="shared" si="315"/>
        <v>-1315924.3500000001</v>
      </c>
      <c r="J500" s="47"/>
      <c r="K500" s="47">
        <v>351200</v>
      </c>
      <c r="L500" s="47">
        <v>-104757</v>
      </c>
      <c r="M500" s="47">
        <f t="shared" si="316"/>
        <v>-1069481.3500000001</v>
      </c>
      <c r="N500" s="46">
        <v>5000000</v>
      </c>
      <c r="O500" s="48">
        <f t="shared" si="317"/>
        <v>1709.7300000000105</v>
      </c>
      <c r="P500" s="55">
        <v>9084.68</v>
      </c>
      <c r="Q500" s="55"/>
      <c r="R500" s="55"/>
      <c r="S500" s="55">
        <f t="shared" si="318"/>
        <v>10794.410000000011</v>
      </c>
      <c r="T500" s="48"/>
      <c r="U500" s="49">
        <f t="shared" si="319"/>
        <v>10.25000000000291</v>
      </c>
      <c r="V500" s="51"/>
      <c r="W500" s="51"/>
      <c r="X500" s="51"/>
      <c r="Y500" s="51">
        <f t="shared" si="320"/>
        <v>10.25000000000291</v>
      </c>
      <c r="Z500" s="52"/>
      <c r="AA500" s="53">
        <f t="shared" si="321"/>
        <v>85.059999999999718</v>
      </c>
      <c r="AB500" s="54"/>
      <c r="AC500" s="54"/>
      <c r="AD500" s="54"/>
      <c r="AE500" s="54">
        <f t="shared" si="322"/>
        <v>85.059999999999718</v>
      </c>
      <c r="AF500" s="53"/>
      <c r="AG500" s="53">
        <f t="shared" si="346"/>
        <v>252</v>
      </c>
      <c r="AH500" s="54">
        <f>27457.68+122167.6+201377.87</f>
        <v>351003.15</v>
      </c>
      <c r="AI500" s="54">
        <v>-351200</v>
      </c>
      <c r="AJ500" s="54"/>
      <c r="AK500" s="54">
        <f t="shared" si="323"/>
        <v>55.150000000023283</v>
      </c>
      <c r="AL500" s="53"/>
      <c r="AM500" s="53">
        <f t="shared" si="307"/>
        <v>0</v>
      </c>
      <c r="AN500" s="54"/>
      <c r="AO500" s="54"/>
      <c r="AP500" s="54"/>
      <c r="AQ500" s="54">
        <f t="shared" si="308"/>
        <v>0</v>
      </c>
      <c r="AR500" s="53"/>
      <c r="AS500" s="50">
        <f t="shared" si="324"/>
        <v>-4702264.2580000004</v>
      </c>
      <c r="AT500" s="73">
        <f t="shared" si="330"/>
        <v>420780.25</v>
      </c>
      <c r="AU500" s="50">
        <f t="shared" si="347"/>
        <v>0</v>
      </c>
      <c r="AV500" s="50">
        <f t="shared" si="331"/>
        <v>-105217</v>
      </c>
      <c r="AW500" s="50"/>
      <c r="AX500" s="50">
        <f t="shared" si="309"/>
        <v>-4386701.0080000004</v>
      </c>
      <c r="AY500" s="50">
        <f t="shared" si="310"/>
        <v>9300000</v>
      </c>
      <c r="AZ500" s="50">
        <f t="shared" si="311"/>
        <v>4913298.9919999996</v>
      </c>
      <c r="BA500" s="15">
        <f t="shared" si="341"/>
        <v>-3655.5841733333341</v>
      </c>
      <c r="BB500" s="15">
        <f t="shared" si="334"/>
        <v>-75483.977833333352</v>
      </c>
    </row>
    <row r="501" spans="2:54" s="58" customFormat="1" ht="16.5" customHeight="1" x14ac:dyDescent="0.3">
      <c r="B501" s="99">
        <f t="shared" ref="B501" si="352">B500+3</f>
        <v>44865</v>
      </c>
      <c r="C501" s="44">
        <f t="shared" si="314"/>
        <v>-3328164.5279999999</v>
      </c>
      <c r="D501" s="45">
        <v>144865.17000000001</v>
      </c>
      <c r="E501" s="45">
        <v>600000</v>
      </c>
      <c r="F501" s="45">
        <v>-118959.42</v>
      </c>
      <c r="G501" s="45">
        <f t="shared" si="336"/>
        <v>-2702258.7779999999</v>
      </c>
      <c r="H501" s="44">
        <v>4300000</v>
      </c>
      <c r="I501" s="46">
        <f t="shared" si="315"/>
        <v>-1069481.3500000001</v>
      </c>
      <c r="J501" s="47">
        <v>446817.47999999992</v>
      </c>
      <c r="K501" s="47">
        <f>800000+580000-600000+85900</f>
        <v>865900</v>
      </c>
      <c r="L501" s="47">
        <v>-177855.06</v>
      </c>
      <c r="M501" s="47">
        <f t="shared" si="316"/>
        <v>65381.069999999891</v>
      </c>
      <c r="N501" s="46">
        <v>5000000</v>
      </c>
      <c r="O501" s="48">
        <f t="shared" si="317"/>
        <v>10794.410000000011</v>
      </c>
      <c r="P501" s="55">
        <v>803626</v>
      </c>
      <c r="Q501" s="55">
        <f>-580000-800000+571600</f>
        <v>-808400</v>
      </c>
      <c r="R501" s="55">
        <f>-(168+1100+196+300+20)</f>
        <v>-1784</v>
      </c>
      <c r="S501" s="55">
        <f t="shared" si="318"/>
        <v>4236.4100000000326</v>
      </c>
      <c r="T501" s="48"/>
      <c r="U501" s="49">
        <f t="shared" si="319"/>
        <v>10.25000000000291</v>
      </c>
      <c r="V501" s="51">
        <f>494803.4+76863.15</f>
        <v>571666.55000000005</v>
      </c>
      <c r="W501" s="51">
        <v>-571600</v>
      </c>
      <c r="X501" s="51">
        <v>-1.3</v>
      </c>
      <c r="Y501" s="51">
        <f t="shared" si="320"/>
        <v>75.500000000046569</v>
      </c>
      <c r="Z501" s="52"/>
      <c r="AA501" s="53">
        <f t="shared" si="321"/>
        <v>85.059999999999718</v>
      </c>
      <c r="AB501" s="54"/>
      <c r="AC501" s="54"/>
      <c r="AD501" s="54"/>
      <c r="AE501" s="54">
        <f t="shared" si="322"/>
        <v>85.059999999999718</v>
      </c>
      <c r="AF501" s="53"/>
      <c r="AG501" s="53">
        <f t="shared" si="346"/>
        <v>55.150000000023283</v>
      </c>
      <c r="AH501" s="54">
        <v>85919.67</v>
      </c>
      <c r="AI501" s="54">
        <v>-85900</v>
      </c>
      <c r="AJ501" s="54">
        <f>-60-9.6</f>
        <v>-69.599999999999994</v>
      </c>
      <c r="AK501" s="54">
        <f t="shared" si="323"/>
        <v>5.2200000000215425</v>
      </c>
      <c r="AL501" s="53"/>
      <c r="AM501" s="53">
        <f t="shared" ref="AM501:AM564" si="353">AQ500</f>
        <v>0</v>
      </c>
      <c r="AN501" s="54"/>
      <c r="AO501" s="54"/>
      <c r="AP501" s="54"/>
      <c r="AQ501" s="54">
        <f t="shared" ref="AQ501:AQ564" si="354">SUM(AM501:AP501)</f>
        <v>0</v>
      </c>
      <c r="AR501" s="53"/>
      <c r="AS501" s="50">
        <f t="shared" si="324"/>
        <v>-4386701.0080000004</v>
      </c>
      <c r="AT501" s="73">
        <f t="shared" si="330"/>
        <v>2052894.8699999999</v>
      </c>
      <c r="AU501" s="50">
        <f t="shared" si="347"/>
        <v>0</v>
      </c>
      <c r="AV501" s="50">
        <f t="shared" si="331"/>
        <v>-298669.37999999995</v>
      </c>
      <c r="AW501" s="50"/>
      <c r="AX501" s="50">
        <f t="shared" si="309"/>
        <v>-2632475.5179999997</v>
      </c>
      <c r="AY501" s="50">
        <f t="shared" si="310"/>
        <v>9300000</v>
      </c>
      <c r="AZ501" s="50">
        <f t="shared" si="311"/>
        <v>6667524.4820000008</v>
      </c>
      <c r="BA501" s="82">
        <f t="shared" si="341"/>
        <v>-2193.7295983333333</v>
      </c>
      <c r="BB501" s="82">
        <f t="shared" si="334"/>
        <v>-77677.707431666684</v>
      </c>
    </row>
    <row r="502" spans="2:54" s="58" customFormat="1" ht="16.5" customHeight="1" x14ac:dyDescent="0.3">
      <c r="B502" s="99">
        <f t="shared" ref="B502" si="355">B501+1</f>
        <v>44866</v>
      </c>
      <c r="C502" s="44">
        <f t="shared" si="314"/>
        <v>-2702258.7779999999</v>
      </c>
      <c r="D502" s="45"/>
      <c r="E502" s="45">
        <v>-200000</v>
      </c>
      <c r="F502" s="45">
        <v>-460</v>
      </c>
      <c r="G502" s="45">
        <f t="shared" si="336"/>
        <v>-2902718.7779999999</v>
      </c>
      <c r="H502" s="44">
        <v>4300000</v>
      </c>
      <c r="I502" s="46">
        <f t="shared" si="315"/>
        <v>65381.069999999891</v>
      </c>
      <c r="J502" s="47">
        <v>28155</v>
      </c>
      <c r="K502" s="47">
        <v>200000</v>
      </c>
      <c r="L502" s="47">
        <v>-147472.10999999999</v>
      </c>
      <c r="M502" s="47">
        <f t="shared" si="316"/>
        <v>146063.9599999999</v>
      </c>
      <c r="N502" s="46">
        <v>5000000</v>
      </c>
      <c r="O502" s="48">
        <f t="shared" si="317"/>
        <v>4236.4100000000326</v>
      </c>
      <c r="P502" s="55">
        <f>1837.5+33870.18</f>
        <v>35707.68</v>
      </c>
      <c r="Q502" s="55"/>
      <c r="R502" s="55"/>
      <c r="S502" s="55">
        <f t="shared" si="318"/>
        <v>39944.090000000033</v>
      </c>
      <c r="T502" s="48"/>
      <c r="U502" s="49">
        <f t="shared" si="319"/>
        <v>75.500000000046569</v>
      </c>
      <c r="V502" s="51"/>
      <c r="W502" s="51"/>
      <c r="X502" s="51"/>
      <c r="Y502" s="51">
        <f t="shared" si="320"/>
        <v>75.500000000046569</v>
      </c>
      <c r="Z502" s="52"/>
      <c r="AA502" s="53">
        <f t="shared" si="321"/>
        <v>85.059999999999718</v>
      </c>
      <c r="AB502" s="54"/>
      <c r="AC502" s="54"/>
      <c r="AD502" s="54"/>
      <c r="AE502" s="54">
        <f t="shared" si="322"/>
        <v>85.059999999999718</v>
      </c>
      <c r="AF502" s="53"/>
      <c r="AG502" s="53">
        <f t="shared" si="346"/>
        <v>5.2200000000215425</v>
      </c>
      <c r="AH502" s="54"/>
      <c r="AI502" s="54"/>
      <c r="AJ502" s="54"/>
      <c r="AK502" s="54">
        <f t="shared" si="323"/>
        <v>5.2200000000215425</v>
      </c>
      <c r="AL502" s="53"/>
      <c r="AM502" s="53">
        <f t="shared" si="353"/>
        <v>0</v>
      </c>
      <c r="AN502" s="54"/>
      <c r="AO502" s="54"/>
      <c r="AP502" s="54"/>
      <c r="AQ502" s="54">
        <f t="shared" si="354"/>
        <v>0</v>
      </c>
      <c r="AR502" s="53"/>
      <c r="AS502" s="50">
        <f t="shared" si="324"/>
        <v>-2632475.5179999997</v>
      </c>
      <c r="AT502" s="73">
        <f t="shared" si="330"/>
        <v>63862.68</v>
      </c>
      <c r="AU502" s="50">
        <f t="shared" si="347"/>
        <v>0</v>
      </c>
      <c r="AV502" s="50">
        <f t="shared" si="331"/>
        <v>-147932.10999999999</v>
      </c>
      <c r="AW502" s="50"/>
      <c r="AX502" s="50">
        <f t="shared" ref="AX502:AX565" si="356">SUM(G502,M502,S502,Y502,AE502,AK502)</f>
        <v>-2716544.9479999999</v>
      </c>
      <c r="AY502" s="50">
        <f t="shared" ref="AY502:AY565" si="357">SUM(H502,N502,T502,Z502,AF502,AL502)</f>
        <v>9300000</v>
      </c>
      <c r="AZ502" s="50">
        <f t="shared" ref="AZ502:AZ565" si="358">AX502+AY502</f>
        <v>6583455.0520000001</v>
      </c>
      <c r="BA502" s="15">
        <f t="shared" si="341"/>
        <v>-2263.7874566666669</v>
      </c>
      <c r="BB502" s="15">
        <f>BA502</f>
        <v>-2263.7874566666669</v>
      </c>
    </row>
    <row r="503" spans="2:54" s="58" customFormat="1" ht="16.5" customHeight="1" x14ac:dyDescent="0.3">
      <c r="B503" s="99">
        <f t="shared" si="335"/>
        <v>44867</v>
      </c>
      <c r="C503" s="44">
        <f t="shared" si="314"/>
        <v>-2902718.7779999999</v>
      </c>
      <c r="D503" s="45"/>
      <c r="E503" s="45"/>
      <c r="F503" s="45"/>
      <c r="G503" s="45">
        <f t="shared" si="336"/>
        <v>-2902718.7779999999</v>
      </c>
      <c r="H503" s="44">
        <v>4300000</v>
      </c>
      <c r="I503" s="46">
        <f t="shared" si="315"/>
        <v>146063.9599999999</v>
      </c>
      <c r="J503" s="47"/>
      <c r="K503" s="47"/>
      <c r="L503" s="47"/>
      <c r="M503" s="47">
        <f t="shared" si="316"/>
        <v>146063.9599999999</v>
      </c>
      <c r="N503" s="46">
        <v>5000000</v>
      </c>
      <c r="O503" s="48">
        <f t="shared" si="317"/>
        <v>39944.090000000033</v>
      </c>
      <c r="P503" s="55"/>
      <c r="Q503" s="55"/>
      <c r="R503" s="55"/>
      <c r="S503" s="55">
        <f t="shared" si="318"/>
        <v>39944.090000000033</v>
      </c>
      <c r="T503" s="48"/>
      <c r="U503" s="49">
        <f t="shared" si="319"/>
        <v>75.500000000046569</v>
      </c>
      <c r="V503" s="51"/>
      <c r="W503" s="51"/>
      <c r="X503" s="51"/>
      <c r="Y503" s="51">
        <f t="shared" si="320"/>
        <v>75.500000000046569</v>
      </c>
      <c r="Z503" s="52"/>
      <c r="AA503" s="53">
        <f t="shared" si="321"/>
        <v>85.059999999999718</v>
      </c>
      <c r="AB503" s="54"/>
      <c r="AC503" s="54"/>
      <c r="AD503" s="54"/>
      <c r="AE503" s="54">
        <f t="shared" si="322"/>
        <v>85.059999999999718</v>
      </c>
      <c r="AF503" s="53"/>
      <c r="AG503" s="53">
        <f t="shared" si="346"/>
        <v>5.2200000000215425</v>
      </c>
      <c r="AH503" s="54"/>
      <c r="AI503" s="54"/>
      <c r="AJ503" s="54"/>
      <c r="AK503" s="54">
        <f t="shared" si="323"/>
        <v>5.2200000000215425</v>
      </c>
      <c r="AL503" s="53"/>
      <c r="AM503" s="53">
        <f t="shared" si="353"/>
        <v>0</v>
      </c>
      <c r="AN503" s="54"/>
      <c r="AO503" s="54"/>
      <c r="AP503" s="54"/>
      <c r="AQ503" s="54">
        <f t="shared" si="354"/>
        <v>0</v>
      </c>
      <c r="AR503" s="53"/>
      <c r="AS503" s="50">
        <f t="shared" si="324"/>
        <v>-2716544.9479999999</v>
      </c>
      <c r="AT503" s="73">
        <f t="shared" si="330"/>
        <v>0</v>
      </c>
      <c r="AU503" s="50">
        <f t="shared" si="347"/>
        <v>0</v>
      </c>
      <c r="AV503" s="50">
        <f t="shared" si="331"/>
        <v>0</v>
      </c>
      <c r="AW503" s="50"/>
      <c r="AX503" s="50">
        <f t="shared" si="356"/>
        <v>-2716544.9479999999</v>
      </c>
      <c r="AY503" s="50">
        <f t="shared" si="357"/>
        <v>9300000</v>
      </c>
      <c r="AZ503" s="50">
        <f t="shared" si="358"/>
        <v>6583455.0520000001</v>
      </c>
      <c r="BA503" s="15">
        <f t="shared" si="341"/>
        <v>-2263.7874566666669</v>
      </c>
      <c r="BB503" s="15">
        <f t="shared" si="334"/>
        <v>-4527.5749133333338</v>
      </c>
    </row>
    <row r="504" spans="2:54" s="58" customFormat="1" ht="16.5" customHeight="1" x14ac:dyDescent="0.3">
      <c r="B504" s="99">
        <f t="shared" si="335"/>
        <v>44868</v>
      </c>
      <c r="C504" s="44">
        <f t="shared" si="314"/>
        <v>-2902718.7779999999</v>
      </c>
      <c r="D504" s="45">
        <v>41113.81</v>
      </c>
      <c r="E504" s="45">
        <v>-1000000</v>
      </c>
      <c r="F504" s="45">
        <v>-320083.15999999997</v>
      </c>
      <c r="G504" s="45">
        <f t="shared" si="336"/>
        <v>-4181688.128</v>
      </c>
      <c r="H504" s="44">
        <v>4300000</v>
      </c>
      <c r="I504" s="46">
        <f t="shared" si="315"/>
        <v>146063.9599999999</v>
      </c>
      <c r="J504" s="47">
        <v>3629.41</v>
      </c>
      <c r="K504" s="47">
        <f>1000000-161000</f>
        <v>839000</v>
      </c>
      <c r="L504" s="47">
        <v>-2339914.15</v>
      </c>
      <c r="M504" s="47">
        <f t="shared" si="316"/>
        <v>-1351220.78</v>
      </c>
      <c r="N504" s="46">
        <v>5000000</v>
      </c>
      <c r="O504" s="48">
        <f t="shared" si="317"/>
        <v>39944.090000000033</v>
      </c>
      <c r="P504" s="55"/>
      <c r="Q504" s="55">
        <f>-89000+49840</f>
        <v>-39160</v>
      </c>
      <c r="R504" s="55">
        <v>-10</v>
      </c>
      <c r="S504" s="55">
        <f t="shared" si="318"/>
        <v>774.09000000003289</v>
      </c>
      <c r="T504" s="48"/>
      <c r="U504" s="49">
        <f t="shared" si="319"/>
        <v>75.500000000046569</v>
      </c>
      <c r="V504" s="51">
        <v>49773.91</v>
      </c>
      <c r="W504" s="51">
        <v>-49840</v>
      </c>
      <c r="X504" s="51">
        <v>-9.41</v>
      </c>
      <c r="Y504" s="51">
        <f t="shared" si="320"/>
        <v>4.7148063231361448E-11</v>
      </c>
      <c r="Z504" s="52"/>
      <c r="AA504" s="53">
        <f t="shared" si="321"/>
        <v>85.059999999999718</v>
      </c>
      <c r="AB504" s="54"/>
      <c r="AC504" s="54">
        <f>89000+161000</f>
        <v>250000</v>
      </c>
      <c r="AD504" s="54"/>
      <c r="AE504" s="54">
        <f t="shared" si="322"/>
        <v>250085.06</v>
      </c>
      <c r="AF504" s="53"/>
      <c r="AG504" s="53">
        <f t="shared" si="346"/>
        <v>5.2200000000215425</v>
      </c>
      <c r="AH504" s="54"/>
      <c r="AI504" s="54"/>
      <c r="AJ504" s="54"/>
      <c r="AK504" s="54">
        <f t="shared" si="323"/>
        <v>5.2200000000215425</v>
      </c>
      <c r="AL504" s="53"/>
      <c r="AM504" s="53">
        <f t="shared" si="353"/>
        <v>0</v>
      </c>
      <c r="AN504" s="54"/>
      <c r="AO504" s="54"/>
      <c r="AP504" s="54"/>
      <c r="AQ504" s="54">
        <f t="shared" si="354"/>
        <v>0</v>
      </c>
      <c r="AR504" s="53"/>
      <c r="AS504" s="50">
        <f t="shared" si="324"/>
        <v>-2716544.9479999999</v>
      </c>
      <c r="AT504" s="73">
        <f t="shared" si="330"/>
        <v>94517.13</v>
      </c>
      <c r="AU504" s="50">
        <f t="shared" si="347"/>
        <v>0</v>
      </c>
      <c r="AV504" s="50">
        <f t="shared" si="331"/>
        <v>-2660016.7200000002</v>
      </c>
      <c r="AW504" s="50"/>
      <c r="AX504" s="50">
        <f t="shared" si="356"/>
        <v>-5282044.5380000006</v>
      </c>
      <c r="AY504" s="50">
        <f t="shared" si="357"/>
        <v>9300000</v>
      </c>
      <c r="AZ504" s="50">
        <f t="shared" si="358"/>
        <v>4017955.4619999994</v>
      </c>
      <c r="BA504" s="15">
        <f t="shared" si="341"/>
        <v>-4401.7037816666671</v>
      </c>
      <c r="BB504" s="15">
        <f t="shared" si="334"/>
        <v>-8929.2786950000009</v>
      </c>
    </row>
    <row r="505" spans="2:54" s="58" customFormat="1" ht="16.5" customHeight="1" x14ac:dyDescent="0.3">
      <c r="B505" s="99">
        <f t="shared" si="335"/>
        <v>44869</v>
      </c>
      <c r="C505" s="44">
        <f t="shared" si="314"/>
        <v>-4181688.128</v>
      </c>
      <c r="D505" s="45">
        <f>55913.85+55913.85*3</f>
        <v>223655.4</v>
      </c>
      <c r="E505" s="45">
        <v>1500000</v>
      </c>
      <c r="F505" s="45">
        <f>-24193.33-6.6-0.85</f>
        <v>-24200.78</v>
      </c>
      <c r="G505" s="45">
        <f t="shared" si="336"/>
        <v>-2482233.5079999999</v>
      </c>
      <c r="H505" s="44">
        <v>4300000</v>
      </c>
      <c r="I505" s="46">
        <f t="shared" si="315"/>
        <v>-1351220.78</v>
      </c>
      <c r="J505" s="47"/>
      <c r="K505" s="47">
        <v>235700</v>
      </c>
      <c r="L505" s="47">
        <v>-453627.65</v>
      </c>
      <c r="M505" s="47">
        <f t="shared" si="316"/>
        <v>-1569148.4300000002</v>
      </c>
      <c r="N505" s="46">
        <v>5000000</v>
      </c>
      <c r="O505" s="48">
        <f t="shared" si="317"/>
        <v>774.09000000003289</v>
      </c>
      <c r="P505" s="55">
        <f>143.36+10.18</f>
        <v>153.54000000000002</v>
      </c>
      <c r="Q505" s="55"/>
      <c r="R505" s="55">
        <v>-10</v>
      </c>
      <c r="S505" s="55">
        <f t="shared" si="318"/>
        <v>917.63000000003285</v>
      </c>
      <c r="T505" s="48"/>
      <c r="U505" s="49">
        <f t="shared" si="319"/>
        <v>4.7148063231361448E-11</v>
      </c>
      <c r="V505" s="51">
        <v>235792.5</v>
      </c>
      <c r="W505" s="51">
        <v>-235700</v>
      </c>
      <c r="X505" s="51">
        <f>-50.54-1.3*2</f>
        <v>-53.14</v>
      </c>
      <c r="Y505" s="51">
        <f t="shared" si="320"/>
        <v>39.360000000058207</v>
      </c>
      <c r="Z505" s="52"/>
      <c r="AA505" s="53">
        <f t="shared" si="321"/>
        <v>250085.06</v>
      </c>
      <c r="AB505" s="54">
        <v>1488370.22</v>
      </c>
      <c r="AC505" s="54">
        <f>-1500000</f>
        <v>-1500000</v>
      </c>
      <c r="AD505" s="54">
        <f>-208333.33-16203.41-2859.43-593.75-226.14</f>
        <v>-228216.06</v>
      </c>
      <c r="AE505" s="54">
        <f t="shared" si="322"/>
        <v>10239.22000000003</v>
      </c>
      <c r="AF505" s="53"/>
      <c r="AG505" s="53">
        <f t="shared" si="346"/>
        <v>5.2200000000215425</v>
      </c>
      <c r="AH505" s="54"/>
      <c r="AI505" s="54"/>
      <c r="AJ505" s="54"/>
      <c r="AK505" s="54">
        <f t="shared" si="323"/>
        <v>5.2200000000215425</v>
      </c>
      <c r="AL505" s="53"/>
      <c r="AM505" s="53">
        <f t="shared" si="353"/>
        <v>0</v>
      </c>
      <c r="AN505" s="54"/>
      <c r="AO505" s="54"/>
      <c r="AP505" s="54"/>
      <c r="AQ505" s="54">
        <f t="shared" si="354"/>
        <v>0</v>
      </c>
      <c r="AR505" s="53"/>
      <c r="AS505" s="50">
        <f t="shared" si="324"/>
        <v>-5282044.5380000006</v>
      </c>
      <c r="AT505" s="73">
        <f t="shared" si="330"/>
        <v>1947971.66</v>
      </c>
      <c r="AU505" s="50">
        <f t="shared" si="347"/>
        <v>0</v>
      </c>
      <c r="AV505" s="50">
        <f t="shared" si="331"/>
        <v>-706107.63000000012</v>
      </c>
      <c r="AW505" s="50"/>
      <c r="AX505" s="50">
        <f t="shared" si="356"/>
        <v>-4040180.5079999999</v>
      </c>
      <c r="AY505" s="50">
        <f t="shared" si="357"/>
        <v>9300000</v>
      </c>
      <c r="AZ505" s="50">
        <f t="shared" si="358"/>
        <v>5259819.4920000006</v>
      </c>
      <c r="BA505" s="15">
        <f t="shared" si="341"/>
        <v>-3366.81709</v>
      </c>
      <c r="BB505" s="15">
        <f t="shared" si="334"/>
        <v>-12296.095785000001</v>
      </c>
    </row>
    <row r="506" spans="2:54" s="58" customFormat="1" ht="16.5" customHeight="1" x14ac:dyDescent="0.3">
      <c r="B506" s="99">
        <f t="shared" ref="B506" si="359">B505+3</f>
        <v>44872</v>
      </c>
      <c r="C506" s="44">
        <f t="shared" si="314"/>
        <v>-2482233.5079999999</v>
      </c>
      <c r="D506" s="45">
        <v>385037.13</v>
      </c>
      <c r="E506" s="45">
        <v>-1000000</v>
      </c>
      <c r="F506" s="45">
        <v>-326899.44</v>
      </c>
      <c r="G506" s="45">
        <f t="shared" si="336"/>
        <v>-3424095.818</v>
      </c>
      <c r="H506" s="44">
        <v>4300000</v>
      </c>
      <c r="I506" s="46">
        <f t="shared" si="315"/>
        <v>-1569148.4300000002</v>
      </c>
      <c r="J506" s="47"/>
      <c r="K506" s="47">
        <v>1000000</v>
      </c>
      <c r="L506" s="47">
        <v>-810426.38</v>
      </c>
      <c r="M506" s="47">
        <f t="shared" si="316"/>
        <v>-1379574.81</v>
      </c>
      <c r="N506" s="46">
        <v>5000000</v>
      </c>
      <c r="O506" s="48">
        <f t="shared" si="317"/>
        <v>917.63000000003285</v>
      </c>
      <c r="P506" s="55">
        <f>163.84+551+512.32</f>
        <v>1227.1600000000001</v>
      </c>
      <c r="Q506" s="55">
        <v>13500</v>
      </c>
      <c r="R506" s="55">
        <f>-1200*2-517.27</f>
        <v>-2917.27</v>
      </c>
      <c r="S506" s="55">
        <f t="shared" si="318"/>
        <v>12727.520000000033</v>
      </c>
      <c r="T506" s="48"/>
      <c r="U506" s="49">
        <f t="shared" si="319"/>
        <v>39.360000000058207</v>
      </c>
      <c r="V506" s="51">
        <v>13499.33</v>
      </c>
      <c r="W506" s="51">
        <v>-13500</v>
      </c>
      <c r="X506" s="51"/>
      <c r="Y506" s="51">
        <f t="shared" si="320"/>
        <v>38.690000000058717</v>
      </c>
      <c r="Z506" s="52"/>
      <c r="AA506" s="53">
        <f t="shared" si="321"/>
        <v>10239.22000000003</v>
      </c>
      <c r="AB506" s="54"/>
      <c r="AC506" s="54"/>
      <c r="AD506" s="54">
        <v>-5000</v>
      </c>
      <c r="AE506" s="54">
        <f t="shared" si="322"/>
        <v>5239.2200000000303</v>
      </c>
      <c r="AF506" s="53"/>
      <c r="AG506" s="53">
        <f t="shared" si="346"/>
        <v>5.2200000000215425</v>
      </c>
      <c r="AH506" s="54"/>
      <c r="AI506" s="54"/>
      <c r="AJ506" s="54"/>
      <c r="AK506" s="54">
        <f t="shared" si="323"/>
        <v>5.2200000000215425</v>
      </c>
      <c r="AL506" s="53"/>
      <c r="AM506" s="53">
        <f t="shared" si="353"/>
        <v>0</v>
      </c>
      <c r="AN506" s="54"/>
      <c r="AO506" s="54"/>
      <c r="AP506" s="54"/>
      <c r="AQ506" s="54">
        <f t="shared" si="354"/>
        <v>0</v>
      </c>
      <c r="AR506" s="53"/>
      <c r="AS506" s="50">
        <f t="shared" si="324"/>
        <v>-4040180.5079999999</v>
      </c>
      <c r="AT506" s="73">
        <f t="shared" si="330"/>
        <v>399763.62</v>
      </c>
      <c r="AU506" s="50">
        <f t="shared" si="347"/>
        <v>0</v>
      </c>
      <c r="AV506" s="50">
        <f t="shared" si="331"/>
        <v>-1145243.0900000001</v>
      </c>
      <c r="AW506" s="50"/>
      <c r="AX506" s="50">
        <f t="shared" si="356"/>
        <v>-4785659.9780000001</v>
      </c>
      <c r="AY506" s="50">
        <f t="shared" si="357"/>
        <v>9300000</v>
      </c>
      <c r="AZ506" s="50">
        <f t="shared" si="358"/>
        <v>4514340.0219999999</v>
      </c>
      <c r="BA506" s="15">
        <f t="shared" si="341"/>
        <v>-3988.049981666667</v>
      </c>
      <c r="BB506" s="15">
        <f t="shared" si="334"/>
        <v>-16284.145766666668</v>
      </c>
    </row>
    <row r="507" spans="2:54" s="58" customFormat="1" ht="16.5" customHeight="1" x14ac:dyDescent="0.3">
      <c r="B507" s="99">
        <f t="shared" ref="B507" si="360">B506+1</f>
        <v>44873</v>
      </c>
      <c r="C507" s="44">
        <f t="shared" ref="C507:C570" si="361">G506</f>
        <v>-3424095.818</v>
      </c>
      <c r="D507" s="45">
        <v>23608.91</v>
      </c>
      <c r="E507" s="45"/>
      <c r="F507" s="45">
        <v>-1218.26</v>
      </c>
      <c r="G507" s="45">
        <f t="shared" si="336"/>
        <v>-3401705.1679999996</v>
      </c>
      <c r="H507" s="44">
        <v>4300000</v>
      </c>
      <c r="I507" s="46">
        <f t="shared" ref="I507:I570" si="362">M506</f>
        <v>-1379574.81</v>
      </c>
      <c r="J507" s="47">
        <v>123252.11</v>
      </c>
      <c r="K507" s="47"/>
      <c r="L507" s="47">
        <v>-21685.41</v>
      </c>
      <c r="M507" s="47">
        <f t="shared" ref="M507:M570" si="363">SUM(I507:L507)</f>
        <v>-1278008.1099999999</v>
      </c>
      <c r="N507" s="46">
        <v>5000000</v>
      </c>
      <c r="O507" s="48">
        <f t="shared" ref="O507:O570" si="364">S506</f>
        <v>12727.520000000033</v>
      </c>
      <c r="P507" s="55"/>
      <c r="Q507" s="55"/>
      <c r="R507" s="55"/>
      <c r="S507" s="55">
        <f t="shared" ref="S507:S570" si="365">SUM(O507:R507)</f>
        <v>12727.520000000033</v>
      </c>
      <c r="T507" s="48"/>
      <c r="U507" s="49">
        <f t="shared" ref="U507:U570" si="366">Y506</f>
        <v>38.690000000058717</v>
      </c>
      <c r="V507" s="51"/>
      <c r="W507" s="51"/>
      <c r="X507" s="51">
        <v>-1.3</v>
      </c>
      <c r="Y507" s="51">
        <f t="shared" ref="Y507:Y570" si="367">SUM(U507:X507)</f>
        <v>37.39000000005872</v>
      </c>
      <c r="Z507" s="52"/>
      <c r="AA507" s="53">
        <f t="shared" ref="AA507:AA570" si="368">AE506</f>
        <v>5239.2200000000303</v>
      </c>
      <c r="AB507" s="54"/>
      <c r="AC507" s="54"/>
      <c r="AD507" s="54">
        <v>-527</v>
      </c>
      <c r="AE507" s="54">
        <f t="shared" ref="AE507:AE570" si="369">SUM(AA507:AD507)</f>
        <v>4712.2200000000303</v>
      </c>
      <c r="AF507" s="53"/>
      <c r="AG507" s="53">
        <f t="shared" si="346"/>
        <v>5.2200000000215425</v>
      </c>
      <c r="AH507" s="54"/>
      <c r="AI507" s="54"/>
      <c r="AJ507" s="54"/>
      <c r="AK507" s="54">
        <f t="shared" ref="AK507:AK570" si="370">SUM(AG507:AJ507)</f>
        <v>5.2200000000215425</v>
      </c>
      <c r="AL507" s="53"/>
      <c r="AM507" s="53">
        <f t="shared" si="353"/>
        <v>0</v>
      </c>
      <c r="AN507" s="54"/>
      <c r="AO507" s="54"/>
      <c r="AP507" s="54"/>
      <c r="AQ507" s="54">
        <f t="shared" si="354"/>
        <v>0</v>
      </c>
      <c r="AR507" s="53"/>
      <c r="AS507" s="50">
        <f t="shared" si="324"/>
        <v>-4785659.9780000001</v>
      </c>
      <c r="AT507" s="73">
        <f t="shared" si="330"/>
        <v>146861.01999999999</v>
      </c>
      <c r="AU507" s="50">
        <f t="shared" si="347"/>
        <v>0</v>
      </c>
      <c r="AV507" s="50">
        <f t="shared" si="331"/>
        <v>-23431.969999999998</v>
      </c>
      <c r="AW507" s="50"/>
      <c r="AX507" s="50">
        <f t="shared" si="356"/>
        <v>-4662230.9279999994</v>
      </c>
      <c r="AY507" s="50">
        <f t="shared" si="357"/>
        <v>9300000</v>
      </c>
      <c r="AZ507" s="50">
        <f t="shared" si="358"/>
        <v>4637769.0720000006</v>
      </c>
      <c r="BA507" s="15">
        <f t="shared" si="341"/>
        <v>-3885.1924399999998</v>
      </c>
      <c r="BB507" s="15">
        <f t="shared" si="334"/>
        <v>-20169.338206666667</v>
      </c>
    </row>
    <row r="508" spans="2:54" s="58" customFormat="1" ht="16.5" customHeight="1" x14ac:dyDescent="0.3">
      <c r="B508" s="99">
        <f t="shared" si="335"/>
        <v>44874</v>
      </c>
      <c r="C508" s="44">
        <f t="shared" si="361"/>
        <v>-3401705.1679999996</v>
      </c>
      <c r="D508" s="45">
        <v>30056.11</v>
      </c>
      <c r="E508" s="45"/>
      <c r="F508" s="45">
        <f>-0.85-500-710.27</f>
        <v>-1211.1199999999999</v>
      </c>
      <c r="G508" s="45">
        <f t="shared" si="336"/>
        <v>-3372860.1779999998</v>
      </c>
      <c r="H508" s="44">
        <v>4300000</v>
      </c>
      <c r="I508" s="46">
        <f t="shared" si="362"/>
        <v>-1278008.1099999999</v>
      </c>
      <c r="J508" s="47">
        <f>35663+72968.37</f>
        <v>108631.37</v>
      </c>
      <c r="K508" s="47"/>
      <c r="L508" s="47">
        <v>-51378.800000000199</v>
      </c>
      <c r="M508" s="47">
        <f t="shared" si="363"/>
        <v>-1220755.54</v>
      </c>
      <c r="N508" s="46">
        <v>5000000</v>
      </c>
      <c r="O508" s="48">
        <f t="shared" si="364"/>
        <v>12727.520000000033</v>
      </c>
      <c r="P508" s="55">
        <v>1044.24</v>
      </c>
      <c r="Q508" s="55"/>
      <c r="R508" s="55"/>
      <c r="S508" s="55">
        <f t="shared" si="365"/>
        <v>13771.760000000033</v>
      </c>
      <c r="T508" s="48"/>
      <c r="U508" s="49">
        <f t="shared" si="366"/>
        <v>37.39000000005872</v>
      </c>
      <c r="V508" s="51"/>
      <c r="W508" s="51"/>
      <c r="X508" s="51"/>
      <c r="Y508" s="51">
        <f t="shared" si="367"/>
        <v>37.39000000005872</v>
      </c>
      <c r="Z508" s="52"/>
      <c r="AA508" s="53">
        <f t="shared" si="368"/>
        <v>4712.2200000000303</v>
      </c>
      <c r="AB508" s="54"/>
      <c r="AC508" s="54"/>
      <c r="AD508" s="54">
        <v>-496</v>
      </c>
      <c r="AE508" s="54">
        <f t="shared" si="369"/>
        <v>4216.2200000000303</v>
      </c>
      <c r="AF508" s="53"/>
      <c r="AG508" s="53">
        <f t="shared" si="346"/>
        <v>5.2200000000215425</v>
      </c>
      <c r="AH508" s="54"/>
      <c r="AI508" s="54"/>
      <c r="AJ508" s="54"/>
      <c r="AK508" s="54">
        <f t="shared" si="370"/>
        <v>5.2200000000215425</v>
      </c>
      <c r="AL508" s="53"/>
      <c r="AM508" s="53">
        <f t="shared" si="353"/>
        <v>0</v>
      </c>
      <c r="AN508" s="54"/>
      <c r="AO508" s="54"/>
      <c r="AP508" s="54"/>
      <c r="AQ508" s="54">
        <f t="shared" si="354"/>
        <v>0</v>
      </c>
      <c r="AR508" s="53"/>
      <c r="AS508" s="50">
        <f t="shared" ref="AS508:AS571" si="371">SUM(C508,I508,O508,U508,AA508,AG508)</f>
        <v>-4662230.9279999994</v>
      </c>
      <c r="AT508" s="73">
        <f t="shared" si="330"/>
        <v>139731.71999999997</v>
      </c>
      <c r="AU508" s="50">
        <f t="shared" si="347"/>
        <v>0</v>
      </c>
      <c r="AV508" s="50">
        <f t="shared" si="331"/>
        <v>-53085.920000000202</v>
      </c>
      <c r="AW508" s="50"/>
      <c r="AX508" s="50">
        <f t="shared" si="356"/>
        <v>-4575585.1280000014</v>
      </c>
      <c r="AY508" s="50">
        <f t="shared" si="357"/>
        <v>9300000</v>
      </c>
      <c r="AZ508" s="50">
        <f t="shared" si="358"/>
        <v>4724414.8719999986</v>
      </c>
      <c r="BA508" s="15">
        <f t="shared" si="341"/>
        <v>-3812.9876066666679</v>
      </c>
      <c r="BB508" s="15">
        <f t="shared" si="334"/>
        <v>-23982.325813333337</v>
      </c>
    </row>
    <row r="509" spans="2:54" s="58" customFormat="1" ht="16.5" customHeight="1" x14ac:dyDescent="0.3">
      <c r="B509" s="99">
        <f t="shared" si="335"/>
        <v>44875</v>
      </c>
      <c r="C509" s="44">
        <f t="shared" si="361"/>
        <v>-3372860.1779999998</v>
      </c>
      <c r="D509" s="45">
        <f>930285.33-17080.7</f>
        <v>913204.63</v>
      </c>
      <c r="E509" s="45"/>
      <c r="F509" s="45">
        <v>-44306.559999999998</v>
      </c>
      <c r="G509" s="45">
        <f t="shared" si="336"/>
        <v>-2503962.108</v>
      </c>
      <c r="H509" s="44">
        <v>4300000</v>
      </c>
      <c r="I509" s="46">
        <f t="shared" si="362"/>
        <v>-1220755.54</v>
      </c>
      <c r="J509" s="47">
        <v>64300.92</v>
      </c>
      <c r="K509" s="47"/>
      <c r="L509" s="47">
        <v>-313189.13</v>
      </c>
      <c r="M509" s="47">
        <f t="shared" si="363"/>
        <v>-1469643.75</v>
      </c>
      <c r="N509" s="46">
        <v>5000000</v>
      </c>
      <c r="O509" s="48">
        <f t="shared" si="364"/>
        <v>13771.760000000033</v>
      </c>
      <c r="P509" s="55">
        <f>162.88</f>
        <v>162.88</v>
      </c>
      <c r="Q509" s="55">
        <v>25300</v>
      </c>
      <c r="R509" s="55"/>
      <c r="S509" s="55">
        <f t="shared" si="365"/>
        <v>39234.640000000029</v>
      </c>
      <c r="T509" s="48"/>
      <c r="U509" s="49">
        <f t="shared" si="366"/>
        <v>37.39000000005872</v>
      </c>
      <c r="V509" s="51">
        <v>25290.69</v>
      </c>
      <c r="W509" s="51">
        <v>-25300</v>
      </c>
      <c r="X509" s="51">
        <v>-1.3</v>
      </c>
      <c r="Y509" s="51">
        <f t="shared" si="367"/>
        <v>26.780000000056315</v>
      </c>
      <c r="Z509" s="52"/>
      <c r="AA509" s="53">
        <f t="shared" si="368"/>
        <v>4216.2200000000303</v>
      </c>
      <c r="AB509" s="54"/>
      <c r="AC509" s="54"/>
      <c r="AD509" s="54">
        <v>-342.42000000002997</v>
      </c>
      <c r="AE509" s="54">
        <f t="shared" si="369"/>
        <v>3873.8</v>
      </c>
      <c r="AF509" s="53"/>
      <c r="AG509" s="53">
        <f t="shared" si="346"/>
        <v>5.2200000000215425</v>
      </c>
      <c r="AH509" s="54"/>
      <c r="AI509" s="54"/>
      <c r="AJ509" s="54"/>
      <c r="AK509" s="54">
        <f t="shared" si="370"/>
        <v>5.2200000000215425</v>
      </c>
      <c r="AL509" s="53"/>
      <c r="AM509" s="53">
        <f t="shared" si="353"/>
        <v>0</v>
      </c>
      <c r="AN509" s="54"/>
      <c r="AO509" s="54"/>
      <c r="AP509" s="54"/>
      <c r="AQ509" s="54">
        <f t="shared" si="354"/>
        <v>0</v>
      </c>
      <c r="AR509" s="53"/>
      <c r="AS509" s="50">
        <f t="shared" si="371"/>
        <v>-4575585.1280000014</v>
      </c>
      <c r="AT509" s="73">
        <f t="shared" si="330"/>
        <v>1002959.12</v>
      </c>
      <c r="AU509" s="50">
        <f t="shared" si="347"/>
        <v>0</v>
      </c>
      <c r="AV509" s="50">
        <f t="shared" si="331"/>
        <v>-357839.41000000003</v>
      </c>
      <c r="AW509" s="50"/>
      <c r="AX509" s="50">
        <f t="shared" si="356"/>
        <v>-3930465.4179999996</v>
      </c>
      <c r="AY509" s="50">
        <f t="shared" si="357"/>
        <v>9300000</v>
      </c>
      <c r="AZ509" s="50">
        <f t="shared" si="358"/>
        <v>5369534.5820000004</v>
      </c>
      <c r="BA509" s="15">
        <f t="shared" si="341"/>
        <v>-3275.3878483333333</v>
      </c>
      <c r="BB509" s="15">
        <f t="shared" si="334"/>
        <v>-27257.713661666668</v>
      </c>
    </row>
    <row r="510" spans="2:54" s="58" customFormat="1" ht="16.5" customHeight="1" x14ac:dyDescent="0.3">
      <c r="B510" s="99">
        <f t="shared" si="335"/>
        <v>44876</v>
      </c>
      <c r="C510" s="44">
        <f t="shared" si="361"/>
        <v>-2503962.108</v>
      </c>
      <c r="D510" s="45">
        <v>17080.7</v>
      </c>
      <c r="E510" s="45"/>
      <c r="F510" s="45">
        <f>-1001186.92+1511.41</f>
        <v>-999675.51</v>
      </c>
      <c r="G510" s="45">
        <f t="shared" si="336"/>
        <v>-3486556.9179999996</v>
      </c>
      <c r="H510" s="44">
        <v>4300000</v>
      </c>
      <c r="I510" s="46">
        <f t="shared" si="362"/>
        <v>-1469643.75</v>
      </c>
      <c r="J510" s="47">
        <v>6698.31</v>
      </c>
      <c r="K510" s="47"/>
      <c r="L510" s="47">
        <v>-68349.8</v>
      </c>
      <c r="M510" s="47">
        <f t="shared" si="363"/>
        <v>-1531295.24</v>
      </c>
      <c r="N510" s="46">
        <v>5000000</v>
      </c>
      <c r="O510" s="48">
        <f t="shared" si="364"/>
        <v>39234.640000000029</v>
      </c>
      <c r="P510" s="55">
        <f>157.12+880.1</f>
        <v>1037.22</v>
      </c>
      <c r="Q510" s="55"/>
      <c r="R510" s="55"/>
      <c r="S510" s="55">
        <f t="shared" si="365"/>
        <v>40271.86000000003</v>
      </c>
      <c r="T510" s="48"/>
      <c r="U510" s="49">
        <f t="shared" si="366"/>
        <v>26.780000000056315</v>
      </c>
      <c r="V510" s="51">
        <v>90634.7</v>
      </c>
      <c r="W510" s="51"/>
      <c r="X510" s="51"/>
      <c r="Y510" s="51">
        <f t="shared" si="367"/>
        <v>90661.480000000054</v>
      </c>
      <c r="Z510" s="52"/>
      <c r="AA510" s="53">
        <f t="shared" si="368"/>
        <v>3873.8</v>
      </c>
      <c r="AB510" s="54"/>
      <c r="AC510" s="54"/>
      <c r="AD510" s="54"/>
      <c r="AE510" s="54">
        <f t="shared" si="369"/>
        <v>3873.8</v>
      </c>
      <c r="AF510" s="53"/>
      <c r="AG510" s="53">
        <f t="shared" si="346"/>
        <v>5.2200000000215425</v>
      </c>
      <c r="AH510" s="54"/>
      <c r="AI510" s="54"/>
      <c r="AJ510" s="54"/>
      <c r="AK510" s="54">
        <f t="shared" si="370"/>
        <v>5.2200000000215425</v>
      </c>
      <c r="AL510" s="53"/>
      <c r="AM510" s="53">
        <f t="shared" si="353"/>
        <v>0</v>
      </c>
      <c r="AN510" s="54"/>
      <c r="AO510" s="54"/>
      <c r="AP510" s="54"/>
      <c r="AQ510" s="54">
        <f t="shared" si="354"/>
        <v>0</v>
      </c>
      <c r="AR510" s="53"/>
      <c r="AS510" s="50">
        <f t="shared" si="371"/>
        <v>-3930465.4179999996</v>
      </c>
      <c r="AT510" s="73">
        <f t="shared" si="330"/>
        <v>115450.93</v>
      </c>
      <c r="AU510" s="50">
        <f t="shared" si="347"/>
        <v>0</v>
      </c>
      <c r="AV510" s="50">
        <f t="shared" si="331"/>
        <v>-1068025.31</v>
      </c>
      <c r="AW510" s="50"/>
      <c r="AX510" s="50">
        <f t="shared" si="356"/>
        <v>-4883039.7979999995</v>
      </c>
      <c r="AY510" s="50">
        <f t="shared" si="357"/>
        <v>9300000</v>
      </c>
      <c r="AZ510" s="50">
        <f t="shared" si="358"/>
        <v>4416960.2020000005</v>
      </c>
      <c r="BA510" s="15">
        <f t="shared" si="341"/>
        <v>-4069.1998316666663</v>
      </c>
      <c r="BB510" s="15">
        <f t="shared" si="334"/>
        <v>-31326.913493333333</v>
      </c>
    </row>
    <row r="511" spans="2:54" s="58" customFormat="1" ht="16.5" customHeight="1" x14ac:dyDescent="0.3">
      <c r="B511" s="99">
        <f t="shared" ref="B511" si="372">B510+3</f>
        <v>44879</v>
      </c>
      <c r="C511" s="44">
        <f t="shared" si="361"/>
        <v>-3486556.9179999996</v>
      </c>
      <c r="D511" s="45"/>
      <c r="E511" s="45"/>
      <c r="F511" s="45">
        <v>-4544.7299999999996</v>
      </c>
      <c r="G511" s="45">
        <f t="shared" si="336"/>
        <v>-3491101.6479999996</v>
      </c>
      <c r="H511" s="44">
        <v>4300000</v>
      </c>
      <c r="I511" s="46">
        <f t="shared" si="362"/>
        <v>-1531295.24</v>
      </c>
      <c r="J511" s="47">
        <v>593667.9</v>
      </c>
      <c r="K511" s="47"/>
      <c r="L511" s="47">
        <v>-53722.13</v>
      </c>
      <c r="M511" s="47">
        <f t="shared" si="363"/>
        <v>-991349.47</v>
      </c>
      <c r="N511" s="46">
        <v>5000000</v>
      </c>
      <c r="O511" s="48">
        <f t="shared" si="364"/>
        <v>40271.86000000003</v>
      </c>
      <c r="P511" s="55">
        <f>222.38+651.84</f>
        <v>874.22</v>
      </c>
      <c r="Q511" s="55"/>
      <c r="R511" s="55"/>
      <c r="S511" s="55">
        <f t="shared" si="365"/>
        <v>41146.080000000031</v>
      </c>
      <c r="T511" s="48"/>
      <c r="U511" s="49">
        <f t="shared" si="366"/>
        <v>90661.480000000054</v>
      </c>
      <c r="V511" s="51"/>
      <c r="W511" s="51"/>
      <c r="X511" s="51"/>
      <c r="Y511" s="51">
        <f t="shared" si="367"/>
        <v>90661.480000000054</v>
      </c>
      <c r="Z511" s="52"/>
      <c r="AA511" s="53">
        <f t="shared" si="368"/>
        <v>3873.8</v>
      </c>
      <c r="AB511" s="54"/>
      <c r="AC511" s="54"/>
      <c r="AD511" s="54"/>
      <c r="AE511" s="54">
        <f t="shared" si="369"/>
        <v>3873.8</v>
      </c>
      <c r="AF511" s="53"/>
      <c r="AG511" s="53">
        <f t="shared" si="346"/>
        <v>5.2200000000215425</v>
      </c>
      <c r="AH511" s="54"/>
      <c r="AI511" s="54"/>
      <c r="AJ511" s="54"/>
      <c r="AK511" s="54">
        <f t="shared" si="370"/>
        <v>5.2200000000215425</v>
      </c>
      <c r="AL511" s="53"/>
      <c r="AM511" s="53">
        <f t="shared" si="353"/>
        <v>0</v>
      </c>
      <c r="AN511" s="54"/>
      <c r="AO511" s="54"/>
      <c r="AP511" s="54"/>
      <c r="AQ511" s="54">
        <f t="shared" si="354"/>
        <v>0</v>
      </c>
      <c r="AR511" s="53"/>
      <c r="AS511" s="50">
        <f t="shared" si="371"/>
        <v>-4883039.7979999995</v>
      </c>
      <c r="AT511" s="73">
        <f t="shared" si="330"/>
        <v>594542.12</v>
      </c>
      <c r="AU511" s="50">
        <f t="shared" si="347"/>
        <v>0</v>
      </c>
      <c r="AV511" s="50">
        <f t="shared" si="331"/>
        <v>-58266.86</v>
      </c>
      <c r="AW511" s="50"/>
      <c r="AX511" s="50">
        <f t="shared" si="356"/>
        <v>-4346764.5379999997</v>
      </c>
      <c r="AY511" s="50">
        <f t="shared" si="357"/>
        <v>9300000</v>
      </c>
      <c r="AZ511" s="50">
        <f t="shared" si="358"/>
        <v>4953235.4620000003</v>
      </c>
      <c r="BA511" s="15">
        <f t="shared" si="341"/>
        <v>-3622.3037816666665</v>
      </c>
      <c r="BB511" s="15">
        <f t="shared" si="334"/>
        <v>-34949.217275000003</v>
      </c>
    </row>
    <row r="512" spans="2:54" s="58" customFormat="1" ht="16.5" customHeight="1" x14ac:dyDescent="0.3">
      <c r="B512" s="99">
        <f t="shared" ref="B512" si="373">B511+1</f>
        <v>44880</v>
      </c>
      <c r="C512" s="44">
        <f t="shared" si="361"/>
        <v>-3491101.6479999996</v>
      </c>
      <c r="D512" s="45"/>
      <c r="E512" s="45"/>
      <c r="F512" s="45"/>
      <c r="G512" s="45">
        <f t="shared" si="336"/>
        <v>-3491101.6479999996</v>
      </c>
      <c r="H512" s="44">
        <v>4300000</v>
      </c>
      <c r="I512" s="46">
        <f t="shared" si="362"/>
        <v>-991349.47</v>
      </c>
      <c r="J512" s="47"/>
      <c r="K512" s="47"/>
      <c r="L512" s="47"/>
      <c r="M512" s="47">
        <f t="shared" si="363"/>
        <v>-991349.47</v>
      </c>
      <c r="N512" s="46">
        <v>5000000</v>
      </c>
      <c r="O512" s="48">
        <f t="shared" si="364"/>
        <v>41146.080000000031</v>
      </c>
      <c r="P512" s="55"/>
      <c r="Q512" s="55"/>
      <c r="R512" s="55"/>
      <c r="S512" s="55">
        <f t="shared" si="365"/>
        <v>41146.080000000031</v>
      </c>
      <c r="T512" s="48"/>
      <c r="U512" s="49">
        <f t="shared" si="366"/>
        <v>90661.480000000054</v>
      </c>
      <c r="V512" s="51"/>
      <c r="W512" s="51"/>
      <c r="X512" s="51"/>
      <c r="Y512" s="51">
        <f t="shared" si="367"/>
        <v>90661.480000000054</v>
      </c>
      <c r="Z512" s="52"/>
      <c r="AA512" s="53">
        <f t="shared" si="368"/>
        <v>3873.8</v>
      </c>
      <c r="AB512" s="54"/>
      <c r="AC512" s="54"/>
      <c r="AD512" s="54"/>
      <c r="AE512" s="54">
        <f t="shared" si="369"/>
        <v>3873.8</v>
      </c>
      <c r="AF512" s="53"/>
      <c r="AG512" s="53">
        <f t="shared" si="346"/>
        <v>5.2200000000215425</v>
      </c>
      <c r="AH512" s="54"/>
      <c r="AI512" s="54"/>
      <c r="AJ512" s="54"/>
      <c r="AK512" s="54">
        <f t="shared" si="370"/>
        <v>5.2200000000215425</v>
      </c>
      <c r="AL512" s="53"/>
      <c r="AM512" s="53">
        <f t="shared" si="353"/>
        <v>0</v>
      </c>
      <c r="AN512" s="54"/>
      <c r="AO512" s="54"/>
      <c r="AP512" s="54"/>
      <c r="AQ512" s="54">
        <f t="shared" si="354"/>
        <v>0</v>
      </c>
      <c r="AR512" s="53"/>
      <c r="AS512" s="50">
        <f t="shared" si="371"/>
        <v>-4346764.5379999997</v>
      </c>
      <c r="AT512" s="73">
        <f t="shared" si="330"/>
        <v>0</v>
      </c>
      <c r="AU512" s="50">
        <f t="shared" si="347"/>
        <v>0</v>
      </c>
      <c r="AV512" s="50">
        <f t="shared" si="331"/>
        <v>0</v>
      </c>
      <c r="AW512" s="50"/>
      <c r="AX512" s="50">
        <f t="shared" si="356"/>
        <v>-4346764.5379999997</v>
      </c>
      <c r="AY512" s="50">
        <f t="shared" si="357"/>
        <v>9300000</v>
      </c>
      <c r="AZ512" s="50">
        <f t="shared" si="358"/>
        <v>4953235.4620000003</v>
      </c>
      <c r="BA512" s="15">
        <f t="shared" si="341"/>
        <v>-3622.3037816666665</v>
      </c>
      <c r="BB512" s="15">
        <f t="shared" si="334"/>
        <v>-38571.521056666672</v>
      </c>
    </row>
    <row r="513" spans="2:54" s="58" customFormat="1" ht="16.5" customHeight="1" x14ac:dyDescent="0.3">
      <c r="B513" s="99">
        <f t="shared" si="335"/>
        <v>44881</v>
      </c>
      <c r="C513" s="44">
        <f t="shared" si="361"/>
        <v>-3491101.6479999996</v>
      </c>
      <c r="D513" s="45"/>
      <c r="E513" s="45"/>
      <c r="F513" s="45">
        <v>-87889.38</v>
      </c>
      <c r="G513" s="45">
        <f t="shared" si="336"/>
        <v>-3578991.0279999995</v>
      </c>
      <c r="H513" s="44">
        <v>4300000</v>
      </c>
      <c r="I513" s="46">
        <f t="shared" si="362"/>
        <v>-991349.47</v>
      </c>
      <c r="J513" s="47">
        <v>110772.34</v>
      </c>
      <c r="K513" s="47"/>
      <c r="L513" s="47">
        <v>-303631.73</v>
      </c>
      <c r="M513" s="47">
        <f t="shared" si="363"/>
        <v>-1184208.8599999999</v>
      </c>
      <c r="N513" s="46">
        <v>5000000</v>
      </c>
      <c r="O513" s="48">
        <f t="shared" si="364"/>
        <v>41146.080000000031</v>
      </c>
      <c r="P513" s="55"/>
      <c r="Q513" s="55"/>
      <c r="R513" s="55">
        <f>-7038.75-1060.27</f>
        <v>-8099.02</v>
      </c>
      <c r="S513" s="55">
        <f t="shared" si="365"/>
        <v>33047.060000000027</v>
      </c>
      <c r="T513" s="48"/>
      <c r="U513" s="49">
        <f t="shared" si="366"/>
        <v>90661.480000000054</v>
      </c>
      <c r="V513" s="51"/>
      <c r="W513" s="51"/>
      <c r="X513" s="51"/>
      <c r="Y513" s="51">
        <f t="shared" si="367"/>
        <v>90661.480000000054</v>
      </c>
      <c r="Z513" s="52"/>
      <c r="AA513" s="53">
        <f t="shared" si="368"/>
        <v>3873.8</v>
      </c>
      <c r="AB513" s="54"/>
      <c r="AC513" s="54"/>
      <c r="AD513" s="54"/>
      <c r="AE513" s="54">
        <f t="shared" si="369"/>
        <v>3873.8</v>
      </c>
      <c r="AF513" s="53"/>
      <c r="AG513" s="53">
        <f t="shared" si="346"/>
        <v>5.2200000000215425</v>
      </c>
      <c r="AH513" s="54"/>
      <c r="AI513" s="54"/>
      <c r="AJ513" s="54"/>
      <c r="AK513" s="54">
        <f t="shared" si="370"/>
        <v>5.2200000000215425</v>
      </c>
      <c r="AL513" s="53"/>
      <c r="AM513" s="53">
        <f t="shared" si="353"/>
        <v>0</v>
      </c>
      <c r="AN513" s="54"/>
      <c r="AO513" s="54"/>
      <c r="AP513" s="54"/>
      <c r="AQ513" s="54">
        <f t="shared" si="354"/>
        <v>0</v>
      </c>
      <c r="AR513" s="53"/>
      <c r="AS513" s="50">
        <f t="shared" si="371"/>
        <v>-4346764.5379999997</v>
      </c>
      <c r="AT513" s="73">
        <f t="shared" si="330"/>
        <v>110772.34</v>
      </c>
      <c r="AU513" s="50">
        <f t="shared" si="347"/>
        <v>0</v>
      </c>
      <c r="AV513" s="50">
        <f t="shared" si="331"/>
        <v>-399620.13</v>
      </c>
      <c r="AW513" s="50"/>
      <c r="AX513" s="50">
        <f t="shared" si="356"/>
        <v>-4635612.3279999997</v>
      </c>
      <c r="AY513" s="50">
        <f t="shared" si="357"/>
        <v>9300000</v>
      </c>
      <c r="AZ513" s="50">
        <f t="shared" si="358"/>
        <v>4664387.6720000003</v>
      </c>
      <c r="BA513" s="15">
        <f t="shared" si="341"/>
        <v>-3863.0102733333333</v>
      </c>
      <c r="BB513" s="15">
        <f t="shared" si="334"/>
        <v>-42434.531330000005</v>
      </c>
    </row>
    <row r="514" spans="2:54" s="58" customFormat="1" ht="16.5" customHeight="1" x14ac:dyDescent="0.3">
      <c r="B514" s="99">
        <f t="shared" si="335"/>
        <v>44882</v>
      </c>
      <c r="C514" s="44">
        <f t="shared" si="361"/>
        <v>-3578991.0279999995</v>
      </c>
      <c r="D514" s="45">
        <f>47330.43+81687.04</f>
        <v>129017.47</v>
      </c>
      <c r="E514" s="45"/>
      <c r="F514" s="45">
        <v>-29075.03</v>
      </c>
      <c r="G514" s="45">
        <f t="shared" si="336"/>
        <v>-3479048.5879999991</v>
      </c>
      <c r="H514" s="44">
        <v>4300000</v>
      </c>
      <c r="I514" s="46">
        <f t="shared" si="362"/>
        <v>-1184208.8599999999</v>
      </c>
      <c r="J514" s="47"/>
      <c r="K514" s="47">
        <v>120000</v>
      </c>
      <c r="L514" s="47">
        <v>-66469.880000000107</v>
      </c>
      <c r="M514" s="47">
        <f t="shared" si="363"/>
        <v>-1130678.74</v>
      </c>
      <c r="N514" s="46">
        <v>5000000</v>
      </c>
      <c r="O514" s="48">
        <f t="shared" si="364"/>
        <v>33047.060000000027</v>
      </c>
      <c r="P514" s="55"/>
      <c r="Q514" s="55">
        <f>90650-120000</f>
        <v>-29350</v>
      </c>
      <c r="R514" s="55">
        <v>-10</v>
      </c>
      <c r="S514" s="55">
        <f t="shared" si="365"/>
        <v>3687.0600000000268</v>
      </c>
      <c r="T514" s="48"/>
      <c r="U514" s="49">
        <f t="shared" si="366"/>
        <v>90661.480000000054</v>
      </c>
      <c r="V514" s="51"/>
      <c r="W514" s="51">
        <v>-90650</v>
      </c>
      <c r="X514" s="51">
        <v>-1.3</v>
      </c>
      <c r="Y514" s="51">
        <f t="shared" si="367"/>
        <v>10.180000000054132</v>
      </c>
      <c r="Z514" s="52"/>
      <c r="AA514" s="53">
        <f t="shared" si="368"/>
        <v>3873.8</v>
      </c>
      <c r="AB514" s="54"/>
      <c r="AC514" s="54"/>
      <c r="AD514" s="54"/>
      <c r="AE514" s="54">
        <f t="shared" si="369"/>
        <v>3873.8</v>
      </c>
      <c r="AF514" s="53"/>
      <c r="AG514" s="53">
        <f t="shared" si="346"/>
        <v>5.2200000000215425</v>
      </c>
      <c r="AH514" s="54"/>
      <c r="AI514" s="54"/>
      <c r="AJ514" s="54"/>
      <c r="AK514" s="54">
        <f t="shared" si="370"/>
        <v>5.2200000000215425</v>
      </c>
      <c r="AL514" s="53"/>
      <c r="AM514" s="53">
        <f t="shared" si="353"/>
        <v>0</v>
      </c>
      <c r="AN514" s="54"/>
      <c r="AO514" s="54"/>
      <c r="AP514" s="54"/>
      <c r="AQ514" s="54">
        <f t="shared" si="354"/>
        <v>0</v>
      </c>
      <c r="AR514" s="53"/>
      <c r="AS514" s="50">
        <f t="shared" si="371"/>
        <v>-4635612.3279999997</v>
      </c>
      <c r="AT514" s="73">
        <f t="shared" si="330"/>
        <v>129017.47</v>
      </c>
      <c r="AU514" s="50">
        <f t="shared" si="347"/>
        <v>0</v>
      </c>
      <c r="AV514" s="50">
        <f t="shared" si="331"/>
        <v>-95556.210000000108</v>
      </c>
      <c r="AW514" s="50"/>
      <c r="AX514" s="50">
        <f t="shared" si="356"/>
        <v>-4602151.068</v>
      </c>
      <c r="AY514" s="50">
        <f t="shared" si="357"/>
        <v>9300000</v>
      </c>
      <c r="AZ514" s="50">
        <f t="shared" si="358"/>
        <v>4697848.932</v>
      </c>
      <c r="BA514" s="15">
        <f t="shared" si="341"/>
        <v>-3835.1258900000003</v>
      </c>
      <c r="BB514" s="15">
        <f t="shared" si="334"/>
        <v>-46269.657220000008</v>
      </c>
    </row>
    <row r="515" spans="2:54" s="58" customFormat="1" ht="16.5" customHeight="1" x14ac:dyDescent="0.3">
      <c r="B515" s="99">
        <f t="shared" si="335"/>
        <v>44883</v>
      </c>
      <c r="C515" s="44">
        <f t="shared" si="361"/>
        <v>-3479048.5879999991</v>
      </c>
      <c r="D515" s="45">
        <f>37951.63+23340.49</f>
        <v>61292.119999999995</v>
      </c>
      <c r="E515" s="45"/>
      <c r="F515" s="45">
        <f>-87.6-431042.61</f>
        <v>-431130.20999999996</v>
      </c>
      <c r="G515" s="45">
        <f t="shared" si="336"/>
        <v>-3848886.6779999989</v>
      </c>
      <c r="H515" s="44">
        <v>4300000</v>
      </c>
      <c r="I515" s="46">
        <f t="shared" si="362"/>
        <v>-1130678.74</v>
      </c>
      <c r="J515" s="47">
        <v>189778.83</v>
      </c>
      <c r="K515" s="47"/>
      <c r="L515" s="47">
        <v>-596476.24</v>
      </c>
      <c r="M515" s="47">
        <f t="shared" si="363"/>
        <v>-1537376.15</v>
      </c>
      <c r="N515" s="46">
        <v>5000000</v>
      </c>
      <c r="O515" s="48">
        <f t="shared" si="364"/>
        <v>3687.0600000000268</v>
      </c>
      <c r="P515" s="55"/>
      <c r="Q515" s="55"/>
      <c r="R515" s="55"/>
      <c r="S515" s="55">
        <f t="shared" si="365"/>
        <v>3687.0600000000268</v>
      </c>
      <c r="T515" s="48"/>
      <c r="U515" s="49">
        <f t="shared" si="366"/>
        <v>10.180000000054132</v>
      </c>
      <c r="V515" s="51"/>
      <c r="W515" s="51"/>
      <c r="X515" s="51"/>
      <c r="Y515" s="51">
        <f t="shared" si="367"/>
        <v>10.180000000054132</v>
      </c>
      <c r="Z515" s="52"/>
      <c r="AA515" s="53">
        <f t="shared" si="368"/>
        <v>3873.8</v>
      </c>
      <c r="AB515" s="54"/>
      <c r="AC515" s="54"/>
      <c r="AD515" s="54"/>
      <c r="AE515" s="54">
        <f t="shared" si="369"/>
        <v>3873.8</v>
      </c>
      <c r="AF515" s="53"/>
      <c r="AG515" s="53">
        <f t="shared" si="346"/>
        <v>5.2200000000215425</v>
      </c>
      <c r="AH515" s="54"/>
      <c r="AI515" s="54"/>
      <c r="AJ515" s="54"/>
      <c r="AK515" s="54">
        <f t="shared" si="370"/>
        <v>5.2200000000215425</v>
      </c>
      <c r="AL515" s="53"/>
      <c r="AM515" s="53">
        <f t="shared" si="353"/>
        <v>0</v>
      </c>
      <c r="AN515" s="54"/>
      <c r="AO515" s="54"/>
      <c r="AP515" s="54"/>
      <c r="AQ515" s="54">
        <f t="shared" si="354"/>
        <v>0</v>
      </c>
      <c r="AR515" s="53"/>
      <c r="AS515" s="50">
        <f t="shared" si="371"/>
        <v>-4602151.068</v>
      </c>
      <c r="AT515" s="73">
        <f t="shared" si="330"/>
        <v>251070.94999999998</v>
      </c>
      <c r="AU515" s="50">
        <f t="shared" si="347"/>
        <v>0</v>
      </c>
      <c r="AV515" s="50">
        <f t="shared" si="331"/>
        <v>-1027606.45</v>
      </c>
      <c r="AW515" s="50"/>
      <c r="AX515" s="50">
        <f t="shared" si="356"/>
        <v>-5378686.568</v>
      </c>
      <c r="AY515" s="50">
        <f t="shared" si="357"/>
        <v>9300000</v>
      </c>
      <c r="AZ515" s="50">
        <f t="shared" si="358"/>
        <v>3921313.432</v>
      </c>
      <c r="BA515" s="15">
        <f t="shared" si="341"/>
        <v>-4482.2388066666672</v>
      </c>
      <c r="BB515" s="15">
        <f t="shared" si="334"/>
        <v>-50751.896026666676</v>
      </c>
    </row>
    <row r="516" spans="2:54" s="58" customFormat="1" ht="16.5" customHeight="1" x14ac:dyDescent="0.3">
      <c r="B516" s="99">
        <f t="shared" ref="B516" si="374">B515+3</f>
        <v>44886</v>
      </c>
      <c r="C516" s="44">
        <f t="shared" si="361"/>
        <v>-3848886.6779999989</v>
      </c>
      <c r="D516" s="45">
        <v>540102.98</v>
      </c>
      <c r="E516" s="45">
        <v>-200000</v>
      </c>
      <c r="F516" s="45"/>
      <c r="G516" s="45">
        <f t="shared" si="336"/>
        <v>-3508783.6979999989</v>
      </c>
      <c r="H516" s="44">
        <v>4300000</v>
      </c>
      <c r="I516" s="46">
        <f t="shared" si="362"/>
        <v>-1537376.15</v>
      </c>
      <c r="J516" s="47">
        <v>9381.25</v>
      </c>
      <c r="K516" s="47">
        <v>200000</v>
      </c>
      <c r="L516" s="47">
        <v>-202838.1</v>
      </c>
      <c r="M516" s="47">
        <f t="shared" si="363"/>
        <v>-1530833</v>
      </c>
      <c r="N516" s="46">
        <v>5000000</v>
      </c>
      <c r="O516" s="48">
        <f t="shared" si="364"/>
        <v>3687.0600000000268</v>
      </c>
      <c r="P516" s="55"/>
      <c r="Q516" s="55"/>
      <c r="R516" s="55"/>
      <c r="S516" s="55">
        <f t="shared" si="365"/>
        <v>3687.0600000000268</v>
      </c>
      <c r="T516" s="48"/>
      <c r="U516" s="49">
        <f t="shared" si="366"/>
        <v>10.180000000054132</v>
      </c>
      <c r="V516" s="51"/>
      <c r="W516" s="51"/>
      <c r="X516" s="51"/>
      <c r="Y516" s="51">
        <f t="shared" si="367"/>
        <v>10.180000000054132</v>
      </c>
      <c r="Z516" s="52"/>
      <c r="AA516" s="53">
        <f t="shared" si="368"/>
        <v>3873.8</v>
      </c>
      <c r="AB516" s="54"/>
      <c r="AC516" s="54"/>
      <c r="AD516" s="54"/>
      <c r="AE516" s="54">
        <f t="shared" si="369"/>
        <v>3873.8</v>
      </c>
      <c r="AF516" s="53"/>
      <c r="AG516" s="53">
        <f t="shared" si="346"/>
        <v>5.2200000000215425</v>
      </c>
      <c r="AH516" s="54"/>
      <c r="AI516" s="54"/>
      <c r="AJ516" s="54"/>
      <c r="AK516" s="54">
        <f t="shared" si="370"/>
        <v>5.2200000000215425</v>
      </c>
      <c r="AL516" s="53"/>
      <c r="AM516" s="53">
        <f t="shared" si="353"/>
        <v>0</v>
      </c>
      <c r="AN516" s="54"/>
      <c r="AO516" s="54"/>
      <c r="AP516" s="54"/>
      <c r="AQ516" s="54">
        <f t="shared" si="354"/>
        <v>0</v>
      </c>
      <c r="AR516" s="53"/>
      <c r="AS516" s="50">
        <f t="shared" si="371"/>
        <v>-5378686.568</v>
      </c>
      <c r="AT516" s="73">
        <f t="shared" si="330"/>
        <v>549484.23</v>
      </c>
      <c r="AU516" s="50">
        <f t="shared" si="347"/>
        <v>0</v>
      </c>
      <c r="AV516" s="50">
        <f t="shared" si="331"/>
        <v>-202838.1</v>
      </c>
      <c r="AW516" s="50"/>
      <c r="AX516" s="50">
        <f t="shared" si="356"/>
        <v>-5032040.4380000001</v>
      </c>
      <c r="AY516" s="50">
        <f t="shared" si="357"/>
        <v>9300000</v>
      </c>
      <c r="AZ516" s="50">
        <f t="shared" si="358"/>
        <v>4267959.5619999999</v>
      </c>
      <c r="BA516" s="15">
        <f t="shared" si="341"/>
        <v>-4193.3670316666667</v>
      </c>
      <c r="BB516" s="15">
        <f t="shared" si="334"/>
        <v>-54945.263058333345</v>
      </c>
    </row>
    <row r="517" spans="2:54" s="58" customFormat="1" ht="16.5" customHeight="1" x14ac:dyDescent="0.3">
      <c r="B517" s="99">
        <f t="shared" ref="B517" si="375">B516+1</f>
        <v>44887</v>
      </c>
      <c r="C517" s="44">
        <f t="shared" si="361"/>
        <v>-3508783.6979999989</v>
      </c>
      <c r="D517" s="45"/>
      <c r="E517" s="45">
        <v>-100000</v>
      </c>
      <c r="F517" s="45"/>
      <c r="G517" s="45">
        <f t="shared" si="336"/>
        <v>-3608783.6979999989</v>
      </c>
      <c r="H517" s="44">
        <v>4300000</v>
      </c>
      <c r="I517" s="46">
        <f t="shared" si="362"/>
        <v>-1530833</v>
      </c>
      <c r="J517" s="47"/>
      <c r="K517" s="47">
        <v>100000</v>
      </c>
      <c r="L517" s="47">
        <v>-91489.85</v>
      </c>
      <c r="M517" s="47">
        <f t="shared" si="363"/>
        <v>-1522322.85</v>
      </c>
      <c r="N517" s="46">
        <v>5000000</v>
      </c>
      <c r="O517" s="48">
        <f t="shared" si="364"/>
        <v>3687.0600000000268</v>
      </c>
      <c r="P517" s="55"/>
      <c r="Q517" s="55">
        <v>32290</v>
      </c>
      <c r="R517" s="55">
        <v>-400</v>
      </c>
      <c r="S517" s="55">
        <f t="shared" si="365"/>
        <v>35577.060000000027</v>
      </c>
      <c r="T517" s="48"/>
      <c r="U517" s="49">
        <f t="shared" si="366"/>
        <v>10.180000000054132</v>
      </c>
      <c r="V517" s="51">
        <v>32282.53</v>
      </c>
      <c r="W517" s="51">
        <v>-32290</v>
      </c>
      <c r="X517" s="51">
        <v>-1.3</v>
      </c>
      <c r="Y517" s="51">
        <f t="shared" si="367"/>
        <v>1.4100000000536965</v>
      </c>
      <c r="Z517" s="52"/>
      <c r="AA517" s="53">
        <f t="shared" si="368"/>
        <v>3873.8</v>
      </c>
      <c r="AB517" s="54"/>
      <c r="AC517" s="54"/>
      <c r="AD517" s="54">
        <v>-248</v>
      </c>
      <c r="AE517" s="54">
        <f t="shared" si="369"/>
        <v>3625.8</v>
      </c>
      <c r="AF517" s="53"/>
      <c r="AG517" s="53">
        <f t="shared" si="346"/>
        <v>5.2200000000215425</v>
      </c>
      <c r="AH517" s="54"/>
      <c r="AI517" s="54"/>
      <c r="AJ517" s="54"/>
      <c r="AK517" s="54">
        <f t="shared" si="370"/>
        <v>5.2200000000215425</v>
      </c>
      <c r="AL517" s="53"/>
      <c r="AM517" s="53">
        <f t="shared" si="353"/>
        <v>0</v>
      </c>
      <c r="AN517" s="54"/>
      <c r="AO517" s="54"/>
      <c r="AP517" s="54"/>
      <c r="AQ517" s="54">
        <f t="shared" si="354"/>
        <v>0</v>
      </c>
      <c r="AR517" s="53"/>
      <c r="AS517" s="50">
        <f t="shared" si="371"/>
        <v>-5032040.4380000001</v>
      </c>
      <c r="AT517" s="73">
        <f t="shared" si="330"/>
        <v>32282.53</v>
      </c>
      <c r="AU517" s="50">
        <f t="shared" si="347"/>
        <v>0</v>
      </c>
      <c r="AV517" s="50">
        <f t="shared" si="331"/>
        <v>-92139.150000000009</v>
      </c>
      <c r="AW517" s="50"/>
      <c r="AX517" s="50">
        <f t="shared" si="356"/>
        <v>-5091897.0579999993</v>
      </c>
      <c r="AY517" s="50">
        <f t="shared" si="357"/>
        <v>9300000</v>
      </c>
      <c r="AZ517" s="50">
        <f t="shared" si="358"/>
        <v>4208102.9420000007</v>
      </c>
      <c r="BA517" s="15">
        <f t="shared" si="341"/>
        <v>-4243.2475483333328</v>
      </c>
      <c r="BB517" s="15">
        <f t="shared" si="334"/>
        <v>-59188.510606666678</v>
      </c>
    </row>
    <row r="518" spans="2:54" s="58" customFormat="1" ht="16.5" customHeight="1" x14ac:dyDescent="0.3">
      <c r="B518" s="99">
        <f t="shared" si="335"/>
        <v>44888</v>
      </c>
      <c r="C518" s="44">
        <f t="shared" si="361"/>
        <v>-3608783.6979999989</v>
      </c>
      <c r="D518" s="45">
        <v>690.19</v>
      </c>
      <c r="E518" s="45"/>
      <c r="F518" s="45">
        <v>-1550.61</v>
      </c>
      <c r="G518" s="45">
        <f t="shared" si="336"/>
        <v>-3609644.1179999989</v>
      </c>
      <c r="H518" s="44">
        <v>4300000</v>
      </c>
      <c r="I518" s="46">
        <f t="shared" si="362"/>
        <v>-1522322.85</v>
      </c>
      <c r="J518" s="47">
        <f>9291.15+24322.79+67553.23</f>
        <v>101167.17</v>
      </c>
      <c r="K518" s="47"/>
      <c r="L518" s="47">
        <v>-60662.949999999801</v>
      </c>
      <c r="M518" s="47">
        <f t="shared" si="363"/>
        <v>-1481818.63</v>
      </c>
      <c r="N518" s="46">
        <v>5000000</v>
      </c>
      <c r="O518" s="48">
        <f t="shared" si="364"/>
        <v>35577.060000000027</v>
      </c>
      <c r="P518" s="55"/>
      <c r="Q518" s="55"/>
      <c r="R518" s="55"/>
      <c r="S518" s="55">
        <f t="shared" si="365"/>
        <v>35577.060000000027</v>
      </c>
      <c r="T518" s="48"/>
      <c r="U518" s="49">
        <f t="shared" si="366"/>
        <v>1.4100000000536965</v>
      </c>
      <c r="V518" s="51"/>
      <c r="W518" s="51"/>
      <c r="X518" s="51"/>
      <c r="Y518" s="51">
        <f t="shared" si="367"/>
        <v>1.4100000000536965</v>
      </c>
      <c r="Z518" s="52"/>
      <c r="AA518" s="53">
        <f t="shared" si="368"/>
        <v>3625.8</v>
      </c>
      <c r="AB518" s="54"/>
      <c r="AC518" s="54"/>
      <c r="AD518" s="54">
        <v>-99.66</v>
      </c>
      <c r="AE518" s="54">
        <f t="shared" si="369"/>
        <v>3526.1400000000003</v>
      </c>
      <c r="AF518" s="53"/>
      <c r="AG518" s="53">
        <f t="shared" si="346"/>
        <v>5.2200000000215425</v>
      </c>
      <c r="AH518" s="54"/>
      <c r="AI518" s="54"/>
      <c r="AJ518" s="54"/>
      <c r="AK518" s="54">
        <f t="shared" si="370"/>
        <v>5.2200000000215425</v>
      </c>
      <c r="AL518" s="53"/>
      <c r="AM518" s="53">
        <f t="shared" si="353"/>
        <v>0</v>
      </c>
      <c r="AN518" s="54"/>
      <c r="AO518" s="54"/>
      <c r="AP518" s="54"/>
      <c r="AQ518" s="54">
        <f t="shared" si="354"/>
        <v>0</v>
      </c>
      <c r="AR518" s="53"/>
      <c r="AS518" s="50">
        <f t="shared" si="371"/>
        <v>-5091897.0579999993</v>
      </c>
      <c r="AT518" s="73">
        <f t="shared" si="330"/>
        <v>101857.36</v>
      </c>
      <c r="AU518" s="50">
        <f t="shared" si="347"/>
        <v>0</v>
      </c>
      <c r="AV518" s="50">
        <f t="shared" si="331"/>
        <v>-62313.219999999805</v>
      </c>
      <c r="AW518" s="50"/>
      <c r="AX518" s="50">
        <f t="shared" si="356"/>
        <v>-5052352.9179999996</v>
      </c>
      <c r="AY518" s="50">
        <f t="shared" si="357"/>
        <v>9300000</v>
      </c>
      <c r="AZ518" s="50">
        <f t="shared" si="358"/>
        <v>4247647.0820000004</v>
      </c>
      <c r="BA518" s="15">
        <f t="shared" si="341"/>
        <v>-4210.2940983333328</v>
      </c>
      <c r="BB518" s="15">
        <f t="shared" si="334"/>
        <v>-63398.80470500001</v>
      </c>
    </row>
    <row r="519" spans="2:54" s="58" customFormat="1" ht="16.5" customHeight="1" x14ac:dyDescent="0.3">
      <c r="B519" s="99">
        <f t="shared" si="335"/>
        <v>44889</v>
      </c>
      <c r="C519" s="44">
        <f t="shared" si="361"/>
        <v>-3609644.1179999989</v>
      </c>
      <c r="D519" s="45"/>
      <c r="E519" s="45"/>
      <c r="F519" s="45"/>
      <c r="G519" s="45">
        <f t="shared" si="336"/>
        <v>-3609644.1179999989</v>
      </c>
      <c r="H519" s="44">
        <v>4300000</v>
      </c>
      <c r="I519" s="46">
        <f t="shared" si="362"/>
        <v>-1481818.63</v>
      </c>
      <c r="J519" s="47">
        <v>211093.75</v>
      </c>
      <c r="K519" s="47"/>
      <c r="L519" s="47">
        <v>-2102.4200000001001</v>
      </c>
      <c r="M519" s="47">
        <f t="shared" si="363"/>
        <v>-1272827.3</v>
      </c>
      <c r="N519" s="46">
        <v>5000000</v>
      </c>
      <c r="O519" s="48">
        <f t="shared" si="364"/>
        <v>35577.060000000027</v>
      </c>
      <c r="P519" s="55">
        <f>30512.32+442.14</f>
        <v>30954.46</v>
      </c>
      <c r="Q519" s="55"/>
      <c r="R519" s="55"/>
      <c r="S519" s="55">
        <f t="shared" si="365"/>
        <v>66531.520000000019</v>
      </c>
      <c r="T519" s="48"/>
      <c r="U519" s="49">
        <f t="shared" si="366"/>
        <v>1.4100000000536965</v>
      </c>
      <c r="V519" s="51"/>
      <c r="W519" s="51"/>
      <c r="X519" s="51"/>
      <c r="Y519" s="51">
        <f t="shared" si="367"/>
        <v>1.4100000000536965</v>
      </c>
      <c r="Z519" s="52"/>
      <c r="AA519" s="53">
        <f t="shared" si="368"/>
        <v>3526.1400000000003</v>
      </c>
      <c r="AB519" s="54"/>
      <c r="AC519" s="54"/>
      <c r="AD519" s="54"/>
      <c r="AE519" s="54">
        <f t="shared" si="369"/>
        <v>3526.1400000000003</v>
      </c>
      <c r="AF519" s="53"/>
      <c r="AG519" s="53">
        <f t="shared" si="346"/>
        <v>5.2200000000215425</v>
      </c>
      <c r="AH519" s="54"/>
      <c r="AI519" s="54"/>
      <c r="AJ519" s="54"/>
      <c r="AK519" s="54">
        <f t="shared" si="370"/>
        <v>5.2200000000215425</v>
      </c>
      <c r="AL519" s="53"/>
      <c r="AM519" s="53">
        <f t="shared" si="353"/>
        <v>0</v>
      </c>
      <c r="AN519" s="54"/>
      <c r="AO519" s="54"/>
      <c r="AP519" s="54"/>
      <c r="AQ519" s="54">
        <f t="shared" si="354"/>
        <v>0</v>
      </c>
      <c r="AR519" s="53"/>
      <c r="AS519" s="50">
        <f t="shared" si="371"/>
        <v>-5052352.9179999996</v>
      </c>
      <c r="AT519" s="73">
        <f t="shared" si="330"/>
        <v>242048.21</v>
      </c>
      <c r="AU519" s="50">
        <f t="shared" si="347"/>
        <v>0</v>
      </c>
      <c r="AV519" s="50">
        <f t="shared" si="331"/>
        <v>-2102.4200000001001</v>
      </c>
      <c r="AW519" s="50"/>
      <c r="AX519" s="50">
        <f t="shared" si="356"/>
        <v>-4812407.1279999986</v>
      </c>
      <c r="AY519" s="50">
        <f t="shared" si="357"/>
        <v>9300000</v>
      </c>
      <c r="AZ519" s="50">
        <f t="shared" si="358"/>
        <v>4487592.8720000014</v>
      </c>
      <c r="BA519" s="15">
        <f t="shared" si="341"/>
        <v>-4010.3392733333326</v>
      </c>
      <c r="BB519" s="15">
        <f t="shared" si="334"/>
        <v>-67409.143978333348</v>
      </c>
    </row>
    <row r="520" spans="2:54" s="58" customFormat="1" ht="16.5" customHeight="1" x14ac:dyDescent="0.3">
      <c r="B520" s="99">
        <f t="shared" si="335"/>
        <v>44890</v>
      </c>
      <c r="C520" s="44">
        <f t="shared" si="361"/>
        <v>-3609644.1179999989</v>
      </c>
      <c r="D520" s="45">
        <v>218105.52</v>
      </c>
      <c r="E520" s="45">
        <v>1110000</v>
      </c>
      <c r="F520" s="45">
        <v>-73042.75</v>
      </c>
      <c r="G520" s="45">
        <f t="shared" si="336"/>
        <v>-2354581.3479999988</v>
      </c>
      <c r="H520" s="44">
        <v>4300000</v>
      </c>
      <c r="I520" s="46">
        <f t="shared" si="362"/>
        <v>-1272827.3</v>
      </c>
      <c r="J520" s="47">
        <f>353592.14+88441.76+63050.52+24218.64+6133.7+3910.56</f>
        <v>539347.32000000007</v>
      </c>
      <c r="K520" s="47">
        <v>60000</v>
      </c>
      <c r="L520" s="47">
        <v>-176217.23</v>
      </c>
      <c r="M520" s="47">
        <f t="shared" si="363"/>
        <v>-849697.21</v>
      </c>
      <c r="N520" s="46">
        <v>5000000</v>
      </c>
      <c r="O520" s="48">
        <f t="shared" si="364"/>
        <v>66531.520000000019</v>
      </c>
      <c r="P520" s="55"/>
      <c r="Q520" s="55">
        <v>-60000</v>
      </c>
      <c r="R520" s="55">
        <v>-93</v>
      </c>
      <c r="S520" s="55">
        <f t="shared" si="365"/>
        <v>6438.5200000000186</v>
      </c>
      <c r="T520" s="48"/>
      <c r="U520" s="49">
        <f t="shared" si="366"/>
        <v>1.4100000000536965</v>
      </c>
      <c r="V520" s="51"/>
      <c r="W520" s="51"/>
      <c r="X520" s="51"/>
      <c r="Y520" s="51">
        <f t="shared" si="367"/>
        <v>1.4100000000536965</v>
      </c>
      <c r="Z520" s="52"/>
      <c r="AA520" s="53">
        <f t="shared" si="368"/>
        <v>3526.1400000000003</v>
      </c>
      <c r="AB520" s="54">
        <v>1106637.45</v>
      </c>
      <c r="AC520" s="54">
        <v>-1110000</v>
      </c>
      <c r="AD520" s="54"/>
      <c r="AE520" s="54">
        <f t="shared" si="369"/>
        <v>163.58999999985099</v>
      </c>
      <c r="AF520" s="53"/>
      <c r="AG520" s="53">
        <f t="shared" si="346"/>
        <v>5.2200000000215425</v>
      </c>
      <c r="AH520" s="54"/>
      <c r="AI520" s="54"/>
      <c r="AJ520" s="54"/>
      <c r="AK520" s="54">
        <f t="shared" si="370"/>
        <v>5.2200000000215425</v>
      </c>
      <c r="AL520" s="53"/>
      <c r="AM520" s="53">
        <f t="shared" si="353"/>
        <v>0</v>
      </c>
      <c r="AN520" s="54"/>
      <c r="AO520" s="54"/>
      <c r="AP520" s="54"/>
      <c r="AQ520" s="54">
        <f t="shared" si="354"/>
        <v>0</v>
      </c>
      <c r="AR520" s="53"/>
      <c r="AS520" s="50">
        <f t="shared" si="371"/>
        <v>-4812407.1279999986</v>
      </c>
      <c r="AT520" s="73">
        <f t="shared" si="330"/>
        <v>1864090.29</v>
      </c>
      <c r="AU520" s="50">
        <f t="shared" si="347"/>
        <v>0</v>
      </c>
      <c r="AV520" s="50">
        <f t="shared" si="331"/>
        <v>-249352.98</v>
      </c>
      <c r="AW520" s="50"/>
      <c r="AX520" s="50">
        <f t="shared" si="356"/>
        <v>-3197669.8179999986</v>
      </c>
      <c r="AY520" s="50">
        <f t="shared" si="357"/>
        <v>9300000</v>
      </c>
      <c r="AZ520" s="50">
        <f t="shared" si="358"/>
        <v>6102330.1820000019</v>
      </c>
      <c r="BA520" s="15">
        <f t="shared" si="341"/>
        <v>-2664.7248483333324</v>
      </c>
      <c r="BB520" s="15">
        <f t="shared" si="334"/>
        <v>-70073.868826666687</v>
      </c>
    </row>
    <row r="521" spans="2:54" s="58" customFormat="1" ht="16.5" customHeight="1" x14ac:dyDescent="0.3">
      <c r="B521" s="99">
        <f t="shared" ref="B521" si="376">B520+3</f>
        <v>44893</v>
      </c>
      <c r="C521" s="44">
        <f t="shared" si="361"/>
        <v>-2354581.3479999988</v>
      </c>
      <c r="D521" s="45">
        <v>931841.69</v>
      </c>
      <c r="E521" s="45"/>
      <c r="F521" s="45">
        <v>-31933.49</v>
      </c>
      <c r="G521" s="45">
        <f t="shared" si="336"/>
        <v>-1454673.1479999989</v>
      </c>
      <c r="H521" s="44">
        <v>4300000</v>
      </c>
      <c r="I521" s="46">
        <f t="shared" si="362"/>
        <v>-849697.21</v>
      </c>
      <c r="J521" s="47"/>
      <c r="K521" s="47">
        <v>187000</v>
      </c>
      <c r="L521" s="47">
        <v>-724795.76</v>
      </c>
      <c r="M521" s="47">
        <f t="shared" si="363"/>
        <v>-1387492.97</v>
      </c>
      <c r="N521" s="46">
        <v>5000000</v>
      </c>
      <c r="O521" s="48">
        <f t="shared" si="364"/>
        <v>6438.5200000000186</v>
      </c>
      <c r="P521" s="55"/>
      <c r="Q521" s="55">
        <f>180840-187000</f>
        <v>-6160</v>
      </c>
      <c r="R521" s="55">
        <v>-11</v>
      </c>
      <c r="S521" s="55">
        <f t="shared" si="365"/>
        <v>267.52000000001863</v>
      </c>
      <c r="T521" s="48"/>
      <c r="U521" s="49">
        <f t="shared" si="366"/>
        <v>1.4100000000536965</v>
      </c>
      <c r="V521" s="51">
        <v>180845.19</v>
      </c>
      <c r="W521" s="51">
        <v>-180840</v>
      </c>
      <c r="X521" s="51">
        <v>-1.3</v>
      </c>
      <c r="Y521" s="51">
        <f t="shared" si="367"/>
        <v>5.3000000000640286</v>
      </c>
      <c r="Z521" s="52"/>
      <c r="AA521" s="53">
        <f t="shared" si="368"/>
        <v>163.58999999985099</v>
      </c>
      <c r="AB521" s="54"/>
      <c r="AC521" s="54"/>
      <c r="AD521" s="54"/>
      <c r="AE521" s="54">
        <f t="shared" si="369"/>
        <v>163.58999999985099</v>
      </c>
      <c r="AF521" s="53"/>
      <c r="AG521" s="53">
        <f t="shared" si="346"/>
        <v>5.2200000000215425</v>
      </c>
      <c r="AH521" s="54">
        <v>106195.01999999999</v>
      </c>
      <c r="AI521" s="54"/>
      <c r="AJ521" s="54">
        <v>-9.6</v>
      </c>
      <c r="AK521" s="54">
        <f t="shared" si="370"/>
        <v>106190.64</v>
      </c>
      <c r="AL521" s="53"/>
      <c r="AM521" s="53">
        <f t="shared" si="353"/>
        <v>0</v>
      </c>
      <c r="AN521" s="54"/>
      <c r="AO521" s="54"/>
      <c r="AP521" s="54"/>
      <c r="AQ521" s="54">
        <f t="shared" si="354"/>
        <v>0</v>
      </c>
      <c r="AR521" s="53"/>
      <c r="AS521" s="50">
        <f t="shared" si="371"/>
        <v>-3197669.8179999986</v>
      </c>
      <c r="AT521" s="73">
        <f t="shared" si="330"/>
        <v>1218881.8999999999</v>
      </c>
      <c r="AU521" s="50">
        <f t="shared" si="347"/>
        <v>0</v>
      </c>
      <c r="AV521" s="50">
        <f t="shared" si="331"/>
        <v>-756751.15</v>
      </c>
      <c r="AW521" s="50"/>
      <c r="AX521" s="50">
        <f t="shared" si="356"/>
        <v>-2735539.0679999986</v>
      </c>
      <c r="AY521" s="50">
        <f t="shared" si="357"/>
        <v>9300000</v>
      </c>
      <c r="AZ521" s="50">
        <f t="shared" si="358"/>
        <v>6564460.9320000019</v>
      </c>
      <c r="BA521" s="15">
        <f t="shared" si="341"/>
        <v>-2279.6158899999991</v>
      </c>
      <c r="BB521" s="15">
        <f t="shared" si="334"/>
        <v>-72353.484716666688</v>
      </c>
    </row>
    <row r="522" spans="2:54" s="58" customFormat="1" ht="16.5" customHeight="1" x14ac:dyDescent="0.3">
      <c r="B522" s="99">
        <f t="shared" ref="B522" si="377">B521+1</f>
        <v>44894</v>
      </c>
      <c r="C522" s="44">
        <f t="shared" si="361"/>
        <v>-1454673.1479999989</v>
      </c>
      <c r="D522" s="45">
        <f>276345.03+19776.98</f>
        <v>296122.01</v>
      </c>
      <c r="E522" s="45">
        <v>-1000000</v>
      </c>
      <c r="F522" s="45">
        <v>-7203.56</v>
      </c>
      <c r="G522" s="45">
        <f t="shared" si="336"/>
        <v>-2165754.6979999989</v>
      </c>
      <c r="H522" s="44">
        <v>4300000</v>
      </c>
      <c r="I522" s="46">
        <f t="shared" si="362"/>
        <v>-1387492.97</v>
      </c>
      <c r="J522" s="47"/>
      <c r="K522" s="47">
        <v>1600000</v>
      </c>
      <c r="L522" s="47">
        <v>-1294932.1399999999</v>
      </c>
      <c r="M522" s="47">
        <f t="shared" si="363"/>
        <v>-1082425.1099999999</v>
      </c>
      <c r="N522" s="46">
        <v>5000000</v>
      </c>
      <c r="O522" s="48">
        <f t="shared" si="364"/>
        <v>267.52000000001863</v>
      </c>
      <c r="P522" s="55">
        <v>315.42</v>
      </c>
      <c r="Q522" s="55"/>
      <c r="R522" s="55"/>
      <c r="S522" s="55">
        <f t="shared" si="365"/>
        <v>582.9400000000187</v>
      </c>
      <c r="T522" s="48"/>
      <c r="U522" s="49">
        <f t="shared" si="366"/>
        <v>5.3000000000640286</v>
      </c>
      <c r="V522" s="51"/>
      <c r="W522" s="51"/>
      <c r="X522" s="51"/>
      <c r="Y522" s="51">
        <f t="shared" si="367"/>
        <v>5.3000000000640286</v>
      </c>
      <c r="Z522" s="52"/>
      <c r="AA522" s="53">
        <f t="shared" si="368"/>
        <v>163.58999999985099</v>
      </c>
      <c r="AB522" s="54"/>
      <c r="AC522" s="54">
        <v>4600</v>
      </c>
      <c r="AD522" s="54">
        <v>-375</v>
      </c>
      <c r="AE522" s="54">
        <f t="shared" si="369"/>
        <v>4388.589999999851</v>
      </c>
      <c r="AF522" s="53"/>
      <c r="AG522" s="53">
        <f t="shared" si="346"/>
        <v>106190.64</v>
      </c>
      <c r="AH522" s="54">
        <f>70806.44+199412.48+228222.78</f>
        <v>498441.70000000007</v>
      </c>
      <c r="AI522" s="54">
        <f>-4600-600000</f>
        <v>-604600</v>
      </c>
      <c r="AJ522" s="54"/>
      <c r="AK522" s="54">
        <f t="shared" si="370"/>
        <v>32.340000000083819</v>
      </c>
      <c r="AL522" s="53"/>
      <c r="AM522" s="53">
        <f t="shared" si="353"/>
        <v>0</v>
      </c>
      <c r="AN522" s="54"/>
      <c r="AO522" s="54"/>
      <c r="AP522" s="54"/>
      <c r="AQ522" s="54">
        <f t="shared" si="354"/>
        <v>0</v>
      </c>
      <c r="AR522" s="53"/>
      <c r="AS522" s="50">
        <f t="shared" si="371"/>
        <v>-2735539.0679999986</v>
      </c>
      <c r="AT522" s="73">
        <f t="shared" ref="AT522:AT582" si="378">SUM(D522,J522,P522,V522,AB522,AH522)</f>
        <v>794879.13000000012</v>
      </c>
      <c r="AU522" s="50">
        <f t="shared" si="347"/>
        <v>0</v>
      </c>
      <c r="AV522" s="50">
        <f t="shared" ref="AV522:AV582" si="379">SUM(F522,L522,R522,X522,AD522,AJ522)</f>
        <v>-1302510.7</v>
      </c>
      <c r="AW522" s="50"/>
      <c r="AX522" s="50">
        <f t="shared" si="356"/>
        <v>-3243170.6379999984</v>
      </c>
      <c r="AY522" s="50">
        <f t="shared" si="357"/>
        <v>9300000</v>
      </c>
      <c r="AZ522" s="50">
        <f t="shared" si="358"/>
        <v>6056829.3620000016</v>
      </c>
      <c r="BA522" s="15">
        <f t="shared" si="341"/>
        <v>-2702.6421983333321</v>
      </c>
      <c r="BB522" s="15">
        <f t="shared" si="334"/>
        <v>-75056.126915000015</v>
      </c>
    </row>
    <row r="523" spans="2:54" s="58" customFormat="1" ht="16.5" customHeight="1" x14ac:dyDescent="0.3">
      <c r="B523" s="99">
        <f t="shared" si="335"/>
        <v>44895</v>
      </c>
      <c r="C523" s="44">
        <f t="shared" si="361"/>
        <v>-2165754.6979999989</v>
      </c>
      <c r="D523" s="45">
        <f>90516.34+117854.3+28710.69+25457.75</f>
        <v>262539.08</v>
      </c>
      <c r="E523" s="45"/>
      <c r="F523" s="45">
        <v>-125796.78</v>
      </c>
      <c r="G523" s="45">
        <f t="shared" si="336"/>
        <v>-2029012.3979999989</v>
      </c>
      <c r="H523" s="44">
        <v>4300000</v>
      </c>
      <c r="I523" s="46">
        <f t="shared" si="362"/>
        <v>-1082425.1099999999</v>
      </c>
      <c r="J523" s="47">
        <v>410179.56</v>
      </c>
      <c r="K523" s="47"/>
      <c r="L523" s="47">
        <v>-366371.34</v>
      </c>
      <c r="M523" s="47">
        <f t="shared" si="363"/>
        <v>-1038616.8899999999</v>
      </c>
      <c r="N523" s="46">
        <v>5000000</v>
      </c>
      <c r="O523" s="48">
        <f t="shared" si="364"/>
        <v>582.9400000000187</v>
      </c>
      <c r="P523" s="55">
        <v>157211.53</v>
      </c>
      <c r="Q523" s="55"/>
      <c r="R523" s="55"/>
      <c r="S523" s="55">
        <f t="shared" si="365"/>
        <v>157794.47000000003</v>
      </c>
      <c r="T523" s="48"/>
      <c r="U523" s="49">
        <f t="shared" si="366"/>
        <v>5.3000000000640286</v>
      </c>
      <c r="V523" s="51">
        <v>89063.65</v>
      </c>
      <c r="W523" s="51"/>
      <c r="X523" s="51"/>
      <c r="Y523" s="51">
        <f t="shared" si="367"/>
        <v>89068.950000000055</v>
      </c>
      <c r="Z523" s="52"/>
      <c r="AA523" s="53">
        <f t="shared" si="368"/>
        <v>4388.589999999851</v>
      </c>
      <c r="AB523" s="54"/>
      <c r="AC523" s="54"/>
      <c r="AD523" s="54">
        <v>-2254.4099999998498</v>
      </c>
      <c r="AE523" s="54">
        <f t="shared" si="369"/>
        <v>2134.1800000000012</v>
      </c>
      <c r="AF523" s="53"/>
      <c r="AG523" s="53">
        <f t="shared" si="346"/>
        <v>32.340000000083819</v>
      </c>
      <c r="AH523" s="54"/>
      <c r="AI523" s="54"/>
      <c r="AJ523" s="54">
        <v>-9.3000000000000007</v>
      </c>
      <c r="AK523" s="54">
        <f t="shared" si="370"/>
        <v>23.040000000083818</v>
      </c>
      <c r="AL523" s="53"/>
      <c r="AM523" s="53">
        <f t="shared" si="353"/>
        <v>0</v>
      </c>
      <c r="AN523" s="54"/>
      <c r="AO523" s="54"/>
      <c r="AP523" s="54"/>
      <c r="AQ523" s="54">
        <f t="shared" si="354"/>
        <v>0</v>
      </c>
      <c r="AR523" s="53"/>
      <c r="AS523" s="50">
        <f t="shared" si="371"/>
        <v>-3243170.6379999984</v>
      </c>
      <c r="AT523" s="73">
        <f t="shared" si="378"/>
        <v>918993.82000000007</v>
      </c>
      <c r="AU523" s="50">
        <f t="shared" si="347"/>
        <v>0</v>
      </c>
      <c r="AV523" s="50">
        <f t="shared" si="379"/>
        <v>-494431.82999999984</v>
      </c>
      <c r="AW523" s="50"/>
      <c r="AX523" s="50">
        <f t="shared" si="356"/>
        <v>-2818608.6479999982</v>
      </c>
      <c r="AY523" s="50">
        <f t="shared" si="357"/>
        <v>9300000</v>
      </c>
      <c r="AZ523" s="50">
        <f t="shared" si="358"/>
        <v>6481391.3520000018</v>
      </c>
      <c r="BA523" s="82">
        <f t="shared" si="341"/>
        <v>-2348.8405399999988</v>
      </c>
      <c r="BB523" s="82">
        <f t="shared" si="334"/>
        <v>-77404.96745500002</v>
      </c>
    </row>
    <row r="524" spans="2:54" s="58" customFormat="1" ht="16.5" customHeight="1" x14ac:dyDescent="0.3">
      <c r="B524" s="99">
        <f t="shared" si="335"/>
        <v>44896</v>
      </c>
      <c r="C524" s="44">
        <f t="shared" si="361"/>
        <v>-2029012.3979999989</v>
      </c>
      <c r="D524" s="45">
        <v>727870.61</v>
      </c>
      <c r="E524" s="45"/>
      <c r="F524" s="45">
        <f>-0.85-7120-450-1218.26</f>
        <v>-8789.11</v>
      </c>
      <c r="G524" s="45">
        <f t="shared" si="336"/>
        <v>-1309930.8979999989</v>
      </c>
      <c r="H524" s="44">
        <v>4300000</v>
      </c>
      <c r="I524" s="46">
        <f t="shared" si="362"/>
        <v>-1038616.8899999999</v>
      </c>
      <c r="J524" s="47">
        <v>121562.13</v>
      </c>
      <c r="K524" s="47">
        <v>246000</v>
      </c>
      <c r="L524" s="47">
        <v>-462235.87</v>
      </c>
      <c r="M524" s="47">
        <f t="shared" si="363"/>
        <v>-1133290.6299999999</v>
      </c>
      <c r="N524" s="46">
        <v>5000000</v>
      </c>
      <c r="O524" s="48">
        <f t="shared" si="364"/>
        <v>157794.47000000003</v>
      </c>
      <c r="P524" s="55"/>
      <c r="Q524" s="55">
        <f>89000-246000</f>
        <v>-157000</v>
      </c>
      <c r="R524" s="55">
        <v>-10</v>
      </c>
      <c r="S524" s="55">
        <f t="shared" si="365"/>
        <v>784.47000000003027</v>
      </c>
      <c r="T524" s="48"/>
      <c r="U524" s="49">
        <f t="shared" si="366"/>
        <v>89068.950000000055</v>
      </c>
      <c r="V524" s="51">
        <v>58871.73</v>
      </c>
      <c r="W524" s="51">
        <v>-89000</v>
      </c>
      <c r="X524" s="51">
        <v>-1.3</v>
      </c>
      <c r="Y524" s="51">
        <f t="shared" si="367"/>
        <v>58939.380000000048</v>
      </c>
      <c r="Z524" s="52"/>
      <c r="AA524" s="53">
        <f t="shared" si="368"/>
        <v>2134.1800000000012</v>
      </c>
      <c r="AB524" s="54"/>
      <c r="AC524" s="54"/>
      <c r="AD524" s="54"/>
      <c r="AE524" s="54">
        <f t="shared" si="369"/>
        <v>2134.1800000000012</v>
      </c>
      <c r="AF524" s="53"/>
      <c r="AG524" s="53">
        <f t="shared" si="346"/>
        <v>23.040000000083818</v>
      </c>
      <c r="AH524" s="54"/>
      <c r="AI524" s="54"/>
      <c r="AJ524" s="54"/>
      <c r="AK524" s="54">
        <f t="shared" si="370"/>
        <v>23.040000000083818</v>
      </c>
      <c r="AL524" s="53"/>
      <c r="AM524" s="53">
        <f t="shared" si="353"/>
        <v>0</v>
      </c>
      <c r="AN524" s="54"/>
      <c r="AO524" s="54"/>
      <c r="AP524" s="54"/>
      <c r="AQ524" s="54">
        <f t="shared" si="354"/>
        <v>0</v>
      </c>
      <c r="AR524" s="53"/>
      <c r="AS524" s="50">
        <f t="shared" si="371"/>
        <v>-2818608.6479999982</v>
      </c>
      <c r="AT524" s="73">
        <f t="shared" si="378"/>
        <v>908304.47</v>
      </c>
      <c r="AU524" s="50">
        <f t="shared" si="347"/>
        <v>0</v>
      </c>
      <c r="AV524" s="50">
        <f t="shared" si="379"/>
        <v>-471036.27999999997</v>
      </c>
      <c r="AW524" s="50" t="e">
        <f>SUM(#REF!)</f>
        <v>#REF!</v>
      </c>
      <c r="AX524" s="50">
        <f t="shared" si="356"/>
        <v>-2381340.4579999987</v>
      </c>
      <c r="AY524" s="50">
        <f t="shared" si="357"/>
        <v>9300000</v>
      </c>
      <c r="AZ524" s="50">
        <f t="shared" si="358"/>
        <v>6918659.5420000013</v>
      </c>
      <c r="BA524" s="15">
        <f t="shared" si="341"/>
        <v>-1984.4503816666656</v>
      </c>
      <c r="BB524" s="15">
        <f>BA524</f>
        <v>-1984.4503816666656</v>
      </c>
    </row>
    <row r="525" spans="2:54" s="58" customFormat="1" ht="16.5" customHeight="1" x14ac:dyDescent="0.3">
      <c r="B525" s="99">
        <f t="shared" si="335"/>
        <v>44897</v>
      </c>
      <c r="C525" s="44">
        <f t="shared" si="361"/>
        <v>-1309930.8979999989</v>
      </c>
      <c r="D525" s="45"/>
      <c r="E525" s="45">
        <v>-1200000</v>
      </c>
      <c r="F525" s="45">
        <v>-1259818.47</v>
      </c>
      <c r="G525" s="45">
        <f t="shared" si="336"/>
        <v>-3769749.3679999989</v>
      </c>
      <c r="H525" s="44">
        <v>4300000</v>
      </c>
      <c r="I525" s="46">
        <f t="shared" si="362"/>
        <v>-1133290.6299999999</v>
      </c>
      <c r="J525" s="47"/>
      <c r="K525" s="47">
        <v>1200000</v>
      </c>
      <c r="L525" s="47">
        <v>-2406137.3199999998</v>
      </c>
      <c r="M525" s="47">
        <f t="shared" si="363"/>
        <v>-2339427.9499999997</v>
      </c>
      <c r="N525" s="46">
        <v>5000000</v>
      </c>
      <c r="O525" s="48">
        <f t="shared" si="364"/>
        <v>784.47000000003027</v>
      </c>
      <c r="P525" s="55">
        <f>416438.25+313493.27</f>
        <v>729931.52</v>
      </c>
      <c r="Q525" s="55">
        <f>259600-250000</f>
        <v>9600</v>
      </c>
      <c r="R525" s="55">
        <f>-2492.55-1245.06</f>
        <v>-3737.61</v>
      </c>
      <c r="S525" s="55">
        <f t="shared" si="365"/>
        <v>736578.38</v>
      </c>
      <c r="T525" s="48"/>
      <c r="U525" s="49">
        <f t="shared" si="366"/>
        <v>58939.380000000048</v>
      </c>
      <c r="V525" s="51">
        <v>200750.78</v>
      </c>
      <c r="W525" s="51">
        <v>-259600</v>
      </c>
      <c r="X525" s="51">
        <f>-59.95-1.3</f>
        <v>-61.25</v>
      </c>
      <c r="Y525" s="51">
        <f t="shared" si="367"/>
        <v>28.910000000032596</v>
      </c>
      <c r="Z525" s="52"/>
      <c r="AA525" s="53">
        <f t="shared" si="368"/>
        <v>2134.1800000000012</v>
      </c>
      <c r="AB525" s="54"/>
      <c r="AC525" s="54">
        <v>250000</v>
      </c>
      <c r="AD525" s="54">
        <f>-372.09-788.92</f>
        <v>-1161.01</v>
      </c>
      <c r="AE525" s="54">
        <f t="shared" si="369"/>
        <v>250973.16999999998</v>
      </c>
      <c r="AF525" s="53"/>
      <c r="AG525" s="53">
        <f t="shared" si="346"/>
        <v>23.040000000083818</v>
      </c>
      <c r="AH525" s="54"/>
      <c r="AI525" s="54"/>
      <c r="AJ525" s="54"/>
      <c r="AK525" s="54">
        <f t="shared" si="370"/>
        <v>23.040000000083818</v>
      </c>
      <c r="AL525" s="53"/>
      <c r="AM525" s="53">
        <f t="shared" si="353"/>
        <v>0</v>
      </c>
      <c r="AN525" s="54"/>
      <c r="AO525" s="54"/>
      <c r="AP525" s="54"/>
      <c r="AQ525" s="54">
        <f t="shared" si="354"/>
        <v>0</v>
      </c>
      <c r="AR525" s="53"/>
      <c r="AS525" s="50">
        <f t="shared" si="371"/>
        <v>-2381340.4579999987</v>
      </c>
      <c r="AT525" s="73">
        <f t="shared" si="378"/>
        <v>930682.3</v>
      </c>
      <c r="AU525" s="50">
        <f t="shared" si="347"/>
        <v>0</v>
      </c>
      <c r="AV525" s="50">
        <f t="shared" si="379"/>
        <v>-3670915.6599999997</v>
      </c>
      <c r="AW525" s="50" t="e">
        <f>SUM(#REF!)</f>
        <v>#REF!</v>
      </c>
      <c r="AX525" s="50">
        <f t="shared" si="356"/>
        <v>-5121573.8179999981</v>
      </c>
      <c r="AY525" s="50">
        <f t="shared" si="357"/>
        <v>9300000</v>
      </c>
      <c r="AZ525" s="50">
        <f t="shared" si="358"/>
        <v>4178426.1820000019</v>
      </c>
      <c r="BA525" s="15">
        <f t="shared" si="341"/>
        <v>-4267.9781816666655</v>
      </c>
      <c r="BB525" s="15">
        <f t="shared" si="334"/>
        <v>-6252.4285633333311</v>
      </c>
    </row>
    <row r="526" spans="2:54" s="58" customFormat="1" ht="16.5" customHeight="1" x14ac:dyDescent="0.3">
      <c r="B526" s="99">
        <f t="shared" ref="B526" si="380">B525+3</f>
        <v>44900</v>
      </c>
      <c r="C526" s="44">
        <f t="shared" si="361"/>
        <v>-3769749.3679999989</v>
      </c>
      <c r="D526" s="45">
        <v>7331</v>
      </c>
      <c r="E526" s="45"/>
      <c r="F526" s="45">
        <v>-84279.6</v>
      </c>
      <c r="G526" s="45">
        <f t="shared" si="336"/>
        <v>-3846697.9679999989</v>
      </c>
      <c r="H526" s="44">
        <v>4300000</v>
      </c>
      <c r="I526" s="46">
        <f t="shared" si="362"/>
        <v>-2339427.9499999997</v>
      </c>
      <c r="J526" s="47">
        <v>733648.7200000002</v>
      </c>
      <c r="K526" s="47">
        <v>1000000</v>
      </c>
      <c r="L526" s="47">
        <v>-654306.01</v>
      </c>
      <c r="M526" s="47">
        <f t="shared" si="363"/>
        <v>-1260085.2399999995</v>
      </c>
      <c r="N526" s="46">
        <v>5000000</v>
      </c>
      <c r="O526" s="48">
        <f t="shared" si="364"/>
        <v>736578.38</v>
      </c>
      <c r="P526" s="55">
        <v>513.5</v>
      </c>
      <c r="Q526" s="55">
        <v>-573770</v>
      </c>
      <c r="R526" s="55">
        <v>-11</v>
      </c>
      <c r="S526" s="55">
        <f t="shared" si="365"/>
        <v>163310.88</v>
      </c>
      <c r="T526" s="48"/>
      <c r="U526" s="49">
        <f t="shared" si="366"/>
        <v>28.910000000032596</v>
      </c>
      <c r="V526" s="51">
        <v>426210.99</v>
      </c>
      <c r="W526" s="51">
        <v>-426230</v>
      </c>
      <c r="X526" s="51"/>
      <c r="Y526" s="51">
        <f t="shared" si="367"/>
        <v>9.9000000000232831</v>
      </c>
      <c r="Z526" s="52"/>
      <c r="AA526" s="53">
        <f t="shared" si="368"/>
        <v>250973.16999999998</v>
      </c>
      <c r="AB526" s="54"/>
      <c r="AC526" s="54"/>
      <c r="AD526" s="54">
        <v>-224730.31</v>
      </c>
      <c r="AE526" s="54">
        <f t="shared" si="369"/>
        <v>26242.859999999986</v>
      </c>
      <c r="AF526" s="53"/>
      <c r="AG526" s="53">
        <f t="shared" si="346"/>
        <v>23.040000000083818</v>
      </c>
      <c r="AH526" s="54"/>
      <c r="AI526" s="54"/>
      <c r="AJ526" s="54"/>
      <c r="AK526" s="54">
        <f t="shared" si="370"/>
        <v>23.040000000083818</v>
      </c>
      <c r="AL526" s="53"/>
      <c r="AM526" s="53">
        <f t="shared" si="353"/>
        <v>0</v>
      </c>
      <c r="AN526" s="54"/>
      <c r="AO526" s="54"/>
      <c r="AP526" s="54"/>
      <c r="AQ526" s="54">
        <f t="shared" si="354"/>
        <v>0</v>
      </c>
      <c r="AR526" s="53"/>
      <c r="AS526" s="50">
        <f t="shared" si="371"/>
        <v>-5121573.8179999981</v>
      </c>
      <c r="AT526" s="73">
        <f t="shared" si="378"/>
        <v>1167704.2100000002</v>
      </c>
      <c r="AU526" s="50">
        <f t="shared" si="347"/>
        <v>0</v>
      </c>
      <c r="AV526" s="50">
        <f t="shared" si="379"/>
        <v>-963326.91999999993</v>
      </c>
      <c r="AW526" s="50" t="e">
        <f>SUM(#REF!)</f>
        <v>#REF!</v>
      </c>
      <c r="AX526" s="50">
        <f t="shared" si="356"/>
        <v>-4917196.5279999981</v>
      </c>
      <c r="AY526" s="50">
        <f t="shared" si="357"/>
        <v>9300000</v>
      </c>
      <c r="AZ526" s="50">
        <f t="shared" si="358"/>
        <v>4382803.4720000019</v>
      </c>
      <c r="BA526" s="15">
        <f t="shared" si="341"/>
        <v>-4097.6637733333318</v>
      </c>
      <c r="BB526" s="15">
        <f t="shared" si="334"/>
        <v>-10350.092336666663</v>
      </c>
    </row>
    <row r="527" spans="2:54" s="58" customFormat="1" ht="16.5" customHeight="1" x14ac:dyDescent="0.3">
      <c r="B527" s="99">
        <f t="shared" ref="B527" si="381">B526+1</f>
        <v>44901</v>
      </c>
      <c r="C527" s="44">
        <f t="shared" si="361"/>
        <v>-3846697.9679999989</v>
      </c>
      <c r="D527" s="45"/>
      <c r="E527" s="45"/>
      <c r="F527" s="45">
        <v>-3600.85</v>
      </c>
      <c r="G527" s="45">
        <f t="shared" si="336"/>
        <v>-3850298.817999999</v>
      </c>
      <c r="H527" s="44">
        <v>4300000</v>
      </c>
      <c r="I527" s="46">
        <f t="shared" si="362"/>
        <v>-1260085.2399999995</v>
      </c>
      <c r="J527" s="47"/>
      <c r="K527" s="47"/>
      <c r="L527" s="47">
        <v>-67855.670000000406</v>
      </c>
      <c r="M527" s="47">
        <f t="shared" si="363"/>
        <v>-1327940.9099999999</v>
      </c>
      <c r="N527" s="46">
        <v>5000000</v>
      </c>
      <c r="O527" s="48">
        <f t="shared" si="364"/>
        <v>163310.88</v>
      </c>
      <c r="P527" s="55"/>
      <c r="Q527" s="55"/>
      <c r="R527" s="55"/>
      <c r="S527" s="55">
        <f t="shared" si="365"/>
        <v>163310.88</v>
      </c>
      <c r="T527" s="48"/>
      <c r="U527" s="49">
        <f t="shared" si="366"/>
        <v>9.9000000000232831</v>
      </c>
      <c r="V527" s="51"/>
      <c r="W527" s="51"/>
      <c r="X527" s="51">
        <v>-1.3</v>
      </c>
      <c r="Y527" s="51">
        <f t="shared" si="367"/>
        <v>8.6000000000232824</v>
      </c>
      <c r="Z527" s="52"/>
      <c r="AA527" s="53">
        <f t="shared" si="368"/>
        <v>26242.859999999986</v>
      </c>
      <c r="AB527" s="54"/>
      <c r="AC527" s="54"/>
      <c r="AD527" s="54"/>
      <c r="AE527" s="54">
        <f t="shared" si="369"/>
        <v>26242.859999999986</v>
      </c>
      <c r="AF527" s="53"/>
      <c r="AG527" s="53">
        <f t="shared" si="346"/>
        <v>23.040000000083818</v>
      </c>
      <c r="AH527" s="54"/>
      <c r="AI527" s="54"/>
      <c r="AJ527" s="54"/>
      <c r="AK527" s="54">
        <f t="shared" si="370"/>
        <v>23.040000000083818</v>
      </c>
      <c r="AL527" s="53"/>
      <c r="AM527" s="53">
        <f t="shared" si="353"/>
        <v>0</v>
      </c>
      <c r="AN527" s="54"/>
      <c r="AO527" s="54"/>
      <c r="AP527" s="54"/>
      <c r="AQ527" s="54">
        <f t="shared" si="354"/>
        <v>0</v>
      </c>
      <c r="AR527" s="53"/>
      <c r="AS527" s="50">
        <f t="shared" si="371"/>
        <v>-4917196.5279999981</v>
      </c>
      <c r="AT527" s="73">
        <f t="shared" si="378"/>
        <v>0</v>
      </c>
      <c r="AU527" s="50">
        <f t="shared" si="347"/>
        <v>0</v>
      </c>
      <c r="AV527" s="50">
        <f t="shared" si="379"/>
        <v>-71457.820000000414</v>
      </c>
      <c r="AW527" s="50" t="e">
        <f>SUM(#REF!)</f>
        <v>#REF!</v>
      </c>
      <c r="AX527" s="50">
        <f t="shared" si="356"/>
        <v>-4988654.3479999993</v>
      </c>
      <c r="AY527" s="50">
        <f t="shared" si="357"/>
        <v>9300000</v>
      </c>
      <c r="AZ527" s="50">
        <f t="shared" si="358"/>
        <v>4311345.6520000007</v>
      </c>
      <c r="BA527" s="15">
        <f t="shared" si="341"/>
        <v>-4157.2119566666661</v>
      </c>
      <c r="BB527" s="15">
        <f t="shared" ref="BB527:BB590" si="382">BA527+BB526</f>
        <v>-14507.304293333329</v>
      </c>
    </row>
    <row r="528" spans="2:54" s="58" customFormat="1" ht="16.5" customHeight="1" x14ac:dyDescent="0.3">
      <c r="B528" s="99">
        <f t="shared" si="335"/>
        <v>44902</v>
      </c>
      <c r="C528" s="44">
        <f t="shared" si="361"/>
        <v>-3850298.817999999</v>
      </c>
      <c r="D528" s="45"/>
      <c r="E528" s="45">
        <v>950000</v>
      </c>
      <c r="F528" s="45">
        <v>-1679.64</v>
      </c>
      <c r="G528" s="45">
        <f t="shared" si="336"/>
        <v>-2901978.4579999992</v>
      </c>
      <c r="H528" s="44">
        <v>4300000</v>
      </c>
      <c r="I528" s="46">
        <f t="shared" si="362"/>
        <v>-1327940.9099999999</v>
      </c>
      <c r="J528" s="47"/>
      <c r="K528" s="47">
        <v>-800000</v>
      </c>
      <c r="L528" s="47">
        <f>-1146539.18+800000</f>
        <v>-346539.17999999993</v>
      </c>
      <c r="M528" s="47">
        <f t="shared" si="363"/>
        <v>-2474480.09</v>
      </c>
      <c r="N528" s="46">
        <v>5000000</v>
      </c>
      <c r="O528" s="48">
        <f t="shared" si="364"/>
        <v>163310.88</v>
      </c>
      <c r="P528" s="55"/>
      <c r="Q528" s="55">
        <v>-150000</v>
      </c>
      <c r="R528" s="55">
        <f>-7038.75-1300-11</f>
        <v>-8349.75</v>
      </c>
      <c r="S528" s="55">
        <f t="shared" si="365"/>
        <v>4961.1300000000047</v>
      </c>
      <c r="T528" s="48"/>
      <c r="U528" s="49">
        <f t="shared" si="366"/>
        <v>8.6000000000232824</v>
      </c>
      <c r="V528" s="51"/>
      <c r="W528" s="51"/>
      <c r="X528" s="51"/>
      <c r="Y528" s="51">
        <f t="shared" si="367"/>
        <v>8.6000000000232824</v>
      </c>
      <c r="Z528" s="52"/>
      <c r="AA528" s="53">
        <f t="shared" si="368"/>
        <v>26242.859999999986</v>
      </c>
      <c r="AB528" s="54"/>
      <c r="AC528" s="54"/>
      <c r="AD528" s="54"/>
      <c r="AE528" s="54">
        <f t="shared" si="369"/>
        <v>26242.859999999986</v>
      </c>
      <c r="AF528" s="53"/>
      <c r="AG528" s="53">
        <f t="shared" si="346"/>
        <v>23.040000000083818</v>
      </c>
      <c r="AH528" s="54"/>
      <c r="AI528" s="54"/>
      <c r="AJ528" s="54"/>
      <c r="AK528" s="54">
        <f t="shared" si="370"/>
        <v>23.040000000083818</v>
      </c>
      <c r="AL528" s="53"/>
      <c r="AM528" s="53">
        <f t="shared" si="353"/>
        <v>0</v>
      </c>
      <c r="AN528" s="54"/>
      <c r="AO528" s="54"/>
      <c r="AP528" s="54"/>
      <c r="AQ528" s="54">
        <f t="shared" si="354"/>
        <v>0</v>
      </c>
      <c r="AR528" s="53"/>
      <c r="AS528" s="50">
        <f t="shared" si="371"/>
        <v>-4988654.3479999993</v>
      </c>
      <c r="AT528" s="73">
        <f t="shared" si="378"/>
        <v>0</v>
      </c>
      <c r="AU528" s="50">
        <f t="shared" si="347"/>
        <v>0</v>
      </c>
      <c r="AV528" s="50">
        <f t="shared" si="379"/>
        <v>-356568.56999999995</v>
      </c>
      <c r="AW528" s="50" t="e">
        <f>SUM(#REF!)</f>
        <v>#REF!</v>
      </c>
      <c r="AX528" s="50">
        <f t="shared" si="356"/>
        <v>-5345222.9179999987</v>
      </c>
      <c r="AY528" s="50">
        <f t="shared" si="357"/>
        <v>9300000</v>
      </c>
      <c r="AZ528" s="50">
        <f t="shared" si="358"/>
        <v>3954777.0820000013</v>
      </c>
      <c r="BA528" s="15">
        <f t="shared" si="341"/>
        <v>-4454.3524316666662</v>
      </c>
      <c r="BB528" s="15">
        <f t="shared" si="382"/>
        <v>-18961.656724999993</v>
      </c>
    </row>
    <row r="529" spans="2:54" s="58" customFormat="1" ht="16.5" customHeight="1" x14ac:dyDescent="0.3">
      <c r="B529" s="99">
        <f t="shared" si="335"/>
        <v>44903</v>
      </c>
      <c r="C529" s="44">
        <f t="shared" si="361"/>
        <v>-2901978.4579999992</v>
      </c>
      <c r="D529" s="45"/>
      <c r="E529" s="45"/>
      <c r="F529" s="45"/>
      <c r="G529" s="45">
        <f t="shared" si="336"/>
        <v>-2901978.4579999992</v>
      </c>
      <c r="H529" s="44">
        <v>4300000</v>
      </c>
      <c r="I529" s="46">
        <f t="shared" si="362"/>
        <v>-2474480.09</v>
      </c>
      <c r="J529" s="47"/>
      <c r="K529" s="47"/>
      <c r="L529" s="47"/>
      <c r="M529" s="47">
        <f t="shared" si="363"/>
        <v>-2474480.09</v>
      </c>
      <c r="N529" s="46">
        <v>5000000</v>
      </c>
      <c r="O529" s="48">
        <f t="shared" si="364"/>
        <v>4961.1300000000047</v>
      </c>
      <c r="P529" s="55">
        <f>551+1044.24</f>
        <v>1595.24</v>
      </c>
      <c r="Q529" s="55"/>
      <c r="R529" s="55"/>
      <c r="S529" s="55">
        <f t="shared" si="365"/>
        <v>6556.3700000000044</v>
      </c>
      <c r="T529" s="48"/>
      <c r="U529" s="49">
        <f t="shared" si="366"/>
        <v>8.6000000000232824</v>
      </c>
      <c r="V529" s="51"/>
      <c r="W529" s="51"/>
      <c r="X529" s="51"/>
      <c r="Y529" s="51">
        <f t="shared" si="367"/>
        <v>8.6000000000232824</v>
      </c>
      <c r="Z529" s="52"/>
      <c r="AA529" s="53">
        <f t="shared" si="368"/>
        <v>26242.859999999986</v>
      </c>
      <c r="AB529" s="54"/>
      <c r="AC529" s="54"/>
      <c r="AD529" s="54"/>
      <c r="AE529" s="54">
        <f t="shared" si="369"/>
        <v>26242.859999999986</v>
      </c>
      <c r="AF529" s="53"/>
      <c r="AG529" s="53">
        <f t="shared" si="346"/>
        <v>23.040000000083818</v>
      </c>
      <c r="AH529" s="54"/>
      <c r="AI529" s="54"/>
      <c r="AJ529" s="54"/>
      <c r="AK529" s="54">
        <f t="shared" si="370"/>
        <v>23.040000000083818</v>
      </c>
      <c r="AL529" s="53"/>
      <c r="AM529" s="53">
        <f t="shared" si="353"/>
        <v>0</v>
      </c>
      <c r="AN529" s="54"/>
      <c r="AO529" s="54"/>
      <c r="AP529" s="54"/>
      <c r="AQ529" s="54">
        <f t="shared" si="354"/>
        <v>0</v>
      </c>
      <c r="AR529" s="53"/>
      <c r="AS529" s="50">
        <f t="shared" si="371"/>
        <v>-5345222.9179999987</v>
      </c>
      <c r="AT529" s="73">
        <f t="shared" si="378"/>
        <v>1595.24</v>
      </c>
      <c r="AU529" s="50">
        <f t="shared" si="347"/>
        <v>0</v>
      </c>
      <c r="AV529" s="50">
        <f t="shared" si="379"/>
        <v>0</v>
      </c>
      <c r="AW529" s="50" t="e">
        <f>SUM(#REF!)</f>
        <v>#REF!</v>
      </c>
      <c r="AX529" s="50">
        <f t="shared" si="356"/>
        <v>-5343627.6779999984</v>
      </c>
      <c r="AY529" s="50">
        <f t="shared" si="357"/>
        <v>9300000</v>
      </c>
      <c r="AZ529" s="50">
        <f t="shared" si="358"/>
        <v>3956372.3220000016</v>
      </c>
      <c r="BA529" s="15">
        <f t="shared" si="341"/>
        <v>-4453.0230649999994</v>
      </c>
      <c r="BB529" s="15">
        <f t="shared" si="382"/>
        <v>-23414.679789999995</v>
      </c>
    </row>
    <row r="530" spans="2:54" s="58" customFormat="1" ht="16.5" customHeight="1" x14ac:dyDescent="0.3">
      <c r="B530" s="99">
        <f t="shared" si="335"/>
        <v>44904</v>
      </c>
      <c r="C530" s="44">
        <f t="shared" si="361"/>
        <v>-2901978.4579999992</v>
      </c>
      <c r="D530" s="45">
        <v>321531</v>
      </c>
      <c r="E530" s="45"/>
      <c r="F530" s="45">
        <v>-40.1</v>
      </c>
      <c r="G530" s="45">
        <f t="shared" si="336"/>
        <v>-2580487.5579999993</v>
      </c>
      <c r="H530" s="44">
        <v>4300000</v>
      </c>
      <c r="I530" s="46">
        <f t="shared" si="362"/>
        <v>-2474480.09</v>
      </c>
      <c r="J530" s="47">
        <v>26981.87</v>
      </c>
      <c r="K530" s="47"/>
      <c r="L530" s="47">
        <v>-49754.6700000001</v>
      </c>
      <c r="M530" s="47">
        <f t="shared" si="363"/>
        <v>-2497252.8899999997</v>
      </c>
      <c r="N530" s="46">
        <v>5000000</v>
      </c>
      <c r="O530" s="48">
        <f t="shared" si="364"/>
        <v>6556.3700000000044</v>
      </c>
      <c r="P530" s="55">
        <f>163.84+157.12+512.32+880.1</f>
        <v>1713.38</v>
      </c>
      <c r="Q530" s="55"/>
      <c r="R530" s="55"/>
      <c r="S530" s="55">
        <f t="shared" si="365"/>
        <v>8269.7500000000036</v>
      </c>
      <c r="T530" s="48"/>
      <c r="U530" s="49">
        <f t="shared" si="366"/>
        <v>8.6000000000232824</v>
      </c>
      <c r="V530" s="51">
        <v>38904.58</v>
      </c>
      <c r="W530" s="51"/>
      <c r="X530" s="51"/>
      <c r="Y530" s="51">
        <f t="shared" si="367"/>
        <v>38913.180000000022</v>
      </c>
      <c r="Z530" s="52"/>
      <c r="AA530" s="53">
        <f t="shared" si="368"/>
        <v>26242.859999999986</v>
      </c>
      <c r="AB530" s="54"/>
      <c r="AC530" s="54"/>
      <c r="AD530" s="54"/>
      <c r="AE530" s="54">
        <f t="shared" si="369"/>
        <v>26242.859999999986</v>
      </c>
      <c r="AF530" s="53"/>
      <c r="AG530" s="53">
        <f t="shared" si="346"/>
        <v>23.040000000083818</v>
      </c>
      <c r="AH530" s="54"/>
      <c r="AI530" s="54"/>
      <c r="AJ530" s="54"/>
      <c r="AK530" s="54">
        <f t="shared" si="370"/>
        <v>23.040000000083818</v>
      </c>
      <c r="AL530" s="53"/>
      <c r="AM530" s="53">
        <f t="shared" si="353"/>
        <v>0</v>
      </c>
      <c r="AN530" s="54"/>
      <c r="AO530" s="54"/>
      <c r="AP530" s="54"/>
      <c r="AQ530" s="54">
        <f t="shared" si="354"/>
        <v>0</v>
      </c>
      <c r="AR530" s="53"/>
      <c r="AS530" s="50">
        <f t="shared" si="371"/>
        <v>-5343627.6779999984</v>
      </c>
      <c r="AT530" s="73">
        <f t="shared" si="378"/>
        <v>389130.83</v>
      </c>
      <c r="AU530" s="50">
        <f t="shared" si="347"/>
        <v>0</v>
      </c>
      <c r="AV530" s="50">
        <f t="shared" si="379"/>
        <v>-49794.770000000099</v>
      </c>
      <c r="AW530" s="50" t="e">
        <f>SUM(#REF!)</f>
        <v>#REF!</v>
      </c>
      <c r="AX530" s="50">
        <f t="shared" si="356"/>
        <v>-5004291.6179999989</v>
      </c>
      <c r="AY530" s="50">
        <f t="shared" si="357"/>
        <v>9300000</v>
      </c>
      <c r="AZ530" s="50">
        <f t="shared" si="358"/>
        <v>4295708.3820000011</v>
      </c>
      <c r="BA530" s="15">
        <f t="shared" si="341"/>
        <v>-4170.2430149999991</v>
      </c>
      <c r="BB530" s="15">
        <f t="shared" si="382"/>
        <v>-27584.922804999995</v>
      </c>
    </row>
    <row r="531" spans="2:54" s="58" customFormat="1" ht="16.5" customHeight="1" x14ac:dyDescent="0.3">
      <c r="B531" s="99">
        <f t="shared" ref="B531" si="383">B530+3</f>
        <v>44907</v>
      </c>
      <c r="C531" s="44">
        <f t="shared" si="361"/>
        <v>-2580487.5579999993</v>
      </c>
      <c r="D531" s="45">
        <v>138147.01999999999</v>
      </c>
      <c r="E531" s="45">
        <v>-200000</v>
      </c>
      <c r="F531" s="45">
        <v>-2289.9899999999998</v>
      </c>
      <c r="G531" s="45">
        <f t="shared" si="336"/>
        <v>-2644630.5279999995</v>
      </c>
      <c r="H531" s="44">
        <v>4300000</v>
      </c>
      <c r="I531" s="46">
        <f t="shared" si="362"/>
        <v>-2497252.8899999997</v>
      </c>
      <c r="J531" s="47">
        <f>55567.04+49505.87</f>
        <v>105072.91</v>
      </c>
      <c r="K531" s="47">
        <f>200000+40000</f>
        <v>240000</v>
      </c>
      <c r="L531" s="47">
        <v>-93645.190000000497</v>
      </c>
      <c r="M531" s="47">
        <f t="shared" si="363"/>
        <v>-2245825.17</v>
      </c>
      <c r="N531" s="46">
        <v>5000000</v>
      </c>
      <c r="O531" s="48">
        <f t="shared" si="364"/>
        <v>8269.7500000000036</v>
      </c>
      <c r="P531" s="55">
        <f>222.38+162.88+651.84</f>
        <v>1037.0999999999999</v>
      </c>
      <c r="Q531" s="55">
        <f>-40000+38900</f>
        <v>-1100</v>
      </c>
      <c r="R531" s="55">
        <v>-11</v>
      </c>
      <c r="S531" s="55">
        <f>SUM(O531:R531)</f>
        <v>8195.850000000004</v>
      </c>
      <c r="T531" s="48"/>
      <c r="U531" s="49">
        <f t="shared" si="366"/>
        <v>38913.180000000022</v>
      </c>
      <c r="V531" s="51"/>
      <c r="W531" s="51">
        <v>-38900</v>
      </c>
      <c r="X531" s="51"/>
      <c r="Y531" s="51">
        <f t="shared" si="367"/>
        <v>13.180000000022119</v>
      </c>
      <c r="Z531" s="52"/>
      <c r="AA531" s="53">
        <f t="shared" si="368"/>
        <v>26242.859999999986</v>
      </c>
      <c r="AB531" s="54">
        <v>2</v>
      </c>
      <c r="AC531" s="54"/>
      <c r="AD531" s="54">
        <v>-343</v>
      </c>
      <c r="AE531" s="54">
        <f t="shared" si="369"/>
        <v>25901.859999999986</v>
      </c>
      <c r="AF531" s="53"/>
      <c r="AG531" s="53">
        <f t="shared" si="346"/>
        <v>23.040000000083818</v>
      </c>
      <c r="AH531" s="54"/>
      <c r="AI531" s="54"/>
      <c r="AJ531" s="54"/>
      <c r="AK531" s="54">
        <f t="shared" si="370"/>
        <v>23.040000000083818</v>
      </c>
      <c r="AL531" s="53"/>
      <c r="AM531" s="53">
        <f t="shared" si="353"/>
        <v>0</v>
      </c>
      <c r="AN531" s="54"/>
      <c r="AO531" s="54"/>
      <c r="AP531" s="54"/>
      <c r="AQ531" s="54">
        <f t="shared" si="354"/>
        <v>0</v>
      </c>
      <c r="AR531" s="53"/>
      <c r="AS531" s="50">
        <f t="shared" si="371"/>
        <v>-5004291.6179999989</v>
      </c>
      <c r="AT531" s="73">
        <f t="shared" si="378"/>
        <v>244259.03</v>
      </c>
      <c r="AU531" s="50">
        <f t="shared" si="347"/>
        <v>0</v>
      </c>
      <c r="AV531" s="50">
        <f t="shared" si="379"/>
        <v>-96289.180000000502</v>
      </c>
      <c r="AW531" s="50" t="e">
        <f>SUM(#REF!)</f>
        <v>#REF!</v>
      </c>
      <c r="AX531" s="50">
        <f t="shared" si="356"/>
        <v>-4856321.7679999992</v>
      </c>
      <c r="AY531" s="50">
        <f t="shared" si="357"/>
        <v>9300000</v>
      </c>
      <c r="AZ531" s="50">
        <f t="shared" si="358"/>
        <v>4443678.2320000008</v>
      </c>
      <c r="BA531" s="15">
        <f t="shared" si="341"/>
        <v>-4046.9348066666662</v>
      </c>
      <c r="BB531" s="15">
        <f t="shared" si="382"/>
        <v>-31631.857611666659</v>
      </c>
    </row>
    <row r="532" spans="2:54" s="58" customFormat="1" ht="16.5" customHeight="1" x14ac:dyDescent="0.3">
      <c r="B532" s="99">
        <f t="shared" ref="B532:B595" si="384">B531+1</f>
        <v>44908</v>
      </c>
      <c r="C532" s="44">
        <f t="shared" si="361"/>
        <v>-2644630.5279999995</v>
      </c>
      <c r="D532" s="45"/>
      <c r="E532" s="45">
        <v>1400000</v>
      </c>
      <c r="F532" s="45">
        <f>-10957.82+1571.1</f>
        <v>-9386.7199999999993</v>
      </c>
      <c r="G532" s="45">
        <f t="shared" si="336"/>
        <v>-1254017.2479999994</v>
      </c>
      <c r="H532" s="44">
        <v>4300000</v>
      </c>
      <c r="I532" s="46">
        <f t="shared" si="362"/>
        <v>-2245825.17</v>
      </c>
      <c r="J532" s="47">
        <f>788027.53-7000</f>
        <v>781027.53</v>
      </c>
      <c r="K532" s="47"/>
      <c r="L532" s="47">
        <f>-(522.9+2250+669.9+1750.46)</f>
        <v>-5193.26</v>
      </c>
      <c r="M532" s="47">
        <f t="shared" si="363"/>
        <v>-1469990.9</v>
      </c>
      <c r="N532" s="46">
        <v>5000000</v>
      </c>
      <c r="O532" s="48">
        <f t="shared" si="364"/>
        <v>8195.850000000004</v>
      </c>
      <c r="P532" s="55"/>
      <c r="Q532" s="55">
        <v>54000</v>
      </c>
      <c r="R532" s="55"/>
      <c r="S532" s="55">
        <f t="shared" si="365"/>
        <v>62195.850000000006</v>
      </c>
      <c r="T532" s="48"/>
      <c r="U532" s="49">
        <f t="shared" si="366"/>
        <v>13.180000000022119</v>
      </c>
      <c r="V532" s="51">
        <v>54095.9</v>
      </c>
      <c r="W532" s="51">
        <v>-54000</v>
      </c>
      <c r="X532" s="51">
        <v>-2.6</v>
      </c>
      <c r="Y532" s="51">
        <f t="shared" si="367"/>
        <v>106.48000000002358</v>
      </c>
      <c r="Z532" s="52"/>
      <c r="AA532" s="53">
        <f t="shared" si="368"/>
        <v>25901.859999999986</v>
      </c>
      <c r="AB532" s="54">
        <v>1391443.15</v>
      </c>
      <c r="AC532" s="54">
        <v>-1400000</v>
      </c>
      <c r="AD532" s="54"/>
      <c r="AE532" s="54">
        <f t="shared" si="369"/>
        <v>17345.009999999776</v>
      </c>
      <c r="AF532" s="53"/>
      <c r="AG532" s="53">
        <f t="shared" si="346"/>
        <v>23.040000000083818</v>
      </c>
      <c r="AH532" s="54"/>
      <c r="AI532" s="54"/>
      <c r="AJ532" s="54"/>
      <c r="AK532" s="54">
        <f t="shared" si="370"/>
        <v>23.040000000083818</v>
      </c>
      <c r="AL532" s="53"/>
      <c r="AM532" s="53">
        <f t="shared" si="353"/>
        <v>0</v>
      </c>
      <c r="AN532" s="54"/>
      <c r="AO532" s="54"/>
      <c r="AP532" s="54"/>
      <c r="AQ532" s="54">
        <f t="shared" si="354"/>
        <v>0</v>
      </c>
      <c r="AR532" s="53"/>
      <c r="AS532" s="50">
        <f t="shared" si="371"/>
        <v>-4856321.7679999992</v>
      </c>
      <c r="AT532" s="73">
        <f t="shared" si="378"/>
        <v>2226566.58</v>
      </c>
      <c r="AU532" s="50">
        <f t="shared" si="347"/>
        <v>0</v>
      </c>
      <c r="AV532" s="50">
        <f t="shared" si="379"/>
        <v>-14582.58</v>
      </c>
      <c r="AW532" s="50" t="e">
        <f>SUM(#REF!)</f>
        <v>#REF!</v>
      </c>
      <c r="AX532" s="50">
        <f t="shared" si="356"/>
        <v>-2644337.7679999992</v>
      </c>
      <c r="AY532" s="50">
        <f t="shared" si="357"/>
        <v>9300000</v>
      </c>
      <c r="AZ532" s="50">
        <f t="shared" si="358"/>
        <v>6655662.2320000008</v>
      </c>
      <c r="BA532" s="15">
        <f t="shared" si="341"/>
        <v>-2203.614806666666</v>
      </c>
      <c r="BB532" s="15">
        <f t="shared" si="382"/>
        <v>-33835.472418333324</v>
      </c>
    </row>
    <row r="533" spans="2:54" s="58" customFormat="1" ht="16.5" customHeight="1" x14ac:dyDescent="0.3">
      <c r="B533" s="99">
        <f t="shared" si="384"/>
        <v>44909</v>
      </c>
      <c r="C533" s="44">
        <f t="shared" si="361"/>
        <v>-1254017.2479999994</v>
      </c>
      <c r="D533" s="45"/>
      <c r="E533" s="45"/>
      <c r="F533" s="45">
        <v>-17748.91</v>
      </c>
      <c r="G533" s="45">
        <f t="shared" ref="G533:G596" si="385">SUM(C533:F533)</f>
        <v>-1271766.1579999994</v>
      </c>
      <c r="H533" s="44">
        <v>4300000</v>
      </c>
      <c r="I533" s="46">
        <f t="shared" si="362"/>
        <v>-1469990.9</v>
      </c>
      <c r="J533" s="47">
        <v>17788.580000000002</v>
      </c>
      <c r="K533" s="47"/>
      <c r="L533" s="47">
        <v>-251113.61</v>
      </c>
      <c r="M533" s="47">
        <f t="shared" si="363"/>
        <v>-1703315.9299999997</v>
      </c>
      <c r="N533" s="46">
        <v>5000000</v>
      </c>
      <c r="O533" s="48">
        <f t="shared" si="364"/>
        <v>62195.850000000006</v>
      </c>
      <c r="P533" s="55"/>
      <c r="Q533" s="55"/>
      <c r="R533" s="55">
        <v>-488.04</v>
      </c>
      <c r="S533" s="55">
        <f t="shared" si="365"/>
        <v>61707.810000000005</v>
      </c>
      <c r="T533" s="48"/>
      <c r="U533" s="49">
        <f t="shared" si="366"/>
        <v>106.48000000002358</v>
      </c>
      <c r="V533" s="51"/>
      <c r="W533" s="51"/>
      <c r="X533" s="51"/>
      <c r="Y533" s="51">
        <f t="shared" si="367"/>
        <v>106.48000000002358</v>
      </c>
      <c r="Z533" s="52"/>
      <c r="AA533" s="53">
        <f t="shared" si="368"/>
        <v>17345.009999999776</v>
      </c>
      <c r="AB533" s="54"/>
      <c r="AC533" s="54"/>
      <c r="AD533" s="54"/>
      <c r="AE533" s="54">
        <f t="shared" si="369"/>
        <v>17345.009999999776</v>
      </c>
      <c r="AF533" s="53"/>
      <c r="AG533" s="53">
        <f t="shared" si="346"/>
        <v>23.040000000083818</v>
      </c>
      <c r="AH533" s="54"/>
      <c r="AI533" s="54"/>
      <c r="AJ533" s="54"/>
      <c r="AK533" s="54">
        <f t="shared" si="370"/>
        <v>23.040000000083818</v>
      </c>
      <c r="AL533" s="53"/>
      <c r="AM533" s="53">
        <f t="shared" si="353"/>
        <v>0</v>
      </c>
      <c r="AN533" s="54"/>
      <c r="AO533" s="54"/>
      <c r="AP533" s="54"/>
      <c r="AQ533" s="54">
        <f t="shared" si="354"/>
        <v>0</v>
      </c>
      <c r="AR533" s="53"/>
      <c r="AS533" s="50">
        <f t="shared" si="371"/>
        <v>-2644337.7679999992</v>
      </c>
      <c r="AT533" s="73">
        <f t="shared" si="378"/>
        <v>17788.580000000002</v>
      </c>
      <c r="AU533" s="50">
        <f t="shared" si="347"/>
        <v>0</v>
      </c>
      <c r="AV533" s="50">
        <f t="shared" si="379"/>
        <v>-269350.55999999994</v>
      </c>
      <c r="AW533" s="50" t="e">
        <f>SUM(#REF!)</f>
        <v>#REF!</v>
      </c>
      <c r="AX533" s="50">
        <f t="shared" si="356"/>
        <v>-2895899.7479999992</v>
      </c>
      <c r="AY533" s="50">
        <f t="shared" si="357"/>
        <v>9300000</v>
      </c>
      <c r="AZ533" s="50">
        <f t="shared" si="358"/>
        <v>6404100.2520000003</v>
      </c>
      <c r="BA533" s="15">
        <f t="shared" si="341"/>
        <v>-2413.2497899999994</v>
      </c>
      <c r="BB533" s="15">
        <f t="shared" si="382"/>
        <v>-36248.722208333325</v>
      </c>
    </row>
    <row r="534" spans="2:54" s="58" customFormat="1" ht="16.5" customHeight="1" x14ac:dyDescent="0.3">
      <c r="B534" s="99">
        <f t="shared" si="384"/>
        <v>44910</v>
      </c>
      <c r="C534" s="44">
        <f t="shared" si="361"/>
        <v>-1271766.1579999994</v>
      </c>
      <c r="D534" s="45">
        <f>784676.53-71615.99</f>
        <v>713060.54</v>
      </c>
      <c r="E534" s="45">
        <v>-1000000</v>
      </c>
      <c r="F534" s="45">
        <v>-1129736.21</v>
      </c>
      <c r="G534" s="45">
        <f t="shared" si="385"/>
        <v>-2688441.8279999993</v>
      </c>
      <c r="H534" s="44">
        <v>4300000</v>
      </c>
      <c r="I534" s="46">
        <f t="shared" si="362"/>
        <v>-1703315.9299999997</v>
      </c>
      <c r="J534" s="47">
        <v>28839.16</v>
      </c>
      <c r="K534" s="47">
        <v>1000000</v>
      </c>
      <c r="L534" s="47">
        <v>-1185992.98</v>
      </c>
      <c r="M534" s="47">
        <f t="shared" si="363"/>
        <v>-1860469.7499999998</v>
      </c>
      <c r="N534" s="46">
        <v>5000000</v>
      </c>
      <c r="O534" s="48">
        <f t="shared" si="364"/>
        <v>61707.810000000005</v>
      </c>
      <c r="P534" s="55"/>
      <c r="Q534" s="55"/>
      <c r="R534" s="55"/>
      <c r="S534" s="55">
        <f t="shared" si="365"/>
        <v>61707.810000000005</v>
      </c>
      <c r="T534" s="48"/>
      <c r="U534" s="49">
        <f t="shared" si="366"/>
        <v>106.48000000002358</v>
      </c>
      <c r="V534" s="51"/>
      <c r="W534" s="51"/>
      <c r="X534" s="51"/>
      <c r="Y534" s="51">
        <f t="shared" si="367"/>
        <v>106.48000000002358</v>
      </c>
      <c r="Z534" s="52"/>
      <c r="AA534" s="53">
        <f t="shared" si="368"/>
        <v>17345.009999999776</v>
      </c>
      <c r="AB534" s="54"/>
      <c r="AC534" s="54"/>
      <c r="AD534" s="54"/>
      <c r="AE534" s="54">
        <f t="shared" si="369"/>
        <v>17345.009999999776</v>
      </c>
      <c r="AF534" s="53"/>
      <c r="AG534" s="53">
        <f t="shared" si="346"/>
        <v>23.040000000083818</v>
      </c>
      <c r="AH534" s="54"/>
      <c r="AI534" s="54"/>
      <c r="AJ534" s="54"/>
      <c r="AK534" s="54">
        <f t="shared" si="370"/>
        <v>23.040000000083818</v>
      </c>
      <c r="AL534" s="53"/>
      <c r="AM534" s="53">
        <f t="shared" si="353"/>
        <v>0</v>
      </c>
      <c r="AN534" s="54"/>
      <c r="AO534" s="54"/>
      <c r="AP534" s="54"/>
      <c r="AQ534" s="54">
        <f t="shared" si="354"/>
        <v>0</v>
      </c>
      <c r="AR534" s="53"/>
      <c r="AS534" s="50">
        <f t="shared" si="371"/>
        <v>-2895899.7479999992</v>
      </c>
      <c r="AT534" s="73">
        <f t="shared" si="378"/>
        <v>741899.70000000007</v>
      </c>
      <c r="AU534" s="50">
        <f t="shared" si="347"/>
        <v>0</v>
      </c>
      <c r="AV534" s="50">
        <f t="shared" si="379"/>
        <v>-2315729.19</v>
      </c>
      <c r="AW534" s="50" t="e">
        <f>SUM(#REF!)</f>
        <v>#REF!</v>
      </c>
      <c r="AX534" s="50">
        <f t="shared" si="356"/>
        <v>-4469729.237999999</v>
      </c>
      <c r="AY534" s="50">
        <f t="shared" si="357"/>
        <v>9300000</v>
      </c>
      <c r="AZ534" s="50">
        <f t="shared" si="358"/>
        <v>4830270.762000001</v>
      </c>
      <c r="BA534" s="15">
        <f t="shared" si="341"/>
        <v>-3724.7743649999993</v>
      </c>
      <c r="BB534" s="15">
        <f t="shared" si="382"/>
        <v>-39973.496573333323</v>
      </c>
    </row>
    <row r="535" spans="2:54" s="58" customFormat="1" ht="16.5" customHeight="1" x14ac:dyDescent="0.3">
      <c r="B535" s="99">
        <f t="shared" si="384"/>
        <v>44911</v>
      </c>
      <c r="C535" s="44">
        <f t="shared" si="361"/>
        <v>-2688441.8279999993</v>
      </c>
      <c r="D535" s="45">
        <v>176232.69</v>
      </c>
      <c r="E535" s="45"/>
      <c r="F535" s="45"/>
      <c r="G535" s="45">
        <f t="shared" si="385"/>
        <v>-2512209.1379999993</v>
      </c>
      <c r="H535" s="44">
        <v>4300000</v>
      </c>
      <c r="I535" s="46">
        <f t="shared" si="362"/>
        <v>-1860469.7499999998</v>
      </c>
      <c r="J535" s="47">
        <f>362396.85+55913.85+209741.07+224776.55+230640.3</f>
        <v>1083468.6200000001</v>
      </c>
      <c r="K535" s="47">
        <v>110000</v>
      </c>
      <c r="L535" s="47">
        <v>-1003932.5</v>
      </c>
      <c r="M535" s="47">
        <f t="shared" si="363"/>
        <v>-1670933.6299999997</v>
      </c>
      <c r="N535" s="46">
        <v>5000000</v>
      </c>
      <c r="O535" s="48">
        <f t="shared" si="364"/>
        <v>61707.810000000005</v>
      </c>
      <c r="P535" s="55"/>
      <c r="Q535" s="55">
        <f>-110000+56380</f>
        <v>-53620</v>
      </c>
      <c r="R535" s="55">
        <v>-11</v>
      </c>
      <c r="S535" s="55">
        <f t="shared" si="365"/>
        <v>8076.8100000000049</v>
      </c>
      <c r="T535" s="48"/>
      <c r="U535" s="49">
        <f t="shared" si="366"/>
        <v>106.48000000002358</v>
      </c>
      <c r="V535" s="51">
        <v>56287.47</v>
      </c>
      <c r="W535" s="51">
        <v>-56380</v>
      </c>
      <c r="X535" s="51">
        <v>-1.3</v>
      </c>
      <c r="Y535" s="51">
        <f t="shared" si="367"/>
        <v>12.650000000026193</v>
      </c>
      <c r="Z535" s="52"/>
      <c r="AA535" s="53">
        <f t="shared" si="368"/>
        <v>17345.009999999776</v>
      </c>
      <c r="AB535" s="54"/>
      <c r="AC535" s="54"/>
      <c r="AD535" s="54">
        <v>-4549.01</v>
      </c>
      <c r="AE535" s="54">
        <f t="shared" si="369"/>
        <v>12795.999999999776</v>
      </c>
      <c r="AF535" s="53"/>
      <c r="AG535" s="53">
        <f t="shared" si="346"/>
        <v>23.040000000083818</v>
      </c>
      <c r="AH535" s="54"/>
      <c r="AI535" s="54"/>
      <c r="AJ535" s="54"/>
      <c r="AK535" s="54">
        <f t="shared" si="370"/>
        <v>23.040000000083818</v>
      </c>
      <c r="AL535" s="53"/>
      <c r="AM535" s="53">
        <f t="shared" si="353"/>
        <v>0</v>
      </c>
      <c r="AN535" s="54"/>
      <c r="AO535" s="54"/>
      <c r="AP535" s="54"/>
      <c r="AQ535" s="54">
        <f t="shared" si="354"/>
        <v>0</v>
      </c>
      <c r="AR535" s="53"/>
      <c r="AS535" s="50">
        <f t="shared" si="371"/>
        <v>-4469729.237999999</v>
      </c>
      <c r="AT535" s="73">
        <f t="shared" si="378"/>
        <v>1315988.78</v>
      </c>
      <c r="AU535" s="50">
        <f t="shared" si="347"/>
        <v>0</v>
      </c>
      <c r="AV535" s="50">
        <f t="shared" si="379"/>
        <v>-1008493.81</v>
      </c>
      <c r="AW535" s="50" t="e">
        <f>SUM(#REF!)</f>
        <v>#REF!</v>
      </c>
      <c r="AX535" s="50">
        <f t="shared" si="356"/>
        <v>-4162234.2679999992</v>
      </c>
      <c r="AY535" s="50">
        <f t="shared" si="357"/>
        <v>9300000</v>
      </c>
      <c r="AZ535" s="50">
        <f t="shared" si="358"/>
        <v>5137765.7320000008</v>
      </c>
      <c r="BA535" s="15">
        <f t="shared" si="341"/>
        <v>-3468.5285566666662</v>
      </c>
      <c r="BB535" s="15">
        <f t="shared" si="382"/>
        <v>-43442.025129999987</v>
      </c>
    </row>
    <row r="536" spans="2:54" s="58" customFormat="1" ht="16.5" customHeight="1" x14ac:dyDescent="0.3">
      <c r="B536" s="99">
        <f t="shared" ref="B536" si="386">B535+3</f>
        <v>44914</v>
      </c>
      <c r="C536" s="44">
        <f t="shared" si="361"/>
        <v>-2512209.1379999993</v>
      </c>
      <c r="D536" s="45"/>
      <c r="E536" s="45">
        <f>2790000-200000</f>
        <v>2590000</v>
      </c>
      <c r="F536" s="45">
        <f>-77789.86+52746.4</f>
        <v>-25043.46</v>
      </c>
      <c r="G536" s="45">
        <f t="shared" si="385"/>
        <v>52747.402000000664</v>
      </c>
      <c r="H536" s="44">
        <v>4300000</v>
      </c>
      <c r="I536" s="46">
        <f t="shared" si="362"/>
        <v>-1670933.6299999997</v>
      </c>
      <c r="J536" s="47">
        <f>211093.75+123252.11+86189.73+10729.97+5909.73</f>
        <v>437175.28999999992</v>
      </c>
      <c r="K536" s="47">
        <f>-1900000+200000</f>
        <v>-1700000</v>
      </c>
      <c r="L536" s="47">
        <v>-1288977.9199999999</v>
      </c>
      <c r="M536" s="47">
        <f t="shared" si="363"/>
        <v>-4222736.26</v>
      </c>
      <c r="N536" s="46">
        <v>5000000</v>
      </c>
      <c r="O536" s="48">
        <f t="shared" si="364"/>
        <v>8076.8100000000049</v>
      </c>
      <c r="P536" s="55">
        <v>143.36000000000001</v>
      </c>
      <c r="Q536" s="55"/>
      <c r="R536" s="55">
        <f>-460.45-373.09</f>
        <v>-833.54</v>
      </c>
      <c r="S536" s="55">
        <f t="shared" si="365"/>
        <v>7386.6300000000056</v>
      </c>
      <c r="T536" s="48"/>
      <c r="U536" s="49">
        <f t="shared" si="366"/>
        <v>12.650000000026193</v>
      </c>
      <c r="V536" s="51">
        <v>87860.5</v>
      </c>
      <c r="W536" s="51"/>
      <c r="X536" s="51"/>
      <c r="Y536" s="51">
        <f t="shared" si="367"/>
        <v>87873.150000000023</v>
      </c>
      <c r="Z536" s="52"/>
      <c r="AA536" s="53">
        <f t="shared" si="368"/>
        <v>12795.999999999776</v>
      </c>
      <c r="AB536" s="54">
        <v>885898.25</v>
      </c>
      <c r="AC536" s="54">
        <f>-890000</f>
        <v>-890000</v>
      </c>
      <c r="AD536" s="54">
        <v>-3222.85999999978</v>
      </c>
      <c r="AE536" s="54">
        <f t="shared" si="369"/>
        <v>5471.3899999999867</v>
      </c>
      <c r="AF536" s="53"/>
      <c r="AG536" s="53">
        <f t="shared" si="346"/>
        <v>23.040000000083818</v>
      </c>
      <c r="AH536" s="54"/>
      <c r="AI536" s="54"/>
      <c r="AJ536" s="54"/>
      <c r="AK536" s="54">
        <f t="shared" si="370"/>
        <v>23.040000000083818</v>
      </c>
      <c r="AL536" s="53"/>
      <c r="AM536" s="53">
        <f t="shared" si="353"/>
        <v>0</v>
      </c>
      <c r="AN536" s="54"/>
      <c r="AO536" s="54"/>
      <c r="AP536" s="54"/>
      <c r="AQ536" s="54">
        <f t="shared" si="354"/>
        <v>0</v>
      </c>
      <c r="AR536" s="53"/>
      <c r="AS536" s="50">
        <f t="shared" si="371"/>
        <v>-4162234.2679999992</v>
      </c>
      <c r="AT536" s="73">
        <f t="shared" si="378"/>
        <v>1411077.4</v>
      </c>
      <c r="AU536" s="50">
        <f t="shared" si="347"/>
        <v>0</v>
      </c>
      <c r="AV536" s="50">
        <f t="shared" si="379"/>
        <v>-1318077.7799999998</v>
      </c>
      <c r="AW536" s="50" t="e">
        <f>SUM(#REF!)</f>
        <v>#REF!</v>
      </c>
      <c r="AX536" s="50">
        <f t="shared" si="356"/>
        <v>-4069234.6479999991</v>
      </c>
      <c r="AY536" s="50">
        <f t="shared" si="357"/>
        <v>9300000</v>
      </c>
      <c r="AZ536" s="50">
        <f t="shared" si="358"/>
        <v>5230765.3520000009</v>
      </c>
      <c r="BA536" s="15">
        <f t="shared" si="341"/>
        <v>-3391.0288733333327</v>
      </c>
      <c r="BB536" s="15">
        <f t="shared" si="382"/>
        <v>-46833.054003333324</v>
      </c>
    </row>
    <row r="537" spans="2:54" s="58" customFormat="1" ht="16.5" customHeight="1" x14ac:dyDescent="0.3">
      <c r="B537" s="99">
        <f t="shared" ref="B537" si="387">B536+1</f>
        <v>44915</v>
      </c>
      <c r="C537" s="44">
        <f t="shared" si="361"/>
        <v>52747.402000000664</v>
      </c>
      <c r="D537" s="45">
        <v>331885.96999999997</v>
      </c>
      <c r="E537" s="45">
        <v>-100000</v>
      </c>
      <c r="F537" s="45">
        <v>-31842.8720000006</v>
      </c>
      <c r="G537" s="45">
        <f t="shared" si="385"/>
        <v>252790.5</v>
      </c>
      <c r="H537" s="44">
        <v>4300000</v>
      </c>
      <c r="I537" s="46">
        <f t="shared" si="362"/>
        <v>-4222736.26</v>
      </c>
      <c r="J537" s="47">
        <f>101607.49+27704.52</f>
        <v>129312.01000000001</v>
      </c>
      <c r="K537" s="47">
        <f>100000+90000</f>
        <v>190000</v>
      </c>
      <c r="L537" s="47">
        <v>-1053461.22</v>
      </c>
      <c r="M537" s="47">
        <f t="shared" si="363"/>
        <v>-4956885.47</v>
      </c>
      <c r="N537" s="46">
        <v>5000000</v>
      </c>
      <c r="O537" s="48">
        <f t="shared" si="364"/>
        <v>7386.6300000000056</v>
      </c>
      <c r="P537" s="55"/>
      <c r="Q537" s="55">
        <f>87860-90000</f>
        <v>-2140</v>
      </c>
      <c r="R537" s="55">
        <f>-310-11</f>
        <v>-321</v>
      </c>
      <c r="S537" s="55">
        <f t="shared" si="365"/>
        <v>4925.6300000000056</v>
      </c>
      <c r="T537" s="48"/>
      <c r="U537" s="49">
        <f t="shared" si="366"/>
        <v>87873.150000000023</v>
      </c>
      <c r="V537" s="51"/>
      <c r="W537" s="51">
        <v>-87860</v>
      </c>
      <c r="X537" s="51"/>
      <c r="Y537" s="51">
        <f t="shared" si="367"/>
        <v>13.150000000023283</v>
      </c>
      <c r="Z537" s="52"/>
      <c r="AA537" s="53">
        <f t="shared" si="368"/>
        <v>5471.3899999999867</v>
      </c>
      <c r="AB537" s="54"/>
      <c r="AC537" s="54"/>
      <c r="AD537" s="54">
        <v>-406</v>
      </c>
      <c r="AE537" s="54">
        <f t="shared" si="369"/>
        <v>5065.3899999999867</v>
      </c>
      <c r="AF537" s="53"/>
      <c r="AG537" s="53">
        <f t="shared" si="346"/>
        <v>23.040000000083818</v>
      </c>
      <c r="AH537" s="54"/>
      <c r="AI537" s="54"/>
      <c r="AJ537" s="54"/>
      <c r="AK537" s="54">
        <f t="shared" si="370"/>
        <v>23.040000000083818</v>
      </c>
      <c r="AL537" s="53"/>
      <c r="AM537" s="53">
        <f t="shared" si="353"/>
        <v>0</v>
      </c>
      <c r="AN537" s="54"/>
      <c r="AO537" s="54"/>
      <c r="AP537" s="54"/>
      <c r="AQ537" s="54">
        <f t="shared" si="354"/>
        <v>0</v>
      </c>
      <c r="AR537" s="53"/>
      <c r="AS537" s="50">
        <f t="shared" si="371"/>
        <v>-4069234.6479999991</v>
      </c>
      <c r="AT537" s="73">
        <f t="shared" si="378"/>
        <v>461197.98</v>
      </c>
      <c r="AU537" s="50">
        <f t="shared" si="347"/>
        <v>0</v>
      </c>
      <c r="AV537" s="50">
        <f t="shared" si="379"/>
        <v>-1086031.0920000006</v>
      </c>
      <c r="AW537" s="50" t="e">
        <f>SUM(#REF!)</f>
        <v>#REF!</v>
      </c>
      <c r="AX537" s="50">
        <f t="shared" si="356"/>
        <v>-4694067.76</v>
      </c>
      <c r="AY537" s="50">
        <f t="shared" si="357"/>
        <v>9300000</v>
      </c>
      <c r="AZ537" s="50">
        <f t="shared" si="358"/>
        <v>4605932.24</v>
      </c>
      <c r="BA537" s="15">
        <f t="shared" si="341"/>
        <v>-3911.7231333333334</v>
      </c>
      <c r="BB537" s="15">
        <f t="shared" si="382"/>
        <v>-50744.777136666657</v>
      </c>
    </row>
    <row r="538" spans="2:54" s="58" customFormat="1" ht="16.5" customHeight="1" x14ac:dyDescent="0.3">
      <c r="B538" s="99">
        <f t="shared" si="384"/>
        <v>44916</v>
      </c>
      <c r="C538" s="44">
        <f t="shared" si="361"/>
        <v>252790.5</v>
      </c>
      <c r="D538" s="45">
        <f>36828</f>
        <v>36828</v>
      </c>
      <c r="E538" s="45">
        <v>-100000</v>
      </c>
      <c r="F538" s="45">
        <v>-51234.2</v>
      </c>
      <c r="G538" s="45">
        <f t="shared" si="385"/>
        <v>138384.29999999999</v>
      </c>
      <c r="H538" s="44">
        <v>4300000</v>
      </c>
      <c r="I538" s="46">
        <f t="shared" si="362"/>
        <v>-4956885.47</v>
      </c>
      <c r="J538" s="47">
        <v>203218.27</v>
      </c>
      <c r="K538" s="47">
        <v>100000</v>
      </c>
      <c r="L538" s="47">
        <v>-266919.90999999997</v>
      </c>
      <c r="M538" s="47">
        <f t="shared" si="363"/>
        <v>-4920587.1100000003</v>
      </c>
      <c r="N538" s="46">
        <v>5000000</v>
      </c>
      <c r="O538" s="48">
        <f t="shared" si="364"/>
        <v>4925.6300000000056</v>
      </c>
      <c r="P538" s="55"/>
      <c r="Q538" s="55"/>
      <c r="R538" s="55">
        <f>-1300-430</f>
        <v>-1730</v>
      </c>
      <c r="S538" s="55">
        <f t="shared" si="365"/>
        <v>3195.6300000000056</v>
      </c>
      <c r="T538" s="48"/>
      <c r="U538" s="49">
        <f t="shared" si="366"/>
        <v>13.150000000023283</v>
      </c>
      <c r="V538" s="51"/>
      <c r="W538" s="51"/>
      <c r="X538" s="51">
        <v>-1.3</v>
      </c>
      <c r="Y538" s="51">
        <f t="shared" si="367"/>
        <v>11.850000000023282</v>
      </c>
      <c r="Z538" s="52"/>
      <c r="AA538" s="53">
        <f t="shared" si="368"/>
        <v>5065.3899999999867</v>
      </c>
      <c r="AB538" s="54"/>
      <c r="AC538" s="54"/>
      <c r="AD538" s="54"/>
      <c r="AE538" s="54">
        <f t="shared" si="369"/>
        <v>5065.3899999999867</v>
      </c>
      <c r="AF538" s="53"/>
      <c r="AG538" s="53">
        <f t="shared" si="346"/>
        <v>23.040000000083818</v>
      </c>
      <c r="AH538" s="54"/>
      <c r="AI538" s="54"/>
      <c r="AJ538" s="54"/>
      <c r="AK538" s="54">
        <f t="shared" si="370"/>
        <v>23.040000000083818</v>
      </c>
      <c r="AL538" s="53"/>
      <c r="AM538" s="53">
        <f t="shared" si="353"/>
        <v>0</v>
      </c>
      <c r="AN538" s="54"/>
      <c r="AO538" s="54"/>
      <c r="AP538" s="54"/>
      <c r="AQ538" s="54">
        <f t="shared" si="354"/>
        <v>0</v>
      </c>
      <c r="AR538" s="53"/>
      <c r="AS538" s="50">
        <f t="shared" si="371"/>
        <v>-4694067.76</v>
      </c>
      <c r="AT538" s="73">
        <f t="shared" si="378"/>
        <v>240046.27</v>
      </c>
      <c r="AU538" s="50">
        <f t="shared" si="347"/>
        <v>0</v>
      </c>
      <c r="AV538" s="50">
        <f t="shared" si="379"/>
        <v>-319885.40999999997</v>
      </c>
      <c r="AW538" s="50" t="e">
        <f>SUM(#REF!)</f>
        <v>#REF!</v>
      </c>
      <c r="AX538" s="50">
        <f t="shared" si="356"/>
        <v>-4773906.9000000013</v>
      </c>
      <c r="AY538" s="50">
        <f t="shared" si="357"/>
        <v>9300000</v>
      </c>
      <c r="AZ538" s="50">
        <f t="shared" si="358"/>
        <v>4526093.0999999987</v>
      </c>
      <c r="BA538" s="15">
        <f t="shared" si="341"/>
        <v>-3978.2557500000012</v>
      </c>
      <c r="BB538" s="15">
        <f t="shared" si="382"/>
        <v>-54723.03288666666</v>
      </c>
    </row>
    <row r="539" spans="2:54" s="58" customFormat="1" ht="16.5" customHeight="1" x14ac:dyDescent="0.3">
      <c r="B539" s="99">
        <f t="shared" si="384"/>
        <v>44917</v>
      </c>
      <c r="C539" s="44">
        <f t="shared" si="361"/>
        <v>138384.29999999999</v>
      </c>
      <c r="D539" s="45">
        <f>71615.99+19776.98+19740.98</f>
        <v>111133.95</v>
      </c>
      <c r="E539" s="45">
        <v>-300000</v>
      </c>
      <c r="F539" s="45">
        <f>-108-0.85</f>
        <v>-108.85</v>
      </c>
      <c r="G539" s="45">
        <f t="shared" si="385"/>
        <v>-50590.6</v>
      </c>
      <c r="H539" s="44">
        <v>4300000</v>
      </c>
      <c r="I539" s="46">
        <f t="shared" si="362"/>
        <v>-4920587.1100000003</v>
      </c>
      <c r="J539" s="47"/>
      <c r="K539" s="47">
        <v>352000</v>
      </c>
      <c r="L539" s="47">
        <v>-387055.98</v>
      </c>
      <c r="M539" s="47">
        <f t="shared" si="363"/>
        <v>-4955643.09</v>
      </c>
      <c r="N539" s="46">
        <v>5000000</v>
      </c>
      <c r="O539" s="48">
        <f t="shared" si="364"/>
        <v>3195.6300000000056</v>
      </c>
      <c r="P539" s="55">
        <f>4753.22</f>
        <v>4753.22</v>
      </c>
      <c r="Q539" s="55">
        <f>-52000+49190</f>
        <v>-2810</v>
      </c>
      <c r="R539" s="55">
        <v>-11</v>
      </c>
      <c r="S539" s="55">
        <f t="shared" si="365"/>
        <v>5127.8500000000058</v>
      </c>
      <c r="T539" s="48"/>
      <c r="U539" s="49">
        <f t="shared" si="366"/>
        <v>11.850000000023282</v>
      </c>
      <c r="V539" s="51">
        <v>49182.9</v>
      </c>
      <c r="W539" s="51">
        <v>-49190</v>
      </c>
      <c r="X539" s="51">
        <v>-1.3</v>
      </c>
      <c r="Y539" s="51">
        <f t="shared" si="367"/>
        <v>3.4500000000218281</v>
      </c>
      <c r="Z539" s="52"/>
      <c r="AA539" s="53">
        <f t="shared" si="368"/>
        <v>5065.3899999999867</v>
      </c>
      <c r="AB539" s="54"/>
      <c r="AC539" s="54"/>
      <c r="AD539" s="54"/>
      <c r="AE539" s="54">
        <f t="shared" si="369"/>
        <v>5065.3899999999867</v>
      </c>
      <c r="AF539" s="53"/>
      <c r="AG539" s="53">
        <f t="shared" si="346"/>
        <v>23.040000000083818</v>
      </c>
      <c r="AH539" s="54"/>
      <c r="AI539" s="54"/>
      <c r="AJ539" s="54"/>
      <c r="AK539" s="54">
        <f t="shared" si="370"/>
        <v>23.040000000083818</v>
      </c>
      <c r="AL539" s="53"/>
      <c r="AM539" s="53">
        <f t="shared" si="353"/>
        <v>0</v>
      </c>
      <c r="AN539" s="54"/>
      <c r="AO539" s="54"/>
      <c r="AP539" s="54"/>
      <c r="AQ539" s="54">
        <f t="shared" si="354"/>
        <v>0</v>
      </c>
      <c r="AR539" s="53"/>
      <c r="AS539" s="50">
        <f t="shared" si="371"/>
        <v>-4773906.9000000013</v>
      </c>
      <c r="AT539" s="73">
        <f t="shared" si="378"/>
        <v>165070.07</v>
      </c>
      <c r="AU539" s="50">
        <f t="shared" si="347"/>
        <v>0</v>
      </c>
      <c r="AV539" s="50">
        <f t="shared" si="379"/>
        <v>-387177.12999999995</v>
      </c>
      <c r="AW539" s="50" t="e">
        <f>SUM(#REF!)</f>
        <v>#REF!</v>
      </c>
      <c r="AX539" s="50">
        <f t="shared" si="356"/>
        <v>-4996013.96</v>
      </c>
      <c r="AY539" s="50">
        <f t="shared" si="357"/>
        <v>9300000</v>
      </c>
      <c r="AZ539" s="50">
        <f t="shared" si="358"/>
        <v>4303986.04</v>
      </c>
      <c r="BA539" s="15">
        <f t="shared" si="341"/>
        <v>-4163.3449666666666</v>
      </c>
      <c r="BB539" s="15">
        <f t="shared" si="382"/>
        <v>-58886.377853333324</v>
      </c>
    </row>
    <row r="540" spans="2:54" s="58" customFormat="1" ht="16.5" customHeight="1" x14ac:dyDescent="0.3">
      <c r="B540" s="99">
        <f t="shared" si="384"/>
        <v>44918</v>
      </c>
      <c r="C540" s="44">
        <f t="shared" si="361"/>
        <v>-50590.6</v>
      </c>
      <c r="D540" s="45">
        <f>74.05+138188.91+788.78</f>
        <v>139051.74</v>
      </c>
      <c r="E540" s="45"/>
      <c r="F540" s="45">
        <f>-88461.14-231553.97</f>
        <v>-320015.11</v>
      </c>
      <c r="G540" s="45">
        <f t="shared" si="385"/>
        <v>-231553.97</v>
      </c>
      <c r="H540" s="44">
        <v>4300000</v>
      </c>
      <c r="I540" s="46">
        <f t="shared" si="362"/>
        <v>-4955643.09</v>
      </c>
      <c r="J540" s="47"/>
      <c r="K540" s="47"/>
      <c r="L540" s="47">
        <v>-920.61</v>
      </c>
      <c r="M540" s="47">
        <f t="shared" si="363"/>
        <v>-4956563.7</v>
      </c>
      <c r="N540" s="46">
        <v>5000000</v>
      </c>
      <c r="O540" s="48">
        <f t="shared" si="364"/>
        <v>5127.8500000000058</v>
      </c>
      <c r="P540" s="55"/>
      <c r="Q540" s="55"/>
      <c r="R540" s="55">
        <v>-310</v>
      </c>
      <c r="S540" s="55">
        <f t="shared" si="365"/>
        <v>4817.8500000000058</v>
      </c>
      <c r="T540" s="48"/>
      <c r="U540" s="49">
        <f t="shared" si="366"/>
        <v>3.4500000000218281</v>
      </c>
      <c r="V540" s="51"/>
      <c r="W540" s="51"/>
      <c r="X540" s="51"/>
      <c r="Y540" s="51">
        <f t="shared" si="367"/>
        <v>3.4500000000218281</v>
      </c>
      <c r="Z540" s="52"/>
      <c r="AA540" s="53">
        <f t="shared" si="368"/>
        <v>5065.3899999999867</v>
      </c>
      <c r="AB540" s="54"/>
      <c r="AC540" s="54"/>
      <c r="AD540" s="54"/>
      <c r="AE540" s="54">
        <f t="shared" si="369"/>
        <v>5065.3899999999867</v>
      </c>
      <c r="AF540" s="53"/>
      <c r="AG540" s="53">
        <f t="shared" si="346"/>
        <v>23.040000000083818</v>
      </c>
      <c r="AH540" s="54"/>
      <c r="AI540" s="54"/>
      <c r="AJ540" s="54"/>
      <c r="AK540" s="54">
        <f t="shared" si="370"/>
        <v>23.040000000083818</v>
      </c>
      <c r="AL540" s="53"/>
      <c r="AM540" s="53">
        <f t="shared" si="353"/>
        <v>0</v>
      </c>
      <c r="AN540" s="54"/>
      <c r="AO540" s="54"/>
      <c r="AP540" s="54"/>
      <c r="AQ540" s="54">
        <f t="shared" si="354"/>
        <v>0</v>
      </c>
      <c r="AR540" s="53"/>
      <c r="AS540" s="50">
        <f t="shared" si="371"/>
        <v>-4996013.96</v>
      </c>
      <c r="AT540" s="73">
        <f t="shared" si="378"/>
        <v>139051.74</v>
      </c>
      <c r="AU540" s="50">
        <f t="shared" si="347"/>
        <v>0</v>
      </c>
      <c r="AV540" s="50">
        <f t="shared" si="379"/>
        <v>-321245.71999999997</v>
      </c>
      <c r="AW540" s="50" t="e">
        <f>SUM(#REF!)</f>
        <v>#REF!</v>
      </c>
      <c r="AX540" s="50">
        <f t="shared" si="356"/>
        <v>-5178207.9400000004</v>
      </c>
      <c r="AY540" s="50">
        <f t="shared" si="357"/>
        <v>9300000</v>
      </c>
      <c r="AZ540" s="50">
        <f t="shared" si="358"/>
        <v>4121792.0599999996</v>
      </c>
      <c r="BA540" s="15">
        <f t="shared" si="341"/>
        <v>-4315.1732833333335</v>
      </c>
      <c r="BB540" s="15">
        <f t="shared" si="382"/>
        <v>-63201.551136666661</v>
      </c>
    </row>
    <row r="541" spans="2:54" s="58" customFormat="1" ht="16.5" customHeight="1" x14ac:dyDescent="0.3">
      <c r="B541" s="99">
        <f t="shared" ref="B541" si="388">B540+3</f>
        <v>44921</v>
      </c>
      <c r="C541" s="44">
        <f t="shared" si="361"/>
        <v>-231553.97</v>
      </c>
      <c r="D541" s="45">
        <v>648689.41</v>
      </c>
      <c r="E541" s="45">
        <v>-250000</v>
      </c>
      <c r="F541" s="45">
        <v>-137789.60999999999</v>
      </c>
      <c r="G541" s="45">
        <f t="shared" si="385"/>
        <v>29345.830000000075</v>
      </c>
      <c r="H541" s="44">
        <v>4300000</v>
      </c>
      <c r="I541" s="46">
        <f t="shared" si="362"/>
        <v>-4956563.7</v>
      </c>
      <c r="J541" s="47">
        <v>11262</v>
      </c>
      <c r="K541" s="47">
        <v>250000</v>
      </c>
      <c r="L541" s="47">
        <v>-229750.04</v>
      </c>
      <c r="M541" s="47">
        <f t="shared" si="363"/>
        <v>-4925051.74</v>
      </c>
      <c r="N541" s="46">
        <v>5000000</v>
      </c>
      <c r="O541" s="48">
        <f t="shared" si="364"/>
        <v>4817.8500000000058</v>
      </c>
      <c r="P541" s="55"/>
      <c r="Q541" s="55"/>
      <c r="R541" s="55">
        <v>-93</v>
      </c>
      <c r="S541" s="55">
        <f t="shared" si="365"/>
        <v>4724.8500000000058</v>
      </c>
      <c r="T541" s="48"/>
      <c r="U541" s="49">
        <f t="shared" si="366"/>
        <v>3.4500000000218281</v>
      </c>
      <c r="V541" s="51"/>
      <c r="W541" s="51"/>
      <c r="X541" s="51"/>
      <c r="Y541" s="51">
        <f t="shared" si="367"/>
        <v>3.4500000000218281</v>
      </c>
      <c r="Z541" s="52"/>
      <c r="AA541" s="53">
        <f t="shared" si="368"/>
        <v>5065.3899999999867</v>
      </c>
      <c r="AB541" s="54"/>
      <c r="AC541" s="54"/>
      <c r="AD541" s="54"/>
      <c r="AE541" s="54">
        <f t="shared" si="369"/>
        <v>5065.3899999999867</v>
      </c>
      <c r="AF541" s="53"/>
      <c r="AG541" s="53">
        <f t="shared" si="346"/>
        <v>23.040000000083818</v>
      </c>
      <c r="AH541" s="54"/>
      <c r="AI541" s="54"/>
      <c r="AJ541" s="54"/>
      <c r="AK541" s="54">
        <f t="shared" si="370"/>
        <v>23.040000000083818</v>
      </c>
      <c r="AL541" s="53"/>
      <c r="AM541" s="53">
        <f t="shared" si="353"/>
        <v>0</v>
      </c>
      <c r="AN541" s="54"/>
      <c r="AO541" s="54"/>
      <c r="AP541" s="54"/>
      <c r="AQ541" s="54">
        <f t="shared" si="354"/>
        <v>0</v>
      </c>
      <c r="AR541" s="53"/>
      <c r="AS541" s="50">
        <f t="shared" si="371"/>
        <v>-5178207.9400000004</v>
      </c>
      <c r="AT541" s="73">
        <f t="shared" si="378"/>
        <v>659951.41</v>
      </c>
      <c r="AU541" s="50">
        <f t="shared" si="347"/>
        <v>0</v>
      </c>
      <c r="AV541" s="50">
        <f t="shared" si="379"/>
        <v>-367632.65</v>
      </c>
      <c r="AW541" s="50" t="e">
        <f>SUM(#REF!)</f>
        <v>#REF!</v>
      </c>
      <c r="AX541" s="50">
        <f t="shared" si="356"/>
        <v>-4885889.1800000006</v>
      </c>
      <c r="AY541" s="50">
        <f t="shared" si="357"/>
        <v>9300000</v>
      </c>
      <c r="AZ541" s="50">
        <f t="shared" si="358"/>
        <v>4414110.8199999994</v>
      </c>
      <c r="BA541" s="15">
        <f t="shared" si="341"/>
        <v>-4071.5743166666675</v>
      </c>
      <c r="BB541" s="15">
        <f t="shared" si="382"/>
        <v>-67273.125453333327</v>
      </c>
    </row>
    <row r="542" spans="2:54" s="58" customFormat="1" ht="16.5" customHeight="1" x14ac:dyDescent="0.3">
      <c r="B542" s="99">
        <f t="shared" ref="B542" si="389">B541+1</f>
        <v>44922</v>
      </c>
      <c r="C542" s="44">
        <f t="shared" si="361"/>
        <v>29345.830000000075</v>
      </c>
      <c r="D542" s="45"/>
      <c r="E542" s="45">
        <v>-800000</v>
      </c>
      <c r="F542" s="45">
        <v>-2.2000000000000002</v>
      </c>
      <c r="G542" s="45">
        <f t="shared" si="385"/>
        <v>-770656.36999999988</v>
      </c>
      <c r="H542" s="44">
        <v>4300000</v>
      </c>
      <c r="I542" s="46">
        <f t="shared" si="362"/>
        <v>-4925051.74</v>
      </c>
      <c r="J542" s="47">
        <v>2126.7800000000002</v>
      </c>
      <c r="K542" s="47">
        <v>800000</v>
      </c>
      <c r="L542" s="47">
        <v>-848095.05</v>
      </c>
      <c r="M542" s="47">
        <f t="shared" si="363"/>
        <v>-4971020.01</v>
      </c>
      <c r="N542" s="46">
        <v>5000000</v>
      </c>
      <c r="O542" s="48">
        <f t="shared" si="364"/>
        <v>4724.8500000000058</v>
      </c>
      <c r="P542" s="55"/>
      <c r="Q542" s="55"/>
      <c r="R542" s="55"/>
      <c r="S542" s="55">
        <f t="shared" si="365"/>
        <v>4724.8500000000058</v>
      </c>
      <c r="T542" s="48"/>
      <c r="U542" s="49">
        <f t="shared" si="366"/>
        <v>3.4500000000218281</v>
      </c>
      <c r="V542" s="51"/>
      <c r="W542" s="51"/>
      <c r="X542" s="51"/>
      <c r="Y542" s="51">
        <f t="shared" si="367"/>
        <v>3.4500000000218281</v>
      </c>
      <c r="Z542" s="52"/>
      <c r="AA542" s="53">
        <f t="shared" si="368"/>
        <v>5065.3899999999867</v>
      </c>
      <c r="AB542" s="54"/>
      <c r="AC542" s="54"/>
      <c r="AD542" s="54"/>
      <c r="AE542" s="54">
        <f t="shared" si="369"/>
        <v>5065.3899999999867</v>
      </c>
      <c r="AF542" s="53"/>
      <c r="AG542" s="53">
        <f t="shared" si="346"/>
        <v>23.040000000083818</v>
      </c>
      <c r="AH542" s="54"/>
      <c r="AI542" s="54"/>
      <c r="AJ542" s="54"/>
      <c r="AK542" s="54">
        <f t="shared" si="370"/>
        <v>23.040000000083818</v>
      </c>
      <c r="AL542" s="53"/>
      <c r="AM542" s="53">
        <f t="shared" si="353"/>
        <v>0</v>
      </c>
      <c r="AN542" s="54"/>
      <c r="AO542" s="54"/>
      <c r="AP542" s="54"/>
      <c r="AQ542" s="54">
        <f t="shared" si="354"/>
        <v>0</v>
      </c>
      <c r="AR542" s="53"/>
      <c r="AS542" s="50">
        <f t="shared" si="371"/>
        <v>-4885889.1800000006</v>
      </c>
      <c r="AT542" s="73">
        <f t="shared" si="378"/>
        <v>2126.7800000000002</v>
      </c>
      <c r="AU542" s="50">
        <f t="shared" si="347"/>
        <v>0</v>
      </c>
      <c r="AV542" s="50">
        <f t="shared" si="379"/>
        <v>-848097.25</v>
      </c>
      <c r="AW542" s="50" t="e">
        <f>SUM(#REF!)</f>
        <v>#REF!</v>
      </c>
      <c r="AX542" s="50">
        <f t="shared" si="356"/>
        <v>-5731859.6500000004</v>
      </c>
      <c r="AY542" s="50">
        <f t="shared" si="357"/>
        <v>9300000</v>
      </c>
      <c r="AZ542" s="50">
        <f t="shared" si="358"/>
        <v>3568140.3499999996</v>
      </c>
      <c r="BA542" s="15">
        <f t="shared" ref="BA542:BA608" si="390">AX542*$BA$1</f>
        <v>-4776.5497083333339</v>
      </c>
      <c r="BB542" s="15">
        <f t="shared" si="382"/>
        <v>-72049.675161666659</v>
      </c>
    </row>
    <row r="543" spans="2:54" s="58" customFormat="1" ht="16.5" customHeight="1" x14ac:dyDescent="0.3">
      <c r="B543" s="99">
        <f t="shared" si="384"/>
        <v>44923</v>
      </c>
      <c r="C543" s="44">
        <f t="shared" si="361"/>
        <v>-770656.36999999988</v>
      </c>
      <c r="D543" s="45"/>
      <c r="E543" s="45">
        <v>-150000</v>
      </c>
      <c r="F543" s="45">
        <v>-4722.62</v>
      </c>
      <c r="G543" s="45">
        <f t="shared" si="385"/>
        <v>-925378.98999999987</v>
      </c>
      <c r="H543" s="44">
        <v>4300000</v>
      </c>
      <c r="I543" s="46">
        <f t="shared" si="362"/>
        <v>-4971020.01</v>
      </c>
      <c r="J543" s="47">
        <v>202046.12</v>
      </c>
      <c r="K543" s="47">
        <v>150000</v>
      </c>
      <c r="L543" s="47">
        <v>-151474.87</v>
      </c>
      <c r="M543" s="47">
        <f t="shared" si="363"/>
        <v>-4770448.76</v>
      </c>
      <c r="N543" s="46">
        <v>5000000</v>
      </c>
      <c r="O543" s="48">
        <f t="shared" si="364"/>
        <v>4724.8500000000058</v>
      </c>
      <c r="P543" s="55"/>
      <c r="Q543" s="55"/>
      <c r="R543" s="55"/>
      <c r="S543" s="55">
        <f t="shared" si="365"/>
        <v>4724.8500000000058</v>
      </c>
      <c r="T543" s="48"/>
      <c r="U543" s="49">
        <f t="shared" si="366"/>
        <v>3.4500000000218281</v>
      </c>
      <c r="V543" s="51"/>
      <c r="W543" s="51"/>
      <c r="X543" s="51"/>
      <c r="Y543" s="51">
        <f t="shared" si="367"/>
        <v>3.4500000000218281</v>
      </c>
      <c r="Z543" s="52"/>
      <c r="AA543" s="53">
        <f t="shared" si="368"/>
        <v>5065.3899999999867</v>
      </c>
      <c r="AB543" s="54"/>
      <c r="AC543" s="54"/>
      <c r="AD543" s="54">
        <v>-49</v>
      </c>
      <c r="AE543" s="54">
        <f t="shared" si="369"/>
        <v>5016.3899999999867</v>
      </c>
      <c r="AF543" s="53"/>
      <c r="AG543" s="53">
        <f t="shared" si="346"/>
        <v>23.040000000083818</v>
      </c>
      <c r="AH543" s="54"/>
      <c r="AI543" s="54"/>
      <c r="AJ543" s="54"/>
      <c r="AK543" s="54">
        <f t="shared" si="370"/>
        <v>23.040000000083818</v>
      </c>
      <c r="AL543" s="53"/>
      <c r="AM543" s="53">
        <f t="shared" si="353"/>
        <v>0</v>
      </c>
      <c r="AN543" s="54"/>
      <c r="AO543" s="54"/>
      <c r="AP543" s="54"/>
      <c r="AQ543" s="54">
        <f t="shared" si="354"/>
        <v>0</v>
      </c>
      <c r="AR543" s="53"/>
      <c r="AS543" s="50">
        <f t="shared" si="371"/>
        <v>-5731859.6500000004</v>
      </c>
      <c r="AT543" s="73">
        <f t="shared" si="378"/>
        <v>202046.12</v>
      </c>
      <c r="AU543" s="50">
        <f t="shared" si="347"/>
        <v>0</v>
      </c>
      <c r="AV543" s="50">
        <f t="shared" si="379"/>
        <v>-156246.49</v>
      </c>
      <c r="AW543" s="50" t="e">
        <f>SUM(#REF!)</f>
        <v>#REF!</v>
      </c>
      <c r="AX543" s="50">
        <f t="shared" si="356"/>
        <v>-5686060.0200000005</v>
      </c>
      <c r="AY543" s="50">
        <f t="shared" si="357"/>
        <v>9300000</v>
      </c>
      <c r="AZ543" s="50">
        <f t="shared" si="358"/>
        <v>3613939.9799999995</v>
      </c>
      <c r="BA543" s="15">
        <f t="shared" si="390"/>
        <v>-4738.383350000001</v>
      </c>
      <c r="BB543" s="15">
        <f t="shared" si="382"/>
        <v>-76788.058511666663</v>
      </c>
    </row>
    <row r="544" spans="2:54" s="58" customFormat="1" ht="16.5" customHeight="1" x14ac:dyDescent="0.3">
      <c r="B544" s="99">
        <f t="shared" si="384"/>
        <v>44924</v>
      </c>
      <c r="C544" s="44">
        <f t="shared" si="361"/>
        <v>-925378.98999999987</v>
      </c>
      <c r="D544" s="45">
        <v>1430157.07</v>
      </c>
      <c r="E544" s="45"/>
      <c r="F544" s="45">
        <f>-504777.08+301514.64-0.75</f>
        <v>-203263.19</v>
      </c>
      <c r="G544" s="45">
        <f t="shared" si="385"/>
        <v>301514.89000000019</v>
      </c>
      <c r="H544" s="44">
        <v>4300000</v>
      </c>
      <c r="I544" s="46">
        <f t="shared" si="362"/>
        <v>-4770448.76</v>
      </c>
      <c r="J544" s="47">
        <v>452309.63</v>
      </c>
      <c r="K544" s="47">
        <f>1126000+1555000+120000</f>
        <v>2801000</v>
      </c>
      <c r="L544" s="47">
        <v>-47949.260000000097</v>
      </c>
      <c r="M544" s="47">
        <f t="shared" si="363"/>
        <v>-1565088.39</v>
      </c>
      <c r="N544" s="46">
        <v>5000000</v>
      </c>
      <c r="O544" s="48">
        <f t="shared" si="364"/>
        <v>4724.8500000000058</v>
      </c>
      <c r="P544" s="55"/>
      <c r="Q544" s="55">
        <f>118340+1433795+123455-1555000-120000</f>
        <v>590</v>
      </c>
      <c r="R544" s="55">
        <v>-1833</v>
      </c>
      <c r="S544" s="55">
        <f t="shared" si="365"/>
        <v>3481.8500000000058</v>
      </c>
      <c r="T544" s="48"/>
      <c r="U544" s="49">
        <f t="shared" si="366"/>
        <v>3.4500000000218281</v>
      </c>
      <c r="V544" s="51">
        <f>1310338.11+4498.93+113845.92+123454.05*2</f>
        <v>1675591.06</v>
      </c>
      <c r="W544" s="51">
        <f>-1433795-118340-123455</f>
        <v>-1675590</v>
      </c>
      <c r="X544" s="51">
        <f>-1.3*3</f>
        <v>-3.9000000000000004</v>
      </c>
      <c r="Y544" s="51">
        <f t="shared" si="367"/>
        <v>0.61000000000931287</v>
      </c>
      <c r="Z544" s="52"/>
      <c r="AA544" s="53">
        <f t="shared" si="368"/>
        <v>5016.3899999999867</v>
      </c>
      <c r="AB544" s="54"/>
      <c r="AC544" s="54"/>
      <c r="AD544" s="54">
        <v>-3045.7</v>
      </c>
      <c r="AE544" s="54">
        <f t="shared" si="369"/>
        <v>1970.6899999999869</v>
      </c>
      <c r="AF544" s="53"/>
      <c r="AG544" s="53">
        <f t="shared" si="346"/>
        <v>23.040000000083818</v>
      </c>
      <c r="AH544" s="54">
        <v>1126032.7</v>
      </c>
      <c r="AI544" s="54">
        <v>-1126000</v>
      </c>
      <c r="AJ544" s="54"/>
      <c r="AK544" s="54">
        <f t="shared" si="370"/>
        <v>55.739999999990687</v>
      </c>
      <c r="AL544" s="53"/>
      <c r="AM544" s="53">
        <f t="shared" si="353"/>
        <v>0</v>
      </c>
      <c r="AN544" s="54"/>
      <c r="AO544" s="54"/>
      <c r="AP544" s="54"/>
      <c r="AQ544" s="54">
        <f t="shared" si="354"/>
        <v>0</v>
      </c>
      <c r="AR544" s="53"/>
      <c r="AS544" s="50">
        <f t="shared" si="371"/>
        <v>-5686060.0200000005</v>
      </c>
      <c r="AT544" s="73">
        <f t="shared" si="378"/>
        <v>4684090.46</v>
      </c>
      <c r="AU544" s="50">
        <f t="shared" si="347"/>
        <v>0</v>
      </c>
      <c r="AV544" s="50">
        <f t="shared" si="379"/>
        <v>-256095.0500000001</v>
      </c>
      <c r="AW544" s="50" t="e">
        <f>SUM(#REF!)</f>
        <v>#REF!</v>
      </c>
      <c r="AX544" s="50">
        <f>SUM(G544,M544,S544,Y544,AE544,AK544)</f>
        <v>-1258064.6099999996</v>
      </c>
      <c r="AY544" s="50">
        <f t="shared" si="357"/>
        <v>9300000</v>
      </c>
      <c r="AZ544" s="50">
        <f t="shared" si="358"/>
        <v>8041935.3900000006</v>
      </c>
      <c r="BA544" s="15">
        <f t="shared" si="390"/>
        <v>-1048.3871749999998</v>
      </c>
      <c r="BB544" s="15">
        <f t="shared" si="382"/>
        <v>-77836.445686666659</v>
      </c>
    </row>
    <row r="545" spans="2:54" s="58" customFormat="1" ht="16.5" customHeight="1" x14ac:dyDescent="0.3">
      <c r="B545" s="99">
        <f t="shared" si="384"/>
        <v>44925</v>
      </c>
      <c r="C545" s="44">
        <f t="shared" si="361"/>
        <v>301514.89000000019</v>
      </c>
      <c r="D545" s="45"/>
      <c r="E545" s="45"/>
      <c r="F545" s="45"/>
      <c r="G545" s="45">
        <f t="shared" si="385"/>
        <v>301514.89000000019</v>
      </c>
      <c r="H545" s="44">
        <v>4300000</v>
      </c>
      <c r="I545" s="46">
        <f t="shared" si="362"/>
        <v>-1565088.39</v>
      </c>
      <c r="J545" s="47">
        <v>7999.9999999999</v>
      </c>
      <c r="K545" s="47"/>
      <c r="L545" s="47"/>
      <c r="M545" s="47">
        <f t="shared" si="363"/>
        <v>-1557088.39</v>
      </c>
      <c r="N545" s="46">
        <v>5000000</v>
      </c>
      <c r="O545" s="48">
        <f t="shared" si="364"/>
        <v>3481.8500000000058</v>
      </c>
      <c r="P545" s="55"/>
      <c r="Q545" s="55"/>
      <c r="R545" s="55"/>
      <c r="S545" s="55">
        <f t="shared" si="365"/>
        <v>3481.8500000000058</v>
      </c>
      <c r="T545" s="48"/>
      <c r="U545" s="49">
        <f t="shared" si="366"/>
        <v>0.61000000000931287</v>
      </c>
      <c r="V545" s="51"/>
      <c r="W545" s="51"/>
      <c r="X545" s="51"/>
      <c r="Y545" s="51">
        <f t="shared" si="367"/>
        <v>0.61000000000931287</v>
      </c>
      <c r="Z545" s="52"/>
      <c r="AA545" s="53">
        <f t="shared" si="368"/>
        <v>1970.6899999999869</v>
      </c>
      <c r="AB545" s="54"/>
      <c r="AC545" s="54"/>
      <c r="AD545" s="54"/>
      <c r="AE545" s="54">
        <f t="shared" si="369"/>
        <v>1970.6899999999869</v>
      </c>
      <c r="AF545" s="53"/>
      <c r="AG545" s="53">
        <f t="shared" si="346"/>
        <v>55.739999999990687</v>
      </c>
      <c r="AH545" s="54"/>
      <c r="AI545" s="54"/>
      <c r="AJ545" s="54">
        <v>-9.5299999999999994</v>
      </c>
      <c r="AK545" s="54">
        <f t="shared" si="370"/>
        <v>46.209999999990686</v>
      </c>
      <c r="AL545" s="53"/>
      <c r="AM545" s="53">
        <f t="shared" si="353"/>
        <v>0</v>
      </c>
      <c r="AN545" s="54"/>
      <c r="AO545" s="54"/>
      <c r="AP545" s="54"/>
      <c r="AQ545" s="54">
        <f t="shared" si="354"/>
        <v>0</v>
      </c>
      <c r="AR545" s="53"/>
      <c r="AS545" s="50">
        <f t="shared" si="371"/>
        <v>-1258064.6099999996</v>
      </c>
      <c r="AT545" s="73">
        <f t="shared" si="378"/>
        <v>7999.9999999999</v>
      </c>
      <c r="AU545" s="50">
        <f t="shared" si="347"/>
        <v>0</v>
      </c>
      <c r="AV545" s="50">
        <f t="shared" si="379"/>
        <v>-9.5299999999999994</v>
      </c>
      <c r="AW545" s="50" t="e">
        <f>SUM(#REF!)</f>
        <v>#REF!</v>
      </c>
      <c r="AX545" s="50">
        <f>SUM(G545,M545,S545,Y545,AE545,AK545)</f>
        <v>-1250074.1399999997</v>
      </c>
      <c r="AY545" s="50">
        <f t="shared" si="357"/>
        <v>9300000</v>
      </c>
      <c r="AZ545" s="50">
        <f t="shared" si="358"/>
        <v>8049925.8600000003</v>
      </c>
      <c r="BA545" s="82">
        <f t="shared" si="390"/>
        <v>-1041.7284499999998</v>
      </c>
      <c r="BB545" s="82">
        <f t="shared" si="382"/>
        <v>-78878.174136666654</v>
      </c>
    </row>
    <row r="546" spans="2:54" s="58" customFormat="1" ht="16.5" customHeight="1" x14ac:dyDescent="0.3">
      <c r="B546" s="99">
        <f t="shared" ref="B546" si="391">B545+3</f>
        <v>44928</v>
      </c>
      <c r="C546" s="44">
        <f t="shared" si="361"/>
        <v>301514.89000000019</v>
      </c>
      <c r="D546" s="45">
        <f>92694.16+45942</f>
        <v>138636.16</v>
      </c>
      <c r="E546" s="45">
        <v>-200000</v>
      </c>
      <c r="F546" s="45">
        <v>-133754.87</v>
      </c>
      <c r="G546" s="45">
        <f t="shared" si="385"/>
        <v>106396.18000000017</v>
      </c>
      <c r="H546" s="44">
        <v>4300000</v>
      </c>
      <c r="I546" s="46">
        <f t="shared" si="362"/>
        <v>-1557088.39</v>
      </c>
      <c r="J546" s="47"/>
      <c r="K546" s="47">
        <f>200000+820000-250000</f>
        <v>770000</v>
      </c>
      <c r="L546" s="47">
        <v>-236826.89</v>
      </c>
      <c r="M546" s="47">
        <f t="shared" si="363"/>
        <v>-1023915.2799999999</v>
      </c>
      <c r="N546" s="46">
        <v>5000000</v>
      </c>
      <c r="O546" s="48">
        <f t="shared" si="364"/>
        <v>3481.8500000000058</v>
      </c>
      <c r="P546" s="55">
        <v>822517.63</v>
      </c>
      <c r="Q546" s="55">
        <v>-820000</v>
      </c>
      <c r="R546" s="55">
        <v>-1730.3</v>
      </c>
      <c r="S546" s="55">
        <f t="shared" si="365"/>
        <v>4269.1799999999812</v>
      </c>
      <c r="T546" s="48"/>
      <c r="U546" s="49">
        <f t="shared" si="366"/>
        <v>0.61000000000931287</v>
      </c>
      <c r="V546" s="51"/>
      <c r="W546" s="51"/>
      <c r="X546" s="51"/>
      <c r="Y546" s="51">
        <f t="shared" si="367"/>
        <v>0.61000000000931287</v>
      </c>
      <c r="Z546" s="52"/>
      <c r="AA546" s="53">
        <f t="shared" si="368"/>
        <v>1970.6899999999869</v>
      </c>
      <c r="AB546" s="54"/>
      <c r="AC546" s="54">
        <v>250000</v>
      </c>
      <c r="AD546" s="54"/>
      <c r="AE546" s="54">
        <f t="shared" si="369"/>
        <v>251970.68999999997</v>
      </c>
      <c r="AF546" s="53"/>
      <c r="AG546" s="53">
        <f t="shared" si="346"/>
        <v>46.209999999990686</v>
      </c>
      <c r="AH546" s="54"/>
      <c r="AI546" s="54"/>
      <c r="AJ546" s="54"/>
      <c r="AK546" s="54">
        <f t="shared" si="370"/>
        <v>46.209999999990686</v>
      </c>
      <c r="AL546" s="53"/>
      <c r="AM546" s="53">
        <f t="shared" si="353"/>
        <v>0</v>
      </c>
      <c r="AN546" s="54"/>
      <c r="AO546" s="54"/>
      <c r="AP546" s="54"/>
      <c r="AQ546" s="54">
        <f t="shared" si="354"/>
        <v>0</v>
      </c>
      <c r="AR546" s="53"/>
      <c r="AS546" s="50">
        <f t="shared" si="371"/>
        <v>-1250074.1399999997</v>
      </c>
      <c r="AT546" s="73">
        <f t="shared" si="378"/>
        <v>961153.79</v>
      </c>
      <c r="AU546" s="50">
        <f t="shared" si="347"/>
        <v>0</v>
      </c>
      <c r="AV546" s="50">
        <f t="shared" si="379"/>
        <v>-372312.06</v>
      </c>
      <c r="AW546" s="50"/>
      <c r="AX546" s="50">
        <f t="shared" si="356"/>
        <v>-661232.40999999992</v>
      </c>
      <c r="AY546" s="50">
        <f t="shared" si="357"/>
        <v>9300000</v>
      </c>
      <c r="AZ546" s="50">
        <f t="shared" si="358"/>
        <v>8638767.5899999999</v>
      </c>
      <c r="BA546" s="15">
        <f t="shared" si="390"/>
        <v>-551.02700833333324</v>
      </c>
      <c r="BB546" s="15">
        <f>BA546</f>
        <v>-551.02700833333324</v>
      </c>
    </row>
    <row r="547" spans="2:54" s="58" customFormat="1" ht="16.5" customHeight="1" x14ac:dyDescent="0.3">
      <c r="B547" s="99">
        <f t="shared" ref="B547" si="392">B546+1</f>
        <v>44929</v>
      </c>
      <c r="C547" s="44">
        <f t="shared" si="361"/>
        <v>106396.18000000017</v>
      </c>
      <c r="D547" s="45"/>
      <c r="E547" s="45"/>
      <c r="F547" s="45">
        <v>-95783.470000000205</v>
      </c>
      <c r="G547" s="45">
        <f t="shared" si="385"/>
        <v>10612.709999999963</v>
      </c>
      <c r="H547" s="44">
        <v>4300000</v>
      </c>
      <c r="I547" s="46">
        <f t="shared" si="362"/>
        <v>-1023915.2799999999</v>
      </c>
      <c r="J547" s="47">
        <v>331382.32</v>
      </c>
      <c r="K547" s="47">
        <v>440000</v>
      </c>
      <c r="L547" s="47">
        <v>-526520.46</v>
      </c>
      <c r="M547" s="47">
        <f t="shared" si="363"/>
        <v>-779053.41999999993</v>
      </c>
      <c r="N547" s="46">
        <v>5000000</v>
      </c>
      <c r="O547" s="48">
        <f t="shared" si="364"/>
        <v>4269.1799999999812</v>
      </c>
      <c r="P547" s="55"/>
      <c r="Q547" s="55">
        <f>441450-440000</f>
        <v>1450</v>
      </c>
      <c r="R547" s="55">
        <f>-662.34-11</f>
        <v>-673.34</v>
      </c>
      <c r="S547" s="55">
        <f t="shared" si="365"/>
        <v>5045.839999999981</v>
      </c>
      <c r="T547" s="48"/>
      <c r="U547" s="49">
        <f t="shared" si="366"/>
        <v>0.61000000000931287</v>
      </c>
      <c r="V547" s="51">
        <v>441456.65</v>
      </c>
      <c r="W547" s="51">
        <v>-441450</v>
      </c>
      <c r="X547" s="51">
        <v>-7.26</v>
      </c>
      <c r="Y547" s="51">
        <f t="shared" si="367"/>
        <v>9.3134389089755132E-12</v>
      </c>
      <c r="Z547" s="52"/>
      <c r="AA547" s="53">
        <f t="shared" si="368"/>
        <v>251970.68999999997</v>
      </c>
      <c r="AB547" s="54"/>
      <c r="AC547" s="54"/>
      <c r="AD547" s="54">
        <v>-222064.46</v>
      </c>
      <c r="AE547" s="54">
        <f t="shared" si="369"/>
        <v>29906.229999999981</v>
      </c>
      <c r="AF547" s="53"/>
      <c r="AG547" s="53">
        <f t="shared" si="346"/>
        <v>46.209999999990686</v>
      </c>
      <c r="AH547" s="54"/>
      <c r="AI547" s="54"/>
      <c r="AJ547" s="54"/>
      <c r="AK547" s="54">
        <f t="shared" si="370"/>
        <v>46.209999999990686</v>
      </c>
      <c r="AL547" s="53"/>
      <c r="AM547" s="53">
        <f t="shared" si="353"/>
        <v>0</v>
      </c>
      <c r="AN547" s="54"/>
      <c r="AO547" s="54"/>
      <c r="AP547" s="54"/>
      <c r="AQ547" s="54">
        <f t="shared" si="354"/>
        <v>0</v>
      </c>
      <c r="AR547" s="53"/>
      <c r="AS547" s="50">
        <f t="shared" si="371"/>
        <v>-661232.40999999992</v>
      </c>
      <c r="AT547" s="73">
        <f t="shared" si="378"/>
        <v>772838.97</v>
      </c>
      <c r="AU547" s="50">
        <f t="shared" si="347"/>
        <v>0</v>
      </c>
      <c r="AV547" s="50">
        <f t="shared" si="379"/>
        <v>-845048.99000000011</v>
      </c>
      <c r="AW547" s="50"/>
      <c r="AX547" s="50">
        <f t="shared" si="356"/>
        <v>-733442.43</v>
      </c>
      <c r="AY547" s="50">
        <f t="shared" si="357"/>
        <v>9300000</v>
      </c>
      <c r="AZ547" s="50">
        <f t="shared" si="358"/>
        <v>8566557.5700000003</v>
      </c>
      <c r="BA547" s="15">
        <f t="shared" si="390"/>
        <v>-611.20202500000005</v>
      </c>
      <c r="BB547" s="15">
        <f t="shared" si="382"/>
        <v>-1162.2290333333333</v>
      </c>
    </row>
    <row r="548" spans="2:54" s="58" customFormat="1" ht="16.5" customHeight="1" x14ac:dyDescent="0.3">
      <c r="B548" s="99">
        <f t="shared" si="384"/>
        <v>44930</v>
      </c>
      <c r="C548" s="44">
        <f t="shared" si="361"/>
        <v>10612.709999999963</v>
      </c>
      <c r="D548" s="45">
        <f>363424.09-95782.65</f>
        <v>267641.44000000006</v>
      </c>
      <c r="E548" s="45"/>
      <c r="F548" s="45">
        <f>-(4337.67+2.16+0.85+1420.69+10000+2197.26+2456.36)</f>
        <v>-20414.990000000002</v>
      </c>
      <c r="G548" s="45">
        <f t="shared" si="385"/>
        <v>257839.16000000003</v>
      </c>
      <c r="H548" s="44">
        <v>4300000</v>
      </c>
      <c r="I548" s="46">
        <f t="shared" si="362"/>
        <v>-779053.41999999993</v>
      </c>
      <c r="J548" s="47">
        <f>101329.84+24322.79</f>
        <v>125652.63</v>
      </c>
      <c r="K548" s="47"/>
      <c r="L548" s="47">
        <v>-2317276.42</v>
      </c>
      <c r="M548" s="47">
        <f t="shared" si="363"/>
        <v>-2970677.21</v>
      </c>
      <c r="N548" s="46">
        <v>5000000</v>
      </c>
      <c r="O548" s="48">
        <f t="shared" si="364"/>
        <v>5045.839999999981</v>
      </c>
      <c r="P548" s="55"/>
      <c r="Q548" s="55">
        <v>-100</v>
      </c>
      <c r="R548" s="55">
        <v>-3749.6099999999801</v>
      </c>
      <c r="S548" s="55">
        <f t="shared" si="365"/>
        <v>1196.2300000000009</v>
      </c>
      <c r="T548" s="48"/>
      <c r="U548" s="49">
        <f t="shared" si="366"/>
        <v>9.3134389089755132E-12</v>
      </c>
      <c r="V548" s="51"/>
      <c r="W548" s="51">
        <v>100</v>
      </c>
      <c r="X548" s="51">
        <f>-52.69-1.3</f>
        <v>-53.989999999999995</v>
      </c>
      <c r="Y548" s="51">
        <f t="shared" si="367"/>
        <v>46.010000000009313</v>
      </c>
      <c r="Z548" s="52"/>
      <c r="AA548" s="53">
        <f t="shared" si="368"/>
        <v>29906.229999999981</v>
      </c>
      <c r="AB548" s="54"/>
      <c r="AC548" s="54"/>
      <c r="AD548" s="54">
        <v>-4785.2299999999996</v>
      </c>
      <c r="AE548" s="54">
        <f t="shared" si="369"/>
        <v>25120.999999999982</v>
      </c>
      <c r="AF548" s="53"/>
      <c r="AG548" s="53">
        <f t="shared" si="346"/>
        <v>46.209999999990686</v>
      </c>
      <c r="AH548" s="54"/>
      <c r="AI548" s="54"/>
      <c r="AJ548" s="54"/>
      <c r="AK548" s="54">
        <f t="shared" si="370"/>
        <v>46.209999999990686</v>
      </c>
      <c r="AL548" s="53"/>
      <c r="AM548" s="53">
        <f t="shared" si="353"/>
        <v>0</v>
      </c>
      <c r="AN548" s="54"/>
      <c r="AO548" s="54"/>
      <c r="AP548" s="54"/>
      <c r="AQ548" s="54">
        <f t="shared" si="354"/>
        <v>0</v>
      </c>
      <c r="AR548" s="53"/>
      <c r="AS548" s="50">
        <f t="shared" si="371"/>
        <v>-733442.43</v>
      </c>
      <c r="AT548" s="73">
        <f t="shared" si="378"/>
        <v>393294.07000000007</v>
      </c>
      <c r="AU548" s="50">
        <f t="shared" si="347"/>
        <v>0</v>
      </c>
      <c r="AV548" s="50">
        <f t="shared" si="379"/>
        <v>-2346280.2400000002</v>
      </c>
      <c r="AW548" s="50"/>
      <c r="AX548" s="50">
        <f t="shared" si="356"/>
        <v>-2686428.5999999996</v>
      </c>
      <c r="AY548" s="50">
        <f t="shared" si="357"/>
        <v>9300000</v>
      </c>
      <c r="AZ548" s="50">
        <f t="shared" si="358"/>
        <v>6613571.4000000004</v>
      </c>
      <c r="BA548" s="15">
        <f t="shared" si="390"/>
        <v>-2238.6904999999997</v>
      </c>
      <c r="BB548" s="15">
        <f t="shared" si="382"/>
        <v>-3400.9195333333328</v>
      </c>
    </row>
    <row r="549" spans="2:54" s="58" customFormat="1" ht="16.5" customHeight="1" x14ac:dyDescent="0.3">
      <c r="B549" s="99">
        <f t="shared" si="384"/>
        <v>44931</v>
      </c>
      <c r="C549" s="44">
        <f t="shared" si="361"/>
        <v>257839.16000000003</v>
      </c>
      <c r="D549" s="45">
        <f>53971*2</f>
        <v>107942</v>
      </c>
      <c r="E549" s="45"/>
      <c r="F549" s="45">
        <f>-131660.33+0.75</f>
        <v>-131659.57999999999</v>
      </c>
      <c r="G549" s="45">
        <f t="shared" si="385"/>
        <v>234121.58000000005</v>
      </c>
      <c r="H549" s="44">
        <v>4300000</v>
      </c>
      <c r="I549" s="46">
        <f t="shared" si="362"/>
        <v>-2970677.21</v>
      </c>
      <c r="J549" s="47"/>
      <c r="K549" s="47"/>
      <c r="L549" s="47">
        <v>-382353.89</v>
      </c>
      <c r="M549" s="47">
        <f t="shared" si="363"/>
        <v>-3353031.1</v>
      </c>
      <c r="N549" s="46">
        <v>5000000</v>
      </c>
      <c r="O549" s="48">
        <f t="shared" si="364"/>
        <v>1196.2300000000009</v>
      </c>
      <c r="P549" s="55">
        <v>3308.5</v>
      </c>
      <c r="Q549" s="55"/>
      <c r="R549" s="55"/>
      <c r="S549" s="55">
        <f t="shared" si="365"/>
        <v>4504.7300000000014</v>
      </c>
      <c r="T549" s="48"/>
      <c r="U549" s="49">
        <f t="shared" si="366"/>
        <v>46.010000000009313</v>
      </c>
      <c r="V549" s="51"/>
      <c r="W549" s="51"/>
      <c r="X549" s="51"/>
      <c r="Y549" s="51">
        <f t="shared" si="367"/>
        <v>46.010000000009313</v>
      </c>
      <c r="Z549" s="52"/>
      <c r="AA549" s="53">
        <f t="shared" si="368"/>
        <v>25120.999999999982</v>
      </c>
      <c r="AB549" s="54"/>
      <c r="AC549" s="54"/>
      <c r="AD549" s="54">
        <v>-1247.4000000000001</v>
      </c>
      <c r="AE549" s="54">
        <f t="shared" si="369"/>
        <v>23873.59999999998</v>
      </c>
      <c r="AF549" s="53"/>
      <c r="AG549" s="53">
        <f t="shared" si="346"/>
        <v>46.209999999990686</v>
      </c>
      <c r="AH549" s="54"/>
      <c r="AI549" s="54"/>
      <c r="AJ549" s="54"/>
      <c r="AK549" s="54">
        <f t="shared" si="370"/>
        <v>46.209999999990686</v>
      </c>
      <c r="AL549" s="53"/>
      <c r="AM549" s="53">
        <f t="shared" si="353"/>
        <v>0</v>
      </c>
      <c r="AN549" s="54"/>
      <c r="AO549" s="54"/>
      <c r="AP549" s="54"/>
      <c r="AQ549" s="54">
        <f t="shared" si="354"/>
        <v>0</v>
      </c>
      <c r="AR549" s="53"/>
      <c r="AS549" s="50">
        <f t="shared" si="371"/>
        <v>-2686428.5999999996</v>
      </c>
      <c r="AT549" s="73">
        <f t="shared" si="378"/>
        <v>111250.5</v>
      </c>
      <c r="AU549" s="50">
        <f t="shared" si="347"/>
        <v>0</v>
      </c>
      <c r="AV549" s="50">
        <f t="shared" si="379"/>
        <v>-515260.87</v>
      </c>
      <c r="AW549" s="50"/>
      <c r="AX549" s="50">
        <f t="shared" si="356"/>
        <v>-3090438.97</v>
      </c>
      <c r="AY549" s="50">
        <f t="shared" si="357"/>
        <v>9300000</v>
      </c>
      <c r="AZ549" s="50">
        <f t="shared" si="358"/>
        <v>6209561.0299999993</v>
      </c>
      <c r="BA549" s="15">
        <f t="shared" si="390"/>
        <v>-2575.3658083333335</v>
      </c>
      <c r="BB549" s="15">
        <f t="shared" si="382"/>
        <v>-5976.2853416666658</v>
      </c>
    </row>
    <row r="550" spans="2:54" s="58" customFormat="1" ht="16.5" customHeight="1" x14ac:dyDescent="0.3">
      <c r="B550" s="99">
        <f t="shared" si="384"/>
        <v>44932</v>
      </c>
      <c r="C550" s="44">
        <f t="shared" si="361"/>
        <v>234121.58000000005</v>
      </c>
      <c r="D550" s="45"/>
      <c r="E550" s="45">
        <v>-100000</v>
      </c>
      <c r="F550" s="45">
        <f>-29481.71+0.77</f>
        <v>-29480.94</v>
      </c>
      <c r="G550" s="45">
        <f t="shared" si="385"/>
        <v>104640.64000000004</v>
      </c>
      <c r="H550" s="44">
        <v>4300000</v>
      </c>
      <c r="I550" s="46">
        <f t="shared" si="362"/>
        <v>-3353031.1</v>
      </c>
      <c r="J550" s="47"/>
      <c r="K550" s="47">
        <v>100000</v>
      </c>
      <c r="L550" s="47">
        <v>-592430.97</v>
      </c>
      <c r="M550" s="47">
        <f t="shared" si="363"/>
        <v>-3845462.0700000003</v>
      </c>
      <c r="N550" s="46">
        <v>5000000</v>
      </c>
      <c r="O550" s="48">
        <f t="shared" si="364"/>
        <v>4504.7300000000014</v>
      </c>
      <c r="P550" s="55"/>
      <c r="Q550" s="55"/>
      <c r="R550" s="55">
        <v>-3082</v>
      </c>
      <c r="S550" s="55">
        <f t="shared" si="365"/>
        <v>1422.7300000000014</v>
      </c>
      <c r="T550" s="48"/>
      <c r="U550" s="49">
        <f t="shared" si="366"/>
        <v>46.010000000009313</v>
      </c>
      <c r="V550" s="51"/>
      <c r="W550" s="51"/>
      <c r="X550" s="51"/>
      <c r="Y550" s="51">
        <f t="shared" si="367"/>
        <v>46.010000000009313</v>
      </c>
      <c r="Z550" s="52"/>
      <c r="AA550" s="53">
        <f t="shared" si="368"/>
        <v>23873.59999999998</v>
      </c>
      <c r="AB550" s="54"/>
      <c r="AC550" s="54"/>
      <c r="AD550" s="54">
        <v>-3600</v>
      </c>
      <c r="AE550" s="54">
        <f t="shared" si="369"/>
        <v>20273.59999999998</v>
      </c>
      <c r="AF550" s="53"/>
      <c r="AG550" s="53">
        <f t="shared" si="346"/>
        <v>46.209999999990686</v>
      </c>
      <c r="AH550" s="54"/>
      <c r="AI550" s="54"/>
      <c r="AJ550" s="54"/>
      <c r="AK550" s="54">
        <f t="shared" si="370"/>
        <v>46.209999999990686</v>
      </c>
      <c r="AL550" s="53"/>
      <c r="AM550" s="53">
        <f t="shared" si="353"/>
        <v>0</v>
      </c>
      <c r="AN550" s="54"/>
      <c r="AO550" s="54"/>
      <c r="AP550" s="54"/>
      <c r="AQ550" s="54">
        <f t="shared" si="354"/>
        <v>0</v>
      </c>
      <c r="AR550" s="53"/>
      <c r="AS550" s="50">
        <f t="shared" si="371"/>
        <v>-3090438.97</v>
      </c>
      <c r="AT550" s="73">
        <f t="shared" si="378"/>
        <v>0</v>
      </c>
      <c r="AU550" s="50">
        <f t="shared" si="347"/>
        <v>0</v>
      </c>
      <c r="AV550" s="50">
        <f t="shared" si="379"/>
        <v>-628593.90999999992</v>
      </c>
      <c r="AW550" s="50"/>
      <c r="AX550" s="50">
        <f t="shared" si="356"/>
        <v>-3719032.8800000004</v>
      </c>
      <c r="AY550" s="50">
        <f t="shared" si="357"/>
        <v>9300000</v>
      </c>
      <c r="AZ550" s="50">
        <f t="shared" si="358"/>
        <v>5580967.1199999992</v>
      </c>
      <c r="BA550" s="15">
        <f t="shared" si="390"/>
        <v>-3099.1940666666674</v>
      </c>
      <c r="BB550" s="15">
        <f t="shared" si="382"/>
        <v>-9075.4794083333327</v>
      </c>
    </row>
    <row r="551" spans="2:54" s="58" customFormat="1" ht="16.5" customHeight="1" x14ac:dyDescent="0.3">
      <c r="B551" s="99">
        <f t="shared" ref="B551" si="393">B550+3</f>
        <v>44935</v>
      </c>
      <c r="C551" s="44">
        <f t="shared" si="361"/>
        <v>104640.64000000004</v>
      </c>
      <c r="D551" s="45"/>
      <c r="E551" s="45"/>
      <c r="F551" s="45">
        <v>-497.85</v>
      </c>
      <c r="G551" s="45">
        <f t="shared" si="385"/>
        <v>104142.79000000004</v>
      </c>
      <c r="H551" s="44">
        <v>4300000</v>
      </c>
      <c r="I551" s="46">
        <f t="shared" si="362"/>
        <v>-3845462.0700000003</v>
      </c>
      <c r="J551" s="47"/>
      <c r="K551" s="47"/>
      <c r="L551" s="47">
        <v>-89034.4899999997</v>
      </c>
      <c r="M551" s="47">
        <f t="shared" si="363"/>
        <v>-3934496.56</v>
      </c>
      <c r="N551" s="46">
        <v>5000000</v>
      </c>
      <c r="O551" s="48">
        <f t="shared" si="364"/>
        <v>1422.7300000000014</v>
      </c>
      <c r="P551" s="55"/>
      <c r="Q551" s="55"/>
      <c r="R551" s="55"/>
      <c r="S551" s="55">
        <f t="shared" si="365"/>
        <v>1422.7300000000014</v>
      </c>
      <c r="T551" s="48"/>
      <c r="U551" s="49">
        <f t="shared" si="366"/>
        <v>46.010000000009313</v>
      </c>
      <c r="V551" s="51"/>
      <c r="W551" s="51"/>
      <c r="X551" s="51"/>
      <c r="Y551" s="51">
        <f t="shared" si="367"/>
        <v>46.010000000009313</v>
      </c>
      <c r="Z551" s="52"/>
      <c r="AA551" s="53">
        <f t="shared" si="368"/>
        <v>20273.59999999998</v>
      </c>
      <c r="AB551" s="54"/>
      <c r="AC551" s="54"/>
      <c r="AD551" s="54">
        <v>-15000</v>
      </c>
      <c r="AE551" s="54">
        <f t="shared" si="369"/>
        <v>5273.5999999999804</v>
      </c>
      <c r="AF551" s="53"/>
      <c r="AG551" s="53">
        <f t="shared" si="346"/>
        <v>46.209999999990686</v>
      </c>
      <c r="AH551" s="54"/>
      <c r="AI551" s="54"/>
      <c r="AJ551" s="54"/>
      <c r="AK551" s="54">
        <f t="shared" si="370"/>
        <v>46.209999999990686</v>
      </c>
      <c r="AL551" s="53"/>
      <c r="AM551" s="53">
        <f t="shared" si="353"/>
        <v>0</v>
      </c>
      <c r="AN551" s="54"/>
      <c r="AO551" s="54"/>
      <c r="AP551" s="54"/>
      <c r="AQ551" s="54">
        <f t="shared" si="354"/>
        <v>0</v>
      </c>
      <c r="AR551" s="53"/>
      <c r="AS551" s="50">
        <f t="shared" si="371"/>
        <v>-3719032.8800000004</v>
      </c>
      <c r="AT551" s="73">
        <f t="shared" si="378"/>
        <v>0</v>
      </c>
      <c r="AU551" s="50">
        <f t="shared" si="347"/>
        <v>0</v>
      </c>
      <c r="AV551" s="50">
        <f t="shared" si="379"/>
        <v>-104532.33999999971</v>
      </c>
      <c r="AW551" s="50"/>
      <c r="AX551" s="50">
        <f t="shared" si="356"/>
        <v>-3823565.22</v>
      </c>
      <c r="AY551" s="50">
        <f t="shared" si="357"/>
        <v>9300000</v>
      </c>
      <c r="AZ551" s="50">
        <f t="shared" si="358"/>
        <v>5476434.7799999993</v>
      </c>
      <c r="BA551" s="15">
        <f t="shared" si="390"/>
        <v>-3186.3043500000003</v>
      </c>
      <c r="BB551" s="15">
        <f t="shared" si="382"/>
        <v>-12261.783758333333</v>
      </c>
    </row>
    <row r="552" spans="2:54" s="58" customFormat="1" ht="16.5" customHeight="1" x14ac:dyDescent="0.3">
      <c r="B552" s="99">
        <f t="shared" ref="B552" si="394">B551+1</f>
        <v>44936</v>
      </c>
      <c r="C552" s="44">
        <f t="shared" si="361"/>
        <v>104142.79000000004</v>
      </c>
      <c r="D552" s="45">
        <f>4417.5+260781.81</f>
        <v>265199.31</v>
      </c>
      <c r="E552" s="45"/>
      <c r="F552" s="45">
        <v>-78.360000000044195</v>
      </c>
      <c r="G552" s="45">
        <f t="shared" si="385"/>
        <v>369263.74</v>
      </c>
      <c r="H552" s="44">
        <v>4300000</v>
      </c>
      <c r="I552" s="46">
        <f t="shared" si="362"/>
        <v>-3934496.56</v>
      </c>
      <c r="J552" s="47"/>
      <c r="K552" s="47"/>
      <c r="L552" s="47">
        <v>-207032.63</v>
      </c>
      <c r="M552" s="47">
        <f t="shared" si="363"/>
        <v>-4141529.19</v>
      </c>
      <c r="N552" s="46">
        <v>5000000</v>
      </c>
      <c r="O552" s="48">
        <f t="shared" si="364"/>
        <v>1422.7300000000014</v>
      </c>
      <c r="P552" s="55"/>
      <c r="Q552" s="55"/>
      <c r="R552" s="55"/>
      <c r="S552" s="55">
        <f t="shared" si="365"/>
        <v>1422.7300000000014</v>
      </c>
      <c r="T552" s="48"/>
      <c r="U552" s="49">
        <f t="shared" si="366"/>
        <v>46.010000000009313</v>
      </c>
      <c r="V552" s="51"/>
      <c r="W552" s="51"/>
      <c r="X552" s="51"/>
      <c r="Y552" s="51">
        <f t="shared" si="367"/>
        <v>46.010000000009313</v>
      </c>
      <c r="Z552" s="52"/>
      <c r="AA552" s="53">
        <f t="shared" si="368"/>
        <v>5273.5999999999804</v>
      </c>
      <c r="AB552" s="54"/>
      <c r="AC552" s="54"/>
      <c r="AD552" s="54">
        <v>-1264.4000000000001</v>
      </c>
      <c r="AE552" s="54">
        <f t="shared" si="369"/>
        <v>4009.1999999999803</v>
      </c>
      <c r="AF552" s="53"/>
      <c r="AG552" s="53">
        <f t="shared" si="346"/>
        <v>46.209999999990686</v>
      </c>
      <c r="AH552" s="54"/>
      <c r="AI552" s="54"/>
      <c r="AJ552" s="54"/>
      <c r="AK552" s="54">
        <f t="shared" si="370"/>
        <v>46.209999999990686</v>
      </c>
      <c r="AL552" s="53"/>
      <c r="AM552" s="53">
        <f t="shared" si="353"/>
        <v>0</v>
      </c>
      <c r="AN552" s="54"/>
      <c r="AO552" s="54"/>
      <c r="AP552" s="54"/>
      <c r="AQ552" s="54">
        <f t="shared" si="354"/>
        <v>0</v>
      </c>
      <c r="AR552" s="53"/>
      <c r="AS552" s="50">
        <f t="shared" si="371"/>
        <v>-3823565.22</v>
      </c>
      <c r="AT552" s="73">
        <f t="shared" si="378"/>
        <v>265199.31</v>
      </c>
      <c r="AU552" s="50">
        <f t="shared" si="347"/>
        <v>0</v>
      </c>
      <c r="AV552" s="50">
        <f t="shared" si="379"/>
        <v>-208375.39000000004</v>
      </c>
      <c r="AW552" s="50"/>
      <c r="AX552" s="50">
        <f t="shared" si="356"/>
        <v>-3766741.3</v>
      </c>
      <c r="AY552" s="50">
        <f t="shared" si="357"/>
        <v>9300000</v>
      </c>
      <c r="AZ552" s="50">
        <f t="shared" si="358"/>
        <v>5533258.7000000002</v>
      </c>
      <c r="BA552" s="15">
        <f t="shared" si="390"/>
        <v>-3138.9510833333334</v>
      </c>
      <c r="BB552" s="15">
        <f t="shared" si="382"/>
        <v>-15400.734841666666</v>
      </c>
    </row>
    <row r="553" spans="2:54" s="58" customFormat="1" ht="16.5" customHeight="1" x14ac:dyDescent="0.3">
      <c r="B553" s="99">
        <f t="shared" si="384"/>
        <v>44937</v>
      </c>
      <c r="C553" s="44">
        <f t="shared" si="361"/>
        <v>369263.74</v>
      </c>
      <c r="D553" s="45"/>
      <c r="E553" s="45">
        <v>-100000</v>
      </c>
      <c r="F553" s="45">
        <v>-8569.4899999999907</v>
      </c>
      <c r="G553" s="45">
        <f t="shared" si="385"/>
        <v>260694.25</v>
      </c>
      <c r="H553" s="44">
        <v>4300000</v>
      </c>
      <c r="I553" s="46">
        <f t="shared" si="362"/>
        <v>-4141529.19</v>
      </c>
      <c r="J553" s="47"/>
      <c r="K553" s="47">
        <v>100000</v>
      </c>
      <c r="L553" s="47">
        <v>-64587.830000000104</v>
      </c>
      <c r="M553" s="47">
        <f t="shared" si="363"/>
        <v>-4106117.02</v>
      </c>
      <c r="N553" s="46">
        <v>5000000</v>
      </c>
      <c r="O553" s="48">
        <f t="shared" si="364"/>
        <v>1422.7300000000014</v>
      </c>
      <c r="P553" s="55"/>
      <c r="Q553" s="55"/>
      <c r="R553" s="55"/>
      <c r="S553" s="55">
        <f t="shared" si="365"/>
        <v>1422.7300000000014</v>
      </c>
      <c r="T553" s="48"/>
      <c r="U553" s="49">
        <f t="shared" si="366"/>
        <v>46.010000000009313</v>
      </c>
      <c r="V553" s="51"/>
      <c r="W553" s="51"/>
      <c r="X553" s="51"/>
      <c r="Y553" s="51">
        <f t="shared" si="367"/>
        <v>46.010000000009313</v>
      </c>
      <c r="Z553" s="52"/>
      <c r="AA553" s="53">
        <f t="shared" si="368"/>
        <v>4009.1999999999803</v>
      </c>
      <c r="AB553" s="54"/>
      <c r="AC553" s="54"/>
      <c r="AD553" s="54"/>
      <c r="AE553" s="54">
        <f t="shared" si="369"/>
        <v>4009.1999999999803</v>
      </c>
      <c r="AF553" s="53"/>
      <c r="AG553" s="53">
        <f t="shared" ref="AG553:AG616" si="395">AK552</f>
        <v>46.209999999990686</v>
      </c>
      <c r="AH553" s="54"/>
      <c r="AI553" s="54"/>
      <c r="AJ553" s="54"/>
      <c r="AK553" s="54">
        <f t="shared" si="370"/>
        <v>46.209999999990686</v>
      </c>
      <c r="AL553" s="53"/>
      <c r="AM553" s="53">
        <f t="shared" si="353"/>
        <v>0</v>
      </c>
      <c r="AN553" s="54"/>
      <c r="AO553" s="54"/>
      <c r="AP553" s="54"/>
      <c r="AQ553" s="54">
        <f t="shared" si="354"/>
        <v>0</v>
      </c>
      <c r="AR553" s="53"/>
      <c r="AS553" s="50">
        <f t="shared" si="371"/>
        <v>-3766741.3</v>
      </c>
      <c r="AT553" s="73">
        <f t="shared" si="378"/>
        <v>0</v>
      </c>
      <c r="AU553" s="50">
        <f t="shared" si="347"/>
        <v>0</v>
      </c>
      <c r="AV553" s="50">
        <f t="shared" si="379"/>
        <v>-73157.320000000094</v>
      </c>
      <c r="AW553" s="50"/>
      <c r="AX553" s="50">
        <f t="shared" si="356"/>
        <v>-3839898.62</v>
      </c>
      <c r="AY553" s="50">
        <f t="shared" si="357"/>
        <v>9300000</v>
      </c>
      <c r="AZ553" s="50">
        <f t="shared" si="358"/>
        <v>5460101.3799999999</v>
      </c>
      <c r="BA553" s="15">
        <f t="shared" si="390"/>
        <v>-3199.9155166666669</v>
      </c>
      <c r="BB553" s="15">
        <f t="shared" si="382"/>
        <v>-18600.650358333332</v>
      </c>
    </row>
    <row r="554" spans="2:54" s="58" customFormat="1" ht="16.5" customHeight="1" x14ac:dyDescent="0.3">
      <c r="B554" s="99">
        <f t="shared" si="384"/>
        <v>44938</v>
      </c>
      <c r="C554" s="44">
        <f t="shared" si="361"/>
        <v>260694.25</v>
      </c>
      <c r="D554" s="45">
        <v>187260.28999999998</v>
      </c>
      <c r="E554" s="45">
        <v>-200000</v>
      </c>
      <c r="F554" s="45">
        <v>-1519.26999999999</v>
      </c>
      <c r="G554" s="45">
        <f t="shared" si="385"/>
        <v>246435.27</v>
      </c>
      <c r="H554" s="44">
        <v>4300000</v>
      </c>
      <c r="I554" s="46">
        <f t="shared" si="362"/>
        <v>-4106117.02</v>
      </c>
      <c r="J554" s="47"/>
      <c r="K554" s="47">
        <v>200000</v>
      </c>
      <c r="L554" s="47">
        <v>-80615.97</v>
      </c>
      <c r="M554" s="47">
        <f t="shared" si="363"/>
        <v>-3986732.99</v>
      </c>
      <c r="N554" s="46">
        <v>5000000</v>
      </c>
      <c r="O554" s="48">
        <f t="shared" si="364"/>
        <v>1422.7300000000014</v>
      </c>
      <c r="P554" s="55"/>
      <c r="Q554" s="55"/>
      <c r="R554" s="55"/>
      <c r="S554" s="55">
        <f t="shared" si="365"/>
        <v>1422.7300000000014</v>
      </c>
      <c r="T554" s="48"/>
      <c r="U554" s="49">
        <f t="shared" si="366"/>
        <v>46.010000000009313</v>
      </c>
      <c r="V554" s="51"/>
      <c r="W554" s="51"/>
      <c r="X554" s="51"/>
      <c r="Y554" s="51">
        <f t="shared" si="367"/>
        <v>46.010000000009313</v>
      </c>
      <c r="Z554" s="52"/>
      <c r="AA554" s="53">
        <f t="shared" si="368"/>
        <v>4009.1999999999803</v>
      </c>
      <c r="AB554" s="54"/>
      <c r="AC554" s="54"/>
      <c r="AD554" s="54"/>
      <c r="AE554" s="54">
        <f t="shared" si="369"/>
        <v>4009.1999999999803</v>
      </c>
      <c r="AF554" s="53"/>
      <c r="AG554" s="53">
        <f t="shared" si="395"/>
        <v>46.209999999990686</v>
      </c>
      <c r="AH554" s="54"/>
      <c r="AI554" s="54"/>
      <c r="AJ554" s="54"/>
      <c r="AK554" s="54">
        <f t="shared" si="370"/>
        <v>46.209999999990686</v>
      </c>
      <c r="AL554" s="53"/>
      <c r="AM554" s="53">
        <f t="shared" si="353"/>
        <v>0</v>
      </c>
      <c r="AN554" s="54"/>
      <c r="AO554" s="54"/>
      <c r="AP554" s="54"/>
      <c r="AQ554" s="54">
        <f t="shared" si="354"/>
        <v>0</v>
      </c>
      <c r="AR554" s="53"/>
      <c r="AS554" s="50">
        <f t="shared" si="371"/>
        <v>-3839898.62</v>
      </c>
      <c r="AT554" s="73">
        <f t="shared" si="378"/>
        <v>187260.28999999998</v>
      </c>
      <c r="AU554" s="50">
        <f t="shared" ref="AU554:AU617" si="396">SUM(E554,K554,Q554,W554,AC554,AI554)</f>
        <v>0</v>
      </c>
      <c r="AV554" s="50">
        <f t="shared" si="379"/>
        <v>-82135.239999999991</v>
      </c>
      <c r="AW554" s="50"/>
      <c r="AX554" s="50">
        <f t="shared" si="356"/>
        <v>-3734773.5700000003</v>
      </c>
      <c r="AY554" s="50">
        <f t="shared" si="357"/>
        <v>9300000</v>
      </c>
      <c r="AZ554" s="50">
        <f t="shared" si="358"/>
        <v>5565226.4299999997</v>
      </c>
      <c r="BA554" s="15">
        <f t="shared" si="390"/>
        <v>-3112.3113083333337</v>
      </c>
      <c r="BB554" s="15">
        <f t="shared" si="382"/>
        <v>-21712.961666666666</v>
      </c>
    </row>
    <row r="555" spans="2:54" s="58" customFormat="1" ht="16.5" customHeight="1" x14ac:dyDescent="0.3">
      <c r="B555" s="99">
        <f t="shared" si="384"/>
        <v>44939</v>
      </c>
      <c r="C555" s="44">
        <f t="shared" si="361"/>
        <v>246435.27</v>
      </c>
      <c r="D555" s="45">
        <v>64300.92</v>
      </c>
      <c r="E555" s="45"/>
      <c r="F555" s="45">
        <v>-84.880000000004699</v>
      </c>
      <c r="G555" s="45">
        <f t="shared" si="385"/>
        <v>310651.31</v>
      </c>
      <c r="H555" s="44">
        <v>4300000</v>
      </c>
      <c r="I555" s="46">
        <f t="shared" si="362"/>
        <v>-3986732.99</v>
      </c>
      <c r="J555" s="47">
        <v>26981.87</v>
      </c>
      <c r="K555" s="47"/>
      <c r="L555" s="47">
        <v>-18576.6699999999</v>
      </c>
      <c r="M555" s="47">
        <f t="shared" si="363"/>
        <v>-3978327.79</v>
      </c>
      <c r="N555" s="46">
        <v>5000000</v>
      </c>
      <c r="O555" s="48">
        <f t="shared" si="364"/>
        <v>1422.7300000000014</v>
      </c>
      <c r="P555" s="55"/>
      <c r="Q555" s="55"/>
      <c r="R555" s="55"/>
      <c r="S555" s="55">
        <f t="shared" si="365"/>
        <v>1422.7300000000014</v>
      </c>
      <c r="T555" s="48"/>
      <c r="U555" s="49">
        <f t="shared" si="366"/>
        <v>46.010000000009313</v>
      </c>
      <c r="V555" s="51"/>
      <c r="W555" s="51"/>
      <c r="X555" s="51"/>
      <c r="Y555" s="51">
        <f t="shared" si="367"/>
        <v>46.010000000009313</v>
      </c>
      <c r="Z555" s="52"/>
      <c r="AA555" s="53">
        <f t="shared" si="368"/>
        <v>4009.1999999999803</v>
      </c>
      <c r="AB555" s="54"/>
      <c r="AC555" s="54"/>
      <c r="AD555" s="54"/>
      <c r="AE555" s="54">
        <f t="shared" si="369"/>
        <v>4009.1999999999803</v>
      </c>
      <c r="AF555" s="53"/>
      <c r="AG555" s="53">
        <f t="shared" si="395"/>
        <v>46.209999999990686</v>
      </c>
      <c r="AH555" s="54"/>
      <c r="AI555" s="54"/>
      <c r="AJ555" s="54"/>
      <c r="AK555" s="54">
        <f t="shared" si="370"/>
        <v>46.209999999990686</v>
      </c>
      <c r="AL555" s="53"/>
      <c r="AM555" s="53">
        <f t="shared" si="353"/>
        <v>0</v>
      </c>
      <c r="AN555" s="54"/>
      <c r="AO555" s="54"/>
      <c r="AP555" s="54"/>
      <c r="AQ555" s="54">
        <f t="shared" si="354"/>
        <v>0</v>
      </c>
      <c r="AR555" s="53"/>
      <c r="AS555" s="50">
        <f t="shared" si="371"/>
        <v>-3734773.5700000003</v>
      </c>
      <c r="AT555" s="73">
        <f t="shared" si="378"/>
        <v>91282.79</v>
      </c>
      <c r="AU555" s="50">
        <f t="shared" si="396"/>
        <v>0</v>
      </c>
      <c r="AV555" s="50">
        <f t="shared" si="379"/>
        <v>-18661.549999999905</v>
      </c>
      <c r="AW555" s="50"/>
      <c r="AX555" s="50">
        <f t="shared" si="356"/>
        <v>-3662152.33</v>
      </c>
      <c r="AY555" s="50">
        <f t="shared" si="357"/>
        <v>9300000</v>
      </c>
      <c r="AZ555" s="50">
        <f t="shared" si="358"/>
        <v>5637847.6699999999</v>
      </c>
      <c r="BA555" s="15">
        <f t="shared" si="390"/>
        <v>-3051.7936083333334</v>
      </c>
      <c r="BB555" s="15">
        <f t="shared" si="382"/>
        <v>-24764.755275</v>
      </c>
    </row>
    <row r="556" spans="2:54" s="58" customFormat="1" ht="16.5" customHeight="1" x14ac:dyDescent="0.3">
      <c r="B556" s="99">
        <f t="shared" ref="B556" si="397">B555+3</f>
        <v>44942</v>
      </c>
      <c r="C556" s="44">
        <f t="shared" si="361"/>
        <v>310651.31</v>
      </c>
      <c r="D556" s="45">
        <v>56017</v>
      </c>
      <c r="E556" s="45"/>
      <c r="F556" s="45">
        <v>-52486.93</v>
      </c>
      <c r="G556" s="45">
        <f t="shared" si="385"/>
        <v>314181.38</v>
      </c>
      <c r="H556" s="44">
        <v>4300000</v>
      </c>
      <c r="I556" s="46">
        <f t="shared" si="362"/>
        <v>-3978327.79</v>
      </c>
      <c r="J556" s="47">
        <v>158978.35999999999</v>
      </c>
      <c r="K556" s="47"/>
      <c r="L556" s="47">
        <v>-145046.09</v>
      </c>
      <c r="M556" s="47">
        <f t="shared" si="363"/>
        <v>-3964395.52</v>
      </c>
      <c r="N556" s="46">
        <v>5000000</v>
      </c>
      <c r="O556" s="48">
        <f t="shared" si="364"/>
        <v>1422.7300000000014</v>
      </c>
      <c r="P556" s="55"/>
      <c r="Q556" s="55"/>
      <c r="R556" s="55"/>
      <c r="S556" s="55">
        <f t="shared" si="365"/>
        <v>1422.7300000000014</v>
      </c>
      <c r="T556" s="48"/>
      <c r="U556" s="49">
        <f t="shared" si="366"/>
        <v>46.010000000009313</v>
      </c>
      <c r="V556" s="51"/>
      <c r="W556" s="51"/>
      <c r="X556" s="51"/>
      <c r="Y556" s="51">
        <f t="shared" si="367"/>
        <v>46.010000000009313</v>
      </c>
      <c r="Z556" s="52"/>
      <c r="AA556" s="53">
        <f t="shared" si="368"/>
        <v>4009.1999999999803</v>
      </c>
      <c r="AB556" s="54"/>
      <c r="AC556" s="54"/>
      <c r="AD556" s="54"/>
      <c r="AE556" s="54">
        <f t="shared" si="369"/>
        <v>4009.1999999999803</v>
      </c>
      <c r="AF556" s="53"/>
      <c r="AG556" s="53">
        <f t="shared" si="395"/>
        <v>46.209999999990686</v>
      </c>
      <c r="AH556" s="54"/>
      <c r="AI556" s="54"/>
      <c r="AJ556" s="54"/>
      <c r="AK556" s="54">
        <f t="shared" si="370"/>
        <v>46.209999999990686</v>
      </c>
      <c r="AL556" s="53"/>
      <c r="AM556" s="53">
        <f t="shared" si="353"/>
        <v>0</v>
      </c>
      <c r="AN556" s="54"/>
      <c r="AO556" s="54"/>
      <c r="AP556" s="54"/>
      <c r="AQ556" s="54">
        <f t="shared" si="354"/>
        <v>0</v>
      </c>
      <c r="AR556" s="53"/>
      <c r="AS556" s="50">
        <f t="shared" si="371"/>
        <v>-3662152.33</v>
      </c>
      <c r="AT556" s="73">
        <f t="shared" si="378"/>
        <v>214995.36</v>
      </c>
      <c r="AU556" s="50">
        <f t="shared" si="396"/>
        <v>0</v>
      </c>
      <c r="AV556" s="50">
        <f t="shared" si="379"/>
        <v>-197533.02</v>
      </c>
      <c r="AW556" s="50"/>
      <c r="AX556" s="50">
        <f t="shared" si="356"/>
        <v>-3644689.99</v>
      </c>
      <c r="AY556" s="50">
        <f t="shared" si="357"/>
        <v>9300000</v>
      </c>
      <c r="AZ556" s="50">
        <f t="shared" si="358"/>
        <v>5655310.0099999998</v>
      </c>
      <c r="BA556" s="15">
        <f t="shared" si="390"/>
        <v>-3037.2416583333338</v>
      </c>
      <c r="BB556" s="15">
        <f t="shared" si="382"/>
        <v>-27801.996933333332</v>
      </c>
    </row>
    <row r="557" spans="2:54" s="58" customFormat="1" ht="16.5" customHeight="1" x14ac:dyDescent="0.3">
      <c r="B557" s="99">
        <f t="shared" ref="B557" si="398">B556+1</f>
        <v>44943</v>
      </c>
      <c r="C557" s="44">
        <f t="shared" si="361"/>
        <v>314181.38</v>
      </c>
      <c r="D557" s="45">
        <v>4</v>
      </c>
      <c r="E557" s="45"/>
      <c r="F557" s="45"/>
      <c r="G557" s="45">
        <f t="shared" si="385"/>
        <v>314185.38</v>
      </c>
      <c r="H557" s="44">
        <v>4300000</v>
      </c>
      <c r="I557" s="46">
        <f t="shared" si="362"/>
        <v>-3964395.52</v>
      </c>
      <c r="J557" s="47"/>
      <c r="K557" s="47"/>
      <c r="L557" s="47">
        <v>-29592.6</v>
      </c>
      <c r="M557" s="47">
        <f t="shared" si="363"/>
        <v>-3993988.12</v>
      </c>
      <c r="N557" s="46">
        <v>5000000</v>
      </c>
      <c r="O557" s="48">
        <f t="shared" si="364"/>
        <v>1422.7300000000014</v>
      </c>
      <c r="P557" s="55"/>
      <c r="Q557" s="55"/>
      <c r="R557" s="55"/>
      <c r="S557" s="55">
        <f t="shared" si="365"/>
        <v>1422.7300000000014</v>
      </c>
      <c r="T557" s="48"/>
      <c r="U557" s="49">
        <f t="shared" si="366"/>
        <v>46.010000000009313</v>
      </c>
      <c r="V557" s="51"/>
      <c r="W557" s="51"/>
      <c r="X557" s="51"/>
      <c r="Y557" s="51">
        <f t="shared" si="367"/>
        <v>46.010000000009313</v>
      </c>
      <c r="Z557" s="52"/>
      <c r="AA557" s="53">
        <f t="shared" si="368"/>
        <v>4009.1999999999803</v>
      </c>
      <c r="AB557" s="54"/>
      <c r="AC557" s="54"/>
      <c r="AD557" s="54"/>
      <c r="AE557" s="54">
        <f t="shared" si="369"/>
        <v>4009.1999999999803</v>
      </c>
      <c r="AF557" s="53"/>
      <c r="AG557" s="53">
        <f t="shared" si="395"/>
        <v>46.209999999990686</v>
      </c>
      <c r="AH557" s="54"/>
      <c r="AI557" s="54"/>
      <c r="AJ557" s="54"/>
      <c r="AK557" s="54">
        <f t="shared" si="370"/>
        <v>46.209999999990686</v>
      </c>
      <c r="AL557" s="53"/>
      <c r="AM557" s="53">
        <f t="shared" si="353"/>
        <v>0</v>
      </c>
      <c r="AN557" s="54"/>
      <c r="AO557" s="54"/>
      <c r="AP557" s="54"/>
      <c r="AQ557" s="54">
        <f t="shared" si="354"/>
        <v>0</v>
      </c>
      <c r="AR557" s="53"/>
      <c r="AS557" s="50">
        <f t="shared" si="371"/>
        <v>-3644689.99</v>
      </c>
      <c r="AT557" s="73">
        <f t="shared" si="378"/>
        <v>4</v>
      </c>
      <c r="AU557" s="50">
        <f t="shared" si="396"/>
        <v>0</v>
      </c>
      <c r="AV557" s="50">
        <f t="shared" si="379"/>
        <v>-29592.6</v>
      </c>
      <c r="AW557" s="50"/>
      <c r="AX557" s="50">
        <f t="shared" si="356"/>
        <v>-3674278.59</v>
      </c>
      <c r="AY557" s="50">
        <f t="shared" si="357"/>
        <v>9300000</v>
      </c>
      <c r="AZ557" s="50">
        <f t="shared" si="358"/>
        <v>5625721.4100000001</v>
      </c>
      <c r="BA557" s="15">
        <f t="shared" si="390"/>
        <v>-3061.8988250000002</v>
      </c>
      <c r="BB557" s="15">
        <f t="shared" si="382"/>
        <v>-30863.895758333332</v>
      </c>
    </row>
    <row r="558" spans="2:54" s="58" customFormat="1" ht="16.5" customHeight="1" x14ac:dyDescent="0.3">
      <c r="B558" s="99">
        <f t="shared" si="384"/>
        <v>44944</v>
      </c>
      <c r="C558" s="44">
        <f t="shared" si="361"/>
        <v>314185.38</v>
      </c>
      <c r="D558" s="45"/>
      <c r="E558" s="45"/>
      <c r="F558" s="45">
        <v>-9100.2800000000207</v>
      </c>
      <c r="G558" s="45">
        <f t="shared" si="385"/>
        <v>305085.09999999998</v>
      </c>
      <c r="H558" s="44">
        <v>4300000</v>
      </c>
      <c r="I558" s="46">
        <f t="shared" si="362"/>
        <v>-3993988.12</v>
      </c>
      <c r="J558" s="47">
        <v>97880.29</v>
      </c>
      <c r="K558" s="47"/>
      <c r="L558" s="47">
        <v>-165607.51</v>
      </c>
      <c r="M558" s="47">
        <f t="shared" si="363"/>
        <v>-4061715.34</v>
      </c>
      <c r="N558" s="46">
        <v>5000000</v>
      </c>
      <c r="O558" s="48">
        <f t="shared" si="364"/>
        <v>1422.7300000000014</v>
      </c>
      <c r="P558" s="55"/>
      <c r="Q558" s="55"/>
      <c r="R558" s="55">
        <v>-383.46</v>
      </c>
      <c r="S558" s="55">
        <f t="shared" si="365"/>
        <v>1039.2700000000013</v>
      </c>
      <c r="T558" s="48"/>
      <c r="U558" s="49">
        <f t="shared" si="366"/>
        <v>46.010000000009313</v>
      </c>
      <c r="V558" s="51"/>
      <c r="W558" s="51"/>
      <c r="X558" s="51"/>
      <c r="Y558" s="51">
        <f t="shared" si="367"/>
        <v>46.010000000009313</v>
      </c>
      <c r="Z558" s="52"/>
      <c r="AA558" s="53">
        <f t="shared" si="368"/>
        <v>4009.1999999999803</v>
      </c>
      <c r="AB558" s="54"/>
      <c r="AC558" s="54"/>
      <c r="AD558" s="54"/>
      <c r="AE558" s="54">
        <f t="shared" si="369"/>
        <v>4009.1999999999803</v>
      </c>
      <c r="AF558" s="53"/>
      <c r="AG558" s="53">
        <f t="shared" si="395"/>
        <v>46.209999999990686</v>
      </c>
      <c r="AH558" s="54"/>
      <c r="AI558" s="54"/>
      <c r="AJ558" s="54"/>
      <c r="AK558" s="54">
        <f t="shared" si="370"/>
        <v>46.209999999990686</v>
      </c>
      <c r="AL558" s="53"/>
      <c r="AM558" s="53">
        <f t="shared" si="353"/>
        <v>0</v>
      </c>
      <c r="AN558" s="54"/>
      <c r="AO558" s="54"/>
      <c r="AP558" s="54"/>
      <c r="AQ558" s="54">
        <f t="shared" si="354"/>
        <v>0</v>
      </c>
      <c r="AR558" s="53"/>
      <c r="AS558" s="50">
        <f t="shared" si="371"/>
        <v>-3674278.59</v>
      </c>
      <c r="AT558" s="73">
        <f t="shared" si="378"/>
        <v>97880.29</v>
      </c>
      <c r="AU558" s="50">
        <f t="shared" si="396"/>
        <v>0</v>
      </c>
      <c r="AV558" s="50">
        <f t="shared" si="379"/>
        <v>-175091.25000000003</v>
      </c>
      <c r="AW558" s="50"/>
      <c r="AX558" s="50">
        <f t="shared" si="356"/>
        <v>-3751489.55</v>
      </c>
      <c r="AY558" s="50">
        <f t="shared" si="357"/>
        <v>9300000</v>
      </c>
      <c r="AZ558" s="50">
        <f t="shared" si="358"/>
        <v>5548510.4500000002</v>
      </c>
      <c r="BA558" s="15">
        <f t="shared" si="390"/>
        <v>-3126.2412916666667</v>
      </c>
      <c r="BB558" s="15">
        <f t="shared" si="382"/>
        <v>-33990.137049999998</v>
      </c>
    </row>
    <row r="559" spans="2:54" s="58" customFormat="1" ht="16.5" customHeight="1" x14ac:dyDescent="0.3">
      <c r="B559" s="99">
        <f t="shared" si="384"/>
        <v>44945</v>
      </c>
      <c r="C559" s="44">
        <f t="shared" si="361"/>
        <v>305085.09999999998</v>
      </c>
      <c r="D559" s="45"/>
      <c r="E559" s="45">
        <v>-250000</v>
      </c>
      <c r="F559" s="45"/>
      <c r="G559" s="45">
        <f t="shared" si="385"/>
        <v>55085.099999999977</v>
      </c>
      <c r="H559" s="44">
        <v>4300000</v>
      </c>
      <c r="I559" s="46">
        <f t="shared" si="362"/>
        <v>-4061715.34</v>
      </c>
      <c r="J559" s="47"/>
      <c r="K559" s="47">
        <v>250000</v>
      </c>
      <c r="L559" s="47">
        <v>-491300.43</v>
      </c>
      <c r="M559" s="47">
        <f t="shared" si="363"/>
        <v>-4303015.7699999996</v>
      </c>
      <c r="N559" s="46">
        <v>5000000</v>
      </c>
      <c r="O559" s="48">
        <f t="shared" si="364"/>
        <v>1039.2700000000013</v>
      </c>
      <c r="P559" s="55"/>
      <c r="Q559" s="55"/>
      <c r="R559" s="55"/>
      <c r="S559" s="55">
        <f t="shared" si="365"/>
        <v>1039.2700000000013</v>
      </c>
      <c r="T559" s="48"/>
      <c r="U559" s="49">
        <f t="shared" si="366"/>
        <v>46.010000000009313</v>
      </c>
      <c r="V559" s="51"/>
      <c r="W559" s="51"/>
      <c r="X559" s="51"/>
      <c r="Y559" s="51">
        <f t="shared" si="367"/>
        <v>46.010000000009313</v>
      </c>
      <c r="Z559" s="52"/>
      <c r="AA559" s="53">
        <f t="shared" si="368"/>
        <v>4009.1999999999803</v>
      </c>
      <c r="AB559" s="54"/>
      <c r="AC559" s="54"/>
      <c r="AD559" s="54"/>
      <c r="AE559" s="54">
        <f t="shared" si="369"/>
        <v>4009.1999999999803</v>
      </c>
      <c r="AF559" s="53"/>
      <c r="AG559" s="53">
        <f t="shared" si="395"/>
        <v>46.209999999990686</v>
      </c>
      <c r="AH559" s="54"/>
      <c r="AI559" s="54"/>
      <c r="AJ559" s="54"/>
      <c r="AK559" s="54">
        <f t="shared" si="370"/>
        <v>46.209999999990686</v>
      </c>
      <c r="AL559" s="53"/>
      <c r="AM559" s="53">
        <f t="shared" si="353"/>
        <v>0</v>
      </c>
      <c r="AN559" s="54"/>
      <c r="AO559" s="54"/>
      <c r="AP559" s="54"/>
      <c r="AQ559" s="54">
        <f t="shared" si="354"/>
        <v>0</v>
      </c>
      <c r="AR559" s="53"/>
      <c r="AS559" s="50">
        <f t="shared" si="371"/>
        <v>-3751489.55</v>
      </c>
      <c r="AT559" s="73">
        <f t="shared" si="378"/>
        <v>0</v>
      </c>
      <c r="AU559" s="50">
        <f t="shared" si="396"/>
        <v>0</v>
      </c>
      <c r="AV559" s="50">
        <f t="shared" si="379"/>
        <v>-491300.43</v>
      </c>
      <c r="AW559" s="50"/>
      <c r="AX559" s="50">
        <f t="shared" si="356"/>
        <v>-4242789.9800000004</v>
      </c>
      <c r="AY559" s="50">
        <f t="shared" si="357"/>
        <v>9300000</v>
      </c>
      <c r="AZ559" s="50">
        <f t="shared" si="358"/>
        <v>5057210.0199999996</v>
      </c>
      <c r="BA559" s="15">
        <f t="shared" si="390"/>
        <v>-3535.6583166666674</v>
      </c>
      <c r="BB559" s="15">
        <f t="shared" si="382"/>
        <v>-37525.795366666665</v>
      </c>
    </row>
    <row r="560" spans="2:54" s="58" customFormat="1" ht="16.5" customHeight="1" x14ac:dyDescent="0.3">
      <c r="B560" s="99">
        <f t="shared" si="384"/>
        <v>44946</v>
      </c>
      <c r="C560" s="44">
        <f t="shared" si="361"/>
        <v>55085.099999999977</v>
      </c>
      <c r="D560" s="45">
        <v>65695</v>
      </c>
      <c r="E560" s="45">
        <v>-1000000</v>
      </c>
      <c r="F560" s="45">
        <v>-1075844.1000000001</v>
      </c>
      <c r="G560" s="45">
        <f t="shared" si="385"/>
        <v>-1955064</v>
      </c>
      <c r="H560" s="44">
        <v>4300000</v>
      </c>
      <c r="I560" s="46">
        <f t="shared" si="362"/>
        <v>-4303015.7699999996</v>
      </c>
      <c r="J560" s="47"/>
      <c r="K560" s="47">
        <v>1000000</v>
      </c>
      <c r="L560" s="47">
        <v>-1031201.99</v>
      </c>
      <c r="M560" s="47">
        <f t="shared" si="363"/>
        <v>-4334217.76</v>
      </c>
      <c r="N560" s="46">
        <v>5000000</v>
      </c>
      <c r="O560" s="48">
        <f t="shared" si="364"/>
        <v>1039.2700000000013</v>
      </c>
      <c r="P560" s="55"/>
      <c r="Q560" s="55"/>
      <c r="R560" s="55"/>
      <c r="S560" s="55">
        <f t="shared" si="365"/>
        <v>1039.2700000000013</v>
      </c>
      <c r="T560" s="48"/>
      <c r="U560" s="49">
        <f t="shared" si="366"/>
        <v>46.010000000009313</v>
      </c>
      <c r="V560" s="51"/>
      <c r="W560" s="51"/>
      <c r="X560" s="51"/>
      <c r="Y560" s="51">
        <f t="shared" si="367"/>
        <v>46.010000000009313</v>
      </c>
      <c r="Z560" s="52"/>
      <c r="AA560" s="53">
        <f t="shared" si="368"/>
        <v>4009.1999999999803</v>
      </c>
      <c r="AB560" s="54">
        <v>1.1000000000000001</v>
      </c>
      <c r="AC560" s="54"/>
      <c r="AD560" s="54"/>
      <c r="AE560" s="54">
        <f t="shared" si="369"/>
        <v>4010.2999999999802</v>
      </c>
      <c r="AF560" s="53"/>
      <c r="AG560" s="53">
        <f t="shared" si="395"/>
        <v>46.209999999990686</v>
      </c>
      <c r="AH560" s="54"/>
      <c r="AI560" s="54"/>
      <c r="AJ560" s="54"/>
      <c r="AK560" s="54">
        <f t="shared" si="370"/>
        <v>46.209999999990686</v>
      </c>
      <c r="AL560" s="53"/>
      <c r="AM560" s="53">
        <f t="shared" si="353"/>
        <v>0</v>
      </c>
      <c r="AN560" s="54"/>
      <c r="AO560" s="54"/>
      <c r="AP560" s="54"/>
      <c r="AQ560" s="54">
        <f t="shared" si="354"/>
        <v>0</v>
      </c>
      <c r="AR560" s="53"/>
      <c r="AS560" s="50">
        <f t="shared" si="371"/>
        <v>-4242789.9800000004</v>
      </c>
      <c r="AT560" s="73">
        <f t="shared" si="378"/>
        <v>65696.100000000006</v>
      </c>
      <c r="AU560" s="50">
        <f t="shared" si="396"/>
        <v>0</v>
      </c>
      <c r="AV560" s="50">
        <f t="shared" si="379"/>
        <v>-2107046.09</v>
      </c>
      <c r="AW560" s="50"/>
      <c r="AX560" s="50">
        <f t="shared" si="356"/>
        <v>-6284139.9700000007</v>
      </c>
      <c r="AY560" s="50">
        <f t="shared" si="357"/>
        <v>9300000</v>
      </c>
      <c r="AZ560" s="50">
        <f t="shared" si="358"/>
        <v>3015860.0299999993</v>
      </c>
      <c r="BA560" s="15">
        <f t="shared" si="390"/>
        <v>-5236.7833083333344</v>
      </c>
      <c r="BB560" s="15">
        <f t="shared" si="382"/>
        <v>-42762.578674999997</v>
      </c>
    </row>
    <row r="561" spans="2:55" s="58" customFormat="1" ht="16.5" customHeight="1" x14ac:dyDescent="0.3">
      <c r="B561" s="99">
        <f t="shared" ref="B561" si="399">B560+3</f>
        <v>44949</v>
      </c>
      <c r="C561" s="44">
        <f t="shared" si="361"/>
        <v>-1955064</v>
      </c>
      <c r="D561" s="45">
        <v>23340.49</v>
      </c>
      <c r="E561" s="45">
        <v>-100000</v>
      </c>
      <c r="F561" s="45">
        <v>-0.85</v>
      </c>
      <c r="G561" s="45">
        <f t="shared" si="385"/>
        <v>-2031724.36</v>
      </c>
      <c r="H561" s="44">
        <v>4300000</v>
      </c>
      <c r="I561" s="46">
        <f t="shared" si="362"/>
        <v>-4334217.76</v>
      </c>
      <c r="J561" s="47">
        <v>8934.52</v>
      </c>
      <c r="K561" s="47">
        <v>100000</v>
      </c>
      <c r="L561" s="47">
        <v>-59478.369999999799</v>
      </c>
      <c r="M561" s="47">
        <f t="shared" si="363"/>
        <v>-4284761.6100000003</v>
      </c>
      <c r="N561" s="46">
        <v>5000000</v>
      </c>
      <c r="O561" s="48">
        <f t="shared" si="364"/>
        <v>1039.2700000000013</v>
      </c>
      <c r="P561" s="55"/>
      <c r="Q561" s="55"/>
      <c r="R561" s="55">
        <v>-80</v>
      </c>
      <c r="S561" s="55">
        <f t="shared" si="365"/>
        <v>959.27000000000135</v>
      </c>
      <c r="T561" s="48"/>
      <c r="U561" s="49">
        <f t="shared" si="366"/>
        <v>46.010000000009313</v>
      </c>
      <c r="V561" s="51"/>
      <c r="W561" s="51"/>
      <c r="X561" s="51"/>
      <c r="Y561" s="51">
        <f t="shared" si="367"/>
        <v>46.010000000009313</v>
      </c>
      <c r="Z561" s="52"/>
      <c r="AA561" s="53">
        <f t="shared" si="368"/>
        <v>4010.2999999999802</v>
      </c>
      <c r="AB561" s="54"/>
      <c r="AC561" s="54"/>
      <c r="AD561" s="54"/>
      <c r="AE561" s="54">
        <f t="shared" si="369"/>
        <v>4010.2999999999802</v>
      </c>
      <c r="AF561" s="53"/>
      <c r="AG561" s="53">
        <f t="shared" si="395"/>
        <v>46.209999999990686</v>
      </c>
      <c r="AH561" s="54"/>
      <c r="AI561" s="54"/>
      <c r="AJ561" s="54"/>
      <c r="AK561" s="54">
        <f t="shared" si="370"/>
        <v>46.209999999990686</v>
      </c>
      <c r="AL561" s="53"/>
      <c r="AM561" s="53">
        <f t="shared" si="353"/>
        <v>0</v>
      </c>
      <c r="AN561" s="54"/>
      <c r="AO561" s="54"/>
      <c r="AP561" s="54"/>
      <c r="AQ561" s="54">
        <f t="shared" si="354"/>
        <v>0</v>
      </c>
      <c r="AR561" s="53"/>
      <c r="AS561" s="50">
        <f t="shared" si="371"/>
        <v>-6284139.9700000007</v>
      </c>
      <c r="AT561" s="73">
        <f t="shared" si="378"/>
        <v>32275.010000000002</v>
      </c>
      <c r="AU561" s="50">
        <f t="shared" si="396"/>
        <v>0</v>
      </c>
      <c r="AV561" s="50">
        <f t="shared" si="379"/>
        <v>-59559.219999999797</v>
      </c>
      <c r="AW561" s="50"/>
      <c r="AX561" s="50">
        <f t="shared" si="356"/>
        <v>-6311424.1800000016</v>
      </c>
      <c r="AY561" s="50">
        <f t="shared" si="357"/>
        <v>9300000</v>
      </c>
      <c r="AZ561" s="50">
        <f t="shared" si="358"/>
        <v>2988575.8199999984</v>
      </c>
      <c r="BA561" s="15">
        <f t="shared" si="390"/>
        <v>-5259.5201500000012</v>
      </c>
      <c r="BB561" s="15">
        <f t="shared" si="382"/>
        <v>-48022.098825000001</v>
      </c>
    </row>
    <row r="562" spans="2:55" s="58" customFormat="1" ht="16.5" customHeight="1" x14ac:dyDescent="0.3">
      <c r="B562" s="99">
        <f t="shared" ref="B562" si="400">B561+1</f>
        <v>44950</v>
      </c>
      <c r="C562" s="44">
        <f t="shared" si="361"/>
        <v>-2031724.36</v>
      </c>
      <c r="D562" s="45">
        <v>43696.68</v>
      </c>
      <c r="E562" s="45"/>
      <c r="F562" s="45">
        <v>-0.85</v>
      </c>
      <c r="G562" s="45">
        <f t="shared" si="385"/>
        <v>-1988028.5300000003</v>
      </c>
      <c r="H562" s="44">
        <v>4300000</v>
      </c>
      <c r="I562" s="46">
        <f t="shared" si="362"/>
        <v>-4284761.6100000003</v>
      </c>
      <c r="J562" s="47"/>
      <c r="K562" s="47"/>
      <c r="L562" s="47">
        <v>-19894.389999999599</v>
      </c>
      <c r="M562" s="47">
        <f t="shared" si="363"/>
        <v>-4304656</v>
      </c>
      <c r="N562" s="46">
        <v>5000000</v>
      </c>
      <c r="O562" s="48">
        <f t="shared" si="364"/>
        <v>959.27000000000135</v>
      </c>
      <c r="P562" s="55"/>
      <c r="Q562" s="55"/>
      <c r="R562" s="55"/>
      <c r="S562" s="55">
        <f t="shared" si="365"/>
        <v>959.27000000000135</v>
      </c>
      <c r="T562" s="48"/>
      <c r="U562" s="49">
        <f t="shared" si="366"/>
        <v>46.010000000009313</v>
      </c>
      <c r="V562" s="51"/>
      <c r="W562" s="51"/>
      <c r="X562" s="51"/>
      <c r="Y562" s="51">
        <f t="shared" si="367"/>
        <v>46.010000000009313</v>
      </c>
      <c r="Z562" s="52"/>
      <c r="AA562" s="53">
        <f t="shared" si="368"/>
        <v>4010.2999999999802</v>
      </c>
      <c r="AB562" s="54"/>
      <c r="AC562" s="54"/>
      <c r="AD562" s="54">
        <v>-377.86</v>
      </c>
      <c r="AE562" s="54">
        <f t="shared" si="369"/>
        <v>3632.43999999998</v>
      </c>
      <c r="AF562" s="53"/>
      <c r="AG562" s="53">
        <f t="shared" si="395"/>
        <v>46.209999999990686</v>
      </c>
      <c r="AH562" s="54"/>
      <c r="AI562" s="54"/>
      <c r="AJ562" s="54"/>
      <c r="AK562" s="54">
        <f t="shared" si="370"/>
        <v>46.209999999990686</v>
      </c>
      <c r="AL562" s="53"/>
      <c r="AM562" s="53">
        <f t="shared" si="353"/>
        <v>0</v>
      </c>
      <c r="AN562" s="54"/>
      <c r="AO562" s="54"/>
      <c r="AP562" s="54"/>
      <c r="AQ562" s="54">
        <f t="shared" si="354"/>
        <v>0</v>
      </c>
      <c r="AR562" s="53"/>
      <c r="AS562" s="50">
        <f t="shared" si="371"/>
        <v>-6311424.1800000016</v>
      </c>
      <c r="AT562" s="73">
        <f t="shared" si="378"/>
        <v>43696.68</v>
      </c>
      <c r="AU562" s="50">
        <f t="shared" si="396"/>
        <v>0</v>
      </c>
      <c r="AV562" s="50">
        <f t="shared" si="379"/>
        <v>-20273.099999999598</v>
      </c>
      <c r="AW562" s="50"/>
      <c r="AX562" s="50">
        <f t="shared" si="356"/>
        <v>-6288000.6000000006</v>
      </c>
      <c r="AY562" s="50">
        <f t="shared" si="357"/>
        <v>9300000</v>
      </c>
      <c r="AZ562" s="50">
        <f t="shared" si="358"/>
        <v>3011999.3999999994</v>
      </c>
      <c r="BA562" s="15">
        <f t="shared" si="390"/>
        <v>-5240.000500000001</v>
      </c>
      <c r="BB562" s="15">
        <f t="shared" si="382"/>
        <v>-53262.099325000003</v>
      </c>
    </row>
    <row r="563" spans="2:55" s="58" customFormat="1" ht="16.5" customHeight="1" x14ac:dyDescent="0.3">
      <c r="B563" s="99">
        <f t="shared" si="384"/>
        <v>44951</v>
      </c>
      <c r="C563" s="44">
        <f t="shared" si="361"/>
        <v>-1988028.5300000003</v>
      </c>
      <c r="D563" s="45"/>
      <c r="E563" s="45">
        <v>-100000</v>
      </c>
      <c r="F563" s="45">
        <v>-304748.11</v>
      </c>
      <c r="G563" s="45">
        <f t="shared" si="385"/>
        <v>-2392776.64</v>
      </c>
      <c r="H563" s="44">
        <v>4300000</v>
      </c>
      <c r="I563" s="46">
        <f t="shared" si="362"/>
        <v>-4304656</v>
      </c>
      <c r="J563" s="47"/>
      <c r="K563" s="47">
        <v>100000</v>
      </c>
      <c r="L563" s="47">
        <v>-60460.77</v>
      </c>
      <c r="M563" s="47">
        <f t="shared" si="363"/>
        <v>-4265116.7699999996</v>
      </c>
      <c r="N563" s="46">
        <v>5000000</v>
      </c>
      <c r="O563" s="48">
        <f t="shared" si="364"/>
        <v>959.27000000000135</v>
      </c>
      <c r="P563" s="55"/>
      <c r="Q563" s="55"/>
      <c r="R563" s="55">
        <v>-103</v>
      </c>
      <c r="S563" s="55">
        <f t="shared" si="365"/>
        <v>856.27000000000135</v>
      </c>
      <c r="T563" s="48"/>
      <c r="U563" s="49">
        <f t="shared" si="366"/>
        <v>46.010000000009313</v>
      </c>
      <c r="V563" s="51"/>
      <c r="W563" s="51"/>
      <c r="X563" s="51"/>
      <c r="Y563" s="51">
        <f t="shared" si="367"/>
        <v>46.010000000009313</v>
      </c>
      <c r="Z563" s="52"/>
      <c r="AA563" s="53">
        <f t="shared" si="368"/>
        <v>3632.43999999998</v>
      </c>
      <c r="AB563" s="54"/>
      <c r="AC563" s="54"/>
      <c r="AD563" s="54"/>
      <c r="AE563" s="54">
        <f t="shared" si="369"/>
        <v>3632.43999999998</v>
      </c>
      <c r="AF563" s="53"/>
      <c r="AG563" s="53">
        <f t="shared" si="395"/>
        <v>46.209999999990686</v>
      </c>
      <c r="AH563" s="54"/>
      <c r="AI563" s="54"/>
      <c r="AJ563" s="54"/>
      <c r="AK563" s="54">
        <f t="shared" si="370"/>
        <v>46.209999999990686</v>
      </c>
      <c r="AL563" s="53"/>
      <c r="AM563" s="53">
        <f t="shared" si="353"/>
        <v>0</v>
      </c>
      <c r="AN563" s="54"/>
      <c r="AO563" s="54"/>
      <c r="AP563" s="54"/>
      <c r="AQ563" s="54">
        <f t="shared" si="354"/>
        <v>0</v>
      </c>
      <c r="AR563" s="53"/>
      <c r="AS563" s="50">
        <f t="shared" si="371"/>
        <v>-6288000.6000000006</v>
      </c>
      <c r="AT563" s="73">
        <f t="shared" si="378"/>
        <v>0</v>
      </c>
      <c r="AU563" s="50">
        <f t="shared" si="396"/>
        <v>0</v>
      </c>
      <c r="AV563" s="50">
        <f t="shared" si="379"/>
        <v>-365311.88</v>
      </c>
      <c r="AW563" s="50"/>
      <c r="AX563" s="50">
        <f t="shared" si="356"/>
        <v>-6653312.4800000004</v>
      </c>
      <c r="AY563" s="50">
        <f t="shared" si="357"/>
        <v>9300000</v>
      </c>
      <c r="AZ563" s="50">
        <f t="shared" si="358"/>
        <v>2646687.5199999996</v>
      </c>
      <c r="BA563" s="15">
        <f t="shared" si="390"/>
        <v>-5544.4270666666671</v>
      </c>
      <c r="BB563" s="15">
        <f t="shared" si="382"/>
        <v>-58806.526391666674</v>
      </c>
    </row>
    <row r="564" spans="2:55" s="58" customFormat="1" ht="16.5" customHeight="1" x14ac:dyDescent="0.3">
      <c r="B564" s="99">
        <f t="shared" si="384"/>
        <v>44952</v>
      </c>
      <c r="C564" s="44">
        <f t="shared" si="361"/>
        <v>-2392776.64</v>
      </c>
      <c r="D564" s="45">
        <v>568497.97</v>
      </c>
      <c r="E564" s="45"/>
      <c r="F564" s="45">
        <f>-99020.1-775</f>
        <v>-99795.1</v>
      </c>
      <c r="G564" s="45">
        <f t="shared" si="385"/>
        <v>-1924073.7700000003</v>
      </c>
      <c r="H564" s="44">
        <v>4300000</v>
      </c>
      <c r="I564" s="46">
        <f t="shared" si="362"/>
        <v>-4265116.7699999996</v>
      </c>
      <c r="J564" s="47">
        <f>10008.07+9291.15+84462.18</f>
        <v>103761.4</v>
      </c>
      <c r="K564" s="47"/>
      <c r="L564" s="47">
        <v>-66457.710000000399</v>
      </c>
      <c r="M564" s="47">
        <f t="shared" si="363"/>
        <v>-4227813.08</v>
      </c>
      <c r="N564" s="46">
        <v>5000000</v>
      </c>
      <c r="O564" s="48">
        <f t="shared" si="364"/>
        <v>856.27000000000135</v>
      </c>
      <c r="P564" s="55"/>
      <c r="Q564" s="55"/>
      <c r="R564" s="55"/>
      <c r="S564" s="55">
        <f t="shared" si="365"/>
        <v>856.27000000000135</v>
      </c>
      <c r="T564" s="48"/>
      <c r="U564" s="49">
        <f t="shared" si="366"/>
        <v>46.010000000009313</v>
      </c>
      <c r="V564" s="51"/>
      <c r="W564" s="51"/>
      <c r="X564" s="51"/>
      <c r="Y564" s="51">
        <f t="shared" si="367"/>
        <v>46.010000000009313</v>
      </c>
      <c r="Z564" s="52"/>
      <c r="AA564" s="53">
        <f t="shared" si="368"/>
        <v>3632.43999999998</v>
      </c>
      <c r="AB564" s="54"/>
      <c r="AC564" s="54"/>
      <c r="AD564" s="54"/>
      <c r="AE564" s="54">
        <f t="shared" si="369"/>
        <v>3632.43999999998</v>
      </c>
      <c r="AF564" s="53"/>
      <c r="AG564" s="53">
        <f t="shared" si="395"/>
        <v>46.209999999990686</v>
      </c>
      <c r="AH564" s="54"/>
      <c r="AI564" s="54"/>
      <c r="AJ564" s="54"/>
      <c r="AK564" s="54">
        <f t="shared" si="370"/>
        <v>46.209999999990686</v>
      </c>
      <c r="AL564" s="53"/>
      <c r="AM564" s="53">
        <f t="shared" si="353"/>
        <v>0</v>
      </c>
      <c r="AN564" s="54"/>
      <c r="AO564" s="54"/>
      <c r="AP564" s="54"/>
      <c r="AQ564" s="54">
        <f t="shared" si="354"/>
        <v>0</v>
      </c>
      <c r="AR564" s="53"/>
      <c r="AS564" s="50">
        <f t="shared" si="371"/>
        <v>-6653312.4800000004</v>
      </c>
      <c r="AT564" s="73">
        <f t="shared" si="378"/>
        <v>672259.37</v>
      </c>
      <c r="AU564" s="50">
        <f t="shared" si="396"/>
        <v>0</v>
      </c>
      <c r="AV564" s="50">
        <f t="shared" si="379"/>
        <v>-166252.81000000041</v>
      </c>
      <c r="AW564" s="50"/>
      <c r="AX564" s="50">
        <f t="shared" si="356"/>
        <v>-6147305.9200000009</v>
      </c>
      <c r="AY564" s="50">
        <f t="shared" si="357"/>
        <v>9300000</v>
      </c>
      <c r="AZ564" s="50">
        <f t="shared" si="358"/>
        <v>3152694.0799999991</v>
      </c>
      <c r="BA564" s="15">
        <f t="shared" si="390"/>
        <v>-5122.7549333333345</v>
      </c>
      <c r="BB564" s="15">
        <f t="shared" si="382"/>
        <v>-63929.281325000011</v>
      </c>
    </row>
    <row r="565" spans="2:55" s="58" customFormat="1" ht="16.5" customHeight="1" x14ac:dyDescent="0.3">
      <c r="B565" s="99">
        <f t="shared" si="384"/>
        <v>44953</v>
      </c>
      <c r="C565" s="44">
        <f t="shared" si="361"/>
        <v>-1924073.7700000003</v>
      </c>
      <c r="D565" s="45">
        <v>472726.33999999997</v>
      </c>
      <c r="E565" s="45"/>
      <c r="F565" s="45">
        <f>-413527.16-0.85</f>
        <v>-413528.00999999995</v>
      </c>
      <c r="G565" s="45">
        <f t="shared" si="385"/>
        <v>-1864875.4400000002</v>
      </c>
      <c r="H565" s="44">
        <v>4300000</v>
      </c>
      <c r="I565" s="46">
        <f t="shared" si="362"/>
        <v>-4227813.08</v>
      </c>
      <c r="J565" s="47">
        <v>101497.5</v>
      </c>
      <c r="K565" s="47"/>
      <c r="L565" s="47">
        <v>-210801.12</v>
      </c>
      <c r="M565" s="47">
        <f t="shared" si="363"/>
        <v>-4337116.7</v>
      </c>
      <c r="N565" s="46">
        <v>5000000</v>
      </c>
      <c r="O565" s="48">
        <f t="shared" si="364"/>
        <v>856.27000000000135</v>
      </c>
      <c r="P565" s="55"/>
      <c r="Q565" s="55"/>
      <c r="R565" s="55"/>
      <c r="S565" s="55">
        <f t="shared" si="365"/>
        <v>856.27000000000135</v>
      </c>
      <c r="T565" s="48"/>
      <c r="U565" s="49">
        <f t="shared" si="366"/>
        <v>46.010000000009313</v>
      </c>
      <c r="V565" s="51"/>
      <c r="W565" s="51"/>
      <c r="X565" s="51"/>
      <c r="Y565" s="51">
        <f t="shared" si="367"/>
        <v>46.010000000009313</v>
      </c>
      <c r="Z565" s="52"/>
      <c r="AA565" s="53">
        <f t="shared" si="368"/>
        <v>3632.43999999998</v>
      </c>
      <c r="AB565" s="54"/>
      <c r="AC565" s="54"/>
      <c r="AD565" s="54"/>
      <c r="AE565" s="54">
        <f t="shared" si="369"/>
        <v>3632.43999999998</v>
      </c>
      <c r="AF565" s="53"/>
      <c r="AG565" s="53">
        <f t="shared" si="395"/>
        <v>46.209999999990686</v>
      </c>
      <c r="AH565" s="54"/>
      <c r="AI565" s="54"/>
      <c r="AJ565" s="54"/>
      <c r="AK565" s="54">
        <f t="shared" si="370"/>
        <v>46.209999999990686</v>
      </c>
      <c r="AL565" s="53"/>
      <c r="AM565" s="53">
        <f t="shared" ref="AM565:AM628" si="401">AQ564</f>
        <v>0</v>
      </c>
      <c r="AN565" s="54"/>
      <c r="AO565" s="54"/>
      <c r="AP565" s="54"/>
      <c r="AQ565" s="54">
        <f t="shared" ref="AQ565:AQ628" si="402">SUM(AM565:AP565)</f>
        <v>0</v>
      </c>
      <c r="AR565" s="53"/>
      <c r="AS565" s="50">
        <f t="shared" si="371"/>
        <v>-6147305.9200000009</v>
      </c>
      <c r="AT565" s="73">
        <f t="shared" si="378"/>
        <v>574223.84</v>
      </c>
      <c r="AU565" s="50">
        <f t="shared" si="396"/>
        <v>0</v>
      </c>
      <c r="AV565" s="50">
        <f t="shared" si="379"/>
        <v>-624329.12999999989</v>
      </c>
      <c r="AW565" s="50"/>
      <c r="AX565" s="50">
        <f t="shared" si="356"/>
        <v>-6197411.2100000009</v>
      </c>
      <c r="AY565" s="50">
        <f t="shared" si="357"/>
        <v>9300000</v>
      </c>
      <c r="AZ565" s="50">
        <f t="shared" si="358"/>
        <v>3102588.7899999991</v>
      </c>
      <c r="BA565" s="15">
        <f t="shared" si="390"/>
        <v>-5164.5093416666678</v>
      </c>
      <c r="BB565" s="15">
        <f t="shared" si="382"/>
        <v>-69093.790666666682</v>
      </c>
    </row>
    <row r="566" spans="2:55" s="58" customFormat="1" ht="16.5" customHeight="1" x14ac:dyDescent="0.3">
      <c r="B566" s="99">
        <f t="shared" ref="B566" si="403">B565+3</f>
        <v>44956</v>
      </c>
      <c r="C566" s="44">
        <f t="shared" si="361"/>
        <v>-1864875.4400000002</v>
      </c>
      <c r="D566" s="45">
        <f>28290.52+20308.67+393187.12</f>
        <v>441786.31</v>
      </c>
      <c r="E566" s="45"/>
      <c r="F566" s="45">
        <v>-132.80000000000001</v>
      </c>
      <c r="G566" s="45">
        <f t="shared" si="385"/>
        <v>-1423221.9300000002</v>
      </c>
      <c r="H566" s="44">
        <v>4300000</v>
      </c>
      <c r="I566" s="46">
        <f t="shared" si="362"/>
        <v>-4337116.7</v>
      </c>
      <c r="J566" s="47">
        <v>438388.39</v>
      </c>
      <c r="K566" s="47">
        <v>100000</v>
      </c>
      <c r="L566" s="47">
        <v>-271724.25</v>
      </c>
      <c r="M566" s="47">
        <f t="shared" si="363"/>
        <v>-4070452.56</v>
      </c>
      <c r="N566" s="46">
        <v>5000000</v>
      </c>
      <c r="O566" s="48">
        <f t="shared" si="364"/>
        <v>856.27000000000135</v>
      </c>
      <c r="P566" s="55">
        <v>786932.41999999993</v>
      </c>
      <c r="Q566" s="55">
        <v>-100000</v>
      </c>
      <c r="R566" s="55">
        <v>-10</v>
      </c>
      <c r="S566" s="55">
        <f t="shared" si="365"/>
        <v>687778.69</v>
      </c>
      <c r="T566" s="48"/>
      <c r="U566" s="49">
        <f t="shared" si="366"/>
        <v>46.010000000009313</v>
      </c>
      <c r="V566" s="51">
        <f>8540.35+94401.37</f>
        <v>102941.72</v>
      </c>
      <c r="W566" s="51"/>
      <c r="X566" s="51">
        <v>-102900</v>
      </c>
      <c r="Y566" s="51">
        <f t="shared" si="367"/>
        <v>87.730000000010477</v>
      </c>
      <c r="Z566" s="52"/>
      <c r="AA566" s="53">
        <f t="shared" si="368"/>
        <v>3632.43999999998</v>
      </c>
      <c r="AB566" s="54"/>
      <c r="AC566" s="54"/>
      <c r="AD566" s="54"/>
      <c r="AE566" s="54">
        <f t="shared" si="369"/>
        <v>3632.43999999998</v>
      </c>
      <c r="AF566" s="53"/>
      <c r="AG566" s="53">
        <f t="shared" si="395"/>
        <v>46.209999999990686</v>
      </c>
      <c r="AH566" s="54"/>
      <c r="AI566" s="54"/>
      <c r="AJ566" s="54"/>
      <c r="AK566" s="54">
        <f t="shared" si="370"/>
        <v>46.209999999990686</v>
      </c>
      <c r="AL566" s="53"/>
      <c r="AM566" s="53">
        <f t="shared" si="401"/>
        <v>0</v>
      </c>
      <c r="AN566" s="54"/>
      <c r="AO566" s="54"/>
      <c r="AP566" s="54"/>
      <c r="AQ566" s="54">
        <f t="shared" si="402"/>
        <v>0</v>
      </c>
      <c r="AR566" s="53"/>
      <c r="AS566" s="50">
        <f t="shared" si="371"/>
        <v>-6197411.2100000009</v>
      </c>
      <c r="AT566" s="73">
        <f t="shared" si="378"/>
        <v>1770048.8399999999</v>
      </c>
      <c r="AU566" s="50">
        <f t="shared" si="396"/>
        <v>0</v>
      </c>
      <c r="AV566" s="50">
        <f t="shared" si="379"/>
        <v>-374767.05</v>
      </c>
      <c r="AW566" s="50"/>
      <c r="AX566" s="50">
        <f t="shared" ref="AX566:AX629" si="404">SUM(G566,M566,S566,Y566,AE566,AK566)</f>
        <v>-4802129.42</v>
      </c>
      <c r="AY566" s="50">
        <f t="shared" ref="AY566:AY629" si="405">SUM(H566,N566,T566,Z566,AF566,AL566)</f>
        <v>9300000</v>
      </c>
      <c r="AZ566" s="50">
        <f t="shared" ref="AZ566:AZ629" si="406">AX566+AY566</f>
        <v>4497870.58</v>
      </c>
      <c r="BA566" s="15">
        <f t="shared" si="390"/>
        <v>-4001.7745166666668</v>
      </c>
      <c r="BB566" s="15">
        <f t="shared" si="382"/>
        <v>-73095.565183333354</v>
      </c>
    </row>
    <row r="567" spans="2:55" s="58" customFormat="1" ht="16.5" customHeight="1" x14ac:dyDescent="0.3">
      <c r="B567" s="99">
        <f t="shared" ref="B567" si="407">B566+1</f>
        <v>44957</v>
      </c>
      <c r="C567" s="44">
        <f t="shared" si="361"/>
        <v>-1423221.9300000002</v>
      </c>
      <c r="D567" s="45">
        <f>34252.53+45942</f>
        <v>80194.53</v>
      </c>
      <c r="E567" s="45">
        <v>1000000</v>
      </c>
      <c r="F567" s="45">
        <v>-75684.78</v>
      </c>
      <c r="G567" s="45">
        <f t="shared" si="385"/>
        <v>-418712.18000000017</v>
      </c>
      <c r="H567" s="44">
        <v>4300000</v>
      </c>
      <c r="I567" s="46">
        <f t="shared" si="362"/>
        <v>-4070452.56</v>
      </c>
      <c r="J567" s="47">
        <f>102090.93+211093.75+214824.49</f>
        <v>528009.16999999993</v>
      </c>
      <c r="K567" s="47">
        <f>-1000000+600000+80000</f>
        <v>-320000</v>
      </c>
      <c r="L567" s="47">
        <v>-48599.719999999899</v>
      </c>
      <c r="M567" s="47">
        <f t="shared" si="363"/>
        <v>-3911043.11</v>
      </c>
      <c r="N567" s="46">
        <v>5000000</v>
      </c>
      <c r="O567" s="48">
        <f t="shared" si="364"/>
        <v>687778.69</v>
      </c>
      <c r="P567" s="55"/>
      <c r="Q567" s="55">
        <f>-680000</f>
        <v>-680000</v>
      </c>
      <c r="R567" s="55">
        <v>-1539.99999999994</v>
      </c>
      <c r="S567" s="55">
        <f t="shared" si="365"/>
        <v>6238.6900000000041</v>
      </c>
      <c r="T567" s="48"/>
      <c r="U567" s="49">
        <f t="shared" si="366"/>
        <v>87.730000000010477</v>
      </c>
      <c r="V567" s="51"/>
      <c r="W567" s="51"/>
      <c r="X567" s="51">
        <v>-1.4</v>
      </c>
      <c r="Y567" s="51">
        <f t="shared" si="367"/>
        <v>86.330000000010472</v>
      </c>
      <c r="Z567" s="52"/>
      <c r="AA567" s="53">
        <f t="shared" si="368"/>
        <v>3632.43999999998</v>
      </c>
      <c r="AB567" s="54"/>
      <c r="AC567" s="54"/>
      <c r="AD567" s="54">
        <v>-1875.1299999999801</v>
      </c>
      <c r="AE567" s="54">
        <f t="shared" si="369"/>
        <v>1757.31</v>
      </c>
      <c r="AF567" s="53"/>
      <c r="AG567" s="53">
        <f t="shared" si="395"/>
        <v>46.209999999990686</v>
      </c>
      <c r="AH567" s="54"/>
      <c r="AI567" s="54"/>
      <c r="AJ567" s="54"/>
      <c r="AK567" s="54">
        <f t="shared" si="370"/>
        <v>46.209999999990686</v>
      </c>
      <c r="AL567" s="53"/>
      <c r="AM567" s="53">
        <f t="shared" si="401"/>
        <v>0</v>
      </c>
      <c r="AN567" s="54"/>
      <c r="AO567" s="54"/>
      <c r="AP567" s="54"/>
      <c r="AQ567" s="54">
        <f t="shared" si="402"/>
        <v>0</v>
      </c>
      <c r="AR567" s="53"/>
      <c r="AS567" s="50">
        <f t="shared" si="371"/>
        <v>-4802129.42</v>
      </c>
      <c r="AT567" s="73">
        <f t="shared" si="378"/>
        <v>608203.69999999995</v>
      </c>
      <c r="AU567" s="50">
        <f t="shared" si="396"/>
        <v>0</v>
      </c>
      <c r="AV567" s="50">
        <f t="shared" si="379"/>
        <v>-127701.02999999981</v>
      </c>
      <c r="AW567" s="50"/>
      <c r="AX567" s="50">
        <f t="shared" si="404"/>
        <v>-4321626.75</v>
      </c>
      <c r="AY567" s="50">
        <f t="shared" si="405"/>
        <v>9300000</v>
      </c>
      <c r="AZ567" s="50">
        <f t="shared" si="406"/>
        <v>4978373.25</v>
      </c>
      <c r="BA567" s="82">
        <f t="shared" si="390"/>
        <v>-3601.3556250000001</v>
      </c>
      <c r="BB567" s="82">
        <f t="shared" si="382"/>
        <v>-76696.920808333351</v>
      </c>
      <c r="BC567" s="58">
        <f>BB306</f>
        <v>-91783.242700000003</v>
      </c>
    </row>
    <row r="568" spans="2:55" s="58" customFormat="1" ht="16.5" customHeight="1" x14ac:dyDescent="0.3">
      <c r="B568" s="99">
        <f t="shared" si="384"/>
        <v>44958</v>
      </c>
      <c r="C568" s="44">
        <f t="shared" si="361"/>
        <v>-418712.18000000017</v>
      </c>
      <c r="D568" s="45">
        <v>95005.66</v>
      </c>
      <c r="E568" s="45"/>
      <c r="F568" s="45"/>
      <c r="G568" s="45">
        <f>SUM(C568:F568)</f>
        <v>-323706.52000000014</v>
      </c>
      <c r="H568" s="44">
        <v>4300000</v>
      </c>
      <c r="I568" s="46">
        <f t="shared" si="362"/>
        <v>-3911043.11</v>
      </c>
      <c r="J568" s="47"/>
      <c r="K568" s="47">
        <v>-250000</v>
      </c>
      <c r="L568" s="47">
        <v>-50812.4900000001</v>
      </c>
      <c r="M568" s="47">
        <f t="shared" si="363"/>
        <v>-4211855.5999999996</v>
      </c>
      <c r="N568" s="46">
        <v>5000000</v>
      </c>
      <c r="O568" s="48">
        <f t="shared" si="364"/>
        <v>6238.6900000000041</v>
      </c>
      <c r="P568" s="55"/>
      <c r="Q568" s="55"/>
      <c r="R568" s="55"/>
      <c r="S568" s="55">
        <f t="shared" si="365"/>
        <v>6238.6900000000041</v>
      </c>
      <c r="T568" s="48"/>
      <c r="U568" s="49">
        <f t="shared" si="366"/>
        <v>86.330000000010472</v>
      </c>
      <c r="V568" s="51"/>
      <c r="W568" s="51"/>
      <c r="X568" s="51"/>
      <c r="Y568" s="51">
        <f t="shared" si="367"/>
        <v>86.330000000010472</v>
      </c>
      <c r="Z568" s="52"/>
      <c r="AA568" s="53">
        <f t="shared" si="368"/>
        <v>1757.31</v>
      </c>
      <c r="AB568" s="54"/>
      <c r="AC568" s="54">
        <v>250000</v>
      </c>
      <c r="AD568" s="54">
        <v>-1133.3299999999899</v>
      </c>
      <c r="AE568" s="54">
        <f t="shared" si="369"/>
        <v>250623.98</v>
      </c>
      <c r="AF568" s="53"/>
      <c r="AG568" s="53">
        <f t="shared" si="395"/>
        <v>46.209999999990686</v>
      </c>
      <c r="AH568" s="54"/>
      <c r="AI568" s="54"/>
      <c r="AJ568" s="54"/>
      <c r="AK568" s="54">
        <f t="shared" si="370"/>
        <v>46.209999999990686</v>
      </c>
      <c r="AL568" s="53"/>
      <c r="AM568" s="53">
        <f t="shared" si="401"/>
        <v>0</v>
      </c>
      <c r="AN568" s="54"/>
      <c r="AO568" s="54"/>
      <c r="AP568" s="54"/>
      <c r="AQ568" s="54">
        <f t="shared" si="402"/>
        <v>0</v>
      </c>
      <c r="AR568" s="53"/>
      <c r="AS568" s="50">
        <f t="shared" si="371"/>
        <v>-4321626.75</v>
      </c>
      <c r="AT568" s="73">
        <f t="shared" si="378"/>
        <v>95005.66</v>
      </c>
      <c r="AU568" s="50">
        <f t="shared" si="396"/>
        <v>0</v>
      </c>
      <c r="AV568" s="50">
        <f t="shared" si="379"/>
        <v>-51945.820000000087</v>
      </c>
      <c r="AW568" s="50"/>
      <c r="AX568" s="50">
        <f t="shared" si="404"/>
        <v>-4278566.9099999992</v>
      </c>
      <c r="AY568" s="50">
        <f t="shared" si="405"/>
        <v>9300000</v>
      </c>
      <c r="AZ568" s="50">
        <f t="shared" si="406"/>
        <v>5021433.0900000008</v>
      </c>
      <c r="BA568" s="15">
        <f t="shared" si="390"/>
        <v>-3565.4724249999995</v>
      </c>
      <c r="BB568" s="15">
        <f>BA568</f>
        <v>-3565.4724249999995</v>
      </c>
    </row>
    <row r="569" spans="2:55" s="58" customFormat="1" ht="16.5" customHeight="1" x14ac:dyDescent="0.3">
      <c r="B569" s="99">
        <f t="shared" si="384"/>
        <v>44959</v>
      </c>
      <c r="C569" s="44">
        <f t="shared" si="361"/>
        <v>-323706.52000000014</v>
      </c>
      <c r="D569" s="45"/>
      <c r="E569" s="45"/>
      <c r="F569" s="45">
        <v>-201676</v>
      </c>
      <c r="G569" s="45">
        <f t="shared" si="385"/>
        <v>-525382.52000000014</v>
      </c>
      <c r="H569" s="44">
        <v>4300000</v>
      </c>
      <c r="I569" s="46">
        <f t="shared" si="362"/>
        <v>-4211855.5999999996</v>
      </c>
      <c r="J569" s="47"/>
      <c r="K569" s="47"/>
      <c r="L569" s="47">
        <v>-18984.800000000399</v>
      </c>
      <c r="M569" s="47">
        <f t="shared" si="363"/>
        <v>-4230840.4000000004</v>
      </c>
      <c r="N569" s="46">
        <v>5000000</v>
      </c>
      <c r="O569" s="48">
        <f t="shared" si="364"/>
        <v>6238.6900000000041</v>
      </c>
      <c r="P569" s="55">
        <f>143.36+10.18</f>
        <v>153.54000000000002</v>
      </c>
      <c r="Q569" s="55"/>
      <c r="R569" s="55"/>
      <c r="S569" s="55">
        <f t="shared" si="365"/>
        <v>6392.2300000000041</v>
      </c>
      <c r="T569" s="48"/>
      <c r="U569" s="49">
        <f t="shared" si="366"/>
        <v>86.330000000010472</v>
      </c>
      <c r="V569" s="51"/>
      <c r="W569" s="51"/>
      <c r="X569" s="51">
        <v>-62.5</v>
      </c>
      <c r="Y569" s="51">
        <f t="shared" si="367"/>
        <v>23.830000000010472</v>
      </c>
      <c r="Z569" s="52"/>
      <c r="AA569" s="53">
        <f t="shared" si="368"/>
        <v>250623.98</v>
      </c>
      <c r="AB569" s="54"/>
      <c r="AC569" s="54"/>
      <c r="AD569" s="54">
        <v>-220567.69</v>
      </c>
      <c r="AE569" s="54">
        <f t="shared" si="369"/>
        <v>30056.290000000008</v>
      </c>
      <c r="AF569" s="53"/>
      <c r="AG569" s="53">
        <f t="shared" si="395"/>
        <v>46.209999999990686</v>
      </c>
      <c r="AH569" s="54"/>
      <c r="AI569" s="54"/>
      <c r="AJ569" s="54"/>
      <c r="AK569" s="54">
        <f t="shared" si="370"/>
        <v>46.209999999990686</v>
      </c>
      <c r="AL569" s="53"/>
      <c r="AM569" s="53">
        <f t="shared" si="401"/>
        <v>0</v>
      </c>
      <c r="AN569" s="54"/>
      <c r="AO569" s="54"/>
      <c r="AP569" s="54"/>
      <c r="AQ569" s="54">
        <f t="shared" si="402"/>
        <v>0</v>
      </c>
      <c r="AR569" s="53"/>
      <c r="AS569" s="50">
        <f t="shared" si="371"/>
        <v>-4278566.9099999992</v>
      </c>
      <c r="AT569" s="73">
        <f t="shared" si="378"/>
        <v>153.54000000000002</v>
      </c>
      <c r="AU569" s="50">
        <f t="shared" si="396"/>
        <v>0</v>
      </c>
      <c r="AV569" s="50">
        <f t="shared" si="379"/>
        <v>-441290.9900000004</v>
      </c>
      <c r="AW569" s="50"/>
      <c r="AX569" s="50">
        <f t="shared" si="404"/>
        <v>-4719704.3600000003</v>
      </c>
      <c r="AY569" s="50">
        <f t="shared" si="405"/>
        <v>9300000</v>
      </c>
      <c r="AZ569" s="50">
        <f t="shared" si="406"/>
        <v>4580295.6399999997</v>
      </c>
      <c r="BA569" s="15">
        <f t="shared" si="390"/>
        <v>-3933.0869666666672</v>
      </c>
      <c r="BB569" s="15">
        <f t="shared" si="382"/>
        <v>-7498.5593916666667</v>
      </c>
    </row>
    <row r="570" spans="2:55" s="58" customFormat="1" x14ac:dyDescent="0.3">
      <c r="B570" s="99">
        <f t="shared" si="384"/>
        <v>44960</v>
      </c>
      <c r="C570" s="44">
        <f t="shared" si="361"/>
        <v>-525382.52000000014</v>
      </c>
      <c r="D570" s="45">
        <v>43986.01</v>
      </c>
      <c r="E570" s="45">
        <v>-2200000</v>
      </c>
      <c r="F570" s="45">
        <v>-15031.889999999599</v>
      </c>
      <c r="G570" s="45">
        <f t="shared" si="385"/>
        <v>-2696428.4</v>
      </c>
      <c r="H570" s="44">
        <v>4300000</v>
      </c>
      <c r="I570" s="46">
        <f t="shared" si="362"/>
        <v>-4230840.4000000004</v>
      </c>
      <c r="J570" s="47"/>
      <c r="K570" s="47">
        <v>2200000</v>
      </c>
      <c r="L570" s="47">
        <v>-2491189.73</v>
      </c>
      <c r="M570" s="47">
        <f t="shared" si="363"/>
        <v>-4522030.1300000008</v>
      </c>
      <c r="N570" s="46">
        <v>5000000</v>
      </c>
      <c r="O570" s="48">
        <f t="shared" si="364"/>
        <v>6392.2300000000041</v>
      </c>
      <c r="P570" s="55">
        <f>198.08+315.42</f>
        <v>513.5</v>
      </c>
      <c r="Q570" s="55"/>
      <c r="R570" s="55">
        <f>-2504.44-1278.89</f>
        <v>-3783.33</v>
      </c>
      <c r="S570" s="55">
        <f t="shared" si="365"/>
        <v>3122.4000000000042</v>
      </c>
      <c r="T570" s="48"/>
      <c r="U570" s="49">
        <f t="shared" si="366"/>
        <v>23.830000000010472</v>
      </c>
      <c r="V570" s="51"/>
      <c r="W570" s="51"/>
      <c r="X570" s="51"/>
      <c r="Y570" s="51">
        <f t="shared" si="367"/>
        <v>23.830000000010472</v>
      </c>
      <c r="Z570" s="52"/>
      <c r="AA570" s="53">
        <f t="shared" si="368"/>
        <v>30056.290000000008</v>
      </c>
      <c r="AB570" s="54"/>
      <c r="AC570" s="54"/>
      <c r="AD570" s="54">
        <v>-4851.1900000000096</v>
      </c>
      <c r="AE570" s="54">
        <f t="shared" si="369"/>
        <v>25205.1</v>
      </c>
      <c r="AF570" s="53"/>
      <c r="AG570" s="53">
        <f t="shared" si="395"/>
        <v>46.209999999990686</v>
      </c>
      <c r="AH570" s="54"/>
      <c r="AI570" s="54"/>
      <c r="AJ570" s="54"/>
      <c r="AK570" s="54">
        <f t="shared" si="370"/>
        <v>46.209999999990686</v>
      </c>
      <c r="AL570" s="53"/>
      <c r="AM570" s="53">
        <f t="shared" si="401"/>
        <v>0</v>
      </c>
      <c r="AN570" s="54"/>
      <c r="AO570" s="54"/>
      <c r="AP570" s="54"/>
      <c r="AQ570" s="54">
        <f t="shared" si="402"/>
        <v>0</v>
      </c>
      <c r="AR570" s="53"/>
      <c r="AS570" s="50">
        <f t="shared" si="371"/>
        <v>-4719704.3600000003</v>
      </c>
      <c r="AT570" s="73">
        <f t="shared" si="378"/>
        <v>44499.51</v>
      </c>
      <c r="AU570" s="50">
        <f t="shared" si="396"/>
        <v>0</v>
      </c>
      <c r="AV570" s="50">
        <f t="shared" si="379"/>
        <v>-2514856.1399999997</v>
      </c>
      <c r="AW570" s="50"/>
      <c r="AX570" s="50">
        <f t="shared" si="404"/>
        <v>-7190060.9900000012</v>
      </c>
      <c r="AY570" s="50">
        <f t="shared" si="405"/>
        <v>9300000</v>
      </c>
      <c r="AZ570" s="50">
        <f t="shared" si="406"/>
        <v>2109939.0099999988</v>
      </c>
      <c r="BA570" s="15">
        <f t="shared" si="390"/>
        <v>-5991.7174916666681</v>
      </c>
      <c r="BB570" s="15">
        <f t="shared" si="382"/>
        <v>-13490.276883333336</v>
      </c>
    </row>
    <row r="571" spans="2:55" s="58" customFormat="1" x14ac:dyDescent="0.3">
      <c r="B571" s="99">
        <f t="shared" ref="B571" si="408">B570+3</f>
        <v>44963</v>
      </c>
      <c r="C571" s="44">
        <f t="shared" ref="C571:C634" si="409">G570</f>
        <v>-2696428.4</v>
      </c>
      <c r="D571" s="45">
        <v>417727.26</v>
      </c>
      <c r="E571" s="45">
        <v>-200000</v>
      </c>
      <c r="F571" s="45">
        <v>-79457.490000000005</v>
      </c>
      <c r="G571" s="45">
        <f t="shared" si="385"/>
        <v>-2558158.63</v>
      </c>
      <c r="H571" s="44">
        <v>4300000</v>
      </c>
      <c r="I571" s="46">
        <f t="shared" ref="I571:I634" si="410">M570</f>
        <v>-4522030.1300000008</v>
      </c>
      <c r="J571" s="47">
        <f>10635.14*10+3845.8</f>
        <v>110197.2</v>
      </c>
      <c r="K571" s="47">
        <v>230000</v>
      </c>
      <c r="L571" s="47">
        <v>-223100.489999999</v>
      </c>
      <c r="M571" s="47">
        <f t="shared" ref="M571:M634" si="411">SUM(I571:L571)</f>
        <v>-4404933.42</v>
      </c>
      <c r="N571" s="46">
        <v>5000000</v>
      </c>
      <c r="O571" s="48">
        <f t="shared" ref="O571:O634" si="412">S570</f>
        <v>3122.4000000000042</v>
      </c>
      <c r="P571" s="55">
        <v>35707.68</v>
      </c>
      <c r="Q571" s="55">
        <v>-30000</v>
      </c>
      <c r="R571" s="55">
        <f>-1200*2-728.62-10</f>
        <v>-3138.62</v>
      </c>
      <c r="S571" s="55">
        <f t="shared" ref="S571:S634" si="413">SUM(O571:R571)</f>
        <v>5691.4600000000019</v>
      </c>
      <c r="T571" s="48"/>
      <c r="U571" s="49">
        <f t="shared" ref="U571:U634" si="414">Y570</f>
        <v>23.830000000010472</v>
      </c>
      <c r="V571" s="51"/>
      <c r="W571" s="51"/>
      <c r="X571" s="51"/>
      <c r="Y571" s="51">
        <f t="shared" ref="Y571:Y634" si="415">SUM(U571:X571)</f>
        <v>23.830000000010472</v>
      </c>
      <c r="Z571" s="52"/>
      <c r="AA571" s="53">
        <f t="shared" ref="AA571:AA634" si="416">AE570</f>
        <v>25205.1</v>
      </c>
      <c r="AB571" s="54"/>
      <c r="AC571" s="54"/>
      <c r="AD571" s="54">
        <f>-3600</f>
        <v>-3600</v>
      </c>
      <c r="AE571" s="54">
        <f t="shared" ref="AE571:AE634" si="417">SUM(AA571:AD571)</f>
        <v>21605.1</v>
      </c>
      <c r="AF571" s="53"/>
      <c r="AG571" s="53">
        <f t="shared" si="395"/>
        <v>46.209999999990686</v>
      </c>
      <c r="AH571" s="54"/>
      <c r="AI571" s="54"/>
      <c r="AJ571" s="54"/>
      <c r="AK571" s="54">
        <f t="shared" ref="AK571:AK634" si="418">SUM(AG571:AJ571)</f>
        <v>46.209999999990686</v>
      </c>
      <c r="AL571" s="53"/>
      <c r="AM571" s="53">
        <f t="shared" si="401"/>
        <v>0</v>
      </c>
      <c r="AN571" s="54"/>
      <c r="AO571" s="54"/>
      <c r="AP571" s="54"/>
      <c r="AQ571" s="54">
        <f t="shared" si="402"/>
        <v>0</v>
      </c>
      <c r="AR571" s="53"/>
      <c r="AS571" s="50">
        <f t="shared" si="371"/>
        <v>-7190060.9900000012</v>
      </c>
      <c r="AT571" s="73">
        <f t="shared" si="378"/>
        <v>563632.14</v>
      </c>
      <c r="AU571" s="50">
        <f t="shared" si="396"/>
        <v>0</v>
      </c>
      <c r="AV571" s="50">
        <f t="shared" si="379"/>
        <v>-309296.59999999899</v>
      </c>
      <c r="AW571" s="50"/>
      <c r="AX571" s="50">
        <f t="shared" si="404"/>
        <v>-6935725.4500000002</v>
      </c>
      <c r="AY571" s="50">
        <f t="shared" si="405"/>
        <v>9300000</v>
      </c>
      <c r="AZ571" s="50">
        <f t="shared" si="406"/>
        <v>2364274.5499999998</v>
      </c>
      <c r="BA571" s="15">
        <f t="shared" si="390"/>
        <v>-5779.7712083333336</v>
      </c>
      <c r="BB571" s="15">
        <f t="shared" si="382"/>
        <v>-19270.048091666671</v>
      </c>
    </row>
    <row r="572" spans="2:55" s="58" customFormat="1" x14ac:dyDescent="0.3">
      <c r="B572" s="99">
        <f t="shared" ref="B572" si="419">B571+1</f>
        <v>44964</v>
      </c>
      <c r="C572" s="44">
        <f t="shared" si="409"/>
        <v>-2558158.63</v>
      </c>
      <c r="D572" s="45">
        <v>96219.8</v>
      </c>
      <c r="E572" s="45"/>
      <c r="F572" s="45">
        <v>-346209.35</v>
      </c>
      <c r="G572" s="45">
        <f t="shared" si="385"/>
        <v>-2808148.18</v>
      </c>
      <c r="H572" s="44">
        <v>4300000</v>
      </c>
      <c r="I572" s="46">
        <f t="shared" si="410"/>
        <v>-4404933.42</v>
      </c>
      <c r="J572" s="47"/>
      <c r="K572" s="47"/>
      <c r="L572" s="47">
        <v>-113713.74</v>
      </c>
      <c r="M572" s="47">
        <f t="shared" si="411"/>
        <v>-4518647.16</v>
      </c>
      <c r="N572" s="46">
        <v>5000000</v>
      </c>
      <c r="O572" s="48">
        <f t="shared" si="412"/>
        <v>5691.4600000000019</v>
      </c>
      <c r="P572" s="55"/>
      <c r="Q572" s="55"/>
      <c r="R572" s="55"/>
      <c r="S572" s="55">
        <f t="shared" si="413"/>
        <v>5691.4600000000019</v>
      </c>
      <c r="T572" s="48"/>
      <c r="U572" s="49">
        <f t="shared" si="414"/>
        <v>23.830000000010472</v>
      </c>
      <c r="V572" s="51"/>
      <c r="W572" s="51"/>
      <c r="X572" s="51"/>
      <c r="Y572" s="51">
        <f t="shared" si="415"/>
        <v>23.830000000010472</v>
      </c>
      <c r="Z572" s="52"/>
      <c r="AA572" s="53">
        <f t="shared" si="416"/>
        <v>21605.1</v>
      </c>
      <c r="AB572" s="54"/>
      <c r="AC572" s="54"/>
      <c r="AD572" s="54">
        <v>-1200</v>
      </c>
      <c r="AE572" s="54">
        <f t="shared" si="417"/>
        <v>20405.099999999999</v>
      </c>
      <c r="AF572" s="53"/>
      <c r="AG572" s="53">
        <f t="shared" si="395"/>
        <v>46.209999999990686</v>
      </c>
      <c r="AH572" s="54"/>
      <c r="AI572" s="54"/>
      <c r="AJ572" s="54"/>
      <c r="AK572" s="54">
        <f t="shared" si="418"/>
        <v>46.209999999990686</v>
      </c>
      <c r="AL572" s="53"/>
      <c r="AM572" s="53">
        <f t="shared" si="401"/>
        <v>0</v>
      </c>
      <c r="AN572" s="54"/>
      <c r="AO572" s="54"/>
      <c r="AP572" s="54"/>
      <c r="AQ572" s="54">
        <f t="shared" si="402"/>
        <v>0</v>
      </c>
      <c r="AR572" s="53"/>
      <c r="AS572" s="50">
        <f t="shared" ref="AS572:AS635" si="420">SUM(C572,I572,O572,U572,AA572,AG572)</f>
        <v>-6935725.4500000002</v>
      </c>
      <c r="AT572" s="73">
        <f t="shared" si="378"/>
        <v>96219.8</v>
      </c>
      <c r="AU572" s="50">
        <f t="shared" si="396"/>
        <v>0</v>
      </c>
      <c r="AV572" s="50">
        <f t="shared" si="379"/>
        <v>-461123.08999999997</v>
      </c>
      <c r="AW572" s="50"/>
      <c r="AX572" s="50">
        <f t="shared" si="404"/>
        <v>-7300628.7400000002</v>
      </c>
      <c r="AY572" s="50">
        <f t="shared" si="405"/>
        <v>9300000</v>
      </c>
      <c r="AZ572" s="50">
        <f t="shared" si="406"/>
        <v>1999371.2599999998</v>
      </c>
      <c r="BA572" s="15">
        <f t="shared" si="390"/>
        <v>-6083.8572833333337</v>
      </c>
      <c r="BB572" s="15">
        <f t="shared" si="382"/>
        <v>-25353.905375000006</v>
      </c>
    </row>
    <row r="573" spans="2:55" s="58" customFormat="1" x14ac:dyDescent="0.3">
      <c r="B573" s="99">
        <f t="shared" si="384"/>
        <v>44965</v>
      </c>
      <c r="C573" s="44">
        <f t="shared" si="409"/>
        <v>-2808148.18</v>
      </c>
      <c r="D573" s="45"/>
      <c r="E573" s="45"/>
      <c r="F573" s="45">
        <v>-40.1</v>
      </c>
      <c r="G573" s="45">
        <f t="shared" si="385"/>
        <v>-2808188.2800000003</v>
      </c>
      <c r="H573" s="44">
        <v>4300000</v>
      </c>
      <c r="I573" s="46">
        <f t="shared" si="410"/>
        <v>-4518647.16</v>
      </c>
      <c r="J573" s="47">
        <v>225239.87999999989</v>
      </c>
      <c r="K573" s="47"/>
      <c r="L573" s="47">
        <v>-140783.88</v>
      </c>
      <c r="M573" s="47">
        <f t="shared" si="411"/>
        <v>-4434191.16</v>
      </c>
      <c r="N573" s="46">
        <v>5000000</v>
      </c>
      <c r="O573" s="48">
        <f t="shared" si="412"/>
        <v>5691.4600000000019</v>
      </c>
      <c r="P573" s="55"/>
      <c r="Q573" s="55"/>
      <c r="R573" s="55">
        <v>-4253.8</v>
      </c>
      <c r="S573" s="55">
        <f t="shared" si="413"/>
        <v>1437.6600000000017</v>
      </c>
      <c r="T573" s="48"/>
      <c r="U573" s="49">
        <f t="shared" si="414"/>
        <v>23.830000000010472</v>
      </c>
      <c r="V573" s="51"/>
      <c r="W573" s="51"/>
      <c r="X573" s="51"/>
      <c r="Y573" s="51">
        <f t="shared" si="415"/>
        <v>23.830000000010472</v>
      </c>
      <c r="Z573" s="52"/>
      <c r="AA573" s="53">
        <f t="shared" si="416"/>
        <v>20405.099999999999</v>
      </c>
      <c r="AB573" s="54"/>
      <c r="AC573" s="54"/>
      <c r="AD573" s="54">
        <v>-15202.39</v>
      </c>
      <c r="AE573" s="54">
        <f t="shared" si="417"/>
        <v>5202.7099999999991</v>
      </c>
      <c r="AF573" s="53"/>
      <c r="AG573" s="53">
        <f t="shared" si="395"/>
        <v>46.209999999990686</v>
      </c>
      <c r="AH573" s="54"/>
      <c r="AI573" s="54"/>
      <c r="AJ573" s="54"/>
      <c r="AK573" s="54">
        <f t="shared" si="418"/>
        <v>46.209999999990686</v>
      </c>
      <c r="AL573" s="53"/>
      <c r="AM573" s="53">
        <f t="shared" si="401"/>
        <v>0</v>
      </c>
      <c r="AN573" s="54"/>
      <c r="AO573" s="54"/>
      <c r="AP573" s="54"/>
      <c r="AQ573" s="54">
        <f t="shared" si="402"/>
        <v>0</v>
      </c>
      <c r="AR573" s="53"/>
      <c r="AS573" s="50">
        <f t="shared" si="420"/>
        <v>-7300628.7400000002</v>
      </c>
      <c r="AT573" s="73">
        <f t="shared" si="378"/>
        <v>225239.87999999989</v>
      </c>
      <c r="AU573" s="50">
        <f t="shared" si="396"/>
        <v>0</v>
      </c>
      <c r="AV573" s="50">
        <f t="shared" si="379"/>
        <v>-160280.16999999998</v>
      </c>
      <c r="AW573" s="50"/>
      <c r="AX573" s="50">
        <f t="shared" si="404"/>
        <v>-7235669.0300000003</v>
      </c>
      <c r="AY573" s="50">
        <f t="shared" si="405"/>
        <v>9300000</v>
      </c>
      <c r="AZ573" s="50">
        <f t="shared" si="406"/>
        <v>2064330.9699999997</v>
      </c>
      <c r="BA573" s="15">
        <f t="shared" si="390"/>
        <v>-6029.7241916666671</v>
      </c>
      <c r="BB573" s="15">
        <f t="shared" si="382"/>
        <v>-31383.629566666674</v>
      </c>
    </row>
    <row r="574" spans="2:55" s="58" customFormat="1" x14ac:dyDescent="0.3">
      <c r="B574" s="99">
        <f t="shared" si="384"/>
        <v>44966</v>
      </c>
      <c r="C574" s="44">
        <f t="shared" si="409"/>
        <v>-2808188.2800000003</v>
      </c>
      <c r="D574" s="45">
        <v>534637.03</v>
      </c>
      <c r="E574" s="45"/>
      <c r="F574" s="45">
        <f>-10116.16+1445.13</f>
        <v>-8671.0299999999988</v>
      </c>
      <c r="G574" s="45">
        <f t="shared" si="385"/>
        <v>-2282222.2799999998</v>
      </c>
      <c r="H574" s="44">
        <v>4300000</v>
      </c>
      <c r="I574" s="46">
        <f t="shared" si="410"/>
        <v>-4434191.16</v>
      </c>
      <c r="J574" s="47"/>
      <c r="K574" s="47"/>
      <c r="L574" s="47">
        <v>-18077.959999999799</v>
      </c>
      <c r="M574" s="47">
        <f t="shared" si="411"/>
        <v>-4452269.12</v>
      </c>
      <c r="N574" s="46">
        <v>5000000</v>
      </c>
      <c r="O574" s="48">
        <f t="shared" si="412"/>
        <v>1437.6600000000017</v>
      </c>
      <c r="P574" s="55">
        <f>163.84+222.38+651.84</f>
        <v>1038.06</v>
      </c>
      <c r="Q574" s="55"/>
      <c r="R574" s="55"/>
      <c r="S574" s="55">
        <f t="shared" si="413"/>
        <v>2475.7200000000016</v>
      </c>
      <c r="T574" s="48"/>
      <c r="U574" s="49">
        <f t="shared" si="414"/>
        <v>23.830000000010472</v>
      </c>
      <c r="V574" s="51"/>
      <c r="W574" s="51"/>
      <c r="X574" s="51"/>
      <c r="Y574" s="51">
        <f t="shared" si="415"/>
        <v>23.830000000010472</v>
      </c>
      <c r="Z574" s="52"/>
      <c r="AA574" s="53">
        <f t="shared" si="416"/>
        <v>5202.7099999999991</v>
      </c>
      <c r="AB574" s="54"/>
      <c r="AC574" s="54"/>
      <c r="AD574" s="54"/>
      <c r="AE574" s="54">
        <f t="shared" si="417"/>
        <v>5202.7099999999991</v>
      </c>
      <c r="AF574" s="53"/>
      <c r="AG574" s="53">
        <f t="shared" si="395"/>
        <v>46.209999999990686</v>
      </c>
      <c r="AH574" s="54"/>
      <c r="AI574" s="54"/>
      <c r="AJ574" s="54"/>
      <c r="AK574" s="54">
        <f t="shared" si="418"/>
        <v>46.209999999990686</v>
      </c>
      <c r="AL574" s="53"/>
      <c r="AM574" s="53">
        <f t="shared" si="401"/>
        <v>0</v>
      </c>
      <c r="AN574" s="54"/>
      <c r="AO574" s="54"/>
      <c r="AP574" s="54"/>
      <c r="AQ574" s="54">
        <f t="shared" si="402"/>
        <v>0</v>
      </c>
      <c r="AR574" s="53"/>
      <c r="AS574" s="50">
        <f t="shared" si="420"/>
        <v>-7235669.0300000003</v>
      </c>
      <c r="AT574" s="73">
        <f t="shared" si="378"/>
        <v>535675.09000000008</v>
      </c>
      <c r="AU574" s="50">
        <f t="shared" si="396"/>
        <v>0</v>
      </c>
      <c r="AV574" s="50">
        <f t="shared" si="379"/>
        <v>-26748.989999999798</v>
      </c>
      <c r="AW574" s="50"/>
      <c r="AX574" s="50">
        <f t="shared" si="404"/>
        <v>-6726742.9300000006</v>
      </c>
      <c r="AY574" s="50">
        <f t="shared" si="405"/>
        <v>9300000</v>
      </c>
      <c r="AZ574" s="50">
        <f t="shared" si="406"/>
        <v>2573257.0699999994</v>
      </c>
      <c r="BA574" s="15">
        <f t="shared" si="390"/>
        <v>-5605.6191083333342</v>
      </c>
      <c r="BB574" s="15">
        <f t="shared" si="382"/>
        <v>-36989.24867500001</v>
      </c>
    </row>
    <row r="575" spans="2:55" s="58" customFormat="1" x14ac:dyDescent="0.3">
      <c r="B575" s="99">
        <f t="shared" si="384"/>
        <v>44967</v>
      </c>
      <c r="C575" s="44">
        <f t="shared" si="409"/>
        <v>-2282222.2799999998</v>
      </c>
      <c r="D575" s="45">
        <v>848821.27</v>
      </c>
      <c r="E575" s="45"/>
      <c r="F575" s="45">
        <v>-112581.48</v>
      </c>
      <c r="G575" s="45">
        <f t="shared" si="385"/>
        <v>-1545982.4899999998</v>
      </c>
      <c r="H575" s="44">
        <v>4300000</v>
      </c>
      <c r="I575" s="46">
        <f t="shared" si="410"/>
        <v>-4452269.12</v>
      </c>
      <c r="J575" s="47"/>
      <c r="K575" s="47"/>
      <c r="L575" s="47">
        <v>-60462.229999999901</v>
      </c>
      <c r="M575" s="47">
        <f t="shared" si="411"/>
        <v>-4512731.3499999996</v>
      </c>
      <c r="N575" s="46">
        <v>5000000</v>
      </c>
      <c r="O575" s="48">
        <f t="shared" si="412"/>
        <v>2475.7200000000016</v>
      </c>
      <c r="P575" s="55">
        <f>162.88+512.32</f>
        <v>675.2</v>
      </c>
      <c r="Q575" s="55"/>
      <c r="R575" s="55"/>
      <c r="S575" s="55">
        <f t="shared" si="413"/>
        <v>3150.9200000000019</v>
      </c>
      <c r="T575" s="48"/>
      <c r="U575" s="49">
        <f t="shared" si="414"/>
        <v>23.830000000010472</v>
      </c>
      <c r="V575" s="51">
        <v>22467.69</v>
      </c>
      <c r="W575" s="51"/>
      <c r="X575" s="51"/>
      <c r="Y575" s="51">
        <f t="shared" si="415"/>
        <v>22491.520000000008</v>
      </c>
      <c r="Z575" s="52"/>
      <c r="AA575" s="53">
        <f t="shared" si="416"/>
        <v>5202.7099999999991</v>
      </c>
      <c r="AB575" s="54"/>
      <c r="AC575" s="54"/>
      <c r="AD575" s="54">
        <v>-379.49999999999898</v>
      </c>
      <c r="AE575" s="54">
        <f t="shared" si="417"/>
        <v>4823.21</v>
      </c>
      <c r="AF575" s="53"/>
      <c r="AG575" s="53">
        <f t="shared" si="395"/>
        <v>46.209999999990686</v>
      </c>
      <c r="AH575" s="54"/>
      <c r="AI575" s="54"/>
      <c r="AJ575" s="54"/>
      <c r="AK575" s="54">
        <f t="shared" si="418"/>
        <v>46.209999999990686</v>
      </c>
      <c r="AL575" s="53"/>
      <c r="AM575" s="53">
        <f t="shared" si="401"/>
        <v>0</v>
      </c>
      <c r="AN575" s="54"/>
      <c r="AO575" s="54"/>
      <c r="AP575" s="54"/>
      <c r="AQ575" s="54">
        <f t="shared" si="402"/>
        <v>0</v>
      </c>
      <c r="AR575" s="53"/>
      <c r="AS575" s="50">
        <f t="shared" si="420"/>
        <v>-6726742.9300000006</v>
      </c>
      <c r="AT575" s="73">
        <f t="shared" si="378"/>
        <v>871964.15999999992</v>
      </c>
      <c r="AU575" s="50">
        <f t="shared" si="396"/>
        <v>0</v>
      </c>
      <c r="AV575" s="50">
        <f t="shared" si="379"/>
        <v>-173423.2099999999</v>
      </c>
      <c r="AW575" s="50"/>
      <c r="AX575" s="50">
        <f t="shared" si="404"/>
        <v>-6028201.9800000004</v>
      </c>
      <c r="AY575" s="50">
        <f t="shared" si="405"/>
        <v>9300000</v>
      </c>
      <c r="AZ575" s="50">
        <f t="shared" si="406"/>
        <v>3271798.0199999996</v>
      </c>
      <c r="BA575" s="15">
        <f t="shared" si="390"/>
        <v>-5023.5016500000011</v>
      </c>
      <c r="BB575" s="15">
        <f t="shared" si="382"/>
        <v>-42012.750325000008</v>
      </c>
    </row>
    <row r="576" spans="2:55" s="58" customFormat="1" x14ac:dyDescent="0.3">
      <c r="B576" s="99">
        <f t="shared" ref="B576" si="421">B575+3</f>
        <v>44970</v>
      </c>
      <c r="C576" s="44">
        <f t="shared" si="409"/>
        <v>-1545982.4899999998</v>
      </c>
      <c r="D576" s="45"/>
      <c r="E576" s="45">
        <v>-100000</v>
      </c>
      <c r="F576" s="45">
        <v>-1317.09</v>
      </c>
      <c r="G576" s="45">
        <f t="shared" si="385"/>
        <v>-1647299.5799999998</v>
      </c>
      <c r="H576" s="44">
        <v>4300000</v>
      </c>
      <c r="I576" s="46">
        <f t="shared" si="410"/>
        <v>-4512731.3499999996</v>
      </c>
      <c r="J576" s="47"/>
      <c r="K576" s="47">
        <v>124000</v>
      </c>
      <c r="L576" s="47">
        <v>-113784.92</v>
      </c>
      <c r="M576" s="47">
        <f t="shared" si="411"/>
        <v>-4502516.2699999996</v>
      </c>
      <c r="N576" s="46">
        <v>5000000</v>
      </c>
      <c r="O576" s="48">
        <f t="shared" si="412"/>
        <v>3150.9200000000019</v>
      </c>
      <c r="P576" s="55">
        <f>551+122.88+1044.24+30.54</f>
        <v>1748.6599999999999</v>
      </c>
      <c r="Q576" s="55">
        <f>22400-24000</f>
        <v>-1600</v>
      </c>
      <c r="R576" s="55">
        <v>-10</v>
      </c>
      <c r="S576" s="55">
        <f t="shared" si="413"/>
        <v>3289.5800000000017</v>
      </c>
      <c r="T576" s="48"/>
      <c r="U576" s="49">
        <f t="shared" si="414"/>
        <v>22491.520000000008</v>
      </c>
      <c r="V576" s="51"/>
      <c r="W576" s="51">
        <v>-22400</v>
      </c>
      <c r="X576" s="51"/>
      <c r="Y576" s="51">
        <f t="shared" si="415"/>
        <v>91.520000000007713</v>
      </c>
      <c r="Z576" s="52"/>
      <c r="AA576" s="53">
        <f t="shared" si="416"/>
        <v>4823.21</v>
      </c>
      <c r="AB576" s="54"/>
      <c r="AC576" s="54"/>
      <c r="AD576" s="54"/>
      <c r="AE576" s="54">
        <f t="shared" si="417"/>
        <v>4823.21</v>
      </c>
      <c r="AF576" s="53"/>
      <c r="AG576" s="53">
        <f t="shared" si="395"/>
        <v>46.209999999990686</v>
      </c>
      <c r="AH576" s="54"/>
      <c r="AI576" s="54"/>
      <c r="AJ576" s="54"/>
      <c r="AK576" s="54">
        <f t="shared" si="418"/>
        <v>46.209999999990686</v>
      </c>
      <c r="AL576" s="53"/>
      <c r="AM576" s="53">
        <f t="shared" si="401"/>
        <v>0</v>
      </c>
      <c r="AN576" s="54"/>
      <c r="AO576" s="54"/>
      <c r="AP576" s="54"/>
      <c r="AQ576" s="54">
        <f t="shared" si="402"/>
        <v>0</v>
      </c>
      <c r="AR576" s="53"/>
      <c r="AS576" s="50">
        <f t="shared" si="420"/>
        <v>-6028201.9800000004</v>
      </c>
      <c r="AT576" s="73">
        <f t="shared" si="378"/>
        <v>1748.6599999999999</v>
      </c>
      <c r="AU576" s="50">
        <f t="shared" si="396"/>
        <v>0</v>
      </c>
      <c r="AV576" s="50">
        <f t="shared" si="379"/>
        <v>-115112.01</v>
      </c>
      <c r="AW576" s="50"/>
      <c r="AX576" s="50">
        <f t="shared" si="404"/>
        <v>-6141565.3300000001</v>
      </c>
      <c r="AY576" s="50">
        <f t="shared" si="405"/>
        <v>9300000</v>
      </c>
      <c r="AZ576" s="50">
        <f t="shared" si="406"/>
        <v>3158434.67</v>
      </c>
      <c r="BA576" s="15">
        <f t="shared" si="390"/>
        <v>-5117.9711083333341</v>
      </c>
      <c r="BB576" s="15">
        <f t="shared" si="382"/>
        <v>-47130.72143333334</v>
      </c>
    </row>
    <row r="577" spans="2:55" s="58" customFormat="1" x14ac:dyDescent="0.3">
      <c r="B577" s="99">
        <f t="shared" ref="B577" si="422">B576+1</f>
        <v>44971</v>
      </c>
      <c r="C577" s="44">
        <f t="shared" si="409"/>
        <v>-1647299.5799999998</v>
      </c>
      <c r="D577" s="45">
        <f>9884.74+9374.73</f>
        <v>19259.47</v>
      </c>
      <c r="E577" s="45"/>
      <c r="F577" s="45">
        <v>-61578.96</v>
      </c>
      <c r="G577" s="45">
        <f t="shared" si="385"/>
        <v>-1689619.0699999998</v>
      </c>
      <c r="H577" s="44">
        <v>4300000</v>
      </c>
      <c r="I577" s="46">
        <f t="shared" si="410"/>
        <v>-4502516.2699999996</v>
      </c>
      <c r="J577" s="47"/>
      <c r="K577" s="47"/>
      <c r="L577" s="47">
        <v>-10914.120000000399</v>
      </c>
      <c r="M577" s="47">
        <f t="shared" si="411"/>
        <v>-4513430.3899999997</v>
      </c>
      <c r="N577" s="46">
        <v>5000000</v>
      </c>
      <c r="O577" s="48">
        <f t="shared" si="412"/>
        <v>3289.5800000000017</v>
      </c>
      <c r="P577" s="55">
        <v>281.69</v>
      </c>
      <c r="Q577" s="55"/>
      <c r="R577" s="55"/>
      <c r="S577" s="55">
        <f t="shared" si="413"/>
        <v>3571.2700000000018</v>
      </c>
      <c r="T577" s="48"/>
      <c r="U577" s="49">
        <f t="shared" si="414"/>
        <v>91.520000000007713</v>
      </c>
      <c r="V577" s="51"/>
      <c r="W577" s="51"/>
      <c r="X577" s="51">
        <v>-1.4</v>
      </c>
      <c r="Y577" s="51">
        <f t="shared" si="415"/>
        <v>90.120000000007707</v>
      </c>
      <c r="Z577" s="52"/>
      <c r="AA577" s="53">
        <f t="shared" si="416"/>
        <v>4823.21</v>
      </c>
      <c r="AB577" s="54"/>
      <c r="AC577" s="54"/>
      <c r="AD577" s="54"/>
      <c r="AE577" s="54">
        <f t="shared" si="417"/>
        <v>4823.21</v>
      </c>
      <c r="AF577" s="53"/>
      <c r="AG577" s="53">
        <f t="shared" si="395"/>
        <v>46.209999999990686</v>
      </c>
      <c r="AH577" s="54"/>
      <c r="AI577" s="54"/>
      <c r="AJ577" s="54"/>
      <c r="AK577" s="54">
        <f t="shared" si="418"/>
        <v>46.209999999990686</v>
      </c>
      <c r="AL577" s="53"/>
      <c r="AM577" s="53">
        <f t="shared" si="401"/>
        <v>0</v>
      </c>
      <c r="AN577" s="54"/>
      <c r="AO577" s="54"/>
      <c r="AP577" s="54"/>
      <c r="AQ577" s="54">
        <f t="shared" si="402"/>
        <v>0</v>
      </c>
      <c r="AR577" s="53"/>
      <c r="AS577" s="50">
        <f t="shared" si="420"/>
        <v>-6141565.3300000001</v>
      </c>
      <c r="AT577" s="73">
        <f t="shared" si="378"/>
        <v>19541.16</v>
      </c>
      <c r="AU577" s="50">
        <f t="shared" si="396"/>
        <v>0</v>
      </c>
      <c r="AV577" s="50">
        <f t="shared" si="379"/>
        <v>-72494.480000000389</v>
      </c>
      <c r="AW577" s="50"/>
      <c r="AX577" s="50">
        <f t="shared" si="404"/>
        <v>-6194518.6499999994</v>
      </c>
      <c r="AY577" s="50">
        <f t="shared" si="405"/>
        <v>9300000</v>
      </c>
      <c r="AZ577" s="50">
        <f t="shared" si="406"/>
        <v>3105481.3500000006</v>
      </c>
      <c r="BA577" s="15">
        <f t="shared" si="390"/>
        <v>-5162.0988749999997</v>
      </c>
      <c r="BB577" s="15">
        <f t="shared" si="382"/>
        <v>-52292.820308333336</v>
      </c>
    </row>
    <row r="578" spans="2:55" s="58" customFormat="1" x14ac:dyDescent="0.3">
      <c r="B578" s="99">
        <f t="shared" si="384"/>
        <v>44972</v>
      </c>
      <c r="C578" s="44">
        <f t="shared" si="409"/>
        <v>-1689619.0699999998</v>
      </c>
      <c r="D578" s="45">
        <f>61538.77+67200.96+383424.42</f>
        <v>512164.15</v>
      </c>
      <c r="E578" s="45">
        <v>-300000</v>
      </c>
      <c r="F578" s="45">
        <v>-28011.13</v>
      </c>
      <c r="G578" s="45">
        <f t="shared" si="385"/>
        <v>-1505466.0499999998</v>
      </c>
      <c r="H578" s="44">
        <v>4300000</v>
      </c>
      <c r="I578" s="46">
        <f t="shared" si="410"/>
        <v>-4513430.3899999997</v>
      </c>
      <c r="J578" s="47"/>
      <c r="K578" s="47">
        <v>300000</v>
      </c>
      <c r="L578" s="47">
        <v>-262581.28999999998</v>
      </c>
      <c r="M578" s="47">
        <f t="shared" si="411"/>
        <v>-4476011.68</v>
      </c>
      <c r="N578" s="46">
        <v>5000000</v>
      </c>
      <c r="O578" s="48">
        <f t="shared" si="412"/>
        <v>3571.2700000000018</v>
      </c>
      <c r="P578" s="55"/>
      <c r="Q578" s="55"/>
      <c r="R578" s="55">
        <f>-1500-1000</f>
        <v>-2500</v>
      </c>
      <c r="S578" s="55">
        <f t="shared" si="413"/>
        <v>1071.2700000000018</v>
      </c>
      <c r="T578" s="48"/>
      <c r="U578" s="49">
        <f t="shared" si="414"/>
        <v>90.120000000007707</v>
      </c>
      <c r="V578" s="51"/>
      <c r="W578" s="51"/>
      <c r="X578" s="51"/>
      <c r="Y578" s="51">
        <f t="shared" si="415"/>
        <v>90.120000000007707</v>
      </c>
      <c r="Z578" s="52"/>
      <c r="AA578" s="53">
        <f t="shared" si="416"/>
        <v>4823.21</v>
      </c>
      <c r="AB578" s="54"/>
      <c r="AC578" s="54"/>
      <c r="AD578" s="54"/>
      <c r="AE578" s="54">
        <f t="shared" si="417"/>
        <v>4823.21</v>
      </c>
      <c r="AF578" s="53"/>
      <c r="AG578" s="53">
        <f t="shared" si="395"/>
        <v>46.209999999990686</v>
      </c>
      <c r="AH578" s="54"/>
      <c r="AI578" s="54"/>
      <c r="AJ578" s="54"/>
      <c r="AK578" s="54">
        <f t="shared" si="418"/>
        <v>46.209999999990686</v>
      </c>
      <c r="AL578" s="53"/>
      <c r="AM578" s="53">
        <f t="shared" si="401"/>
        <v>0</v>
      </c>
      <c r="AN578" s="54"/>
      <c r="AO578" s="54"/>
      <c r="AP578" s="54"/>
      <c r="AQ578" s="54">
        <f t="shared" si="402"/>
        <v>0</v>
      </c>
      <c r="AR578" s="53"/>
      <c r="AS578" s="50">
        <f t="shared" si="420"/>
        <v>-6194518.6499999994</v>
      </c>
      <c r="AT578" s="73">
        <f t="shared" si="378"/>
        <v>512164.15</v>
      </c>
      <c r="AU578" s="50">
        <f t="shared" si="396"/>
        <v>0</v>
      </c>
      <c r="AV578" s="50">
        <f t="shared" si="379"/>
        <v>-293092.42</v>
      </c>
      <c r="AW578" s="50"/>
      <c r="AX578" s="50">
        <f t="shared" si="404"/>
        <v>-5975446.9199999999</v>
      </c>
      <c r="AY578" s="50">
        <f t="shared" si="405"/>
        <v>9300000</v>
      </c>
      <c r="AZ578" s="50">
        <f t="shared" si="406"/>
        <v>3324553.08</v>
      </c>
      <c r="BA578" s="15">
        <f t="shared" si="390"/>
        <v>-4979.5391</v>
      </c>
      <c r="BB578" s="15">
        <f t="shared" si="382"/>
        <v>-57272.359408333337</v>
      </c>
    </row>
    <row r="579" spans="2:55" s="58" customFormat="1" x14ac:dyDescent="0.3">
      <c r="B579" s="99">
        <f t="shared" si="384"/>
        <v>44973</v>
      </c>
      <c r="C579" s="44">
        <f t="shared" si="409"/>
        <v>-1505466.0499999998</v>
      </c>
      <c r="D579" s="45">
        <f>129263.11+2083.33</f>
        <v>131346.44</v>
      </c>
      <c r="E579" s="45">
        <v>-200000</v>
      </c>
      <c r="F579" s="45">
        <v>-645441.49</v>
      </c>
      <c r="G579" s="45">
        <f t="shared" si="385"/>
        <v>-2219561.0999999996</v>
      </c>
      <c r="H579" s="44">
        <v>4300000</v>
      </c>
      <c r="I579" s="46">
        <f t="shared" si="410"/>
        <v>-4476011.68</v>
      </c>
      <c r="J579" s="47"/>
      <c r="K579" s="47">
        <v>200000</v>
      </c>
      <c r="L579" s="47">
        <v>-103243.03</v>
      </c>
      <c r="M579" s="47">
        <f t="shared" si="411"/>
        <v>-4379254.71</v>
      </c>
      <c r="N579" s="46">
        <v>5000000</v>
      </c>
      <c r="O579" s="48">
        <f t="shared" si="412"/>
        <v>1071.2700000000018</v>
      </c>
      <c r="P579" s="55"/>
      <c r="Q579" s="55"/>
      <c r="R579" s="55"/>
      <c r="S579" s="55">
        <f t="shared" si="413"/>
        <v>1071.2700000000018</v>
      </c>
      <c r="T579" s="48"/>
      <c r="U579" s="49">
        <f t="shared" si="414"/>
        <v>90.120000000007707</v>
      </c>
      <c r="V579" s="51"/>
      <c r="W579" s="51"/>
      <c r="X579" s="51"/>
      <c r="Y579" s="51">
        <f t="shared" si="415"/>
        <v>90.120000000007707</v>
      </c>
      <c r="Z579" s="52"/>
      <c r="AA579" s="53">
        <f t="shared" si="416"/>
        <v>4823.21</v>
      </c>
      <c r="AB579" s="54"/>
      <c r="AC579" s="54"/>
      <c r="AD579" s="54"/>
      <c r="AE579" s="54">
        <f t="shared" si="417"/>
        <v>4823.21</v>
      </c>
      <c r="AF579" s="53"/>
      <c r="AG579" s="53">
        <f t="shared" si="395"/>
        <v>46.209999999990686</v>
      </c>
      <c r="AH579" s="54"/>
      <c r="AI579" s="54"/>
      <c r="AJ579" s="54"/>
      <c r="AK579" s="54">
        <f t="shared" si="418"/>
        <v>46.209999999990686</v>
      </c>
      <c r="AL579" s="53"/>
      <c r="AM579" s="53">
        <f t="shared" si="401"/>
        <v>0</v>
      </c>
      <c r="AN579" s="54"/>
      <c r="AO579" s="54"/>
      <c r="AP579" s="54"/>
      <c r="AQ579" s="54">
        <f t="shared" si="402"/>
        <v>0</v>
      </c>
      <c r="AR579" s="53"/>
      <c r="AS579" s="50">
        <f t="shared" si="420"/>
        <v>-5975446.9199999999</v>
      </c>
      <c r="AT579" s="73">
        <f t="shared" si="378"/>
        <v>131346.44</v>
      </c>
      <c r="AU579" s="50">
        <f t="shared" si="396"/>
        <v>0</v>
      </c>
      <c r="AV579" s="50">
        <f t="shared" si="379"/>
        <v>-748684.52</v>
      </c>
      <c r="AW579" s="50"/>
      <c r="AX579" s="50">
        <f t="shared" si="404"/>
        <v>-6592785</v>
      </c>
      <c r="AY579" s="50">
        <f t="shared" si="405"/>
        <v>9300000</v>
      </c>
      <c r="AZ579" s="50">
        <f t="shared" si="406"/>
        <v>2707215</v>
      </c>
      <c r="BA579" s="15">
        <f t="shared" si="390"/>
        <v>-5493.9875000000002</v>
      </c>
      <c r="BB579" s="15">
        <f t="shared" si="382"/>
        <v>-62766.34690833334</v>
      </c>
    </row>
    <row r="580" spans="2:55" s="58" customFormat="1" x14ac:dyDescent="0.3">
      <c r="B580" s="99">
        <f t="shared" si="384"/>
        <v>44974</v>
      </c>
      <c r="C580" s="44">
        <f t="shared" si="409"/>
        <v>-2219561.0999999996</v>
      </c>
      <c r="D580" s="45">
        <v>85513.12</v>
      </c>
      <c r="E580" s="45"/>
      <c r="F580" s="45">
        <v>-492525.26</v>
      </c>
      <c r="G580" s="45">
        <f t="shared" si="385"/>
        <v>-2626573.2399999993</v>
      </c>
      <c r="H580" s="44">
        <v>4300000</v>
      </c>
      <c r="I580" s="46">
        <f t="shared" si="410"/>
        <v>-4379254.71</v>
      </c>
      <c r="J580" s="47">
        <f>229670.99+211093.75+123162.15</f>
        <v>563926.89</v>
      </c>
      <c r="K580" s="47"/>
      <c r="L580" s="47">
        <v>-569931.53</v>
      </c>
      <c r="M580" s="47">
        <f t="shared" si="411"/>
        <v>-4385259.3499999996</v>
      </c>
      <c r="N580" s="46">
        <v>5000000</v>
      </c>
      <c r="O580" s="48">
        <f t="shared" si="412"/>
        <v>1071.2700000000018</v>
      </c>
      <c r="P580" s="55"/>
      <c r="Q580" s="55"/>
      <c r="R580" s="55"/>
      <c r="S580" s="55">
        <f t="shared" si="413"/>
        <v>1071.2700000000018</v>
      </c>
      <c r="T580" s="48"/>
      <c r="U580" s="49">
        <f t="shared" si="414"/>
        <v>90.120000000007707</v>
      </c>
      <c r="V580" s="51"/>
      <c r="W580" s="51"/>
      <c r="X580" s="51"/>
      <c r="Y580" s="51">
        <f t="shared" si="415"/>
        <v>90.120000000007707</v>
      </c>
      <c r="Z580" s="52"/>
      <c r="AA580" s="53">
        <f t="shared" si="416"/>
        <v>4823.21</v>
      </c>
      <c r="AB580" s="54"/>
      <c r="AC580" s="54"/>
      <c r="AD580" s="54"/>
      <c r="AE580" s="54">
        <f t="shared" si="417"/>
        <v>4823.21</v>
      </c>
      <c r="AF580" s="53"/>
      <c r="AG580" s="53">
        <f t="shared" si="395"/>
        <v>46.209999999990686</v>
      </c>
      <c r="AH580" s="54"/>
      <c r="AI580" s="54"/>
      <c r="AJ580" s="54"/>
      <c r="AK580" s="54">
        <f t="shared" si="418"/>
        <v>46.209999999990686</v>
      </c>
      <c r="AL580" s="53"/>
      <c r="AM580" s="53">
        <f t="shared" si="401"/>
        <v>0</v>
      </c>
      <c r="AN580" s="54"/>
      <c r="AO580" s="54"/>
      <c r="AP580" s="54"/>
      <c r="AQ580" s="54">
        <f t="shared" si="402"/>
        <v>0</v>
      </c>
      <c r="AR580" s="53"/>
      <c r="AS580" s="50">
        <f t="shared" si="420"/>
        <v>-6592785</v>
      </c>
      <c r="AT580" s="73">
        <f t="shared" si="378"/>
        <v>649440.01</v>
      </c>
      <c r="AU580" s="50">
        <f t="shared" si="396"/>
        <v>0</v>
      </c>
      <c r="AV580" s="50">
        <f t="shared" si="379"/>
        <v>-1062456.79</v>
      </c>
      <c r="AW580" s="50"/>
      <c r="AX580" s="50">
        <f t="shared" si="404"/>
        <v>-7005801.7799999993</v>
      </c>
      <c r="AY580" s="50">
        <f t="shared" si="405"/>
        <v>9300000</v>
      </c>
      <c r="AZ580" s="50">
        <f t="shared" si="406"/>
        <v>2294198.2200000007</v>
      </c>
      <c r="BA580" s="15">
        <f t="shared" si="390"/>
        <v>-5838.1681499999995</v>
      </c>
      <c r="BB580" s="15">
        <f t="shared" si="382"/>
        <v>-68604.515058333345</v>
      </c>
    </row>
    <row r="581" spans="2:55" s="58" customFormat="1" x14ac:dyDescent="0.3">
      <c r="B581" s="99">
        <f t="shared" ref="B581" si="423">B580+3</f>
        <v>44977</v>
      </c>
      <c r="C581" s="44">
        <f t="shared" si="409"/>
        <v>-2626573.2399999993</v>
      </c>
      <c r="D581" s="45"/>
      <c r="E581" s="45"/>
      <c r="F581" s="45"/>
      <c r="G581" s="45">
        <f t="shared" si="385"/>
        <v>-2626573.2399999993</v>
      </c>
      <c r="H581" s="44">
        <v>4300000</v>
      </c>
      <c r="I581" s="46">
        <f t="shared" si="410"/>
        <v>-4385259.3499999996</v>
      </c>
      <c r="J581" s="47"/>
      <c r="K581" s="47"/>
      <c r="L581" s="47"/>
      <c r="M581" s="47">
        <f t="shared" si="411"/>
        <v>-4385259.3499999996</v>
      </c>
      <c r="N581" s="46">
        <v>5000000</v>
      </c>
      <c r="O581" s="48">
        <f t="shared" si="412"/>
        <v>1071.2700000000018</v>
      </c>
      <c r="P581" s="55"/>
      <c r="Q581" s="55"/>
      <c r="R581" s="55"/>
      <c r="S581" s="55">
        <f t="shared" si="413"/>
        <v>1071.2700000000018</v>
      </c>
      <c r="T581" s="48"/>
      <c r="U581" s="49">
        <f t="shared" si="414"/>
        <v>90.120000000007707</v>
      </c>
      <c r="V581" s="51"/>
      <c r="W581" s="51"/>
      <c r="X581" s="51"/>
      <c r="Y581" s="51">
        <f t="shared" si="415"/>
        <v>90.120000000007707</v>
      </c>
      <c r="Z581" s="52"/>
      <c r="AA581" s="53">
        <f t="shared" si="416"/>
        <v>4823.21</v>
      </c>
      <c r="AB581" s="54"/>
      <c r="AC581" s="54"/>
      <c r="AD581" s="54"/>
      <c r="AE581" s="54">
        <f t="shared" si="417"/>
        <v>4823.21</v>
      </c>
      <c r="AF581" s="53"/>
      <c r="AG581" s="53">
        <f t="shared" si="395"/>
        <v>46.209999999990686</v>
      </c>
      <c r="AH581" s="54"/>
      <c r="AI581" s="54"/>
      <c r="AJ581" s="54"/>
      <c r="AK581" s="54">
        <f t="shared" si="418"/>
        <v>46.209999999990686</v>
      </c>
      <c r="AL581" s="53"/>
      <c r="AM581" s="53">
        <f t="shared" si="401"/>
        <v>0</v>
      </c>
      <c r="AN581" s="54"/>
      <c r="AO581" s="54"/>
      <c r="AP581" s="54"/>
      <c r="AQ581" s="54">
        <f t="shared" si="402"/>
        <v>0</v>
      </c>
      <c r="AR581" s="53"/>
      <c r="AS581" s="50">
        <f t="shared" si="420"/>
        <v>-7005801.7799999993</v>
      </c>
      <c r="AT581" s="73">
        <f t="shared" si="378"/>
        <v>0</v>
      </c>
      <c r="AU581" s="50">
        <f t="shared" si="396"/>
        <v>0</v>
      </c>
      <c r="AV581" s="50">
        <f t="shared" si="379"/>
        <v>0</v>
      </c>
      <c r="AW581" s="50"/>
      <c r="AX581" s="50">
        <f t="shared" si="404"/>
        <v>-7005801.7799999993</v>
      </c>
      <c r="AY581" s="50">
        <f t="shared" si="405"/>
        <v>9300000</v>
      </c>
      <c r="AZ581" s="50">
        <f t="shared" si="406"/>
        <v>2294198.2200000007</v>
      </c>
      <c r="BA581" s="15">
        <f t="shared" si="390"/>
        <v>-5838.1681499999995</v>
      </c>
      <c r="BB581" s="15">
        <f t="shared" si="382"/>
        <v>-74442.683208333343</v>
      </c>
    </row>
    <row r="582" spans="2:55" s="58" customFormat="1" x14ac:dyDescent="0.3">
      <c r="B582" s="99">
        <f t="shared" ref="B582" si="424">B581+1</f>
        <v>44978</v>
      </c>
      <c r="C582" s="44">
        <f t="shared" si="409"/>
        <v>-2626573.2399999993</v>
      </c>
      <c r="D582" s="45"/>
      <c r="E582" s="45"/>
      <c r="F582" s="45"/>
      <c r="G582" s="45">
        <f t="shared" si="385"/>
        <v>-2626573.2399999993</v>
      </c>
      <c r="H582" s="44">
        <v>4300000</v>
      </c>
      <c r="I582" s="46">
        <f t="shared" si="410"/>
        <v>-4385259.3499999996</v>
      </c>
      <c r="J582" s="47"/>
      <c r="K582" s="47"/>
      <c r="L582" s="47"/>
      <c r="M582" s="47">
        <f t="shared" si="411"/>
        <v>-4385259.3499999996</v>
      </c>
      <c r="N582" s="46">
        <v>5000000</v>
      </c>
      <c r="O582" s="48">
        <f t="shared" si="412"/>
        <v>1071.2700000000018</v>
      </c>
      <c r="P582" s="55"/>
      <c r="Q582" s="55"/>
      <c r="R582" s="55"/>
      <c r="S582" s="55">
        <f t="shared" si="413"/>
        <v>1071.2700000000018</v>
      </c>
      <c r="T582" s="48"/>
      <c r="U582" s="49">
        <f t="shared" si="414"/>
        <v>90.120000000007707</v>
      </c>
      <c r="V582" s="51"/>
      <c r="W582" s="51"/>
      <c r="X582" s="51"/>
      <c r="Y582" s="51">
        <f t="shared" si="415"/>
        <v>90.120000000007707</v>
      </c>
      <c r="Z582" s="52"/>
      <c r="AA582" s="53">
        <f t="shared" si="416"/>
        <v>4823.21</v>
      </c>
      <c r="AB582" s="54"/>
      <c r="AC582" s="54"/>
      <c r="AD582" s="54"/>
      <c r="AE582" s="54">
        <f t="shared" si="417"/>
        <v>4823.21</v>
      </c>
      <c r="AF582" s="53"/>
      <c r="AG582" s="53">
        <f t="shared" si="395"/>
        <v>46.209999999990686</v>
      </c>
      <c r="AH582" s="54"/>
      <c r="AI582" s="54"/>
      <c r="AJ582" s="54"/>
      <c r="AK582" s="54">
        <f t="shared" si="418"/>
        <v>46.209999999990686</v>
      </c>
      <c r="AL582" s="53"/>
      <c r="AM582" s="53">
        <f t="shared" si="401"/>
        <v>0</v>
      </c>
      <c r="AN582" s="54"/>
      <c r="AO582" s="54"/>
      <c r="AP582" s="54"/>
      <c r="AQ582" s="54">
        <f t="shared" si="402"/>
        <v>0</v>
      </c>
      <c r="AR582" s="53"/>
      <c r="AS582" s="50">
        <f t="shared" si="420"/>
        <v>-7005801.7799999993</v>
      </c>
      <c r="AT582" s="73">
        <f t="shared" si="378"/>
        <v>0</v>
      </c>
      <c r="AU582" s="50">
        <f t="shared" si="396"/>
        <v>0</v>
      </c>
      <c r="AV582" s="50">
        <f t="shared" si="379"/>
        <v>0</v>
      </c>
      <c r="AW582" s="50"/>
      <c r="AX582" s="50">
        <f t="shared" si="404"/>
        <v>-7005801.7799999993</v>
      </c>
      <c r="AY582" s="50">
        <f t="shared" si="405"/>
        <v>9300000</v>
      </c>
      <c r="AZ582" s="50">
        <f t="shared" si="406"/>
        <v>2294198.2200000007</v>
      </c>
      <c r="BA582" s="15">
        <f t="shared" si="390"/>
        <v>-5838.1681499999995</v>
      </c>
      <c r="BB582" s="15">
        <f t="shared" si="382"/>
        <v>-80280.851358333341</v>
      </c>
    </row>
    <row r="583" spans="2:55" s="58" customFormat="1" x14ac:dyDescent="0.3">
      <c r="B583" s="99">
        <f t="shared" si="384"/>
        <v>44979</v>
      </c>
      <c r="C583" s="44">
        <f t="shared" ref="C583:C587" si="425">G582</f>
        <v>-2626573.2399999993</v>
      </c>
      <c r="D583" s="45">
        <v>73358.53</v>
      </c>
      <c r="E583" s="45"/>
      <c r="F583" s="45">
        <v>-60379.86</v>
      </c>
      <c r="G583" s="45">
        <f t="shared" ref="G583:G587" si="426">SUM(C583:F583)</f>
        <v>-2613594.5699999994</v>
      </c>
      <c r="H583" s="44">
        <v>4300000</v>
      </c>
      <c r="I583" s="46">
        <f t="shared" ref="I583:I587" si="427">M582</f>
        <v>-4385259.3499999996</v>
      </c>
      <c r="J583" s="47"/>
      <c r="K583" s="47"/>
      <c r="L583" s="47">
        <v>-186</v>
      </c>
      <c r="M583" s="47">
        <f t="shared" ref="M583:M587" si="428">SUM(I583:L583)</f>
        <v>-4385445.3499999996</v>
      </c>
      <c r="N583" s="46">
        <v>5000000</v>
      </c>
      <c r="O583" s="48">
        <f t="shared" ref="O583:O587" si="429">S582</f>
        <v>1071.2700000000018</v>
      </c>
      <c r="P583" s="55">
        <v>35707.68</v>
      </c>
      <c r="Q583" s="55"/>
      <c r="R583" s="55"/>
      <c r="S583" s="55">
        <f t="shared" ref="S583:S587" si="430">SUM(O583:R583)</f>
        <v>36778.950000000004</v>
      </c>
      <c r="T583" s="48"/>
      <c r="U583" s="49">
        <f t="shared" ref="U583:U587" si="431">Y582</f>
        <v>90.120000000007707</v>
      </c>
      <c r="V583" s="51"/>
      <c r="W583" s="51"/>
      <c r="X583" s="51"/>
      <c r="Y583" s="51">
        <f t="shared" ref="Y583:Y587" si="432">SUM(U583:X583)</f>
        <v>90.120000000007707</v>
      </c>
      <c r="Z583" s="52"/>
      <c r="AA583" s="53">
        <f t="shared" ref="AA583:AA587" si="433">AE582</f>
        <v>4823.21</v>
      </c>
      <c r="AB583" s="54"/>
      <c r="AC583" s="54"/>
      <c r="AD583" s="54"/>
      <c r="AE583" s="54">
        <f t="shared" ref="AE583:AE587" si="434">SUM(AA583:AD583)</f>
        <v>4823.21</v>
      </c>
      <c r="AF583" s="53"/>
      <c r="AG583" s="53">
        <f t="shared" ref="AG583:AG587" si="435">AK582</f>
        <v>46.209999999990686</v>
      </c>
      <c r="AH583" s="54"/>
      <c r="AI583" s="54"/>
      <c r="AJ583" s="54"/>
      <c r="AK583" s="54">
        <f t="shared" ref="AK583:AK587" si="436">SUM(AG583:AJ583)</f>
        <v>46.209999999990686</v>
      </c>
      <c r="AL583" s="53"/>
      <c r="AM583" s="53">
        <f t="shared" si="401"/>
        <v>0</v>
      </c>
      <c r="AN583" s="54"/>
      <c r="AO583" s="54"/>
      <c r="AP583" s="54"/>
      <c r="AQ583" s="54">
        <f t="shared" si="402"/>
        <v>0</v>
      </c>
      <c r="AR583" s="53"/>
      <c r="AS583" s="50">
        <f t="shared" ref="AS583:AS587" si="437">SUM(C583,I583,O583,U583,AA583,AG583)</f>
        <v>-7005801.7799999993</v>
      </c>
      <c r="AT583" s="73">
        <f t="shared" ref="AT583:AT587" si="438">SUM(D583,J583,P583,V583,AB583,AH583)</f>
        <v>109066.20999999999</v>
      </c>
      <c r="AU583" s="50">
        <f t="shared" ref="AU583:AU587" si="439">SUM(E583,K583,Q583,W583,AC583,AI583)</f>
        <v>0</v>
      </c>
      <c r="AV583" s="50">
        <f t="shared" ref="AV583:AV587" si="440">SUM(F583,L583,R583,X583,AD583,AJ583)</f>
        <v>-60565.86</v>
      </c>
      <c r="AW583" s="50"/>
      <c r="AX583" s="50">
        <f t="shared" ref="AX583:AX587" si="441">SUM(G583,M583,S583,Y583,AE583,AK583)</f>
        <v>-6957301.4299999988</v>
      </c>
      <c r="AY583" s="50">
        <f t="shared" ref="AY583:AY587" si="442">SUM(H583,N583,T583,Z583,AF583,AL583)</f>
        <v>9300000</v>
      </c>
      <c r="AZ583" s="50">
        <f t="shared" ref="AZ583:AZ587" si="443">AX583+AY583</f>
        <v>2342698.5700000012</v>
      </c>
      <c r="BA583" s="15">
        <f t="shared" si="390"/>
        <v>-5797.7511916666663</v>
      </c>
      <c r="BB583" s="15">
        <f t="shared" si="382"/>
        <v>-86078.602550000011</v>
      </c>
    </row>
    <row r="584" spans="2:55" s="58" customFormat="1" x14ac:dyDescent="0.3">
      <c r="B584" s="99">
        <f t="shared" si="384"/>
        <v>44980</v>
      </c>
      <c r="C584" s="44">
        <f t="shared" si="425"/>
        <v>-2613594.5699999994</v>
      </c>
      <c r="D584" s="45">
        <v>27852.86</v>
      </c>
      <c r="E584" s="45"/>
      <c r="F584" s="45">
        <v>-10309.6</v>
      </c>
      <c r="G584" s="45">
        <f t="shared" si="426"/>
        <v>-2596051.3099999996</v>
      </c>
      <c r="H584" s="44">
        <v>4300000</v>
      </c>
      <c r="I584" s="46">
        <f t="shared" si="427"/>
        <v>-4385445.3499999996</v>
      </c>
      <c r="J584" s="47"/>
      <c r="K584" s="47"/>
      <c r="L584" s="47">
        <v>-90398.620000000403</v>
      </c>
      <c r="M584" s="47">
        <f t="shared" si="428"/>
        <v>-4475843.97</v>
      </c>
      <c r="N584" s="46">
        <v>5000000</v>
      </c>
      <c r="O584" s="48">
        <f t="shared" si="429"/>
        <v>36778.950000000004</v>
      </c>
      <c r="P584" s="55"/>
      <c r="Q584" s="55"/>
      <c r="R584" s="55">
        <f>-1241.8-259.77-1423.9</f>
        <v>-2925.4700000000003</v>
      </c>
      <c r="S584" s="55">
        <f t="shared" si="430"/>
        <v>33853.480000000003</v>
      </c>
      <c r="T584" s="48"/>
      <c r="U584" s="49">
        <f t="shared" si="431"/>
        <v>90.120000000007707</v>
      </c>
      <c r="V584" s="51">
        <v>27576.13</v>
      </c>
      <c r="W584" s="51"/>
      <c r="X584" s="51"/>
      <c r="Y584" s="51">
        <f t="shared" si="432"/>
        <v>27666.250000000007</v>
      </c>
      <c r="Z584" s="52"/>
      <c r="AA584" s="53">
        <f t="shared" si="433"/>
        <v>4823.21</v>
      </c>
      <c r="AB584" s="54"/>
      <c r="AC584" s="54"/>
      <c r="AD584" s="54"/>
      <c r="AE584" s="54">
        <f t="shared" si="434"/>
        <v>4823.21</v>
      </c>
      <c r="AF584" s="53"/>
      <c r="AG584" s="53">
        <f t="shared" si="435"/>
        <v>46.209999999990686</v>
      </c>
      <c r="AH584" s="54"/>
      <c r="AI584" s="54"/>
      <c r="AJ584" s="54"/>
      <c r="AK584" s="54">
        <f t="shared" si="436"/>
        <v>46.209999999990686</v>
      </c>
      <c r="AL584" s="53"/>
      <c r="AM584" s="53">
        <f t="shared" si="401"/>
        <v>0</v>
      </c>
      <c r="AN584" s="54"/>
      <c r="AO584" s="54"/>
      <c r="AP584" s="54"/>
      <c r="AQ584" s="54">
        <f t="shared" si="402"/>
        <v>0</v>
      </c>
      <c r="AR584" s="53"/>
      <c r="AS584" s="50">
        <f t="shared" si="437"/>
        <v>-6957301.4299999988</v>
      </c>
      <c r="AT584" s="73">
        <f t="shared" si="438"/>
        <v>55428.990000000005</v>
      </c>
      <c r="AU584" s="50">
        <f t="shared" si="439"/>
        <v>0</v>
      </c>
      <c r="AV584" s="50">
        <f t="shared" si="440"/>
        <v>-103633.69000000041</v>
      </c>
      <c r="AW584" s="50"/>
      <c r="AX584" s="50">
        <f t="shared" si="441"/>
        <v>-7005506.129999999</v>
      </c>
      <c r="AY584" s="50">
        <f t="shared" si="442"/>
        <v>9300000</v>
      </c>
      <c r="AZ584" s="50">
        <f t="shared" si="443"/>
        <v>2294493.870000001</v>
      </c>
      <c r="BA584" s="15">
        <f t="shared" si="390"/>
        <v>-5837.9217749999998</v>
      </c>
      <c r="BB584" s="15">
        <f t="shared" si="382"/>
        <v>-91916.524325000006</v>
      </c>
    </row>
    <row r="585" spans="2:55" s="58" customFormat="1" x14ac:dyDescent="0.3">
      <c r="B585" s="99">
        <v>44981</v>
      </c>
      <c r="C585" s="44">
        <f t="shared" si="425"/>
        <v>-2596051.3099999996</v>
      </c>
      <c r="D585" s="45">
        <v>5000000</v>
      </c>
      <c r="E585" s="45"/>
      <c r="F585" s="45">
        <v>-732931.01</v>
      </c>
      <c r="G585" s="45">
        <f t="shared" si="426"/>
        <v>1671017.6800000004</v>
      </c>
      <c r="H585" s="44">
        <v>4300000</v>
      </c>
      <c r="I585" s="46">
        <f t="shared" si="427"/>
        <v>-4475843.97</v>
      </c>
      <c r="J585" s="47"/>
      <c r="K585" s="47">
        <v>27600</v>
      </c>
      <c r="L585" s="47">
        <v>-49254.970000000299</v>
      </c>
      <c r="M585" s="47">
        <f t="shared" si="428"/>
        <v>-4497498.9400000004</v>
      </c>
      <c r="N585" s="46">
        <v>5000000</v>
      </c>
      <c r="O585" s="48">
        <f t="shared" si="429"/>
        <v>33853.480000000003</v>
      </c>
      <c r="P585" s="55"/>
      <c r="Q585" s="55"/>
      <c r="R585" s="55"/>
      <c r="S585" s="55">
        <f t="shared" si="430"/>
        <v>33853.480000000003</v>
      </c>
      <c r="T585" s="48"/>
      <c r="U585" s="49">
        <f t="shared" si="431"/>
        <v>27666.250000000007</v>
      </c>
      <c r="V585" s="51"/>
      <c r="W585" s="51">
        <v>-27600</v>
      </c>
      <c r="X585" s="51">
        <v>-10</v>
      </c>
      <c r="Y585" s="51">
        <f t="shared" si="432"/>
        <v>56.250000000007276</v>
      </c>
      <c r="Z585" s="52"/>
      <c r="AA585" s="53">
        <f t="shared" si="433"/>
        <v>4823.21</v>
      </c>
      <c r="AB585" s="54"/>
      <c r="AC585" s="54"/>
      <c r="AD585" s="54"/>
      <c r="AE585" s="54">
        <f t="shared" si="434"/>
        <v>4823.21</v>
      </c>
      <c r="AF585" s="53"/>
      <c r="AG585" s="53">
        <f t="shared" si="435"/>
        <v>46.209999999990686</v>
      </c>
      <c r="AH585" s="54"/>
      <c r="AI585" s="54"/>
      <c r="AJ585" s="54"/>
      <c r="AK585" s="54">
        <f t="shared" si="436"/>
        <v>46.209999999990686</v>
      </c>
      <c r="AL585" s="53"/>
      <c r="AM585" s="53">
        <f t="shared" si="401"/>
        <v>0</v>
      </c>
      <c r="AN585" s="54"/>
      <c r="AO585" s="54"/>
      <c r="AP585" s="54"/>
      <c r="AQ585" s="54">
        <f t="shared" si="402"/>
        <v>0</v>
      </c>
      <c r="AR585" s="53"/>
      <c r="AS585" s="50">
        <f t="shared" si="437"/>
        <v>-7005506.129999999</v>
      </c>
      <c r="AT585" s="73">
        <f t="shared" si="438"/>
        <v>5000000</v>
      </c>
      <c r="AU585" s="50">
        <f t="shared" si="439"/>
        <v>0</v>
      </c>
      <c r="AV585" s="50">
        <f t="shared" si="440"/>
        <v>-782195.98000000033</v>
      </c>
      <c r="AW585" s="50"/>
      <c r="AX585" s="50">
        <f t="shared" si="441"/>
        <v>-2787702.11</v>
      </c>
      <c r="AY585" s="50">
        <f t="shared" si="442"/>
        <v>9300000</v>
      </c>
      <c r="AZ585" s="50">
        <f t="shared" si="443"/>
        <v>6512297.8900000006</v>
      </c>
      <c r="BA585" s="15">
        <f t="shared" si="390"/>
        <v>-2323.0850916666668</v>
      </c>
      <c r="BB585" s="15">
        <f t="shared" si="382"/>
        <v>-94239.609416666673</v>
      </c>
    </row>
    <row r="586" spans="2:55" s="58" customFormat="1" x14ac:dyDescent="0.3">
      <c r="B586" s="99">
        <f>B585+3</f>
        <v>44984</v>
      </c>
      <c r="C586" s="44">
        <f t="shared" ref="C586" si="444">G585</f>
        <v>1671017.6800000004</v>
      </c>
      <c r="D586" s="45">
        <v>1488728.7800000003</v>
      </c>
      <c r="E586" s="45">
        <v>-2200000</v>
      </c>
      <c r="F586" s="45">
        <v>-235404.980000001</v>
      </c>
      <c r="G586" s="45">
        <f t="shared" ref="G586" si="445">SUM(C586:F586)</f>
        <v>724341.47999999986</v>
      </c>
      <c r="H586" s="44">
        <v>4300000</v>
      </c>
      <c r="I586" s="46">
        <f t="shared" ref="I586" si="446">M585</f>
        <v>-4497498.9400000004</v>
      </c>
      <c r="J586" s="47">
        <v>468357.29000000004</v>
      </c>
      <c r="K586" s="47">
        <f>2440000</f>
        <v>2440000</v>
      </c>
      <c r="L586" s="47">
        <v>-62588.569999999498</v>
      </c>
      <c r="M586" s="47">
        <f t="shared" ref="M586" si="447">SUM(I586:L586)</f>
        <v>-1651730.22</v>
      </c>
      <c r="N586" s="46">
        <v>5000000</v>
      </c>
      <c r="O586" s="48">
        <f t="shared" ref="O586" si="448">S585</f>
        <v>33853.480000000003</v>
      </c>
      <c r="P586" s="55"/>
      <c r="Q586" s="55"/>
      <c r="R586" s="55">
        <f>-60.5-103</f>
        <v>-163.5</v>
      </c>
      <c r="S586" s="55">
        <f t="shared" ref="S586" si="449">SUM(O586:R586)</f>
        <v>33689.980000000003</v>
      </c>
      <c r="T586" s="48"/>
      <c r="U586" s="49">
        <f t="shared" ref="U586" si="450">Y585</f>
        <v>56.250000000007276</v>
      </c>
      <c r="V586" s="51"/>
      <c r="W586" s="51"/>
      <c r="X586" s="51"/>
      <c r="Y586" s="51">
        <f t="shared" ref="Y586" si="451">SUM(U586:X586)</f>
        <v>56.250000000007276</v>
      </c>
      <c r="Z586" s="52"/>
      <c r="AA586" s="53">
        <f t="shared" ref="AA586" si="452">AE585</f>
        <v>4823.21</v>
      </c>
      <c r="AB586" s="54"/>
      <c r="AC586" s="54">
        <f>238000-240000</f>
        <v>-2000</v>
      </c>
      <c r="AD586" s="54"/>
      <c r="AE586" s="54">
        <f t="shared" ref="AE586" si="453">SUM(AA586:AD586)</f>
        <v>2823.21</v>
      </c>
      <c r="AF586" s="53"/>
      <c r="AG586" s="53">
        <f t="shared" ref="AG586" si="454">AK585</f>
        <v>46.209999999990686</v>
      </c>
      <c r="AH586" s="54">
        <v>238091.16</v>
      </c>
      <c r="AI586" s="54">
        <v>-238000</v>
      </c>
      <c r="AJ586" s="54">
        <v>-70</v>
      </c>
      <c r="AK586" s="54">
        <f t="shared" si="436"/>
        <v>67.369999999995343</v>
      </c>
      <c r="AL586" s="53"/>
      <c r="AM586" s="53">
        <f t="shared" si="401"/>
        <v>0</v>
      </c>
      <c r="AN586" s="54"/>
      <c r="AO586" s="54"/>
      <c r="AP586" s="54"/>
      <c r="AQ586" s="54">
        <f t="shared" si="402"/>
        <v>0</v>
      </c>
      <c r="AR586" s="53"/>
      <c r="AS586" s="50">
        <f t="shared" si="437"/>
        <v>-2787702.11</v>
      </c>
      <c r="AT586" s="73">
        <f t="shared" si="438"/>
        <v>2195177.2300000004</v>
      </c>
      <c r="AU586" s="50">
        <f t="shared" si="439"/>
        <v>0</v>
      </c>
      <c r="AV586" s="50">
        <f t="shared" si="440"/>
        <v>-298227.05000000051</v>
      </c>
      <c r="AW586" s="50"/>
      <c r="AX586" s="50">
        <f t="shared" si="441"/>
        <v>-890751.93000000017</v>
      </c>
      <c r="AY586" s="50">
        <f t="shared" si="442"/>
        <v>9300000</v>
      </c>
      <c r="AZ586" s="50">
        <f t="shared" si="443"/>
        <v>8409248.0700000003</v>
      </c>
      <c r="BA586" s="15">
        <f t="shared" si="390"/>
        <v>-742.29327500000022</v>
      </c>
      <c r="BB586" s="15">
        <f t="shared" si="382"/>
        <v>-94981.902691666677</v>
      </c>
    </row>
    <row r="587" spans="2:55" s="58" customFormat="1" x14ac:dyDescent="0.3">
      <c r="B587" s="99">
        <f t="shared" si="384"/>
        <v>44985</v>
      </c>
      <c r="C587" s="44">
        <f t="shared" si="425"/>
        <v>724341.47999999986</v>
      </c>
      <c r="D587" s="45">
        <f>34252.53+45942</f>
        <v>80194.53</v>
      </c>
      <c r="E587" s="45"/>
      <c r="F587" s="45">
        <v>-74285.6899999999</v>
      </c>
      <c r="G587" s="45">
        <f t="shared" si="426"/>
        <v>730250.32</v>
      </c>
      <c r="H587" s="44">
        <v>4300000</v>
      </c>
      <c r="I587" s="46">
        <f t="shared" si="427"/>
        <v>-1651730.22</v>
      </c>
      <c r="J587" s="47"/>
      <c r="K587" s="47">
        <v>160000</v>
      </c>
      <c r="L587" s="47">
        <v>-93910.710000000094</v>
      </c>
      <c r="M587" s="47">
        <f t="shared" si="428"/>
        <v>-1585640.9300000002</v>
      </c>
      <c r="N587" s="46">
        <v>5000000</v>
      </c>
      <c r="O587" s="48">
        <f t="shared" si="429"/>
        <v>33689.980000000003</v>
      </c>
      <c r="P587" s="55">
        <v>71326</v>
      </c>
      <c r="Q587" s="55">
        <f>26900-60000</f>
        <v>-33100</v>
      </c>
      <c r="R587" s="55"/>
      <c r="S587" s="55">
        <f t="shared" si="430"/>
        <v>71915.98000000001</v>
      </c>
      <c r="T587" s="48"/>
      <c r="U587" s="49">
        <f t="shared" si="431"/>
        <v>56.250000000007276</v>
      </c>
      <c r="V587" s="51">
        <v>126885.2</v>
      </c>
      <c r="W587" s="51">
        <f>-26900-100000</f>
        <v>-126900</v>
      </c>
      <c r="X587" s="51">
        <f>-1.4-10</f>
        <v>-11.4</v>
      </c>
      <c r="Y587" s="51">
        <f t="shared" si="432"/>
        <v>30.050000000011643</v>
      </c>
      <c r="Z587" s="52"/>
      <c r="AA587" s="53">
        <f t="shared" si="433"/>
        <v>2823.21</v>
      </c>
      <c r="AB587" s="54"/>
      <c r="AC587" s="54"/>
      <c r="AD587" s="54">
        <v>-1968.6</v>
      </c>
      <c r="AE587" s="54">
        <f t="shared" si="434"/>
        <v>854.61000000000013</v>
      </c>
      <c r="AF587" s="53"/>
      <c r="AG587" s="53">
        <f t="shared" si="435"/>
        <v>67.369999999995343</v>
      </c>
      <c r="AH587" s="54"/>
      <c r="AI587" s="54"/>
      <c r="AJ587" s="54"/>
      <c r="AK587" s="54">
        <f t="shared" si="436"/>
        <v>67.369999999995343</v>
      </c>
      <c r="AL587" s="53"/>
      <c r="AM587" s="53">
        <f t="shared" si="401"/>
        <v>0</v>
      </c>
      <c r="AN587" s="54"/>
      <c r="AO587" s="54"/>
      <c r="AP587" s="54"/>
      <c r="AQ587" s="54">
        <f t="shared" si="402"/>
        <v>0</v>
      </c>
      <c r="AR587" s="53"/>
      <c r="AS587" s="50">
        <f t="shared" si="437"/>
        <v>-890751.93000000017</v>
      </c>
      <c r="AT587" s="73">
        <f t="shared" si="438"/>
        <v>278405.73</v>
      </c>
      <c r="AU587" s="50">
        <f t="shared" si="439"/>
        <v>0</v>
      </c>
      <c r="AV587" s="50">
        <f t="shared" si="440"/>
        <v>-170176.4</v>
      </c>
      <c r="AW587" s="50"/>
      <c r="AX587" s="50">
        <f t="shared" si="441"/>
        <v>-782522.60000000021</v>
      </c>
      <c r="AY587" s="50">
        <f t="shared" si="442"/>
        <v>9300000</v>
      </c>
      <c r="AZ587" s="50">
        <f t="shared" si="443"/>
        <v>8517477.4000000004</v>
      </c>
      <c r="BA587" s="82">
        <f t="shared" si="390"/>
        <v>-652.1021666666669</v>
      </c>
      <c r="BB587" s="82">
        <f t="shared" si="382"/>
        <v>-95634.004858333341</v>
      </c>
    </row>
    <row r="588" spans="2:55" s="58" customFormat="1" x14ac:dyDescent="0.3">
      <c r="B588" s="99">
        <f t="shared" si="384"/>
        <v>44986</v>
      </c>
      <c r="C588" s="44">
        <f t="shared" si="409"/>
        <v>730250.32</v>
      </c>
      <c r="D588" s="45">
        <v>90550.31</v>
      </c>
      <c r="E588" s="45"/>
      <c r="F588" s="45">
        <v>-35878.579999999798</v>
      </c>
      <c r="G588" s="45">
        <f t="shared" si="385"/>
        <v>784922.05</v>
      </c>
      <c r="H588" s="44">
        <v>4300000</v>
      </c>
      <c r="I588" s="46">
        <f t="shared" si="410"/>
        <v>-1585640.9300000002</v>
      </c>
      <c r="J588" s="47">
        <v>9291.15</v>
      </c>
      <c r="K588" s="47">
        <v>71000</v>
      </c>
      <c r="L588" s="47">
        <v>-156865.18</v>
      </c>
      <c r="M588" s="47">
        <f t="shared" si="411"/>
        <v>-1662214.9600000002</v>
      </c>
      <c r="N588" s="46">
        <v>5000000</v>
      </c>
      <c r="O588" s="48">
        <f t="shared" si="412"/>
        <v>71915.98000000001</v>
      </c>
      <c r="P588" s="55"/>
      <c r="Q588" s="55">
        <v>-71000</v>
      </c>
      <c r="R588" s="55"/>
      <c r="S588" s="55">
        <f t="shared" si="413"/>
        <v>915.98000000001048</v>
      </c>
      <c r="T588" s="48"/>
      <c r="U588" s="49">
        <f t="shared" si="414"/>
        <v>30.050000000011643</v>
      </c>
      <c r="V588" s="51"/>
      <c r="W588" s="51"/>
      <c r="X588" s="51"/>
      <c r="Y588" s="51">
        <f t="shared" si="415"/>
        <v>30.050000000011643</v>
      </c>
      <c r="Z588" s="52"/>
      <c r="AA588" s="53">
        <f t="shared" si="416"/>
        <v>854.61000000000013</v>
      </c>
      <c r="AB588" s="54"/>
      <c r="AC588" s="54"/>
      <c r="AD588" s="54"/>
      <c r="AE588" s="54">
        <f t="shared" si="417"/>
        <v>854.61000000000013</v>
      </c>
      <c r="AF588" s="53"/>
      <c r="AG588" s="53">
        <f t="shared" si="395"/>
        <v>67.369999999995343</v>
      </c>
      <c r="AH588" s="54"/>
      <c r="AI588" s="54"/>
      <c r="AJ588" s="54"/>
      <c r="AK588" s="54">
        <f t="shared" si="418"/>
        <v>67.369999999995343</v>
      </c>
      <c r="AL588" s="53"/>
      <c r="AM588" s="53">
        <f t="shared" si="401"/>
        <v>0</v>
      </c>
      <c r="AN588" s="54"/>
      <c r="AO588" s="54"/>
      <c r="AP588" s="54"/>
      <c r="AQ588" s="54">
        <f t="shared" si="402"/>
        <v>0</v>
      </c>
      <c r="AR588" s="53"/>
      <c r="AS588" s="50">
        <f t="shared" si="420"/>
        <v>-782522.60000000021</v>
      </c>
      <c r="AT588" s="73">
        <f t="shared" ref="AT588:AT649" si="455">SUM(D588,J588,P588,V588,AB588,AH588)</f>
        <v>99841.459999999992</v>
      </c>
      <c r="AU588" s="50">
        <f t="shared" si="396"/>
        <v>0</v>
      </c>
      <c r="AV588" s="50">
        <f t="shared" ref="AV588:AV649" si="456">SUM(F588,L588,R588,X588,AD588,AJ588)</f>
        <v>-192743.75999999978</v>
      </c>
      <c r="AW588" s="50"/>
      <c r="AX588" s="50">
        <f t="shared" si="404"/>
        <v>-875424.90000000014</v>
      </c>
      <c r="AY588" s="50">
        <f t="shared" si="405"/>
        <v>9300000</v>
      </c>
      <c r="AZ588" s="50">
        <f t="shared" si="406"/>
        <v>8424575.0999999996</v>
      </c>
      <c r="BA588" s="15">
        <f t="shared" si="390"/>
        <v>-729.52075000000013</v>
      </c>
      <c r="BB588" s="15">
        <f>BA588</f>
        <v>-729.52075000000013</v>
      </c>
      <c r="BC588" s="58">
        <f>AVERAGE(AX588)</f>
        <v>-875424.90000000014</v>
      </c>
    </row>
    <row r="589" spans="2:55" s="58" customFormat="1" x14ac:dyDescent="0.3">
      <c r="B589" s="99">
        <f t="shared" si="384"/>
        <v>44987</v>
      </c>
      <c r="C589" s="44">
        <f t="shared" si="409"/>
        <v>784922.05</v>
      </c>
      <c r="D589" s="45">
        <v>306111.34000000003</v>
      </c>
      <c r="E589" s="45">
        <v>-800000</v>
      </c>
      <c r="F589" s="45">
        <v>-242059.68</v>
      </c>
      <c r="G589" s="45">
        <f t="shared" si="385"/>
        <v>48973.710000000137</v>
      </c>
      <c r="H589" s="44">
        <v>4300000</v>
      </c>
      <c r="I589" s="46">
        <f t="shared" si="410"/>
        <v>-1662214.9600000002</v>
      </c>
      <c r="J589" s="47">
        <v>84462.18</v>
      </c>
      <c r="K589" s="47">
        <v>800000</v>
      </c>
      <c r="L589" s="47">
        <v>-16125.0199999997</v>
      </c>
      <c r="M589" s="47">
        <f t="shared" si="411"/>
        <v>-793877.79999999993</v>
      </c>
      <c r="N589" s="46">
        <v>5000000</v>
      </c>
      <c r="O589" s="48">
        <f t="shared" si="412"/>
        <v>915.98000000001048</v>
      </c>
      <c r="P589" s="55">
        <v>810150.87</v>
      </c>
      <c r="Q589" s="55"/>
      <c r="R589" s="55"/>
      <c r="S589" s="55">
        <f t="shared" si="413"/>
        <v>811066.85</v>
      </c>
      <c r="T589" s="48"/>
      <c r="U589" s="49">
        <f t="shared" si="414"/>
        <v>30.050000000011643</v>
      </c>
      <c r="V589" s="51"/>
      <c r="W589" s="51"/>
      <c r="X589" s="51">
        <v>-30.05</v>
      </c>
      <c r="Y589" s="51">
        <f t="shared" si="415"/>
        <v>1.1642242725429242E-11</v>
      </c>
      <c r="Z589" s="52"/>
      <c r="AA589" s="53">
        <f t="shared" si="416"/>
        <v>854.61000000000013</v>
      </c>
      <c r="AB589" s="54"/>
      <c r="AC589" s="54"/>
      <c r="AD589" s="54"/>
      <c r="AE589" s="54">
        <f t="shared" si="417"/>
        <v>854.61000000000013</v>
      </c>
      <c r="AF589" s="53"/>
      <c r="AG589" s="53">
        <f t="shared" si="395"/>
        <v>67.369999999995343</v>
      </c>
      <c r="AH589" s="54"/>
      <c r="AI589" s="54"/>
      <c r="AJ589" s="54"/>
      <c r="AK589" s="54">
        <f t="shared" si="418"/>
        <v>67.369999999995343</v>
      </c>
      <c r="AL589" s="53"/>
      <c r="AM589" s="53">
        <f t="shared" si="401"/>
        <v>0</v>
      </c>
      <c r="AN589" s="54"/>
      <c r="AO589" s="54"/>
      <c r="AP589" s="54"/>
      <c r="AQ589" s="54">
        <f t="shared" si="402"/>
        <v>0</v>
      </c>
      <c r="AR589" s="53"/>
      <c r="AS589" s="50">
        <f t="shared" si="420"/>
        <v>-875424.90000000014</v>
      </c>
      <c r="AT589" s="73">
        <f t="shared" si="455"/>
        <v>1200724.3900000001</v>
      </c>
      <c r="AU589" s="50">
        <f t="shared" si="396"/>
        <v>0</v>
      </c>
      <c r="AV589" s="50">
        <f t="shared" si="456"/>
        <v>-258214.74999999968</v>
      </c>
      <c r="AW589" s="50"/>
      <c r="AX589" s="50">
        <f t="shared" si="404"/>
        <v>67084.740000000136</v>
      </c>
      <c r="AY589" s="50">
        <f t="shared" si="405"/>
        <v>9300000</v>
      </c>
      <c r="AZ589" s="50">
        <f t="shared" si="406"/>
        <v>9367084.7400000002</v>
      </c>
      <c r="BA589" s="15">
        <f t="shared" si="390"/>
        <v>55.903950000000115</v>
      </c>
      <c r="BB589" s="15">
        <f t="shared" si="382"/>
        <v>-673.61680000000001</v>
      </c>
      <c r="BC589" s="58">
        <f>AVERAGE(AX588:AX589)</f>
        <v>-404170.08</v>
      </c>
    </row>
    <row r="590" spans="2:55" s="58" customFormat="1" x14ac:dyDescent="0.3">
      <c r="B590" s="99">
        <f t="shared" si="384"/>
        <v>44988</v>
      </c>
      <c r="C590" s="44">
        <f t="shared" si="409"/>
        <v>48973.710000000137</v>
      </c>
      <c r="D590" s="45"/>
      <c r="E590" s="45"/>
      <c r="F590" s="45">
        <v>-14255.6500000001</v>
      </c>
      <c r="G590" s="45">
        <f t="shared" si="385"/>
        <v>34718.060000000041</v>
      </c>
      <c r="H590" s="44">
        <v>4300000</v>
      </c>
      <c r="I590" s="46">
        <f t="shared" si="410"/>
        <v>-793877.79999999993</v>
      </c>
      <c r="J590" s="47"/>
      <c r="K590" s="47">
        <v>846000</v>
      </c>
      <c r="L590" s="47">
        <v>-2316156.19</v>
      </c>
      <c r="M590" s="47">
        <f t="shared" si="411"/>
        <v>-2264033.9899999998</v>
      </c>
      <c r="N590" s="46">
        <v>5000000</v>
      </c>
      <c r="O590" s="48">
        <f t="shared" si="412"/>
        <v>811066.85</v>
      </c>
      <c r="P590" s="55">
        <v>35707.68</v>
      </c>
      <c r="Q590" s="55">
        <f>-846000-100</f>
        <v>-846100</v>
      </c>
      <c r="R590" s="55">
        <f>-11.5</f>
        <v>-11.5</v>
      </c>
      <c r="S590" s="55">
        <f t="shared" si="413"/>
        <v>663.03000000002794</v>
      </c>
      <c r="T590" s="48"/>
      <c r="U590" s="49">
        <f t="shared" si="414"/>
        <v>1.1642242725429242E-11</v>
      </c>
      <c r="V590" s="51"/>
      <c r="W590" s="51">
        <v>100</v>
      </c>
      <c r="X590" s="51">
        <v>-32.450000000000003</v>
      </c>
      <c r="Y590" s="51">
        <f t="shared" si="415"/>
        <v>67.550000000011636</v>
      </c>
      <c r="Z590" s="52"/>
      <c r="AA590" s="53">
        <f t="shared" si="416"/>
        <v>854.61000000000013</v>
      </c>
      <c r="AB590" s="54"/>
      <c r="AC590" s="54"/>
      <c r="AD590" s="54"/>
      <c r="AE590" s="54">
        <f t="shared" si="417"/>
        <v>854.61000000000013</v>
      </c>
      <c r="AF590" s="53"/>
      <c r="AG590" s="53">
        <f t="shared" si="395"/>
        <v>67.369999999995343</v>
      </c>
      <c r="AH590" s="54"/>
      <c r="AI590" s="54"/>
      <c r="AJ590" s="54"/>
      <c r="AK590" s="54">
        <f t="shared" si="418"/>
        <v>67.369999999995343</v>
      </c>
      <c r="AL590" s="53"/>
      <c r="AM590" s="53">
        <f t="shared" si="401"/>
        <v>0</v>
      </c>
      <c r="AN590" s="54"/>
      <c r="AO590" s="54"/>
      <c r="AP590" s="54"/>
      <c r="AQ590" s="54">
        <f t="shared" si="402"/>
        <v>0</v>
      </c>
      <c r="AR590" s="53"/>
      <c r="AS590" s="50">
        <f t="shared" si="420"/>
        <v>67084.740000000136</v>
      </c>
      <c r="AT590" s="73">
        <f t="shared" si="455"/>
        <v>35707.68</v>
      </c>
      <c r="AU590" s="50">
        <f t="shared" si="396"/>
        <v>0</v>
      </c>
      <c r="AV590" s="50">
        <f t="shared" si="456"/>
        <v>-2330455.79</v>
      </c>
      <c r="AW590" s="50"/>
      <c r="AX590" s="50">
        <f t="shared" si="404"/>
        <v>-2227663.3699999996</v>
      </c>
      <c r="AY590" s="50">
        <f t="shared" si="405"/>
        <v>9300000</v>
      </c>
      <c r="AZ590" s="50">
        <f t="shared" si="406"/>
        <v>7072336.6300000008</v>
      </c>
      <c r="BA590" s="15">
        <f t="shared" si="390"/>
        <v>-1856.3861416666664</v>
      </c>
      <c r="BB590" s="15">
        <f t="shared" si="382"/>
        <v>-2530.0029416666666</v>
      </c>
      <c r="BC590" s="58">
        <f>AVERAGE(AX588:AX590)</f>
        <v>-1012001.1766666666</v>
      </c>
    </row>
    <row r="591" spans="2:55" s="58" customFormat="1" x14ac:dyDescent="0.3">
      <c r="B591" s="99">
        <f t="shared" ref="B591" si="457">B590+3</f>
        <v>44991</v>
      </c>
      <c r="C591" s="44">
        <f t="shared" si="409"/>
        <v>34718.060000000041</v>
      </c>
      <c r="D591" s="45">
        <f>32706.72+43986.01</f>
        <v>76692.73000000001</v>
      </c>
      <c r="E591" s="45"/>
      <c r="F591" s="45">
        <v>-42303.390000000101</v>
      </c>
      <c r="G591" s="45">
        <f t="shared" si="385"/>
        <v>69107.399999999951</v>
      </c>
      <c r="H591" s="44">
        <v>4300000</v>
      </c>
      <c r="I591" s="46">
        <f t="shared" si="410"/>
        <v>-2264033.9899999998</v>
      </c>
      <c r="J591" s="47">
        <v>229670.97</v>
      </c>
      <c r="K591" s="47">
        <v>-220000</v>
      </c>
      <c r="L591" s="47">
        <f>-1283363.91+210000</f>
        <v>-1073363.9099999999</v>
      </c>
      <c r="M591" s="47">
        <f t="shared" si="411"/>
        <v>-3327726.9299999997</v>
      </c>
      <c r="N591" s="46">
        <v>5000000</v>
      </c>
      <c r="O591" s="48">
        <f t="shared" si="412"/>
        <v>663.03000000002794</v>
      </c>
      <c r="P591" s="55">
        <f>198.08+315.42</f>
        <v>513.5</v>
      </c>
      <c r="Q591" s="55"/>
      <c r="R591" s="55"/>
      <c r="S591" s="55">
        <f t="shared" si="413"/>
        <v>1176.5300000000279</v>
      </c>
      <c r="T591" s="48"/>
      <c r="U591" s="49">
        <f t="shared" si="414"/>
        <v>67.550000000011636</v>
      </c>
      <c r="V591" s="51"/>
      <c r="W591" s="51"/>
      <c r="X591" s="51"/>
      <c r="Y591" s="51">
        <f t="shared" si="415"/>
        <v>67.550000000011636</v>
      </c>
      <c r="Z591" s="52"/>
      <c r="AA591" s="53">
        <f t="shared" si="416"/>
        <v>854.61000000000013</v>
      </c>
      <c r="AB591" s="54"/>
      <c r="AC591" s="54">
        <v>220000</v>
      </c>
      <c r="AD591" s="54">
        <v>-214897.51</v>
      </c>
      <c r="AE591" s="54">
        <f t="shared" si="417"/>
        <v>5957.0999999999767</v>
      </c>
      <c r="AF591" s="53"/>
      <c r="AG591" s="53">
        <f t="shared" si="395"/>
        <v>67.369999999995343</v>
      </c>
      <c r="AH591" s="54"/>
      <c r="AI591" s="54"/>
      <c r="AJ591" s="54"/>
      <c r="AK591" s="54">
        <f t="shared" si="418"/>
        <v>67.369999999995343</v>
      </c>
      <c r="AL591" s="53"/>
      <c r="AM591" s="53">
        <f t="shared" si="401"/>
        <v>0</v>
      </c>
      <c r="AN591" s="54"/>
      <c r="AO591" s="54"/>
      <c r="AP591" s="54"/>
      <c r="AQ591" s="54">
        <f t="shared" si="402"/>
        <v>0</v>
      </c>
      <c r="AR591" s="53"/>
      <c r="AS591" s="50">
        <f t="shared" si="420"/>
        <v>-2227663.3699999996</v>
      </c>
      <c r="AT591" s="73">
        <f t="shared" si="455"/>
        <v>306877.2</v>
      </c>
      <c r="AU591" s="50">
        <f t="shared" si="396"/>
        <v>0</v>
      </c>
      <c r="AV591" s="50">
        <f t="shared" si="456"/>
        <v>-1330564.81</v>
      </c>
      <c r="AW591" s="50"/>
      <c r="AX591" s="50">
        <f t="shared" si="404"/>
        <v>-3251350.98</v>
      </c>
      <c r="AY591" s="50">
        <f t="shared" si="405"/>
        <v>9300000</v>
      </c>
      <c r="AZ591" s="50">
        <f t="shared" si="406"/>
        <v>6048649.0199999996</v>
      </c>
      <c r="BA591" s="15">
        <f t="shared" si="390"/>
        <v>-2709.4591500000001</v>
      </c>
      <c r="BB591" s="15">
        <f t="shared" ref="BB591:BB608" si="458">BA591+BB590</f>
        <v>-5239.4620916666663</v>
      </c>
      <c r="BC591" s="58">
        <f>AVERAGE(AX588:AX591)</f>
        <v>-1571838.6274999999</v>
      </c>
    </row>
    <row r="592" spans="2:55" s="58" customFormat="1" x14ac:dyDescent="0.3">
      <c r="B592" s="99">
        <f t="shared" ref="B592" si="459">B591+1</f>
        <v>44992</v>
      </c>
      <c r="C592" s="44">
        <f t="shared" si="409"/>
        <v>69107.399999999951</v>
      </c>
      <c r="D592" s="45"/>
      <c r="E592" s="45"/>
      <c r="F592" s="45">
        <f>-72043.06+34390.13</f>
        <v>-37652.93</v>
      </c>
      <c r="G592" s="45">
        <f t="shared" si="385"/>
        <v>31454.46999999995</v>
      </c>
      <c r="H592" s="44">
        <v>4300000</v>
      </c>
      <c r="I592" s="46">
        <f t="shared" si="410"/>
        <v>-3327726.9299999997</v>
      </c>
      <c r="J592" s="47">
        <v>276319.93999999994</v>
      </c>
      <c r="K592" s="47">
        <v>681000</v>
      </c>
      <c r="L592" s="47">
        <v>-548571.18999999994</v>
      </c>
      <c r="M592" s="47">
        <f t="shared" si="411"/>
        <v>-2918978.1799999997</v>
      </c>
      <c r="N592" s="46">
        <v>5000000</v>
      </c>
      <c r="O592" s="48">
        <f t="shared" si="412"/>
        <v>1176.5300000000279</v>
      </c>
      <c r="P592" s="55"/>
      <c r="Q592" s="55">
        <f>680800-681000</f>
        <v>-200</v>
      </c>
      <c r="R592" s="55">
        <v>-11.5</v>
      </c>
      <c r="S592" s="55">
        <f t="shared" si="413"/>
        <v>965.03000000002794</v>
      </c>
      <c r="T592" s="48"/>
      <c r="U592" s="49">
        <f t="shared" si="414"/>
        <v>67.550000000011636</v>
      </c>
      <c r="V592" s="51">
        <v>680783.04</v>
      </c>
      <c r="W592" s="51">
        <v>-680800</v>
      </c>
      <c r="X592" s="51">
        <v>-1.4</v>
      </c>
      <c r="Y592" s="51">
        <f t="shared" si="415"/>
        <v>49.19000000008382</v>
      </c>
      <c r="Z592" s="52"/>
      <c r="AA592" s="53">
        <f t="shared" si="416"/>
        <v>5957.0999999999767</v>
      </c>
      <c r="AB592" s="54"/>
      <c r="AC592" s="54"/>
      <c r="AD592" s="54"/>
      <c r="AE592" s="54">
        <f t="shared" si="417"/>
        <v>5957.0999999999767</v>
      </c>
      <c r="AF592" s="53"/>
      <c r="AG592" s="53">
        <f t="shared" si="395"/>
        <v>67.369999999995343</v>
      </c>
      <c r="AH592" s="54"/>
      <c r="AI592" s="54"/>
      <c r="AJ592" s="54"/>
      <c r="AK592" s="54">
        <f t="shared" si="418"/>
        <v>67.369999999995343</v>
      </c>
      <c r="AL592" s="53"/>
      <c r="AM592" s="53">
        <f t="shared" si="401"/>
        <v>0</v>
      </c>
      <c r="AN592" s="54"/>
      <c r="AO592" s="54"/>
      <c r="AP592" s="54"/>
      <c r="AQ592" s="54">
        <f t="shared" si="402"/>
        <v>0</v>
      </c>
      <c r="AR592" s="53"/>
      <c r="AS592" s="50">
        <f t="shared" si="420"/>
        <v>-3251350.98</v>
      </c>
      <c r="AT592" s="73">
        <f t="shared" si="455"/>
        <v>957102.98</v>
      </c>
      <c r="AU592" s="50">
        <f t="shared" si="396"/>
        <v>0</v>
      </c>
      <c r="AV592" s="50">
        <f t="shared" si="456"/>
        <v>-586237.02</v>
      </c>
      <c r="AW592" s="50"/>
      <c r="AX592" s="50">
        <f t="shared" si="404"/>
        <v>-2880485.0199999996</v>
      </c>
      <c r="AY592" s="50">
        <f t="shared" si="405"/>
        <v>9300000</v>
      </c>
      <c r="AZ592" s="50">
        <f t="shared" si="406"/>
        <v>6419514.9800000004</v>
      </c>
      <c r="BA592" s="15">
        <f t="shared" si="390"/>
        <v>-2400.4041833333331</v>
      </c>
      <c r="BB592" s="15">
        <f t="shared" si="458"/>
        <v>-7639.8662749999994</v>
      </c>
      <c r="BC592" s="58">
        <f>AVERAGE(AX591:AX592)</f>
        <v>-3065918</v>
      </c>
    </row>
    <row r="593" spans="2:55" s="58" customFormat="1" x14ac:dyDescent="0.3">
      <c r="B593" s="99">
        <f t="shared" si="384"/>
        <v>44993</v>
      </c>
      <c r="C593" s="44">
        <f t="shared" si="409"/>
        <v>31454.46999999995</v>
      </c>
      <c r="D593" s="45">
        <v>276374.49</v>
      </c>
      <c r="E593" s="45"/>
      <c r="F593" s="45">
        <v>-946.86</v>
      </c>
      <c r="G593" s="45">
        <f t="shared" si="385"/>
        <v>306882.09999999998</v>
      </c>
      <c r="H593" s="44">
        <v>4300000</v>
      </c>
      <c r="I593" s="46">
        <f t="shared" si="410"/>
        <v>-2918978.1799999997</v>
      </c>
      <c r="J593" s="47">
        <v>203213.37</v>
      </c>
      <c r="K593" s="47">
        <v>-2500</v>
      </c>
      <c r="L593" s="47">
        <v>-146643.65</v>
      </c>
      <c r="M593" s="47">
        <f t="shared" si="411"/>
        <v>-2864908.4599999995</v>
      </c>
      <c r="N593" s="46">
        <v>5000000</v>
      </c>
      <c r="O593" s="48">
        <f t="shared" si="412"/>
        <v>965.03000000002794</v>
      </c>
      <c r="P593" s="55"/>
      <c r="Q593" s="55">
        <v>2500</v>
      </c>
      <c r="R593" s="55">
        <v>-2520.15</v>
      </c>
      <c r="S593" s="55">
        <f t="shared" si="413"/>
        <v>944.88000000002785</v>
      </c>
      <c r="T593" s="48"/>
      <c r="U593" s="49">
        <f t="shared" si="414"/>
        <v>49.19000000008382</v>
      </c>
      <c r="V593" s="51"/>
      <c r="W593" s="51"/>
      <c r="X593" s="51"/>
      <c r="Y593" s="51">
        <f t="shared" si="415"/>
        <v>49.19000000008382</v>
      </c>
      <c r="Z593" s="52"/>
      <c r="AA593" s="53">
        <f t="shared" si="416"/>
        <v>5957.0999999999767</v>
      </c>
      <c r="AB593" s="54"/>
      <c r="AC593" s="54"/>
      <c r="AD593" s="54"/>
      <c r="AE593" s="54">
        <f t="shared" si="417"/>
        <v>5957.0999999999767</v>
      </c>
      <c r="AF593" s="53"/>
      <c r="AG593" s="53">
        <f t="shared" si="395"/>
        <v>67.369999999995343</v>
      </c>
      <c r="AH593" s="54"/>
      <c r="AI593" s="54"/>
      <c r="AJ593" s="54"/>
      <c r="AK593" s="54">
        <f t="shared" si="418"/>
        <v>67.369999999995343</v>
      </c>
      <c r="AL593" s="53"/>
      <c r="AM593" s="53">
        <f t="shared" si="401"/>
        <v>0</v>
      </c>
      <c r="AN593" s="54"/>
      <c r="AO593" s="54"/>
      <c r="AP593" s="54"/>
      <c r="AQ593" s="54">
        <f t="shared" si="402"/>
        <v>0</v>
      </c>
      <c r="AR593" s="53"/>
      <c r="AS593" s="50">
        <f t="shared" si="420"/>
        <v>-2880485.0199999996</v>
      </c>
      <c r="AT593" s="73">
        <f t="shared" si="455"/>
        <v>479587.86</v>
      </c>
      <c r="AU593" s="50">
        <f t="shared" si="396"/>
        <v>0</v>
      </c>
      <c r="AV593" s="50">
        <f t="shared" si="456"/>
        <v>-150110.65999999997</v>
      </c>
      <c r="AW593" s="50"/>
      <c r="AX593" s="50">
        <f t="shared" si="404"/>
        <v>-2551007.8199999994</v>
      </c>
      <c r="AY593" s="50">
        <f t="shared" si="405"/>
        <v>9300000</v>
      </c>
      <c r="AZ593" s="50">
        <f t="shared" si="406"/>
        <v>6748992.1800000006</v>
      </c>
      <c r="BA593" s="15">
        <f t="shared" si="390"/>
        <v>-2125.8398499999994</v>
      </c>
      <c r="BB593" s="15">
        <f t="shared" si="458"/>
        <v>-9765.7061249999988</v>
      </c>
      <c r="BC593" s="58">
        <f>AVERAGE(AX588:AX593)</f>
        <v>-1953141.2249999996</v>
      </c>
    </row>
    <row r="594" spans="2:55" s="58" customFormat="1" x14ac:dyDescent="0.3">
      <c r="B594" s="99">
        <f t="shared" si="384"/>
        <v>44994</v>
      </c>
      <c r="C594" s="44">
        <f t="shared" si="409"/>
        <v>306882.09999999998</v>
      </c>
      <c r="D594" s="45">
        <v>61167.39</v>
      </c>
      <c r="E594" s="45"/>
      <c r="F594" s="45">
        <v>-39</v>
      </c>
      <c r="G594" s="45">
        <f t="shared" si="385"/>
        <v>368010.49</v>
      </c>
      <c r="H594" s="44">
        <v>4300000</v>
      </c>
      <c r="I594" s="46">
        <f t="shared" si="410"/>
        <v>-2864908.4599999995</v>
      </c>
      <c r="J594" s="47">
        <f>112777.2+3845.8</f>
        <v>116623</v>
      </c>
      <c r="K594" s="47"/>
      <c r="L594" s="47">
        <v>-54095.510000000402</v>
      </c>
      <c r="M594" s="47">
        <f t="shared" si="411"/>
        <v>-2802380.9699999997</v>
      </c>
      <c r="N594" s="46">
        <v>5000000</v>
      </c>
      <c r="O594" s="48">
        <f t="shared" si="412"/>
        <v>944.88000000002785</v>
      </c>
      <c r="P594" s="55">
        <f>143.36+10.18</f>
        <v>153.54000000000002</v>
      </c>
      <c r="Q594" s="55"/>
      <c r="R594" s="55"/>
      <c r="S594" s="55">
        <f t="shared" si="413"/>
        <v>1098.4200000000278</v>
      </c>
      <c r="T594" s="48"/>
      <c r="U594" s="49">
        <f t="shared" si="414"/>
        <v>49.19000000008382</v>
      </c>
      <c r="V594" s="51"/>
      <c r="W594" s="51"/>
      <c r="X594" s="51"/>
      <c r="Y594" s="51">
        <f t="shared" si="415"/>
        <v>49.19000000008382</v>
      </c>
      <c r="Z594" s="52"/>
      <c r="AA594" s="53">
        <f t="shared" si="416"/>
        <v>5957.0999999999767</v>
      </c>
      <c r="AB594" s="54"/>
      <c r="AC594" s="54"/>
      <c r="AD594" s="54"/>
      <c r="AE594" s="54">
        <f t="shared" si="417"/>
        <v>5957.0999999999767</v>
      </c>
      <c r="AF594" s="53"/>
      <c r="AG594" s="53">
        <f t="shared" si="395"/>
        <v>67.369999999995343</v>
      </c>
      <c r="AH594" s="54"/>
      <c r="AI594" s="54"/>
      <c r="AJ594" s="54"/>
      <c r="AK594" s="54">
        <f t="shared" si="418"/>
        <v>67.369999999995343</v>
      </c>
      <c r="AL594" s="53"/>
      <c r="AM594" s="53">
        <f t="shared" si="401"/>
        <v>0</v>
      </c>
      <c r="AN594" s="54"/>
      <c r="AO594" s="54"/>
      <c r="AP594" s="54"/>
      <c r="AQ594" s="54">
        <f t="shared" si="402"/>
        <v>0</v>
      </c>
      <c r="AR594" s="53"/>
      <c r="AS594" s="50">
        <f t="shared" si="420"/>
        <v>-2551007.8199999994</v>
      </c>
      <c r="AT594" s="73">
        <f t="shared" si="455"/>
        <v>177943.93000000002</v>
      </c>
      <c r="AU594" s="50">
        <f t="shared" si="396"/>
        <v>0</v>
      </c>
      <c r="AV594" s="50">
        <f t="shared" si="456"/>
        <v>-54134.510000000402</v>
      </c>
      <c r="AW594" s="50"/>
      <c r="AX594" s="50">
        <f t="shared" si="404"/>
        <v>-2427198.3999999994</v>
      </c>
      <c r="AY594" s="50">
        <f t="shared" si="405"/>
        <v>9300000</v>
      </c>
      <c r="AZ594" s="50">
        <f t="shared" si="406"/>
        <v>6872801.6000000006</v>
      </c>
      <c r="BA594" s="15">
        <f t="shared" si="390"/>
        <v>-2022.6653333333329</v>
      </c>
      <c r="BB594" s="15">
        <f t="shared" si="458"/>
        <v>-11788.371458333331</v>
      </c>
      <c r="BC594" s="58">
        <f>AVERAGE(AX588:AX594)</f>
        <v>-2020863.6785714279</v>
      </c>
    </row>
    <row r="595" spans="2:55" s="58" customFormat="1" x14ac:dyDescent="0.3">
      <c r="B595" s="99">
        <f t="shared" si="384"/>
        <v>44995</v>
      </c>
      <c r="C595" s="44">
        <f t="shared" si="409"/>
        <v>368010.49</v>
      </c>
      <c r="D595" s="45">
        <v>71615.990000000005</v>
      </c>
      <c r="E595" s="45"/>
      <c r="F595" s="45">
        <v>-107982.78</v>
      </c>
      <c r="G595" s="45">
        <f t="shared" si="385"/>
        <v>331643.69999999995</v>
      </c>
      <c r="H595" s="44">
        <v>4300000</v>
      </c>
      <c r="I595" s="46">
        <f t="shared" si="410"/>
        <v>-2802380.9699999997</v>
      </c>
      <c r="J595" s="47"/>
      <c r="K595" s="47">
        <v>-10000</v>
      </c>
      <c r="L595" s="47">
        <v>-231683.74</v>
      </c>
      <c r="M595" s="47">
        <f t="shared" si="411"/>
        <v>-3044064.71</v>
      </c>
      <c r="N595" s="46">
        <v>5000000</v>
      </c>
      <c r="O595" s="48">
        <f t="shared" si="412"/>
        <v>1098.4200000000278</v>
      </c>
      <c r="P595" s="55"/>
      <c r="Q595" s="55">
        <v>10000</v>
      </c>
      <c r="R595" s="55">
        <v>-7655</v>
      </c>
      <c r="S595" s="55">
        <f t="shared" si="413"/>
        <v>3443.4200000000274</v>
      </c>
      <c r="T595" s="48"/>
      <c r="U595" s="49">
        <f t="shared" si="414"/>
        <v>49.19000000008382</v>
      </c>
      <c r="V595" s="51"/>
      <c r="W595" s="51"/>
      <c r="X595" s="51"/>
      <c r="Y595" s="51">
        <f t="shared" si="415"/>
        <v>49.19000000008382</v>
      </c>
      <c r="Z595" s="52"/>
      <c r="AA595" s="53">
        <f t="shared" si="416"/>
        <v>5957.0999999999767</v>
      </c>
      <c r="AB595" s="54"/>
      <c r="AC595" s="54"/>
      <c r="AD595" s="54">
        <v>-380</v>
      </c>
      <c r="AE595" s="54">
        <f t="shared" si="417"/>
        <v>5577.0999999999767</v>
      </c>
      <c r="AF595" s="53"/>
      <c r="AG595" s="53">
        <f t="shared" si="395"/>
        <v>67.369999999995343</v>
      </c>
      <c r="AH595" s="54"/>
      <c r="AI595" s="54"/>
      <c r="AJ595" s="54"/>
      <c r="AK595" s="54">
        <f t="shared" si="418"/>
        <v>67.369999999995343</v>
      </c>
      <c r="AL595" s="53"/>
      <c r="AM595" s="53">
        <f t="shared" si="401"/>
        <v>0</v>
      </c>
      <c r="AN595" s="54"/>
      <c r="AO595" s="54"/>
      <c r="AP595" s="54"/>
      <c r="AQ595" s="54">
        <f t="shared" si="402"/>
        <v>0</v>
      </c>
      <c r="AR595" s="53"/>
      <c r="AS595" s="50">
        <f t="shared" si="420"/>
        <v>-2427198.3999999994</v>
      </c>
      <c r="AT595" s="73">
        <f t="shared" si="455"/>
        <v>71615.990000000005</v>
      </c>
      <c r="AU595" s="50">
        <f t="shared" si="396"/>
        <v>0</v>
      </c>
      <c r="AV595" s="50">
        <f t="shared" si="456"/>
        <v>-347701.52</v>
      </c>
      <c r="AW595" s="50"/>
      <c r="AX595" s="50">
        <f t="shared" si="404"/>
        <v>-2703283.9299999997</v>
      </c>
      <c r="AY595" s="50">
        <f t="shared" si="405"/>
        <v>9300000</v>
      </c>
      <c r="AZ595" s="50">
        <f t="shared" si="406"/>
        <v>6596716.0700000003</v>
      </c>
      <c r="BA595" s="15">
        <f t="shared" si="390"/>
        <v>-2252.7366083333332</v>
      </c>
      <c r="BB595" s="15">
        <f t="shared" si="458"/>
        <v>-14041.108066666664</v>
      </c>
      <c r="BC595" s="58">
        <f>AVERAGE(AX594:AX595)</f>
        <v>-2565241.1649999996</v>
      </c>
    </row>
    <row r="596" spans="2:55" s="58" customFormat="1" x14ac:dyDescent="0.3">
      <c r="B596" s="99">
        <f t="shared" ref="B596" si="460">B595+3</f>
        <v>44998</v>
      </c>
      <c r="C596" s="44">
        <f t="shared" si="409"/>
        <v>331643.69999999995</v>
      </c>
      <c r="D596" s="45">
        <f>129263.11+61538.77+2083.33+131937</f>
        <v>324822.20999999996</v>
      </c>
      <c r="E596" s="45"/>
      <c r="F596" s="45">
        <v>-1609.95999999996</v>
      </c>
      <c r="G596" s="45">
        <f t="shared" si="385"/>
        <v>654855.94999999995</v>
      </c>
      <c r="H596" s="44">
        <v>4300000</v>
      </c>
      <c r="I596" s="46">
        <f t="shared" si="410"/>
        <v>-3044064.71</v>
      </c>
      <c r="J596" s="47">
        <f>18770*3+28155</f>
        <v>84465</v>
      </c>
      <c r="K596" s="47"/>
      <c r="L596" s="47">
        <v>-60421.1</v>
      </c>
      <c r="M596" s="47">
        <f t="shared" si="411"/>
        <v>-3020020.81</v>
      </c>
      <c r="N596" s="46">
        <v>5000000</v>
      </c>
      <c r="O596" s="48">
        <f t="shared" si="412"/>
        <v>3443.4200000000274</v>
      </c>
      <c r="P596" s="55">
        <f>163.84+512.32</f>
        <v>676.16000000000008</v>
      </c>
      <c r="Q596" s="55"/>
      <c r="R596" s="55">
        <v>-400</v>
      </c>
      <c r="S596" s="55">
        <f t="shared" si="413"/>
        <v>3719.5800000000272</v>
      </c>
      <c r="T596" s="48"/>
      <c r="U596" s="49">
        <f t="shared" si="414"/>
        <v>49.19000000008382</v>
      </c>
      <c r="V596" s="51">
        <v>23413.7</v>
      </c>
      <c r="W596" s="51"/>
      <c r="X596" s="51"/>
      <c r="Y596" s="51">
        <f t="shared" si="415"/>
        <v>23462.890000000083</v>
      </c>
      <c r="Z596" s="52"/>
      <c r="AA596" s="53">
        <f t="shared" si="416"/>
        <v>5577.0999999999767</v>
      </c>
      <c r="AB596" s="54"/>
      <c r="AC596" s="54"/>
      <c r="AD596" s="54"/>
      <c r="AE596" s="54">
        <f t="shared" si="417"/>
        <v>5577.0999999999767</v>
      </c>
      <c r="AF596" s="53"/>
      <c r="AG596" s="53">
        <f t="shared" si="395"/>
        <v>67.369999999995343</v>
      </c>
      <c r="AH596" s="54"/>
      <c r="AI596" s="54"/>
      <c r="AJ596" s="54"/>
      <c r="AK596" s="54">
        <f t="shared" si="418"/>
        <v>67.369999999995343</v>
      </c>
      <c r="AL596" s="53"/>
      <c r="AM596" s="53">
        <f t="shared" si="401"/>
        <v>0</v>
      </c>
      <c r="AN596" s="54"/>
      <c r="AO596" s="54"/>
      <c r="AP596" s="54"/>
      <c r="AQ596" s="54">
        <f t="shared" si="402"/>
        <v>0</v>
      </c>
      <c r="AR596" s="53"/>
      <c r="AS596" s="50">
        <f t="shared" si="420"/>
        <v>-2703283.9299999997</v>
      </c>
      <c r="AT596" s="73">
        <f t="shared" si="455"/>
        <v>433377.06999999995</v>
      </c>
      <c r="AU596" s="50">
        <f t="shared" si="396"/>
        <v>0</v>
      </c>
      <c r="AV596" s="50">
        <f t="shared" si="456"/>
        <v>-62431.059999999961</v>
      </c>
      <c r="AW596" s="50"/>
      <c r="AX596" s="50">
        <f t="shared" si="404"/>
        <v>-2332337.92</v>
      </c>
      <c r="AY596" s="50">
        <f t="shared" si="405"/>
        <v>9300000</v>
      </c>
      <c r="AZ596" s="50">
        <f t="shared" si="406"/>
        <v>6967662.0800000001</v>
      </c>
      <c r="BA596" s="15">
        <f t="shared" si="390"/>
        <v>-1943.6149333333333</v>
      </c>
      <c r="BB596" s="15">
        <f t="shared" si="458"/>
        <v>-15984.722999999998</v>
      </c>
      <c r="BC596" s="58">
        <f>AVERAGE(AX588:AX596)</f>
        <v>-2131296.3999999994</v>
      </c>
    </row>
    <row r="597" spans="2:55" s="58" customFormat="1" x14ac:dyDescent="0.3">
      <c r="B597" s="99">
        <f t="shared" ref="B597:B660" si="461">B596+1</f>
        <v>44999</v>
      </c>
      <c r="C597" s="44">
        <f t="shared" si="409"/>
        <v>654855.94999999995</v>
      </c>
      <c r="D597" s="45"/>
      <c r="E597" s="45"/>
      <c r="F597" s="45">
        <v>-590893.65</v>
      </c>
      <c r="G597" s="45">
        <f t="shared" ref="G597:G660" si="462">SUM(C597:F597)</f>
        <v>63962.29999999993</v>
      </c>
      <c r="H597" s="44">
        <v>4300000</v>
      </c>
      <c r="I597" s="46">
        <f t="shared" si="410"/>
        <v>-3020020.81</v>
      </c>
      <c r="J597" s="47">
        <v>123178.01999999996</v>
      </c>
      <c r="K597" s="47"/>
      <c r="L597" s="47">
        <v>-50448.119999999901</v>
      </c>
      <c r="M597" s="47">
        <f t="shared" si="411"/>
        <v>-2947290.91</v>
      </c>
      <c r="N597" s="46">
        <v>5000000</v>
      </c>
      <c r="O597" s="48">
        <f t="shared" si="412"/>
        <v>3719.5800000000272</v>
      </c>
      <c r="P597" s="55"/>
      <c r="Q597" s="55"/>
      <c r="R597" s="55"/>
      <c r="S597" s="55">
        <f t="shared" si="413"/>
        <v>3719.5800000000272</v>
      </c>
      <c r="T597" s="48"/>
      <c r="U597" s="49">
        <f t="shared" si="414"/>
        <v>23462.890000000083</v>
      </c>
      <c r="V597" s="51"/>
      <c r="W597" s="51"/>
      <c r="X597" s="51"/>
      <c r="Y597" s="51">
        <f t="shared" si="415"/>
        <v>23462.890000000083</v>
      </c>
      <c r="Z597" s="52"/>
      <c r="AA597" s="53">
        <f t="shared" si="416"/>
        <v>5577.0999999999767</v>
      </c>
      <c r="AB597" s="54"/>
      <c r="AC597" s="54"/>
      <c r="AD597" s="54"/>
      <c r="AE597" s="54">
        <f t="shared" si="417"/>
        <v>5577.0999999999767</v>
      </c>
      <c r="AF597" s="53"/>
      <c r="AG597" s="53">
        <f t="shared" si="395"/>
        <v>67.369999999995343</v>
      </c>
      <c r="AH597" s="54"/>
      <c r="AI597" s="54"/>
      <c r="AJ597" s="54"/>
      <c r="AK597" s="54">
        <f t="shared" si="418"/>
        <v>67.369999999995343</v>
      </c>
      <c r="AL597" s="53"/>
      <c r="AM597" s="53">
        <f t="shared" si="401"/>
        <v>0</v>
      </c>
      <c r="AN597" s="54"/>
      <c r="AO597" s="54"/>
      <c r="AP597" s="54"/>
      <c r="AQ597" s="54">
        <f t="shared" si="402"/>
        <v>0</v>
      </c>
      <c r="AR597" s="53"/>
      <c r="AS597" s="50">
        <f t="shared" si="420"/>
        <v>-2332337.92</v>
      </c>
      <c r="AT597" s="73">
        <f t="shared" si="455"/>
        <v>123178.01999999996</v>
      </c>
      <c r="AU597" s="50">
        <f t="shared" si="396"/>
        <v>0</v>
      </c>
      <c r="AV597" s="50">
        <f t="shared" si="456"/>
        <v>-641341.7699999999</v>
      </c>
      <c r="AW597" s="50"/>
      <c r="AX597" s="50">
        <f t="shared" si="404"/>
        <v>-2850501.67</v>
      </c>
      <c r="AY597" s="50">
        <f t="shared" si="405"/>
        <v>9300000</v>
      </c>
      <c r="AZ597" s="50">
        <f t="shared" si="406"/>
        <v>6449498.3300000001</v>
      </c>
      <c r="BA597" s="15">
        <f t="shared" si="390"/>
        <v>-2375.4180583333336</v>
      </c>
      <c r="BB597" s="15">
        <f t="shared" si="458"/>
        <v>-18360.141058333331</v>
      </c>
      <c r="BC597" s="58">
        <f>AVERAGE(AX588:AX597)</f>
        <v>-2203216.9269999997</v>
      </c>
    </row>
    <row r="598" spans="2:55" s="58" customFormat="1" x14ac:dyDescent="0.3">
      <c r="B598" s="99">
        <f t="shared" si="461"/>
        <v>45000</v>
      </c>
      <c r="C598" s="44">
        <f t="shared" si="409"/>
        <v>63962.29999999993</v>
      </c>
      <c r="D598" s="45"/>
      <c r="E598" s="45"/>
      <c r="F598" s="45">
        <f>-37537.78+1357.24</f>
        <v>-36180.54</v>
      </c>
      <c r="G598" s="45">
        <f t="shared" si="462"/>
        <v>27781.759999999929</v>
      </c>
      <c r="H598" s="44">
        <v>4300000</v>
      </c>
      <c r="I598" s="46">
        <f t="shared" si="410"/>
        <v>-2947290.91</v>
      </c>
      <c r="J598" s="47"/>
      <c r="K598" s="47"/>
      <c r="L598" s="47">
        <v>-190954.73</v>
      </c>
      <c r="M598" s="47">
        <f t="shared" si="411"/>
        <v>-3138245.64</v>
      </c>
      <c r="N598" s="46">
        <v>5000000</v>
      </c>
      <c r="O598" s="48">
        <f t="shared" si="412"/>
        <v>3719.5800000000272</v>
      </c>
      <c r="P598" s="55">
        <v>2469.45999999997</v>
      </c>
      <c r="Q598" s="55"/>
      <c r="R598" s="55"/>
      <c r="S598" s="55">
        <f t="shared" si="413"/>
        <v>6189.0399999999972</v>
      </c>
      <c r="T598" s="48"/>
      <c r="U598" s="49">
        <f t="shared" si="414"/>
        <v>23462.890000000083</v>
      </c>
      <c r="V598" s="51"/>
      <c r="W598" s="51"/>
      <c r="X598" s="51">
        <f>-1001.4</f>
        <v>-1001.4</v>
      </c>
      <c r="Y598" s="51">
        <f t="shared" si="415"/>
        <v>22461.490000000082</v>
      </c>
      <c r="Z598" s="52"/>
      <c r="AA598" s="53">
        <f t="shared" si="416"/>
        <v>5577.0999999999767</v>
      </c>
      <c r="AB598" s="54"/>
      <c r="AC598" s="54"/>
      <c r="AD598" s="54">
        <v>-160</v>
      </c>
      <c r="AE598" s="54">
        <f t="shared" si="417"/>
        <v>5417.0999999999767</v>
      </c>
      <c r="AF598" s="53"/>
      <c r="AG598" s="53">
        <f t="shared" si="395"/>
        <v>67.369999999995343</v>
      </c>
      <c r="AH598" s="54"/>
      <c r="AI598" s="54"/>
      <c r="AJ598" s="54"/>
      <c r="AK598" s="54">
        <f t="shared" si="418"/>
        <v>67.369999999995343</v>
      </c>
      <c r="AL598" s="53"/>
      <c r="AM598" s="53">
        <f t="shared" si="401"/>
        <v>0</v>
      </c>
      <c r="AN598" s="54"/>
      <c r="AO598" s="54"/>
      <c r="AP598" s="54"/>
      <c r="AQ598" s="54">
        <f t="shared" si="402"/>
        <v>0</v>
      </c>
      <c r="AR598" s="53"/>
      <c r="AS598" s="50">
        <f t="shared" si="420"/>
        <v>-2850501.67</v>
      </c>
      <c r="AT598" s="73">
        <f t="shared" si="455"/>
        <v>2469.45999999997</v>
      </c>
      <c r="AU598" s="50">
        <f t="shared" si="396"/>
        <v>0</v>
      </c>
      <c r="AV598" s="50">
        <f t="shared" si="456"/>
        <v>-228296.67</v>
      </c>
      <c r="AW598" s="50"/>
      <c r="AX598" s="50">
        <f t="shared" si="404"/>
        <v>-3076328.88</v>
      </c>
      <c r="AY598" s="50">
        <f t="shared" si="405"/>
        <v>9300000</v>
      </c>
      <c r="AZ598" s="50">
        <f t="shared" si="406"/>
        <v>6223671.1200000001</v>
      </c>
      <c r="BA598" s="15">
        <f t="shared" si="390"/>
        <v>-2563.6073999999999</v>
      </c>
      <c r="BB598" s="15">
        <f t="shared" si="458"/>
        <v>-20923.748458333332</v>
      </c>
      <c r="BC598" s="58">
        <f>AVERAGE(AX588:AX598)</f>
        <v>-2282590.7409090903</v>
      </c>
    </row>
    <row r="599" spans="2:55" s="58" customFormat="1" x14ac:dyDescent="0.3">
      <c r="B599" s="99">
        <f t="shared" si="461"/>
        <v>45001</v>
      </c>
      <c r="C599" s="44">
        <f t="shared" si="409"/>
        <v>27781.759999999929</v>
      </c>
      <c r="D599" s="45"/>
      <c r="E599" s="45"/>
      <c r="F599" s="45">
        <v>-4433.26</v>
      </c>
      <c r="G599" s="45">
        <f t="shared" si="462"/>
        <v>23348.499999999927</v>
      </c>
      <c r="H599" s="44">
        <v>4300000</v>
      </c>
      <c r="I599" s="46">
        <f t="shared" si="410"/>
        <v>-3138245.64</v>
      </c>
      <c r="J599" s="47"/>
      <c r="K599" s="47"/>
      <c r="L599" s="47">
        <v>-535837.57999999996</v>
      </c>
      <c r="M599" s="47">
        <f t="shared" si="411"/>
        <v>-3674083.22</v>
      </c>
      <c r="N599" s="46">
        <v>5000000</v>
      </c>
      <c r="O599" s="48">
        <f t="shared" si="412"/>
        <v>6189.0399999999972</v>
      </c>
      <c r="P599" s="55">
        <v>967.34000000000299</v>
      </c>
      <c r="Q599" s="55"/>
      <c r="R599" s="55"/>
      <c r="S599" s="55">
        <f t="shared" si="413"/>
        <v>7156.38</v>
      </c>
      <c r="T599" s="48"/>
      <c r="U599" s="49">
        <f t="shared" si="414"/>
        <v>22461.490000000082</v>
      </c>
      <c r="V599" s="51"/>
      <c r="W599" s="51"/>
      <c r="X599" s="51"/>
      <c r="Y599" s="51">
        <f t="shared" si="415"/>
        <v>22461.490000000082</v>
      </c>
      <c r="Z599" s="52"/>
      <c r="AA599" s="53">
        <f t="shared" si="416"/>
        <v>5417.0999999999767</v>
      </c>
      <c r="AB599" s="54"/>
      <c r="AC599" s="54"/>
      <c r="AD599" s="54"/>
      <c r="AE599" s="54">
        <f t="shared" si="417"/>
        <v>5417.0999999999767</v>
      </c>
      <c r="AF599" s="53"/>
      <c r="AG599" s="53">
        <f t="shared" si="395"/>
        <v>67.369999999995343</v>
      </c>
      <c r="AH599" s="54"/>
      <c r="AI599" s="54"/>
      <c r="AJ599" s="54"/>
      <c r="AK599" s="54">
        <f t="shared" si="418"/>
        <v>67.369999999995343</v>
      </c>
      <c r="AL599" s="53"/>
      <c r="AM599" s="53">
        <f t="shared" si="401"/>
        <v>0</v>
      </c>
      <c r="AN599" s="54"/>
      <c r="AO599" s="54"/>
      <c r="AP599" s="54"/>
      <c r="AQ599" s="54">
        <f t="shared" si="402"/>
        <v>0</v>
      </c>
      <c r="AR599" s="53"/>
      <c r="AS599" s="50">
        <f t="shared" si="420"/>
        <v>-3076328.88</v>
      </c>
      <c r="AT599" s="73">
        <f t="shared" si="455"/>
        <v>967.34000000000299</v>
      </c>
      <c r="AU599" s="50">
        <f t="shared" si="396"/>
        <v>0</v>
      </c>
      <c r="AV599" s="50">
        <f t="shared" si="456"/>
        <v>-540270.84</v>
      </c>
      <c r="AW599" s="50"/>
      <c r="AX599" s="50">
        <f t="shared" si="404"/>
        <v>-3615632.38</v>
      </c>
      <c r="AY599" s="50">
        <f t="shared" si="405"/>
        <v>9300000</v>
      </c>
      <c r="AZ599" s="50">
        <f t="shared" si="406"/>
        <v>5684367.6200000001</v>
      </c>
      <c r="BA599" s="15">
        <f t="shared" si="390"/>
        <v>-3013.0269833333336</v>
      </c>
      <c r="BB599" s="15">
        <f t="shared" si="458"/>
        <v>-23936.775441666665</v>
      </c>
      <c r="BC599" s="58">
        <f>AVERAGE(AX588:AX599)</f>
        <v>-2393677.544166666</v>
      </c>
    </row>
    <row r="600" spans="2:55" s="58" customFormat="1" ht="12.75" customHeight="1" x14ac:dyDescent="0.3">
      <c r="B600" s="99">
        <f t="shared" si="461"/>
        <v>45002</v>
      </c>
      <c r="C600" s="44">
        <f t="shared" si="409"/>
        <v>23348.499999999927</v>
      </c>
      <c r="D600" s="45">
        <f>36091.74+29465.38+22111.06</f>
        <v>87668.18</v>
      </c>
      <c r="E600" s="45"/>
      <c r="F600" s="45">
        <v>-67678.599999999904</v>
      </c>
      <c r="G600" s="45">
        <f t="shared" si="462"/>
        <v>43338.080000000016</v>
      </c>
      <c r="H600" s="44">
        <v>4300000</v>
      </c>
      <c r="I600" s="46">
        <f t="shared" si="410"/>
        <v>-3674083.22</v>
      </c>
      <c r="J600" s="47"/>
      <c r="K600" s="47"/>
      <c r="L600" s="47">
        <v>-560258.18999999994</v>
      </c>
      <c r="M600" s="47">
        <f t="shared" si="411"/>
        <v>-4234341.41</v>
      </c>
      <c r="N600" s="46">
        <v>5000000</v>
      </c>
      <c r="O600" s="48">
        <f t="shared" si="412"/>
        <v>7156.38</v>
      </c>
      <c r="P600" s="55">
        <f>1605.14+34102.54</f>
        <v>35707.68</v>
      </c>
      <c r="Q600" s="55"/>
      <c r="R600" s="55"/>
      <c r="S600" s="55">
        <f t="shared" si="413"/>
        <v>42864.06</v>
      </c>
      <c r="T600" s="48"/>
      <c r="U600" s="49">
        <f t="shared" si="414"/>
        <v>22461.490000000082</v>
      </c>
      <c r="V600" s="51"/>
      <c r="W600" s="51"/>
      <c r="X600" s="51"/>
      <c r="Y600" s="51">
        <f t="shared" si="415"/>
        <v>22461.490000000082</v>
      </c>
      <c r="Z600" s="52"/>
      <c r="AA600" s="53">
        <f t="shared" si="416"/>
        <v>5417.0999999999767</v>
      </c>
      <c r="AB600" s="54"/>
      <c r="AC600" s="54"/>
      <c r="AD600" s="54">
        <v>-642.5</v>
      </c>
      <c r="AE600" s="54">
        <f t="shared" si="417"/>
        <v>4774.5999999999767</v>
      </c>
      <c r="AF600" s="53"/>
      <c r="AG600" s="53">
        <f t="shared" si="395"/>
        <v>67.369999999995343</v>
      </c>
      <c r="AH600" s="54"/>
      <c r="AI600" s="54"/>
      <c r="AJ600" s="54"/>
      <c r="AK600" s="54">
        <f t="shared" si="418"/>
        <v>67.369999999995343</v>
      </c>
      <c r="AL600" s="53"/>
      <c r="AM600" s="53">
        <f t="shared" si="401"/>
        <v>0</v>
      </c>
      <c r="AN600" s="54"/>
      <c r="AO600" s="54"/>
      <c r="AP600" s="54"/>
      <c r="AQ600" s="54">
        <f t="shared" si="402"/>
        <v>0</v>
      </c>
      <c r="AR600" s="53"/>
      <c r="AS600" s="50">
        <f t="shared" si="420"/>
        <v>-3615632.38</v>
      </c>
      <c r="AT600" s="73">
        <f t="shared" si="455"/>
        <v>123375.85999999999</v>
      </c>
      <c r="AU600" s="50">
        <f t="shared" si="396"/>
        <v>0</v>
      </c>
      <c r="AV600" s="50">
        <f t="shared" si="456"/>
        <v>-628579.2899999998</v>
      </c>
      <c r="AW600" s="50"/>
      <c r="AX600" s="50">
        <f t="shared" si="404"/>
        <v>-4120835.8099999996</v>
      </c>
      <c r="AY600" s="50">
        <f t="shared" si="405"/>
        <v>9300000</v>
      </c>
      <c r="AZ600" s="50">
        <f t="shared" si="406"/>
        <v>5179164.1900000004</v>
      </c>
      <c r="BA600" s="15">
        <f t="shared" si="390"/>
        <v>-3434.0298416666665</v>
      </c>
      <c r="BB600" s="15">
        <f t="shared" si="458"/>
        <v>-27370.805283333331</v>
      </c>
      <c r="BC600" s="58">
        <f>AVERAGE(AX588:AX600)</f>
        <v>-2526535.8723076917</v>
      </c>
    </row>
    <row r="601" spans="2:55" s="58" customFormat="1" ht="12.75" customHeight="1" x14ac:dyDescent="0.3">
      <c r="B601" s="99">
        <f t="shared" ref="B601" si="463">B600+3</f>
        <v>45005</v>
      </c>
      <c r="C601" s="44">
        <f t="shared" si="409"/>
        <v>43338.080000000016</v>
      </c>
      <c r="D601" s="45">
        <f>67200.96+95474.98+34979.77+24680.67+25567.44+190718.85</f>
        <v>438622.67000000004</v>
      </c>
      <c r="E601" s="45"/>
      <c r="F601" s="45">
        <f>-854733.53-452305.99</f>
        <v>-1307039.52</v>
      </c>
      <c r="G601" s="45">
        <f t="shared" si="462"/>
        <v>-825078.77</v>
      </c>
      <c r="H601" s="44">
        <v>4300000</v>
      </c>
      <c r="I601" s="46">
        <f t="shared" si="410"/>
        <v>-4234341.41</v>
      </c>
      <c r="J601" s="47"/>
      <c r="K601" s="47">
        <v>192000</v>
      </c>
      <c r="L601" s="47">
        <v>-155960.15</v>
      </c>
      <c r="M601" s="47">
        <f t="shared" si="411"/>
        <v>-4198301.5600000005</v>
      </c>
      <c r="N601" s="46">
        <v>5000000</v>
      </c>
      <c r="O601" s="48">
        <f t="shared" si="412"/>
        <v>42864.06</v>
      </c>
      <c r="P601" s="55"/>
      <c r="Q601" s="55">
        <f>49200-92000</f>
        <v>-42800</v>
      </c>
      <c r="R601" s="55">
        <v>-11.5</v>
      </c>
      <c r="S601" s="55">
        <f t="shared" si="413"/>
        <v>52.559999999997672</v>
      </c>
      <c r="T601" s="48"/>
      <c r="U601" s="49">
        <f t="shared" si="414"/>
        <v>22461.490000000082</v>
      </c>
      <c r="V601" s="51">
        <v>126780.83</v>
      </c>
      <c r="W601" s="51">
        <v>-149200</v>
      </c>
      <c r="X601" s="51">
        <v>-10</v>
      </c>
      <c r="Y601" s="51">
        <f t="shared" si="415"/>
        <v>32.320000000094296</v>
      </c>
      <c r="Z601" s="52"/>
      <c r="AA601" s="53">
        <f t="shared" si="416"/>
        <v>4774.5999999999767</v>
      </c>
      <c r="AB601" s="54"/>
      <c r="AC601" s="54"/>
      <c r="AD601" s="54"/>
      <c r="AE601" s="54">
        <f t="shared" si="417"/>
        <v>4774.5999999999767</v>
      </c>
      <c r="AF601" s="53"/>
      <c r="AG601" s="53">
        <f t="shared" si="395"/>
        <v>67.369999999995343</v>
      </c>
      <c r="AH601" s="54"/>
      <c r="AI601" s="54"/>
      <c r="AJ601" s="54"/>
      <c r="AK601" s="54">
        <f t="shared" si="418"/>
        <v>67.369999999995343</v>
      </c>
      <c r="AL601" s="53"/>
      <c r="AM601" s="53">
        <f t="shared" si="401"/>
        <v>0</v>
      </c>
      <c r="AN601" s="54"/>
      <c r="AO601" s="54"/>
      <c r="AP601" s="54"/>
      <c r="AQ601" s="54">
        <f t="shared" si="402"/>
        <v>0</v>
      </c>
      <c r="AR601" s="53"/>
      <c r="AS601" s="50">
        <f t="shared" si="420"/>
        <v>-4120835.8099999996</v>
      </c>
      <c r="AT601" s="73">
        <f t="shared" si="455"/>
        <v>565403.5</v>
      </c>
      <c r="AU601" s="50">
        <f t="shared" si="396"/>
        <v>0</v>
      </c>
      <c r="AV601" s="50">
        <f t="shared" si="456"/>
        <v>-1463021.17</v>
      </c>
      <c r="AW601" s="50"/>
      <c r="AX601" s="50">
        <f t="shared" si="404"/>
        <v>-5018453.4800000004</v>
      </c>
      <c r="AY601" s="50">
        <f t="shared" si="405"/>
        <v>9300000</v>
      </c>
      <c r="AZ601" s="50">
        <f t="shared" si="406"/>
        <v>4281546.5199999996</v>
      </c>
      <c r="BA601" s="15">
        <f t="shared" si="390"/>
        <v>-4182.0445666666674</v>
      </c>
      <c r="BB601" s="15">
        <f t="shared" si="458"/>
        <v>-31552.849849999999</v>
      </c>
      <c r="BC601" s="58">
        <f>AVERAGE(AX588:AX601)</f>
        <v>-2704529.9871428567</v>
      </c>
    </row>
    <row r="602" spans="2:55" s="58" customFormat="1" ht="12.75" customHeight="1" x14ac:dyDescent="0.3">
      <c r="B602" s="99">
        <f t="shared" ref="B602" si="464">B601+1</f>
        <v>45006</v>
      </c>
      <c r="C602" s="44">
        <f t="shared" si="409"/>
        <v>-825078.77</v>
      </c>
      <c r="D602" s="45">
        <v>281.52</v>
      </c>
      <c r="E602" s="45"/>
      <c r="F602" s="45">
        <v>-5000.8500000000004</v>
      </c>
      <c r="G602" s="45">
        <f t="shared" si="462"/>
        <v>-829798.1</v>
      </c>
      <c r="H602" s="44">
        <v>4300000</v>
      </c>
      <c r="I602" s="46">
        <f t="shared" si="410"/>
        <v>-4198301.5600000005</v>
      </c>
      <c r="J602" s="47">
        <v>1006.79</v>
      </c>
      <c r="K602" s="47"/>
      <c r="L602" s="47">
        <v>-10871.139999999499</v>
      </c>
      <c r="M602" s="47">
        <f t="shared" si="411"/>
        <v>-4208165.91</v>
      </c>
      <c r="N602" s="46">
        <v>5000000</v>
      </c>
      <c r="O602" s="48">
        <f t="shared" si="412"/>
        <v>52.559999999997672</v>
      </c>
      <c r="P602" s="55"/>
      <c r="Q602" s="55"/>
      <c r="R602" s="55"/>
      <c r="S602" s="55">
        <f t="shared" si="413"/>
        <v>52.559999999997672</v>
      </c>
      <c r="T602" s="48"/>
      <c r="U602" s="49">
        <f t="shared" si="414"/>
        <v>32.320000000094296</v>
      </c>
      <c r="V602" s="51"/>
      <c r="W602" s="51"/>
      <c r="X602" s="51">
        <v>-1.4</v>
      </c>
      <c r="Y602" s="51">
        <f t="shared" si="415"/>
        <v>30.920000000094298</v>
      </c>
      <c r="Z602" s="52"/>
      <c r="AA602" s="53">
        <f t="shared" si="416"/>
        <v>4774.5999999999767</v>
      </c>
      <c r="AB602" s="54"/>
      <c r="AC602" s="54"/>
      <c r="AD602" s="54"/>
      <c r="AE602" s="54">
        <f t="shared" si="417"/>
        <v>4774.5999999999767</v>
      </c>
      <c r="AF602" s="53"/>
      <c r="AG602" s="53">
        <f t="shared" si="395"/>
        <v>67.369999999995343</v>
      </c>
      <c r="AH602" s="54"/>
      <c r="AI602" s="54"/>
      <c r="AJ602" s="54"/>
      <c r="AK602" s="54">
        <f t="shared" si="418"/>
        <v>67.369999999995343</v>
      </c>
      <c r="AL602" s="53"/>
      <c r="AM602" s="53">
        <f t="shared" si="401"/>
        <v>0</v>
      </c>
      <c r="AN602" s="54"/>
      <c r="AO602" s="54"/>
      <c r="AP602" s="54"/>
      <c r="AQ602" s="54">
        <f t="shared" si="402"/>
        <v>0</v>
      </c>
      <c r="AR602" s="53"/>
      <c r="AS602" s="50">
        <f t="shared" si="420"/>
        <v>-5018453.4800000004</v>
      </c>
      <c r="AT602" s="73">
        <f t="shared" si="455"/>
        <v>1288.31</v>
      </c>
      <c r="AU602" s="50">
        <f t="shared" si="396"/>
        <v>0</v>
      </c>
      <c r="AV602" s="50">
        <f t="shared" si="456"/>
        <v>-15873.389999999499</v>
      </c>
      <c r="AW602" s="50"/>
      <c r="AX602" s="50">
        <f t="shared" si="404"/>
        <v>-5033038.5600000005</v>
      </c>
      <c r="AY602" s="50">
        <f t="shared" si="405"/>
        <v>9300000</v>
      </c>
      <c r="AZ602" s="50">
        <f t="shared" si="406"/>
        <v>4266961.4399999995</v>
      </c>
      <c r="BA602" s="15">
        <f t="shared" si="390"/>
        <v>-4194.198800000001</v>
      </c>
      <c r="BB602" s="15">
        <f t="shared" si="458"/>
        <v>-35747.048649999997</v>
      </c>
      <c r="BC602" s="58">
        <f>AVERAGE(AX588:AX602)</f>
        <v>-2859763.8919999995</v>
      </c>
    </row>
    <row r="603" spans="2:55" s="58" customFormat="1" ht="12.75" customHeight="1" x14ac:dyDescent="0.3">
      <c r="B603" s="99">
        <f t="shared" si="461"/>
        <v>45007</v>
      </c>
      <c r="C603" s="44">
        <f t="shared" si="409"/>
        <v>-829798.1</v>
      </c>
      <c r="D603" s="45"/>
      <c r="E603" s="45"/>
      <c r="F603" s="45">
        <v>-567188.53</v>
      </c>
      <c r="G603" s="45">
        <f t="shared" si="462"/>
        <v>-1396986.63</v>
      </c>
      <c r="H603" s="44">
        <v>4300000</v>
      </c>
      <c r="I603" s="46">
        <f t="shared" si="410"/>
        <v>-4208165.91</v>
      </c>
      <c r="J603" s="47">
        <v>9291.15</v>
      </c>
      <c r="K603" s="47"/>
      <c r="L603" s="47">
        <v>-14003.5700000002</v>
      </c>
      <c r="M603" s="47">
        <f t="shared" si="411"/>
        <v>-4212878.33</v>
      </c>
      <c r="N603" s="46">
        <v>5000000</v>
      </c>
      <c r="O603" s="48">
        <f t="shared" si="412"/>
        <v>52.559999999997672</v>
      </c>
      <c r="P603" s="55"/>
      <c r="Q603" s="55"/>
      <c r="R603" s="55"/>
      <c r="S603" s="55">
        <f t="shared" si="413"/>
        <v>52.559999999997672</v>
      </c>
      <c r="T603" s="48"/>
      <c r="U603" s="49">
        <f t="shared" si="414"/>
        <v>30.920000000094298</v>
      </c>
      <c r="V603" s="51"/>
      <c r="W603" s="51"/>
      <c r="X603" s="51"/>
      <c r="Y603" s="51">
        <f t="shared" si="415"/>
        <v>30.920000000094298</v>
      </c>
      <c r="Z603" s="52"/>
      <c r="AA603" s="53">
        <f t="shared" si="416"/>
        <v>4774.5999999999767</v>
      </c>
      <c r="AB603" s="54"/>
      <c r="AC603" s="54"/>
      <c r="AD603" s="54"/>
      <c r="AE603" s="54">
        <f t="shared" si="417"/>
        <v>4774.5999999999767</v>
      </c>
      <c r="AF603" s="53"/>
      <c r="AG603" s="53">
        <f t="shared" si="395"/>
        <v>67.369999999995343</v>
      </c>
      <c r="AH603" s="54"/>
      <c r="AI603" s="54"/>
      <c r="AJ603" s="54"/>
      <c r="AK603" s="54">
        <f t="shared" si="418"/>
        <v>67.369999999995343</v>
      </c>
      <c r="AL603" s="53"/>
      <c r="AM603" s="53">
        <f t="shared" si="401"/>
        <v>0</v>
      </c>
      <c r="AN603" s="54"/>
      <c r="AO603" s="54"/>
      <c r="AP603" s="54"/>
      <c r="AQ603" s="54">
        <f t="shared" si="402"/>
        <v>0</v>
      </c>
      <c r="AR603" s="53"/>
      <c r="AS603" s="50">
        <f t="shared" si="420"/>
        <v>-5033038.5600000005</v>
      </c>
      <c r="AT603" s="73">
        <f t="shared" si="455"/>
        <v>9291.15</v>
      </c>
      <c r="AU603" s="50">
        <f t="shared" si="396"/>
        <v>0</v>
      </c>
      <c r="AV603" s="50">
        <f t="shared" si="456"/>
        <v>-581192.10000000021</v>
      </c>
      <c r="AW603" s="50"/>
      <c r="AX603" s="50">
        <f t="shared" si="404"/>
        <v>-5604939.5100000007</v>
      </c>
      <c r="AY603" s="50">
        <f t="shared" si="405"/>
        <v>9300000</v>
      </c>
      <c r="AZ603" s="50">
        <f t="shared" si="406"/>
        <v>3695060.4899999993</v>
      </c>
      <c r="BA603" s="15">
        <f t="shared" si="390"/>
        <v>-4670.7829250000013</v>
      </c>
      <c r="BB603" s="15">
        <f t="shared" si="458"/>
        <v>-40417.831574999997</v>
      </c>
      <c r="BC603" s="58">
        <f>AVERAGE(AX588:AX603)</f>
        <v>-3031337.3681249996</v>
      </c>
    </row>
    <row r="604" spans="2:55" s="58" customFormat="1" ht="12.75" customHeight="1" x14ac:dyDescent="0.3">
      <c r="B604" s="99">
        <f t="shared" si="461"/>
        <v>45008</v>
      </c>
      <c r="C604" s="44">
        <f t="shared" si="409"/>
        <v>-1396986.63</v>
      </c>
      <c r="D604" s="45"/>
      <c r="E604" s="45"/>
      <c r="F604" s="45">
        <v>-33626.17</v>
      </c>
      <c r="G604" s="45">
        <f t="shared" si="462"/>
        <v>-1430612.7999999998</v>
      </c>
      <c r="H604" s="44">
        <v>4300000</v>
      </c>
      <c r="I604" s="46">
        <f t="shared" si="410"/>
        <v>-4212878.33</v>
      </c>
      <c r="J604" s="47">
        <f>14882.74*2+8798.43*2+203118.3</f>
        <v>250480.63999999998</v>
      </c>
      <c r="K604" s="47"/>
      <c r="L604" s="47">
        <v>-65403.510000000097</v>
      </c>
      <c r="M604" s="47">
        <f t="shared" si="411"/>
        <v>-4027801.2</v>
      </c>
      <c r="N604" s="46">
        <v>5000000</v>
      </c>
      <c r="O604" s="48">
        <f t="shared" si="412"/>
        <v>52.559999999997672</v>
      </c>
      <c r="P604" s="55"/>
      <c r="Q604" s="55"/>
      <c r="R604" s="55"/>
      <c r="S604" s="55">
        <f t="shared" si="413"/>
        <v>52.559999999997672</v>
      </c>
      <c r="T604" s="48"/>
      <c r="U604" s="49">
        <f t="shared" si="414"/>
        <v>30.920000000094298</v>
      </c>
      <c r="V604" s="51"/>
      <c r="W604" s="51"/>
      <c r="X604" s="51"/>
      <c r="Y604" s="51">
        <f t="shared" si="415"/>
        <v>30.920000000094298</v>
      </c>
      <c r="Z604" s="52"/>
      <c r="AA604" s="53">
        <f t="shared" si="416"/>
        <v>4774.5999999999767</v>
      </c>
      <c r="AB604" s="54"/>
      <c r="AC604" s="54"/>
      <c r="AD604" s="54"/>
      <c r="AE604" s="54">
        <f t="shared" si="417"/>
        <v>4774.5999999999767</v>
      </c>
      <c r="AF604" s="53"/>
      <c r="AG604" s="53">
        <f t="shared" si="395"/>
        <v>67.369999999995343</v>
      </c>
      <c r="AH604" s="54"/>
      <c r="AI604" s="54"/>
      <c r="AJ604" s="54"/>
      <c r="AK604" s="54">
        <f t="shared" si="418"/>
        <v>67.369999999995343</v>
      </c>
      <c r="AL604" s="53"/>
      <c r="AM604" s="53">
        <f t="shared" si="401"/>
        <v>0</v>
      </c>
      <c r="AN604" s="54"/>
      <c r="AO604" s="54"/>
      <c r="AP604" s="54"/>
      <c r="AQ604" s="54">
        <f t="shared" si="402"/>
        <v>0</v>
      </c>
      <c r="AR604" s="53"/>
      <c r="AS604" s="50">
        <f t="shared" si="420"/>
        <v>-5604939.5100000007</v>
      </c>
      <c r="AT604" s="73">
        <f t="shared" si="455"/>
        <v>250480.63999999998</v>
      </c>
      <c r="AU604" s="50">
        <f t="shared" si="396"/>
        <v>0</v>
      </c>
      <c r="AV604" s="50">
        <f t="shared" si="456"/>
        <v>-99029.680000000095</v>
      </c>
      <c r="AW604" s="50"/>
      <c r="AX604" s="50">
        <f t="shared" si="404"/>
        <v>-5453488.5500000007</v>
      </c>
      <c r="AY604" s="50">
        <f t="shared" si="405"/>
        <v>9300000</v>
      </c>
      <c r="AZ604" s="50">
        <f t="shared" si="406"/>
        <v>3846511.4499999993</v>
      </c>
      <c r="BA604" s="15">
        <f t="shared" si="390"/>
        <v>-4544.5737916666676</v>
      </c>
      <c r="BB604" s="15">
        <f t="shared" si="458"/>
        <v>-44962.405366666666</v>
      </c>
      <c r="BC604" s="58">
        <f>AVERAGE(AX588:AX604)</f>
        <v>-3173816.8494117646</v>
      </c>
    </row>
    <row r="605" spans="2:55" s="58" customFormat="1" ht="12.75" customHeight="1" x14ac:dyDescent="0.3">
      <c r="B605" s="99">
        <f t="shared" si="461"/>
        <v>45009</v>
      </c>
      <c r="C605" s="44">
        <f t="shared" si="409"/>
        <v>-1430612.7999999998</v>
      </c>
      <c r="D605" s="45"/>
      <c r="E605" s="45"/>
      <c r="F605" s="45"/>
      <c r="G605" s="45">
        <f t="shared" si="462"/>
        <v>-1430612.7999999998</v>
      </c>
      <c r="H605" s="44">
        <v>4300000</v>
      </c>
      <c r="I605" s="46">
        <f t="shared" si="410"/>
        <v>-4027801.2</v>
      </c>
      <c r="J605" s="47">
        <f>6195.43+25996.41+361350.13+90453.28</f>
        <v>483995.25</v>
      </c>
      <c r="K605" s="47"/>
      <c r="L605" s="47">
        <v>-32265.3399999998</v>
      </c>
      <c r="M605" s="47">
        <f t="shared" si="411"/>
        <v>-3576071.29</v>
      </c>
      <c r="N605" s="46">
        <v>5000000</v>
      </c>
      <c r="O605" s="48">
        <f t="shared" si="412"/>
        <v>52.559999999997672</v>
      </c>
      <c r="P605" s="55">
        <v>162.88</v>
      </c>
      <c r="Q605" s="55"/>
      <c r="R605" s="55"/>
      <c r="S605" s="55">
        <f t="shared" si="413"/>
        <v>215.43999999999767</v>
      </c>
      <c r="T605" s="48"/>
      <c r="U605" s="49">
        <f t="shared" si="414"/>
        <v>30.920000000094298</v>
      </c>
      <c r="V605" s="51"/>
      <c r="W605" s="51"/>
      <c r="X605" s="51"/>
      <c r="Y605" s="51">
        <f t="shared" si="415"/>
        <v>30.920000000094298</v>
      </c>
      <c r="Z605" s="52"/>
      <c r="AA605" s="53">
        <f t="shared" si="416"/>
        <v>4774.5999999999767</v>
      </c>
      <c r="AB605" s="54"/>
      <c r="AC605" s="54"/>
      <c r="AD605" s="54">
        <f>-228.779999999977+0.74</f>
        <v>-228.039999999977</v>
      </c>
      <c r="AE605" s="54">
        <f t="shared" si="417"/>
        <v>4546.5599999999995</v>
      </c>
      <c r="AF605" s="53"/>
      <c r="AG605" s="53">
        <f t="shared" si="395"/>
        <v>67.369999999995343</v>
      </c>
      <c r="AH605" s="54"/>
      <c r="AI605" s="54"/>
      <c r="AJ605" s="54"/>
      <c r="AK605" s="54">
        <f t="shared" si="418"/>
        <v>67.369999999995343</v>
      </c>
      <c r="AL605" s="53"/>
      <c r="AM605" s="53">
        <f t="shared" si="401"/>
        <v>0</v>
      </c>
      <c r="AN605" s="54"/>
      <c r="AO605" s="54"/>
      <c r="AP605" s="54"/>
      <c r="AQ605" s="54">
        <f t="shared" si="402"/>
        <v>0</v>
      </c>
      <c r="AR605" s="53"/>
      <c r="AS605" s="50">
        <f t="shared" si="420"/>
        <v>-5453488.5500000007</v>
      </c>
      <c r="AT605" s="73">
        <f t="shared" si="455"/>
        <v>484158.13</v>
      </c>
      <c r="AU605" s="50">
        <f t="shared" si="396"/>
        <v>0</v>
      </c>
      <c r="AV605" s="50">
        <f t="shared" si="456"/>
        <v>-32493.379999999775</v>
      </c>
      <c r="AW605" s="50"/>
      <c r="AX605" s="50">
        <f t="shared" si="404"/>
        <v>-5001823.8</v>
      </c>
      <c r="AY605" s="50">
        <f t="shared" si="405"/>
        <v>9300000</v>
      </c>
      <c r="AZ605" s="50">
        <f t="shared" si="406"/>
        <v>4298176.2</v>
      </c>
      <c r="BA605" s="15">
        <f t="shared" si="390"/>
        <v>-4168.1864999999998</v>
      </c>
      <c r="BB605" s="15">
        <f t="shared" si="458"/>
        <v>-49130.591866666669</v>
      </c>
      <c r="BC605" s="58">
        <f>AVERAGE(AX588:AX605)</f>
        <v>-3275372.7911111107</v>
      </c>
    </row>
    <row r="606" spans="2:55" s="58" customFormat="1" ht="12.75" customHeight="1" x14ac:dyDescent="0.3">
      <c r="B606" s="99">
        <f t="shared" ref="B606" si="465">B605+3</f>
        <v>45012</v>
      </c>
      <c r="C606" s="44">
        <f t="shared" si="409"/>
        <v>-1430612.7999999998</v>
      </c>
      <c r="D606" s="45">
        <v>359639</v>
      </c>
      <c r="E606" s="45"/>
      <c r="F606" s="45">
        <v>-38666.629999999997</v>
      </c>
      <c r="G606" s="45">
        <f>SUM(C606:F606)</f>
        <v>-1109640.4299999997</v>
      </c>
      <c r="H606" s="44">
        <v>4300000</v>
      </c>
      <c r="I606" s="46">
        <f t="shared" si="410"/>
        <v>-3576071.29</v>
      </c>
      <c r="J606" s="47">
        <v>551440.6</v>
      </c>
      <c r="K606" s="47"/>
      <c r="L606" s="47">
        <v>-335314.78000000003</v>
      </c>
      <c r="M606" s="47">
        <f t="shared" si="411"/>
        <v>-3359945.4699999997</v>
      </c>
      <c r="N606" s="46">
        <v>5000000</v>
      </c>
      <c r="O606" s="48">
        <f t="shared" si="412"/>
        <v>215.43999999999767</v>
      </c>
      <c r="P606" s="55"/>
      <c r="Q606" s="55"/>
      <c r="R606" s="55">
        <v>-103</v>
      </c>
      <c r="S606" s="55">
        <f t="shared" si="413"/>
        <v>112.43999999999767</v>
      </c>
      <c r="T606" s="48"/>
      <c r="U606" s="49">
        <f t="shared" si="414"/>
        <v>30.920000000094298</v>
      </c>
      <c r="V606" s="51">
        <v>256196.69</v>
      </c>
      <c r="W606" s="51"/>
      <c r="X606" s="51"/>
      <c r="Y606" s="51">
        <f t="shared" si="415"/>
        <v>256227.6100000001</v>
      </c>
      <c r="Z606" s="52"/>
      <c r="AA606" s="53">
        <f t="shared" si="416"/>
        <v>4546.5599999999995</v>
      </c>
      <c r="AB606" s="54"/>
      <c r="AC606" s="54"/>
      <c r="AD606" s="54"/>
      <c r="AE606" s="54">
        <f t="shared" si="417"/>
        <v>4546.5599999999995</v>
      </c>
      <c r="AF606" s="53"/>
      <c r="AG606" s="53">
        <f t="shared" si="395"/>
        <v>67.369999999995343</v>
      </c>
      <c r="AH606" s="54"/>
      <c r="AI606" s="54"/>
      <c r="AJ606" s="54"/>
      <c r="AK606" s="54">
        <f t="shared" si="418"/>
        <v>67.369999999995343</v>
      </c>
      <c r="AL606" s="53"/>
      <c r="AM606" s="53">
        <f t="shared" si="401"/>
        <v>0</v>
      </c>
      <c r="AN606" s="54"/>
      <c r="AO606" s="54"/>
      <c r="AP606" s="54"/>
      <c r="AQ606" s="54">
        <f t="shared" si="402"/>
        <v>0</v>
      </c>
      <c r="AR606" s="53"/>
      <c r="AS606" s="50">
        <f t="shared" si="420"/>
        <v>-5001823.8</v>
      </c>
      <c r="AT606" s="73">
        <f t="shared" si="455"/>
        <v>1167276.29</v>
      </c>
      <c r="AU606" s="50">
        <f t="shared" si="396"/>
        <v>0</v>
      </c>
      <c r="AV606" s="50">
        <f t="shared" si="456"/>
        <v>-374084.41000000003</v>
      </c>
      <c r="AW606" s="50"/>
      <c r="AX606" s="50">
        <f t="shared" si="404"/>
        <v>-4208631.919999999</v>
      </c>
      <c r="AY606" s="50">
        <f t="shared" si="405"/>
        <v>9300000</v>
      </c>
      <c r="AZ606" s="50">
        <f t="shared" si="406"/>
        <v>5091368.080000001</v>
      </c>
      <c r="BA606" s="15">
        <f t="shared" si="390"/>
        <v>-3507.1932666666662</v>
      </c>
      <c r="BB606" s="15">
        <f t="shared" si="458"/>
        <v>-52637.785133333338</v>
      </c>
      <c r="BC606" s="58">
        <f>AVERAGE(AX588:AX606)</f>
        <v>-3324491.6926315785</v>
      </c>
    </row>
    <row r="607" spans="2:55" s="58" customFormat="1" ht="12.75" customHeight="1" x14ac:dyDescent="0.3">
      <c r="B607" s="99">
        <f t="shared" ref="B607" si="466">B606+1</f>
        <v>45013</v>
      </c>
      <c r="C607" s="44">
        <f t="shared" si="409"/>
        <v>-1109640.4299999997</v>
      </c>
      <c r="D607" s="45"/>
      <c r="E607" s="45"/>
      <c r="F607" s="45"/>
      <c r="G607" s="45">
        <f t="shared" si="462"/>
        <v>-1109640.4299999997</v>
      </c>
      <c r="H607" s="44">
        <v>4300000</v>
      </c>
      <c r="I607" s="46">
        <f t="shared" si="410"/>
        <v>-3359945.4699999997</v>
      </c>
      <c r="J607" s="47">
        <v>211093.75</v>
      </c>
      <c r="K607" s="47"/>
      <c r="L607" s="47">
        <v>-1882.3300000003001</v>
      </c>
      <c r="M607" s="47">
        <f t="shared" si="411"/>
        <v>-3150734.05</v>
      </c>
      <c r="N607" s="46">
        <v>5000000</v>
      </c>
      <c r="O607" s="48">
        <f t="shared" si="412"/>
        <v>112.43999999999767</v>
      </c>
      <c r="P607" s="55"/>
      <c r="Q607" s="55"/>
      <c r="R607" s="55"/>
      <c r="S607" s="55">
        <f t="shared" si="413"/>
        <v>112.43999999999767</v>
      </c>
      <c r="T607" s="48"/>
      <c r="U607" s="49">
        <f t="shared" si="414"/>
        <v>256227.6100000001</v>
      </c>
      <c r="V607" s="51"/>
      <c r="W607" s="51"/>
      <c r="X607" s="51"/>
      <c r="Y607" s="51">
        <f t="shared" si="415"/>
        <v>256227.6100000001</v>
      </c>
      <c r="Z607" s="52"/>
      <c r="AA607" s="53">
        <f t="shared" si="416"/>
        <v>4546.5599999999995</v>
      </c>
      <c r="AB607" s="54"/>
      <c r="AC607" s="54"/>
      <c r="AD607" s="54"/>
      <c r="AE607" s="54">
        <f t="shared" si="417"/>
        <v>4546.5599999999995</v>
      </c>
      <c r="AF607" s="53"/>
      <c r="AG607" s="53">
        <f t="shared" si="395"/>
        <v>67.369999999995343</v>
      </c>
      <c r="AH607" s="54"/>
      <c r="AI607" s="54"/>
      <c r="AJ607" s="54"/>
      <c r="AK607" s="54">
        <f t="shared" si="418"/>
        <v>67.369999999995343</v>
      </c>
      <c r="AL607" s="53"/>
      <c r="AM607" s="53">
        <f t="shared" si="401"/>
        <v>0</v>
      </c>
      <c r="AN607" s="54"/>
      <c r="AO607" s="54"/>
      <c r="AP607" s="54"/>
      <c r="AQ607" s="54">
        <f t="shared" si="402"/>
        <v>0</v>
      </c>
      <c r="AR607" s="53"/>
      <c r="AS607" s="50">
        <f t="shared" si="420"/>
        <v>-4208631.919999999</v>
      </c>
      <c r="AT607" s="73">
        <f t="shared" si="455"/>
        <v>211093.75</v>
      </c>
      <c r="AU607" s="50">
        <f t="shared" si="396"/>
        <v>0</v>
      </c>
      <c r="AV607" s="50">
        <f t="shared" si="456"/>
        <v>-1882.3300000003001</v>
      </c>
      <c r="AW607" s="50"/>
      <c r="AX607" s="50">
        <f t="shared" si="404"/>
        <v>-3999420.4999999986</v>
      </c>
      <c r="AY607" s="50">
        <f t="shared" si="405"/>
        <v>9300000</v>
      </c>
      <c r="AZ607" s="50">
        <f t="shared" si="406"/>
        <v>5300579.5000000019</v>
      </c>
      <c r="BA607" s="15">
        <f t="shared" si="390"/>
        <v>-3332.8504166666658</v>
      </c>
      <c r="BB607" s="15">
        <f t="shared" si="458"/>
        <v>-55970.635550000006</v>
      </c>
      <c r="BC607" s="58">
        <f>AVERAGE(AX588:AX607)</f>
        <v>-3358238.1329999999</v>
      </c>
    </row>
    <row r="608" spans="2:55" s="58" customFormat="1" ht="12.75" customHeight="1" x14ac:dyDescent="0.3">
      <c r="B608" s="99">
        <f t="shared" si="461"/>
        <v>45014</v>
      </c>
      <c r="C608" s="44">
        <f t="shared" si="409"/>
        <v>-1109640.4299999997</v>
      </c>
      <c r="D608" s="45">
        <f>1394100.87-45942-5427.91</f>
        <v>1342730.9600000002</v>
      </c>
      <c r="E608" s="45"/>
      <c r="F608" s="45">
        <v>-3627.8800000004999</v>
      </c>
      <c r="G608" s="45">
        <f t="shared" si="462"/>
        <v>229462.65</v>
      </c>
      <c r="H608" s="44">
        <v>4300000</v>
      </c>
      <c r="I608" s="46">
        <f t="shared" si="410"/>
        <v>-3150734.05</v>
      </c>
      <c r="J608" s="47">
        <f>18770+14882.74*3+117870.9+6861.32+6185.2+90303.95</f>
        <v>284639.59000000003</v>
      </c>
      <c r="K608" s="47"/>
      <c r="L608" s="47">
        <v>-275407.94</v>
      </c>
      <c r="M608" s="47">
        <f t="shared" si="411"/>
        <v>-3141502.4</v>
      </c>
      <c r="N608" s="46">
        <v>5000000</v>
      </c>
      <c r="O608" s="48">
        <f t="shared" si="412"/>
        <v>112.43999999999767</v>
      </c>
      <c r="P608" s="55"/>
      <c r="Q608" s="55"/>
      <c r="R608" s="55"/>
      <c r="S608" s="55">
        <f t="shared" si="413"/>
        <v>112.43999999999767</v>
      </c>
      <c r="T608" s="48"/>
      <c r="U608" s="49">
        <f t="shared" si="414"/>
        <v>256227.6100000001</v>
      </c>
      <c r="V608" s="51">
        <v>43817.25</v>
      </c>
      <c r="W608" s="51"/>
      <c r="X608" s="51"/>
      <c r="Y608" s="51">
        <f t="shared" si="415"/>
        <v>300044.8600000001</v>
      </c>
      <c r="Z608" s="52"/>
      <c r="AA608" s="53">
        <f t="shared" si="416"/>
        <v>4546.5599999999995</v>
      </c>
      <c r="AB608" s="54"/>
      <c r="AC608" s="54"/>
      <c r="AD608" s="54"/>
      <c r="AE608" s="54">
        <f t="shared" si="417"/>
        <v>4546.5599999999995</v>
      </c>
      <c r="AF608" s="53"/>
      <c r="AG608" s="53">
        <f t="shared" si="395"/>
        <v>67.369999999995343</v>
      </c>
      <c r="AH608" s="54"/>
      <c r="AI608" s="54"/>
      <c r="AJ608" s="54"/>
      <c r="AK608" s="54">
        <f t="shared" si="418"/>
        <v>67.369999999995343</v>
      </c>
      <c r="AL608" s="53"/>
      <c r="AM608" s="53">
        <f t="shared" si="401"/>
        <v>0</v>
      </c>
      <c r="AN608" s="54"/>
      <c r="AO608" s="54"/>
      <c r="AP608" s="54"/>
      <c r="AQ608" s="54">
        <f t="shared" si="402"/>
        <v>0</v>
      </c>
      <c r="AR608" s="53"/>
      <c r="AS608" s="50">
        <f t="shared" si="420"/>
        <v>-3999420.4999999986</v>
      </c>
      <c r="AT608" s="73">
        <f t="shared" si="455"/>
        <v>1671187.8000000003</v>
      </c>
      <c r="AU608" s="50">
        <f t="shared" si="396"/>
        <v>0</v>
      </c>
      <c r="AV608" s="50">
        <f t="shared" si="456"/>
        <v>-279035.82000000053</v>
      </c>
      <c r="AW608" s="50"/>
      <c r="AX608" s="50">
        <f t="shared" si="404"/>
        <v>-2607268.52</v>
      </c>
      <c r="AY608" s="50">
        <f t="shared" si="405"/>
        <v>9300000</v>
      </c>
      <c r="AZ608" s="50">
        <f t="shared" si="406"/>
        <v>6692731.4800000004</v>
      </c>
      <c r="BA608" s="15">
        <f t="shared" si="390"/>
        <v>-2172.723766666667</v>
      </c>
      <c r="BB608" s="15">
        <f t="shared" si="458"/>
        <v>-58143.359316666676</v>
      </c>
      <c r="BC608" s="58">
        <f>AVERAGE(AX588:AX608)</f>
        <v>-3322477.6752380948</v>
      </c>
    </row>
    <row r="609" spans="2:55" s="58" customFormat="1" ht="12.75" customHeight="1" x14ac:dyDescent="0.3">
      <c r="B609" s="99">
        <f t="shared" si="461"/>
        <v>45015</v>
      </c>
      <c r="C609" s="44">
        <f t="shared" si="409"/>
        <v>229462.65</v>
      </c>
      <c r="D609" s="45">
        <f>45942+5427.91+0.5</f>
        <v>51370.41</v>
      </c>
      <c r="E609" s="45"/>
      <c r="F609" s="45"/>
      <c r="G609" s="45">
        <f t="shared" si="462"/>
        <v>280833.06</v>
      </c>
      <c r="H609" s="44">
        <v>4300000</v>
      </c>
      <c r="I609" s="46">
        <f t="shared" si="410"/>
        <v>-3141502.4</v>
      </c>
      <c r="J609" s="47">
        <v>572975.14</v>
      </c>
      <c r="K609" s="47">
        <v>1936000</v>
      </c>
      <c r="L609" s="47">
        <v>-58314.260000000198</v>
      </c>
      <c r="M609" s="47">
        <f t="shared" si="411"/>
        <v>-690841.52</v>
      </c>
      <c r="N609" s="46">
        <v>5000000</v>
      </c>
      <c r="O609" s="48">
        <f t="shared" si="412"/>
        <v>112.43999999999767</v>
      </c>
      <c r="P609" s="55">
        <f>1659312.93-859300</f>
        <v>800012.92999999993</v>
      </c>
      <c r="Q609" s="55">
        <f>-1650000+859300</f>
        <v>-790700</v>
      </c>
      <c r="R609" s="55">
        <v>-11.5</v>
      </c>
      <c r="S609" s="55">
        <f t="shared" si="413"/>
        <v>9413.8699999998789</v>
      </c>
      <c r="T609" s="48"/>
      <c r="U609" s="49">
        <f t="shared" si="414"/>
        <v>300044.8600000001</v>
      </c>
      <c r="V609" s="51">
        <f>80370.8+478896.83</f>
        <v>559267.63</v>
      </c>
      <c r="W609" s="51">
        <v>-859300</v>
      </c>
      <c r="X609" s="51">
        <v>-1.4</v>
      </c>
      <c r="Y609" s="51">
        <f t="shared" si="415"/>
        <v>11.090000000107102</v>
      </c>
      <c r="Z609" s="52"/>
      <c r="AA609" s="53">
        <f t="shared" si="416"/>
        <v>4546.5599999999995</v>
      </c>
      <c r="AB609" s="54"/>
      <c r="AC609" s="54"/>
      <c r="AD609" s="54"/>
      <c r="AE609" s="54">
        <f t="shared" si="417"/>
        <v>4546.5599999999995</v>
      </c>
      <c r="AF609" s="53"/>
      <c r="AG609" s="53">
        <f t="shared" si="395"/>
        <v>67.369999999995343</v>
      </c>
      <c r="AH609" s="54">
        <v>286841.09000000003</v>
      </c>
      <c r="AI609" s="54">
        <v>-286000</v>
      </c>
      <c r="AJ609" s="54">
        <f>-290-0.44+0.88</f>
        <v>-289.56</v>
      </c>
      <c r="AK609" s="54">
        <f t="shared" si="418"/>
        <v>618.90000000002101</v>
      </c>
      <c r="AL609" s="53"/>
      <c r="AM609" s="53">
        <f t="shared" si="401"/>
        <v>0</v>
      </c>
      <c r="AN609" s="54"/>
      <c r="AO609" s="54"/>
      <c r="AP609" s="54"/>
      <c r="AQ609" s="54">
        <f t="shared" si="402"/>
        <v>0</v>
      </c>
      <c r="AR609" s="53"/>
      <c r="AS609" s="50">
        <f t="shared" si="420"/>
        <v>-2607268.52</v>
      </c>
      <c r="AT609" s="73">
        <f t="shared" si="455"/>
        <v>2270467.1999999997</v>
      </c>
      <c r="AU609" s="50">
        <f t="shared" si="396"/>
        <v>0</v>
      </c>
      <c r="AV609" s="50">
        <f>SUM(F609,L609,R609,X609,AD609,AJ609)</f>
        <v>-58616.720000000198</v>
      </c>
      <c r="AW609" s="50"/>
      <c r="AX609" s="50">
        <f t="shared" si="404"/>
        <v>-395418.04000000004</v>
      </c>
      <c r="AY609" s="50">
        <f t="shared" si="405"/>
        <v>9300000</v>
      </c>
      <c r="AZ609" s="50">
        <f t="shared" si="406"/>
        <v>8904581.9600000009</v>
      </c>
      <c r="BA609" s="15">
        <f t="shared" ref="BA609" si="467">AX609*$BA$1</f>
        <v>-329.51503333333341</v>
      </c>
      <c r="BB609" s="15">
        <f t="shared" ref="BB609:BB615" si="468">BA609+BB608</f>
        <v>-58472.874350000013</v>
      </c>
      <c r="BC609" s="58">
        <f>AVERAGE(AX588:AX609)</f>
        <v>-3189429.51</v>
      </c>
    </row>
    <row r="610" spans="2:55" s="58" customFormat="1" ht="12.75" customHeight="1" x14ac:dyDescent="0.3">
      <c r="B610" s="99">
        <f t="shared" si="461"/>
        <v>45016</v>
      </c>
      <c r="C610" s="44">
        <f t="shared" si="409"/>
        <v>280833.06</v>
      </c>
      <c r="D610" s="45">
        <f>582304.35-5216.23-910.59</f>
        <v>576177.53</v>
      </c>
      <c r="E610" s="45"/>
      <c r="F610" s="45">
        <f>-72934.91+2.91</f>
        <v>-72932</v>
      </c>
      <c r="G610" s="45">
        <f t="shared" si="462"/>
        <v>784078.59000000008</v>
      </c>
      <c r="H610" s="44">
        <v>4300000</v>
      </c>
      <c r="I610" s="46">
        <f t="shared" si="410"/>
        <v>-690841.52</v>
      </c>
      <c r="J610" s="47">
        <v>517610.44</v>
      </c>
      <c r="K610" s="47"/>
      <c r="L610" s="47">
        <v>-34878.679999999898</v>
      </c>
      <c r="M610" s="47">
        <f t="shared" si="411"/>
        <v>-208109.75999999992</v>
      </c>
      <c r="N610" s="46">
        <v>5000000</v>
      </c>
      <c r="O610" s="48">
        <f t="shared" si="412"/>
        <v>9413.8699999998789</v>
      </c>
      <c r="P610" s="55"/>
      <c r="Q610" s="55"/>
      <c r="R610" s="55"/>
      <c r="S610" s="55">
        <f t="shared" si="413"/>
        <v>9413.8699999998789</v>
      </c>
      <c r="T610" s="48"/>
      <c r="U610" s="49">
        <f t="shared" si="414"/>
        <v>11.090000000107102</v>
      </c>
      <c r="V610" s="51">
        <v>66906.42</v>
      </c>
      <c r="W610" s="51"/>
      <c r="X610" s="51"/>
      <c r="Y610" s="51">
        <f t="shared" si="415"/>
        <v>66917.510000000111</v>
      </c>
      <c r="Z610" s="52"/>
      <c r="AA610" s="53">
        <f t="shared" si="416"/>
        <v>4546.5599999999995</v>
      </c>
      <c r="AB610" s="54"/>
      <c r="AC610" s="54"/>
      <c r="AD610" s="54"/>
      <c r="AE610" s="54">
        <f t="shared" si="417"/>
        <v>4546.5599999999995</v>
      </c>
      <c r="AF610" s="53"/>
      <c r="AG610" s="53">
        <f t="shared" si="395"/>
        <v>618.90000000002101</v>
      </c>
      <c r="AH610" s="54"/>
      <c r="AI610" s="54"/>
      <c r="AJ610" s="54"/>
      <c r="AK610" s="54">
        <f t="shared" si="418"/>
        <v>618.90000000002101</v>
      </c>
      <c r="AL610" s="53"/>
      <c r="AM610" s="53">
        <f t="shared" si="401"/>
        <v>0</v>
      </c>
      <c r="AN610" s="54"/>
      <c r="AO610" s="54"/>
      <c r="AP610" s="54"/>
      <c r="AQ610" s="54">
        <f t="shared" si="402"/>
        <v>0</v>
      </c>
      <c r="AR610" s="53"/>
      <c r="AS610" s="50">
        <f t="shared" si="420"/>
        <v>-395418.04000000004</v>
      </c>
      <c r="AT610" s="73">
        <f t="shared" si="455"/>
        <v>1160694.3899999999</v>
      </c>
      <c r="AU610" s="50">
        <f t="shared" si="396"/>
        <v>0</v>
      </c>
      <c r="AV610" s="50">
        <f t="shared" si="456"/>
        <v>-107810.67999999991</v>
      </c>
      <c r="AW610" s="50"/>
      <c r="AX610" s="50">
        <f t="shared" si="404"/>
        <v>657465.67000000027</v>
      </c>
      <c r="AY610" s="50">
        <f t="shared" si="405"/>
        <v>9300000</v>
      </c>
      <c r="AZ610" s="50">
        <f t="shared" si="406"/>
        <v>9957465.6699999999</v>
      </c>
      <c r="BA610" s="15">
        <f>IF(AX610&lt;0,AX610,0)</f>
        <v>0</v>
      </c>
      <c r="BB610" s="15">
        <f t="shared" si="468"/>
        <v>-58472.874350000013</v>
      </c>
      <c r="BC610" s="58">
        <f>AVERAGE(AX588:AX610)</f>
        <v>-3022173.197826087</v>
      </c>
    </row>
    <row r="611" spans="2:55" s="58" customFormat="1" ht="12.75" customHeight="1" x14ac:dyDescent="0.3">
      <c r="B611" s="99">
        <f t="shared" ref="B611" si="469">B610+3</f>
        <v>45019</v>
      </c>
      <c r="C611" s="44">
        <f t="shared" si="409"/>
        <v>784078.59000000008</v>
      </c>
      <c r="D611" s="45">
        <f>43986.01+27629.44+53821.2+10775.47+95474.98+5216.23+910.59</f>
        <v>237813.91999999998</v>
      </c>
      <c r="E611" s="45">
        <v>-220000</v>
      </c>
      <c r="F611" s="45">
        <v>-338318.72</v>
      </c>
      <c r="G611" s="45">
        <f t="shared" si="462"/>
        <v>463573.79000000004</v>
      </c>
      <c r="H611" s="44">
        <v>4300000</v>
      </c>
      <c r="I611" s="46">
        <f t="shared" si="410"/>
        <v>-208109.75999999992</v>
      </c>
      <c r="J611" s="47"/>
      <c r="K611" s="47">
        <v>-50000</v>
      </c>
      <c r="L611" s="47">
        <v>-80043.759999999995</v>
      </c>
      <c r="M611" s="47">
        <f t="shared" si="411"/>
        <v>-338153.5199999999</v>
      </c>
      <c r="N611" s="46">
        <v>5000000</v>
      </c>
      <c r="O611" s="48">
        <f t="shared" si="412"/>
        <v>9413.8699999998789</v>
      </c>
      <c r="P611" s="55"/>
      <c r="Q611" s="55"/>
      <c r="R611" s="55"/>
      <c r="S611" s="55">
        <f t="shared" si="413"/>
        <v>9413.8699999998789</v>
      </c>
      <c r="T611" s="48"/>
      <c r="U611" s="49">
        <f t="shared" si="414"/>
        <v>66917.510000000111</v>
      </c>
      <c r="V611" s="51"/>
      <c r="W611" s="51"/>
      <c r="X611" s="51"/>
      <c r="Y611" s="51">
        <f t="shared" si="415"/>
        <v>66917.510000000111</v>
      </c>
      <c r="Z611" s="52"/>
      <c r="AA611" s="53">
        <f t="shared" si="416"/>
        <v>4546.5599999999995</v>
      </c>
      <c r="AB611" s="54"/>
      <c r="AC611" s="54">
        <f>220000+50000</f>
        <v>270000</v>
      </c>
      <c r="AD611" s="54">
        <f>-(2700.57+476.57+92.36+208333.37)</f>
        <v>-211602.87</v>
      </c>
      <c r="AE611" s="54">
        <f t="shared" si="417"/>
        <v>62943.69</v>
      </c>
      <c r="AF611" s="53"/>
      <c r="AG611" s="53">
        <f t="shared" si="395"/>
        <v>618.90000000002101</v>
      </c>
      <c r="AH611" s="54"/>
      <c r="AI611" s="54"/>
      <c r="AJ611" s="54"/>
      <c r="AK611" s="54">
        <f t="shared" si="418"/>
        <v>618.90000000002101</v>
      </c>
      <c r="AL611" s="53"/>
      <c r="AM611" s="53">
        <f t="shared" si="401"/>
        <v>0</v>
      </c>
      <c r="AN611" s="54"/>
      <c r="AO611" s="54"/>
      <c r="AP611" s="54"/>
      <c r="AQ611" s="54">
        <f t="shared" si="402"/>
        <v>0</v>
      </c>
      <c r="AR611" s="53"/>
      <c r="AS611" s="50">
        <f t="shared" si="420"/>
        <v>657465.67000000027</v>
      </c>
      <c r="AT611" s="73">
        <f t="shared" si="455"/>
        <v>237813.91999999998</v>
      </c>
      <c r="AU611" s="50">
        <f t="shared" si="396"/>
        <v>0</v>
      </c>
      <c r="AV611" s="73">
        <f t="shared" si="456"/>
        <v>-629965.35</v>
      </c>
      <c r="AW611" s="50"/>
      <c r="AX611" s="50">
        <f t="shared" si="404"/>
        <v>265314.24000000017</v>
      </c>
      <c r="AY611" s="50">
        <f t="shared" si="405"/>
        <v>9300000</v>
      </c>
      <c r="AZ611" s="50">
        <f t="shared" si="406"/>
        <v>9565314.2400000002</v>
      </c>
      <c r="BA611" s="15">
        <f t="shared" ref="BA611:BA616" si="470">IF(AX611&lt;0,A611,0)</f>
        <v>0</v>
      </c>
      <c r="BB611" s="15">
        <f t="shared" si="468"/>
        <v>-58472.874350000013</v>
      </c>
      <c r="BC611" s="58">
        <f>AX611</f>
        <v>265314.24000000017</v>
      </c>
    </row>
    <row r="612" spans="2:55" s="58" customFormat="1" ht="12.75" customHeight="1" x14ac:dyDescent="0.3">
      <c r="B612" s="99">
        <f t="shared" ref="B612" si="471">B611+1</f>
        <v>45020</v>
      </c>
      <c r="C612" s="44">
        <f t="shared" si="409"/>
        <v>463573.79000000004</v>
      </c>
      <c r="D612" s="45">
        <f>234235.02+236386.01+53971+10775.47+25567.44</f>
        <v>560934.93999999994</v>
      </c>
      <c r="E612" s="45">
        <v>-400000</v>
      </c>
      <c r="F612" s="45">
        <v>-14883.54</v>
      </c>
      <c r="G612" s="45">
        <f t="shared" si="462"/>
        <v>609625.18999999994</v>
      </c>
      <c r="H612" s="44">
        <v>4300000</v>
      </c>
      <c r="I612" s="46">
        <f t="shared" si="410"/>
        <v>-338153.5199999999</v>
      </c>
      <c r="J612" s="47"/>
      <c r="K612" s="47">
        <f>1900000+400000</f>
        <v>2300000</v>
      </c>
      <c r="L612" s="47">
        <v>-2367867.39</v>
      </c>
      <c r="M612" s="47">
        <f t="shared" si="411"/>
        <v>-406020.91000000015</v>
      </c>
      <c r="N612" s="46">
        <v>5000000</v>
      </c>
      <c r="O612" s="48">
        <f t="shared" si="412"/>
        <v>9413.8699999998789</v>
      </c>
      <c r="P612" s="55"/>
      <c r="Q612" s="55">
        <f>-1900000+1891000</f>
        <v>-9000</v>
      </c>
      <c r="R612" s="55"/>
      <c r="S612" s="55">
        <f t="shared" si="413"/>
        <v>413.86999999987893</v>
      </c>
      <c r="T612" s="48"/>
      <c r="U612" s="49">
        <f t="shared" si="414"/>
        <v>66917.510000000111</v>
      </c>
      <c r="V612" s="51">
        <v>1824784.68</v>
      </c>
      <c r="W612" s="51">
        <v>-1891000</v>
      </c>
      <c r="X612" s="51">
        <f>-62.5-1.4</f>
        <v>-63.9</v>
      </c>
      <c r="Y612" s="51">
        <f t="shared" si="415"/>
        <v>638.28999999994414</v>
      </c>
      <c r="Z612" s="52"/>
      <c r="AA612" s="53">
        <f t="shared" si="416"/>
        <v>62943.69</v>
      </c>
      <c r="AB612" s="54"/>
      <c r="AC612" s="54"/>
      <c r="AD612" s="54">
        <v>-2056.4299999999998</v>
      </c>
      <c r="AE612" s="54">
        <f t="shared" si="417"/>
        <v>60887.26</v>
      </c>
      <c r="AF612" s="53"/>
      <c r="AG612" s="53">
        <f t="shared" si="395"/>
        <v>618.90000000002101</v>
      </c>
      <c r="AH612" s="54"/>
      <c r="AI612" s="54"/>
      <c r="AJ612" s="54"/>
      <c r="AK612" s="54">
        <f t="shared" si="418"/>
        <v>618.90000000002101</v>
      </c>
      <c r="AL612" s="53"/>
      <c r="AM612" s="53">
        <f t="shared" si="401"/>
        <v>0</v>
      </c>
      <c r="AN612" s="54"/>
      <c r="AO612" s="54"/>
      <c r="AP612" s="54"/>
      <c r="AQ612" s="54">
        <f t="shared" si="402"/>
        <v>0</v>
      </c>
      <c r="AR612" s="53"/>
      <c r="AS612" s="50">
        <f t="shared" si="420"/>
        <v>265314.24000000017</v>
      </c>
      <c r="AT612" s="73">
        <f t="shared" si="455"/>
        <v>2385719.62</v>
      </c>
      <c r="AU612" s="50">
        <f t="shared" si="396"/>
        <v>0</v>
      </c>
      <c r="AV612" s="73">
        <f t="shared" si="456"/>
        <v>-2384871.2600000002</v>
      </c>
      <c r="AW612" s="50"/>
      <c r="AX612" s="50">
        <f t="shared" si="404"/>
        <v>266162.59999999963</v>
      </c>
      <c r="AY612" s="50">
        <f t="shared" si="405"/>
        <v>9300000</v>
      </c>
      <c r="AZ612" s="50">
        <f t="shared" si="406"/>
        <v>9566162.5999999996</v>
      </c>
      <c r="BA612" s="15">
        <f t="shared" si="470"/>
        <v>0</v>
      </c>
      <c r="BB612" s="15">
        <f t="shared" si="468"/>
        <v>-58472.874350000013</v>
      </c>
      <c r="BC612" s="58">
        <f>AVERAGE(AX611:AX612)</f>
        <v>265738.41999999993</v>
      </c>
    </row>
    <row r="613" spans="2:55" s="58" customFormat="1" ht="12.75" customHeight="1" x14ac:dyDescent="0.3">
      <c r="B613" s="99">
        <f t="shared" si="461"/>
        <v>45021</v>
      </c>
      <c r="C613" s="44">
        <f t="shared" si="409"/>
        <v>609625.18999999994</v>
      </c>
      <c r="D613" s="45"/>
      <c r="E613" s="45"/>
      <c r="F613" s="45">
        <v>-592700.79</v>
      </c>
      <c r="G613" s="45">
        <f t="shared" si="462"/>
        <v>16924.399999999907</v>
      </c>
      <c r="H613" s="44">
        <v>4300000</v>
      </c>
      <c r="I613" s="46">
        <f t="shared" si="410"/>
        <v>-406020.91000000015</v>
      </c>
      <c r="J613" s="47">
        <v>3845.8</v>
      </c>
      <c r="K613" s="47">
        <v>1659000</v>
      </c>
      <c r="L613" s="47">
        <v>-605666.15</v>
      </c>
      <c r="M613" s="47">
        <f t="shared" si="411"/>
        <v>651158.73999999987</v>
      </c>
      <c r="N613" s="46">
        <v>5000000</v>
      </c>
      <c r="O613" s="48">
        <f t="shared" si="412"/>
        <v>413.86999999987893</v>
      </c>
      <c r="P613" s="55"/>
      <c r="Q613" s="55"/>
      <c r="R613" s="55">
        <v>-10</v>
      </c>
      <c r="S613" s="55">
        <f t="shared" si="413"/>
        <v>403.86999999987893</v>
      </c>
      <c r="T613" s="48"/>
      <c r="U613" s="49">
        <f t="shared" si="414"/>
        <v>638.28999999994414</v>
      </c>
      <c r="V613" s="51"/>
      <c r="W613" s="51"/>
      <c r="X613" s="51"/>
      <c r="Y613" s="51">
        <f t="shared" si="415"/>
        <v>638.28999999994414</v>
      </c>
      <c r="Z613" s="52"/>
      <c r="AA613" s="53">
        <f t="shared" si="416"/>
        <v>60887.26</v>
      </c>
      <c r="AB613" s="54">
        <v>1632107.85</v>
      </c>
      <c r="AC613" s="54">
        <v>-1659000</v>
      </c>
      <c r="AD613" s="54"/>
      <c r="AE613" s="54">
        <f t="shared" si="417"/>
        <v>33995.110000000102</v>
      </c>
      <c r="AF613" s="53"/>
      <c r="AG613" s="53">
        <f t="shared" si="395"/>
        <v>618.90000000002101</v>
      </c>
      <c r="AH613" s="54"/>
      <c r="AI613" s="54"/>
      <c r="AJ613" s="54"/>
      <c r="AK613" s="54">
        <f t="shared" si="418"/>
        <v>618.90000000002101</v>
      </c>
      <c r="AL613" s="53"/>
      <c r="AM613" s="53">
        <f t="shared" si="401"/>
        <v>0</v>
      </c>
      <c r="AN613" s="54"/>
      <c r="AO613" s="54"/>
      <c r="AP613" s="54"/>
      <c r="AQ613" s="54">
        <f t="shared" si="402"/>
        <v>0</v>
      </c>
      <c r="AR613" s="53"/>
      <c r="AS613" s="50">
        <f t="shared" si="420"/>
        <v>266162.59999999963</v>
      </c>
      <c r="AT613" s="73">
        <f t="shared" si="455"/>
        <v>1635953.6500000001</v>
      </c>
      <c r="AU613" s="50">
        <f t="shared" si="396"/>
        <v>0</v>
      </c>
      <c r="AV613" s="73">
        <f t="shared" si="456"/>
        <v>-1198376.94</v>
      </c>
      <c r="AW613" s="50"/>
      <c r="AX613" s="50">
        <f t="shared" si="404"/>
        <v>703739.30999999971</v>
      </c>
      <c r="AY613" s="50">
        <f t="shared" si="405"/>
        <v>9300000</v>
      </c>
      <c r="AZ613" s="50">
        <f t="shared" si="406"/>
        <v>10003739.310000001</v>
      </c>
      <c r="BA613" s="15">
        <f t="shared" si="470"/>
        <v>0</v>
      </c>
      <c r="BB613" s="15">
        <f t="shared" si="468"/>
        <v>-58472.874350000013</v>
      </c>
      <c r="BC613" s="58">
        <f>AVERAGE(AX611:AX613)</f>
        <v>411738.7166666665</v>
      </c>
    </row>
    <row r="614" spans="2:55" s="58" customFormat="1" ht="12.75" customHeight="1" x14ac:dyDescent="0.3">
      <c r="B614" s="99">
        <f t="shared" si="461"/>
        <v>45022</v>
      </c>
      <c r="C614" s="44">
        <f t="shared" si="409"/>
        <v>16924.399999999907</v>
      </c>
      <c r="D614" s="45">
        <v>1293.6600000000001</v>
      </c>
      <c r="E614" s="45">
        <v>100000</v>
      </c>
      <c r="F614" s="45">
        <v>-75433.159999999902</v>
      </c>
      <c r="G614" s="45">
        <f t="shared" si="462"/>
        <v>42784.900000000009</v>
      </c>
      <c r="H614" s="44">
        <v>4300000</v>
      </c>
      <c r="I614" s="46">
        <f t="shared" si="410"/>
        <v>651158.73999999987</v>
      </c>
      <c r="J614" s="47">
        <v>265921.11</v>
      </c>
      <c r="K614" s="47">
        <v>-100000</v>
      </c>
      <c r="L614" s="47">
        <v>-418149.94</v>
      </c>
      <c r="M614" s="47">
        <f t="shared" si="411"/>
        <v>398929.90999999986</v>
      </c>
      <c r="N614" s="46">
        <v>5000000</v>
      </c>
      <c r="O614" s="48">
        <f t="shared" si="412"/>
        <v>403.86999999987893</v>
      </c>
      <c r="P614" s="55">
        <v>2271.4000000001201</v>
      </c>
      <c r="Q614" s="55"/>
      <c r="R614" s="55"/>
      <c r="S614" s="55">
        <f t="shared" si="413"/>
        <v>2675.2699999999991</v>
      </c>
      <c r="T614" s="48"/>
      <c r="U614" s="49">
        <f t="shared" si="414"/>
        <v>638.28999999994414</v>
      </c>
      <c r="V614" s="51"/>
      <c r="W614" s="51"/>
      <c r="X614" s="51"/>
      <c r="Y614" s="51">
        <f t="shared" si="415"/>
        <v>638.28999999994414</v>
      </c>
      <c r="Z614" s="52"/>
      <c r="AA614" s="53">
        <f t="shared" si="416"/>
        <v>33995.110000000102</v>
      </c>
      <c r="AB614" s="54"/>
      <c r="AC614" s="54"/>
      <c r="AD614" s="54">
        <v>-33529.6700000001</v>
      </c>
      <c r="AE614" s="54">
        <f t="shared" si="417"/>
        <v>465.44000000000233</v>
      </c>
      <c r="AF614" s="53"/>
      <c r="AG614" s="53">
        <f t="shared" si="395"/>
        <v>618.90000000002101</v>
      </c>
      <c r="AH614" s="54"/>
      <c r="AI614" s="54"/>
      <c r="AJ614" s="54"/>
      <c r="AK614" s="54">
        <f t="shared" si="418"/>
        <v>618.90000000002101</v>
      </c>
      <c r="AL614" s="53"/>
      <c r="AM614" s="53">
        <f t="shared" si="401"/>
        <v>0</v>
      </c>
      <c r="AN614" s="54"/>
      <c r="AO614" s="54"/>
      <c r="AP614" s="54"/>
      <c r="AQ614" s="54">
        <f t="shared" si="402"/>
        <v>0</v>
      </c>
      <c r="AR614" s="53"/>
      <c r="AS614" s="50">
        <f t="shared" si="420"/>
        <v>703739.30999999971</v>
      </c>
      <c r="AT614" s="73">
        <f t="shared" si="455"/>
        <v>269486.1700000001</v>
      </c>
      <c r="AU614" s="50">
        <f t="shared" si="396"/>
        <v>0</v>
      </c>
      <c r="AV614" s="73">
        <f t="shared" si="456"/>
        <v>-527112.77</v>
      </c>
      <c r="AW614" s="50"/>
      <c r="AX614" s="50">
        <f t="shared" si="404"/>
        <v>446112.70999999985</v>
      </c>
      <c r="AY614" s="50">
        <f t="shared" si="405"/>
        <v>9300000</v>
      </c>
      <c r="AZ614" s="50">
        <f t="shared" si="406"/>
        <v>9746112.709999999</v>
      </c>
      <c r="BA614" s="15">
        <f t="shared" si="470"/>
        <v>0</v>
      </c>
      <c r="BB614" s="15">
        <f t="shared" si="468"/>
        <v>-58472.874350000013</v>
      </c>
      <c r="BC614" s="58">
        <f>AVERAGE(AX611:AX614)</f>
        <v>420332.21499999985</v>
      </c>
    </row>
    <row r="615" spans="2:55" s="58" customFormat="1" ht="12.75" customHeight="1" x14ac:dyDescent="0.3">
      <c r="B615" s="99">
        <f t="shared" si="461"/>
        <v>45023</v>
      </c>
      <c r="C615" s="44">
        <f t="shared" si="409"/>
        <v>42784.900000000009</v>
      </c>
      <c r="D615" s="45"/>
      <c r="E615" s="45"/>
      <c r="F615" s="45"/>
      <c r="G615" s="45">
        <f t="shared" si="462"/>
        <v>42784.900000000009</v>
      </c>
      <c r="H615" s="44">
        <v>4300000</v>
      </c>
      <c r="I615" s="46">
        <f t="shared" si="410"/>
        <v>398929.90999999986</v>
      </c>
      <c r="J615" s="47"/>
      <c r="K615" s="47"/>
      <c r="L615" s="47"/>
      <c r="M615" s="47">
        <f t="shared" si="411"/>
        <v>398929.90999999986</v>
      </c>
      <c r="N615" s="46">
        <v>5000000</v>
      </c>
      <c r="O615" s="48">
        <f t="shared" si="412"/>
        <v>2675.2699999999991</v>
      </c>
      <c r="P615" s="55"/>
      <c r="Q615" s="55"/>
      <c r="R615" s="55"/>
      <c r="S615" s="55">
        <f t="shared" si="413"/>
        <v>2675.2699999999991</v>
      </c>
      <c r="T615" s="48"/>
      <c r="U615" s="49">
        <f t="shared" si="414"/>
        <v>638.28999999994414</v>
      </c>
      <c r="V615" s="51"/>
      <c r="W615" s="51"/>
      <c r="X615" s="51"/>
      <c r="Y615" s="51">
        <f t="shared" si="415"/>
        <v>638.28999999994414</v>
      </c>
      <c r="Z615" s="52"/>
      <c r="AA615" s="53">
        <f t="shared" si="416"/>
        <v>465.44000000000233</v>
      </c>
      <c r="AB615" s="54"/>
      <c r="AC615" s="54"/>
      <c r="AD615" s="54"/>
      <c r="AE615" s="54">
        <f t="shared" si="417"/>
        <v>465.44000000000233</v>
      </c>
      <c r="AF615" s="53"/>
      <c r="AG615" s="53">
        <f t="shared" si="395"/>
        <v>618.90000000002101</v>
      </c>
      <c r="AH615" s="54"/>
      <c r="AI615" s="54"/>
      <c r="AJ615" s="54"/>
      <c r="AK615" s="54">
        <f t="shared" si="418"/>
        <v>618.90000000002101</v>
      </c>
      <c r="AL615" s="53"/>
      <c r="AM615" s="53">
        <f t="shared" si="401"/>
        <v>0</v>
      </c>
      <c r="AN615" s="54"/>
      <c r="AO615" s="54"/>
      <c r="AP615" s="54"/>
      <c r="AQ615" s="54">
        <f t="shared" si="402"/>
        <v>0</v>
      </c>
      <c r="AR615" s="53"/>
      <c r="AS615" s="50">
        <f t="shared" si="420"/>
        <v>446112.70999999985</v>
      </c>
      <c r="AT615" s="73">
        <f t="shared" si="455"/>
        <v>0</v>
      </c>
      <c r="AU615" s="50">
        <f t="shared" si="396"/>
        <v>0</v>
      </c>
      <c r="AV615" s="73">
        <f t="shared" si="456"/>
        <v>0</v>
      </c>
      <c r="AW615" s="50"/>
      <c r="AX615" s="50">
        <f t="shared" si="404"/>
        <v>446112.70999999985</v>
      </c>
      <c r="AY615" s="50">
        <f t="shared" si="405"/>
        <v>9300000</v>
      </c>
      <c r="AZ615" s="50">
        <f t="shared" si="406"/>
        <v>9746112.709999999</v>
      </c>
      <c r="BA615" s="15">
        <f t="shared" si="470"/>
        <v>0</v>
      </c>
      <c r="BB615" s="15">
        <f t="shared" si="468"/>
        <v>-58472.874350000013</v>
      </c>
      <c r="BC615" s="58">
        <f>AVERAGE(AX611:AX615)</f>
        <v>425488.3139999999</v>
      </c>
    </row>
    <row r="616" spans="2:55" s="58" customFormat="1" ht="12.75" customHeight="1" x14ac:dyDescent="0.3">
      <c r="B616" s="99">
        <f t="shared" ref="B616" si="472">B615+3</f>
        <v>45026</v>
      </c>
      <c r="C616" s="44">
        <f t="shared" si="409"/>
        <v>42784.900000000009</v>
      </c>
      <c r="D616" s="45">
        <f>674912.79-71615.99</f>
        <v>603296.80000000005</v>
      </c>
      <c r="E616" s="45">
        <v>-15000</v>
      </c>
      <c r="F616" s="45">
        <f>-168536.44+15000</f>
        <v>-153536.44</v>
      </c>
      <c r="G616" s="45">
        <f t="shared" si="462"/>
        <v>477545.26000000007</v>
      </c>
      <c r="H616" s="44">
        <v>4300000</v>
      </c>
      <c r="I616" s="46">
        <f t="shared" si="410"/>
        <v>398929.90999999986</v>
      </c>
      <c r="J616" s="47"/>
      <c r="K616" s="47"/>
      <c r="L616" s="47">
        <v>-219332.43</v>
      </c>
      <c r="M616" s="47">
        <f t="shared" si="411"/>
        <v>179597.47999999986</v>
      </c>
      <c r="N616" s="46">
        <v>5000000</v>
      </c>
      <c r="O616" s="48">
        <f t="shared" si="412"/>
        <v>2675.2699999999991</v>
      </c>
      <c r="P616" s="55">
        <v>162.88</v>
      </c>
      <c r="Q616" s="55">
        <v>15000</v>
      </c>
      <c r="R616" s="55">
        <f>-3754-7655</f>
        <v>-11409</v>
      </c>
      <c r="S616" s="55">
        <f t="shared" si="413"/>
        <v>6429.1499999999978</v>
      </c>
      <c r="T616" s="48"/>
      <c r="U616" s="49">
        <f t="shared" si="414"/>
        <v>638.28999999994414</v>
      </c>
      <c r="V616" s="51"/>
      <c r="W616" s="51"/>
      <c r="X616" s="51"/>
      <c r="Y616" s="51">
        <f t="shared" si="415"/>
        <v>638.28999999994414</v>
      </c>
      <c r="Z616" s="52"/>
      <c r="AA616" s="53">
        <f t="shared" si="416"/>
        <v>465.44000000000233</v>
      </c>
      <c r="AB616" s="54"/>
      <c r="AC616" s="54"/>
      <c r="AD616" s="54">
        <v>-380</v>
      </c>
      <c r="AE616" s="54">
        <f t="shared" si="417"/>
        <v>85.440000000002328</v>
      </c>
      <c r="AF616" s="53"/>
      <c r="AG616" s="53">
        <f t="shared" si="395"/>
        <v>618.90000000002101</v>
      </c>
      <c r="AH616" s="54"/>
      <c r="AI616" s="54"/>
      <c r="AJ616" s="54"/>
      <c r="AK616" s="54">
        <f t="shared" si="418"/>
        <v>618.90000000002101</v>
      </c>
      <c r="AL616" s="53"/>
      <c r="AM616" s="53">
        <f t="shared" si="401"/>
        <v>0</v>
      </c>
      <c r="AN616" s="54"/>
      <c r="AO616" s="54"/>
      <c r="AP616" s="54"/>
      <c r="AQ616" s="54">
        <f t="shared" si="402"/>
        <v>0</v>
      </c>
      <c r="AR616" s="53"/>
      <c r="AS616" s="50">
        <f t="shared" si="420"/>
        <v>446112.70999999985</v>
      </c>
      <c r="AT616" s="73">
        <f t="shared" si="455"/>
        <v>603459.68000000005</v>
      </c>
      <c r="AU616" s="50">
        <f t="shared" si="396"/>
        <v>0</v>
      </c>
      <c r="AV616" s="50">
        <f t="shared" si="456"/>
        <v>-384657.87</v>
      </c>
      <c r="AW616" s="50"/>
      <c r="AX616" s="50">
        <f t="shared" si="404"/>
        <v>664914.5199999999</v>
      </c>
      <c r="AY616" s="50">
        <f t="shared" si="405"/>
        <v>9300000</v>
      </c>
      <c r="AZ616" s="50">
        <f t="shared" si="406"/>
        <v>9964914.5199999996</v>
      </c>
      <c r="BA616" s="15">
        <f t="shared" si="470"/>
        <v>0</v>
      </c>
      <c r="BB616" s="15">
        <f>BA616+BB615</f>
        <v>-58472.874350000013</v>
      </c>
      <c r="BC616" s="58">
        <f>AVERAGE(AX611:AX616)</f>
        <v>465392.68166666658</v>
      </c>
    </row>
    <row r="617" spans="2:55" s="58" customFormat="1" ht="12.75" customHeight="1" x14ac:dyDescent="0.3">
      <c r="B617" s="99">
        <f t="shared" ref="B617" si="473">B616+1</f>
        <v>45027</v>
      </c>
      <c r="C617" s="44">
        <f t="shared" si="409"/>
        <v>477545.26000000007</v>
      </c>
      <c r="D617" s="45">
        <v>74102.52</v>
      </c>
      <c r="E617" s="45"/>
      <c r="F617" s="45"/>
      <c r="G617" s="45">
        <f t="shared" si="462"/>
        <v>551647.78</v>
      </c>
      <c r="H617" s="44">
        <v>4300000</v>
      </c>
      <c r="I617" s="46">
        <f t="shared" si="410"/>
        <v>179597.47999999986</v>
      </c>
      <c r="J617" s="47">
        <f>28155+8798.43+14882.74+18770</f>
        <v>70606.17</v>
      </c>
      <c r="K617" s="47"/>
      <c r="L617" s="47">
        <v>-26433.909999999902</v>
      </c>
      <c r="M617" s="47">
        <f t="shared" si="411"/>
        <v>223769.73999999993</v>
      </c>
      <c r="N617" s="46">
        <v>5000000</v>
      </c>
      <c r="O617" s="48">
        <f t="shared" si="412"/>
        <v>6429.1499999999978</v>
      </c>
      <c r="P617" s="55"/>
      <c r="Q617" s="55"/>
      <c r="R617" s="55"/>
      <c r="S617" s="55">
        <f t="shared" si="413"/>
        <v>6429.1499999999978</v>
      </c>
      <c r="T617" s="48"/>
      <c r="U617" s="49">
        <f t="shared" si="414"/>
        <v>638.28999999994414</v>
      </c>
      <c r="V617" s="51"/>
      <c r="W617" s="51"/>
      <c r="X617" s="51"/>
      <c r="Y617" s="51">
        <f t="shared" si="415"/>
        <v>638.28999999994414</v>
      </c>
      <c r="Z617" s="52"/>
      <c r="AA617" s="53">
        <f t="shared" si="416"/>
        <v>85.440000000002328</v>
      </c>
      <c r="AB617" s="54"/>
      <c r="AC617" s="54"/>
      <c r="AD617" s="54"/>
      <c r="AE617" s="54">
        <f t="shared" si="417"/>
        <v>85.440000000002328</v>
      </c>
      <c r="AF617" s="53"/>
      <c r="AG617" s="53">
        <f t="shared" ref="AG617:AG680" si="474">AK616</f>
        <v>618.90000000002101</v>
      </c>
      <c r="AH617" s="54"/>
      <c r="AI617" s="54"/>
      <c r="AJ617" s="54"/>
      <c r="AK617" s="54">
        <f t="shared" si="418"/>
        <v>618.90000000002101</v>
      </c>
      <c r="AL617" s="53"/>
      <c r="AM617" s="53">
        <f t="shared" si="401"/>
        <v>0</v>
      </c>
      <c r="AN617" s="54"/>
      <c r="AO617" s="54"/>
      <c r="AP617" s="54"/>
      <c r="AQ617" s="54">
        <f t="shared" si="402"/>
        <v>0</v>
      </c>
      <c r="AR617" s="53"/>
      <c r="AS617" s="50">
        <f t="shared" si="420"/>
        <v>664914.5199999999</v>
      </c>
      <c r="AT617" s="73">
        <f t="shared" si="455"/>
        <v>144708.69</v>
      </c>
      <c r="AU617" s="50">
        <f t="shared" si="396"/>
        <v>0</v>
      </c>
      <c r="AV617" s="50">
        <f t="shared" si="456"/>
        <v>-26433.909999999902</v>
      </c>
      <c r="AW617" s="50"/>
      <c r="AX617" s="50">
        <f t="shared" si="404"/>
        <v>783189.29999999993</v>
      </c>
      <c r="AY617" s="50">
        <f t="shared" si="405"/>
        <v>9300000</v>
      </c>
      <c r="AZ617" s="50">
        <f t="shared" si="406"/>
        <v>10083189.300000001</v>
      </c>
      <c r="BA617" s="15">
        <f t="shared" ref="BA617:BA623" si="475">IF(AX617&lt;0,A617,0)</f>
        <v>0</v>
      </c>
      <c r="BB617" s="15">
        <f t="shared" ref="BB617:BB623" si="476">BA617+BB616</f>
        <v>-58472.874350000013</v>
      </c>
      <c r="BC617" s="58">
        <f t="shared" ref="BC617:BC623" si="477">AVERAGE(AX612:AX617)</f>
        <v>551705.19166666653</v>
      </c>
    </row>
    <row r="618" spans="2:55" s="58" customFormat="1" ht="12.75" customHeight="1" x14ac:dyDescent="0.3">
      <c r="B618" s="99">
        <f t="shared" si="461"/>
        <v>45028</v>
      </c>
      <c r="C618" s="44">
        <f t="shared" si="409"/>
        <v>551647.78</v>
      </c>
      <c r="D618" s="45"/>
      <c r="E618" s="45"/>
      <c r="F618" s="45">
        <v>-10139.2399999999</v>
      </c>
      <c r="G618" s="45">
        <f t="shared" si="462"/>
        <v>541508.54000000015</v>
      </c>
      <c r="H618" s="44">
        <v>4300000</v>
      </c>
      <c r="I618" s="46">
        <f t="shared" si="410"/>
        <v>223769.73999999993</v>
      </c>
      <c r="J618" s="47"/>
      <c r="K618" s="47"/>
      <c r="L618" s="47">
        <v>-83610.679999999906</v>
      </c>
      <c r="M618" s="47">
        <f t="shared" si="411"/>
        <v>140159.06000000003</v>
      </c>
      <c r="N618" s="46">
        <v>5000000</v>
      </c>
      <c r="O618" s="48">
        <f t="shared" si="412"/>
        <v>6429.1499999999978</v>
      </c>
      <c r="P618" s="55"/>
      <c r="Q618" s="55"/>
      <c r="R618" s="55"/>
      <c r="S618" s="55">
        <f t="shared" si="413"/>
        <v>6429.1499999999978</v>
      </c>
      <c r="T618" s="48"/>
      <c r="U618" s="49">
        <f t="shared" si="414"/>
        <v>638.28999999994414</v>
      </c>
      <c r="V618" s="51">
        <v>23453.119999999999</v>
      </c>
      <c r="W618" s="51"/>
      <c r="X618" s="51"/>
      <c r="Y618" s="51">
        <f t="shared" si="415"/>
        <v>24091.409999999942</v>
      </c>
      <c r="Z618" s="52"/>
      <c r="AA618" s="53">
        <f t="shared" si="416"/>
        <v>85.440000000002328</v>
      </c>
      <c r="AB618" s="54"/>
      <c r="AC618" s="54"/>
      <c r="AD618" s="54"/>
      <c r="AE618" s="54">
        <f t="shared" si="417"/>
        <v>85.440000000002328</v>
      </c>
      <c r="AF618" s="53"/>
      <c r="AG618" s="53">
        <f t="shared" si="474"/>
        <v>618.90000000002101</v>
      </c>
      <c r="AH618" s="54"/>
      <c r="AI618" s="54"/>
      <c r="AJ618" s="54"/>
      <c r="AK618" s="54">
        <f t="shared" si="418"/>
        <v>618.90000000002101</v>
      </c>
      <c r="AL618" s="53"/>
      <c r="AM618" s="53">
        <f t="shared" si="401"/>
        <v>0</v>
      </c>
      <c r="AN618" s="54"/>
      <c r="AO618" s="54"/>
      <c r="AP618" s="54"/>
      <c r="AQ618" s="54">
        <f t="shared" si="402"/>
        <v>0</v>
      </c>
      <c r="AR618" s="53"/>
      <c r="AS618" s="50">
        <f t="shared" si="420"/>
        <v>783189.29999999993</v>
      </c>
      <c r="AT618" s="73">
        <f t="shared" si="455"/>
        <v>23453.119999999999</v>
      </c>
      <c r="AU618" s="50">
        <f t="shared" ref="AU618:AU681" si="478">SUM(E618,K618,Q618,W618,AC618,AI618)</f>
        <v>0</v>
      </c>
      <c r="AV618" s="50">
        <f t="shared" si="456"/>
        <v>-93749.919999999809</v>
      </c>
      <c r="AW618" s="50"/>
      <c r="AX618" s="50">
        <f t="shared" si="404"/>
        <v>712892.50000000012</v>
      </c>
      <c r="AY618" s="50">
        <f t="shared" si="405"/>
        <v>9300000</v>
      </c>
      <c r="AZ618" s="50">
        <f t="shared" si="406"/>
        <v>10012892.5</v>
      </c>
      <c r="BA618" s="15">
        <f t="shared" si="475"/>
        <v>0</v>
      </c>
      <c r="BB618" s="15">
        <f t="shared" si="476"/>
        <v>-58472.874350000013</v>
      </c>
      <c r="BC618" s="58">
        <f t="shared" si="477"/>
        <v>626160.17499999993</v>
      </c>
    </row>
    <row r="619" spans="2:55" s="58" customFormat="1" ht="12.75" customHeight="1" x14ac:dyDescent="0.3">
      <c r="B619" s="99">
        <f t="shared" si="461"/>
        <v>45029</v>
      </c>
      <c r="C619" s="44">
        <f t="shared" si="409"/>
        <v>541508.54000000015</v>
      </c>
      <c r="D619" s="45">
        <v>131348.44</v>
      </c>
      <c r="E619" s="45"/>
      <c r="F619" s="45"/>
      <c r="G619" s="45">
        <f t="shared" si="462"/>
        <v>672856.98000000021</v>
      </c>
      <c r="H619" s="44">
        <v>4300000</v>
      </c>
      <c r="I619" s="46">
        <f t="shared" si="410"/>
        <v>140159.06000000003</v>
      </c>
      <c r="J619" s="47"/>
      <c r="K619" s="47">
        <v>24000</v>
      </c>
      <c r="L619" s="47">
        <v>-60317.48</v>
      </c>
      <c r="M619" s="47">
        <f t="shared" si="411"/>
        <v>103841.58000000002</v>
      </c>
      <c r="N619" s="46">
        <v>5000000</v>
      </c>
      <c r="O619" s="48">
        <f t="shared" si="412"/>
        <v>6429.1499999999978</v>
      </c>
      <c r="P619" s="55"/>
      <c r="Q619" s="55"/>
      <c r="R619" s="55"/>
      <c r="S619" s="55">
        <f t="shared" si="413"/>
        <v>6429.1499999999978</v>
      </c>
      <c r="T619" s="48"/>
      <c r="U619" s="49">
        <f t="shared" si="414"/>
        <v>24091.409999999942</v>
      </c>
      <c r="V619" s="51"/>
      <c r="W619" s="51">
        <v>-24000</v>
      </c>
      <c r="X619" s="51">
        <v>-10</v>
      </c>
      <c r="Y619" s="51">
        <f t="shared" si="415"/>
        <v>81.409999999941647</v>
      </c>
      <c r="Z619" s="52"/>
      <c r="AA619" s="53">
        <f t="shared" si="416"/>
        <v>85.440000000002328</v>
      </c>
      <c r="AB619" s="54"/>
      <c r="AC619" s="54"/>
      <c r="AD619" s="54"/>
      <c r="AE619" s="54">
        <f t="shared" si="417"/>
        <v>85.440000000002328</v>
      </c>
      <c r="AF619" s="53"/>
      <c r="AG619" s="53">
        <f t="shared" si="474"/>
        <v>618.90000000002101</v>
      </c>
      <c r="AH619" s="54"/>
      <c r="AI619" s="54"/>
      <c r="AJ619" s="54"/>
      <c r="AK619" s="54">
        <f t="shared" si="418"/>
        <v>618.90000000002101</v>
      </c>
      <c r="AL619" s="53"/>
      <c r="AM619" s="53">
        <f t="shared" si="401"/>
        <v>0</v>
      </c>
      <c r="AN619" s="54"/>
      <c r="AO619" s="54"/>
      <c r="AP619" s="54"/>
      <c r="AQ619" s="54">
        <f t="shared" si="402"/>
        <v>0</v>
      </c>
      <c r="AR619" s="53"/>
      <c r="AS619" s="50">
        <f t="shared" si="420"/>
        <v>712892.50000000012</v>
      </c>
      <c r="AT619" s="73">
        <f t="shared" si="455"/>
        <v>131348.44</v>
      </c>
      <c r="AU619" s="50">
        <f t="shared" si="478"/>
        <v>0</v>
      </c>
      <c r="AV619" s="50">
        <f t="shared" si="456"/>
        <v>-60327.48</v>
      </c>
      <c r="AW619" s="50"/>
      <c r="AX619" s="50">
        <f t="shared" si="404"/>
        <v>783913.46000000031</v>
      </c>
      <c r="AY619" s="50">
        <f t="shared" si="405"/>
        <v>9300000</v>
      </c>
      <c r="AZ619" s="50">
        <f t="shared" si="406"/>
        <v>10083913.460000001</v>
      </c>
      <c r="BA619" s="15">
        <f t="shared" si="475"/>
        <v>0</v>
      </c>
      <c r="BB619" s="15">
        <f t="shared" si="476"/>
        <v>-58472.874350000013</v>
      </c>
      <c r="BC619" s="58">
        <f t="shared" si="477"/>
        <v>639522.53333333333</v>
      </c>
    </row>
    <row r="620" spans="2:55" s="58" customFormat="1" ht="12.75" customHeight="1" x14ac:dyDescent="0.3">
      <c r="B620" s="99">
        <f t="shared" si="461"/>
        <v>45030</v>
      </c>
      <c r="C620" s="44">
        <f t="shared" si="409"/>
        <v>672856.98000000021</v>
      </c>
      <c r="D620" s="45">
        <v>214011.15</v>
      </c>
      <c r="E620" s="45">
        <v>-200000</v>
      </c>
      <c r="F620" s="45">
        <v>-228017.76</v>
      </c>
      <c r="G620" s="45">
        <f t="shared" si="462"/>
        <v>458850.37000000023</v>
      </c>
      <c r="H620" s="44">
        <v>4300000</v>
      </c>
      <c r="I620" s="46">
        <f t="shared" si="410"/>
        <v>103841.58000000002</v>
      </c>
      <c r="J620" s="47"/>
      <c r="K620" s="47">
        <v>200000</v>
      </c>
      <c r="L620" s="47">
        <v>-101533.55</v>
      </c>
      <c r="M620" s="47">
        <f t="shared" si="411"/>
        <v>202308.03000000003</v>
      </c>
      <c r="N620" s="46">
        <v>5000000</v>
      </c>
      <c r="O620" s="48">
        <f t="shared" si="412"/>
        <v>6429.1499999999978</v>
      </c>
      <c r="P620" s="55"/>
      <c r="Q620" s="55"/>
      <c r="R620" s="55"/>
      <c r="S620" s="55">
        <f t="shared" si="413"/>
        <v>6429.1499999999978</v>
      </c>
      <c r="T620" s="48"/>
      <c r="U620" s="49">
        <f t="shared" si="414"/>
        <v>81.409999999941647</v>
      </c>
      <c r="V620" s="51"/>
      <c r="W620" s="51"/>
      <c r="X620" s="51"/>
      <c r="Y620" s="51">
        <f t="shared" si="415"/>
        <v>81.409999999941647</v>
      </c>
      <c r="Z620" s="52"/>
      <c r="AA620" s="53">
        <f t="shared" si="416"/>
        <v>85.440000000002328</v>
      </c>
      <c r="AB620" s="54"/>
      <c r="AC620" s="54"/>
      <c r="AD620" s="54"/>
      <c r="AE620" s="54">
        <f t="shared" si="417"/>
        <v>85.440000000002328</v>
      </c>
      <c r="AF620" s="53"/>
      <c r="AG620" s="53">
        <f t="shared" si="474"/>
        <v>618.90000000002101</v>
      </c>
      <c r="AH620" s="54"/>
      <c r="AI620" s="54"/>
      <c r="AJ620" s="54"/>
      <c r="AK620" s="54">
        <f t="shared" si="418"/>
        <v>618.90000000002101</v>
      </c>
      <c r="AL620" s="53"/>
      <c r="AM620" s="53">
        <f t="shared" si="401"/>
        <v>0</v>
      </c>
      <c r="AN620" s="54"/>
      <c r="AO620" s="54"/>
      <c r="AP620" s="54"/>
      <c r="AQ620" s="54">
        <f t="shared" si="402"/>
        <v>0</v>
      </c>
      <c r="AR620" s="53"/>
      <c r="AS620" s="50">
        <f t="shared" si="420"/>
        <v>783913.46000000031</v>
      </c>
      <c r="AT620" s="73">
        <f t="shared" si="455"/>
        <v>214011.15</v>
      </c>
      <c r="AU620" s="50">
        <f t="shared" si="478"/>
        <v>0</v>
      </c>
      <c r="AV620" s="50">
        <f t="shared" si="456"/>
        <v>-329551.31</v>
      </c>
      <c r="AW620" s="50"/>
      <c r="AX620" s="50">
        <f t="shared" si="404"/>
        <v>668373.30000000016</v>
      </c>
      <c r="AY620" s="50">
        <f t="shared" si="405"/>
        <v>9300000</v>
      </c>
      <c r="AZ620" s="50">
        <f t="shared" si="406"/>
        <v>9968373.3000000007</v>
      </c>
      <c r="BA620" s="15">
        <f t="shared" si="475"/>
        <v>0</v>
      </c>
      <c r="BB620" s="15">
        <f t="shared" si="476"/>
        <v>-58472.874350000013</v>
      </c>
      <c r="BC620" s="58">
        <f t="shared" si="477"/>
        <v>676565.96500000008</v>
      </c>
    </row>
    <row r="621" spans="2:55" s="58" customFormat="1" ht="12.75" customHeight="1" x14ac:dyDescent="0.3">
      <c r="B621" s="99">
        <f t="shared" ref="B621" si="479">B620+3</f>
        <v>45033</v>
      </c>
      <c r="C621" s="44">
        <f t="shared" si="409"/>
        <v>458850.37000000023</v>
      </c>
      <c r="D621" s="45">
        <v>61538.77</v>
      </c>
      <c r="E621" s="45"/>
      <c r="F621" s="45">
        <v>-50101.060000000201</v>
      </c>
      <c r="G621" s="45">
        <f t="shared" si="462"/>
        <v>470288.08000000007</v>
      </c>
      <c r="H621" s="44">
        <v>4300000</v>
      </c>
      <c r="I621" s="46">
        <f t="shared" si="410"/>
        <v>202308.03000000003</v>
      </c>
      <c r="J621" s="47">
        <f>67200.96</f>
        <v>67200.960000000006</v>
      </c>
      <c r="K621" s="47"/>
      <c r="L621" s="47">
        <v>-114590.51</v>
      </c>
      <c r="M621" s="47">
        <f t="shared" si="411"/>
        <v>154918.48000000004</v>
      </c>
      <c r="N621" s="46">
        <v>5000000</v>
      </c>
      <c r="O621" s="48">
        <f t="shared" si="412"/>
        <v>6429.1499999999978</v>
      </c>
      <c r="P621" s="55"/>
      <c r="Q621" s="55"/>
      <c r="R621" s="55"/>
      <c r="S621" s="55">
        <f t="shared" si="413"/>
        <v>6429.1499999999978</v>
      </c>
      <c r="T621" s="48"/>
      <c r="U621" s="49">
        <f t="shared" si="414"/>
        <v>81.409999999941647</v>
      </c>
      <c r="V621" s="51"/>
      <c r="W621" s="51"/>
      <c r="X621" s="51"/>
      <c r="Y621" s="51">
        <f t="shared" si="415"/>
        <v>81.409999999941647</v>
      </c>
      <c r="Z621" s="52"/>
      <c r="AA621" s="53">
        <f t="shared" si="416"/>
        <v>85.440000000002328</v>
      </c>
      <c r="AB621" s="54"/>
      <c r="AC621" s="54"/>
      <c r="AD621" s="54"/>
      <c r="AE621" s="54">
        <f t="shared" si="417"/>
        <v>85.440000000002328</v>
      </c>
      <c r="AF621" s="53"/>
      <c r="AG621" s="53">
        <f t="shared" si="474"/>
        <v>618.90000000002101</v>
      </c>
      <c r="AH621" s="54"/>
      <c r="AI621" s="54"/>
      <c r="AJ621" s="54"/>
      <c r="AK621" s="54">
        <f t="shared" si="418"/>
        <v>618.90000000002101</v>
      </c>
      <c r="AL621" s="53"/>
      <c r="AM621" s="53">
        <f t="shared" si="401"/>
        <v>0</v>
      </c>
      <c r="AN621" s="54"/>
      <c r="AO621" s="54"/>
      <c r="AP621" s="54"/>
      <c r="AQ621" s="54">
        <f t="shared" si="402"/>
        <v>0</v>
      </c>
      <c r="AR621" s="53"/>
      <c r="AS621" s="50">
        <f t="shared" si="420"/>
        <v>668373.30000000016</v>
      </c>
      <c r="AT621" s="73">
        <f t="shared" si="455"/>
        <v>128739.73000000001</v>
      </c>
      <c r="AU621" s="50">
        <f t="shared" si="478"/>
        <v>0</v>
      </c>
      <c r="AV621" s="50">
        <f t="shared" si="456"/>
        <v>-164691.57000000018</v>
      </c>
      <c r="AW621" s="50"/>
      <c r="AX621" s="50">
        <f t="shared" si="404"/>
        <v>632421.46000000008</v>
      </c>
      <c r="AY621" s="50">
        <f t="shared" si="405"/>
        <v>9300000</v>
      </c>
      <c r="AZ621" s="50">
        <f t="shared" si="406"/>
        <v>9932421.4600000009</v>
      </c>
      <c r="BA621" s="15">
        <f t="shared" si="475"/>
        <v>0</v>
      </c>
      <c r="BB621" s="15">
        <f t="shared" si="476"/>
        <v>-58472.874350000013</v>
      </c>
      <c r="BC621" s="58">
        <f t="shared" si="477"/>
        <v>707617.42333333346</v>
      </c>
    </row>
    <row r="622" spans="2:55" s="58" customFormat="1" ht="12.75" customHeight="1" x14ac:dyDescent="0.3">
      <c r="B622" s="99">
        <f t="shared" ref="B622" si="480">B621+1</f>
        <v>45034</v>
      </c>
      <c r="C622" s="44">
        <f t="shared" si="409"/>
        <v>470288.08000000007</v>
      </c>
      <c r="D622" s="45"/>
      <c r="E622" s="45"/>
      <c r="F622" s="45">
        <v>-10373.620000000101</v>
      </c>
      <c r="G622" s="45">
        <f t="shared" si="462"/>
        <v>459914.45999999996</v>
      </c>
      <c r="H622" s="44">
        <v>4300000</v>
      </c>
      <c r="I622" s="46">
        <f t="shared" si="410"/>
        <v>154918.48000000004</v>
      </c>
      <c r="J622" s="47"/>
      <c r="K622" s="47"/>
      <c r="L622" s="47">
        <v>-30765.56</v>
      </c>
      <c r="M622" s="47">
        <f t="shared" si="411"/>
        <v>124152.92000000004</v>
      </c>
      <c r="N622" s="46">
        <v>5000000</v>
      </c>
      <c r="O622" s="48">
        <f t="shared" si="412"/>
        <v>6429.1499999999978</v>
      </c>
      <c r="P622" s="55"/>
      <c r="Q622" s="55"/>
      <c r="R622" s="55"/>
      <c r="S622" s="55">
        <f t="shared" si="413"/>
        <v>6429.1499999999978</v>
      </c>
      <c r="T622" s="48"/>
      <c r="U622" s="49">
        <f t="shared" si="414"/>
        <v>81.409999999941647</v>
      </c>
      <c r="V622" s="51"/>
      <c r="W622" s="51"/>
      <c r="X622" s="51"/>
      <c r="Y622" s="51">
        <f t="shared" si="415"/>
        <v>81.409999999941647</v>
      </c>
      <c r="Z622" s="52"/>
      <c r="AA622" s="53">
        <f t="shared" si="416"/>
        <v>85.440000000002328</v>
      </c>
      <c r="AB622" s="54"/>
      <c r="AC622" s="54"/>
      <c r="AD622" s="54"/>
      <c r="AE622" s="54">
        <f t="shared" si="417"/>
        <v>85.440000000002328</v>
      </c>
      <c r="AF622" s="53"/>
      <c r="AG622" s="53">
        <f t="shared" si="474"/>
        <v>618.90000000002101</v>
      </c>
      <c r="AH622" s="54"/>
      <c r="AI622" s="54"/>
      <c r="AJ622" s="54"/>
      <c r="AK622" s="54">
        <f t="shared" si="418"/>
        <v>618.90000000002101</v>
      </c>
      <c r="AL622" s="53"/>
      <c r="AM622" s="53">
        <f t="shared" si="401"/>
        <v>0</v>
      </c>
      <c r="AN622" s="54"/>
      <c r="AO622" s="54"/>
      <c r="AP622" s="54"/>
      <c r="AQ622" s="54">
        <f t="shared" si="402"/>
        <v>0</v>
      </c>
      <c r="AR622" s="53"/>
      <c r="AS622" s="50">
        <f t="shared" si="420"/>
        <v>632421.46000000008</v>
      </c>
      <c r="AT622" s="73">
        <f t="shared" si="455"/>
        <v>0</v>
      </c>
      <c r="AU622" s="50">
        <f t="shared" si="478"/>
        <v>0</v>
      </c>
      <c r="AV622" s="50">
        <f t="shared" si="456"/>
        <v>-41139.180000000102</v>
      </c>
      <c r="AW622" s="50"/>
      <c r="AX622" s="50">
        <f t="shared" si="404"/>
        <v>591282.27999999991</v>
      </c>
      <c r="AY622" s="50">
        <f t="shared" si="405"/>
        <v>9300000</v>
      </c>
      <c r="AZ622" s="50">
        <f t="shared" si="406"/>
        <v>9891282.2799999993</v>
      </c>
      <c r="BA622" s="15">
        <f t="shared" si="475"/>
        <v>0</v>
      </c>
      <c r="BB622" s="15">
        <f t="shared" si="476"/>
        <v>-58472.874350000013</v>
      </c>
      <c r="BC622" s="58">
        <f t="shared" si="477"/>
        <v>695345.38333333342</v>
      </c>
    </row>
    <row r="623" spans="2:55" s="58" customFormat="1" ht="12.75" customHeight="1" x14ac:dyDescent="0.3">
      <c r="B623" s="99">
        <f t="shared" si="461"/>
        <v>45035</v>
      </c>
      <c r="C623" s="44">
        <f t="shared" si="409"/>
        <v>459914.45999999996</v>
      </c>
      <c r="D623" s="45"/>
      <c r="E623" s="45">
        <v>-455000</v>
      </c>
      <c r="F623" s="45">
        <v>-56</v>
      </c>
      <c r="G623" s="45">
        <f t="shared" si="462"/>
        <v>4858.4599999999627</v>
      </c>
      <c r="H623" s="44">
        <v>4300000</v>
      </c>
      <c r="I623" s="46">
        <f t="shared" si="410"/>
        <v>124152.92000000004</v>
      </c>
      <c r="J623" s="47"/>
      <c r="K623" s="47">
        <v>455000</v>
      </c>
      <c r="L623" s="47">
        <v>-537843.85</v>
      </c>
      <c r="M623" s="47">
        <f t="shared" si="411"/>
        <v>41309.070000000065</v>
      </c>
      <c r="N623" s="46">
        <v>5000000</v>
      </c>
      <c r="O623" s="48">
        <f t="shared" si="412"/>
        <v>6429.1499999999978</v>
      </c>
      <c r="P623" s="55"/>
      <c r="Q623" s="55"/>
      <c r="R623" s="55"/>
      <c r="S623" s="55">
        <f t="shared" si="413"/>
        <v>6429.1499999999978</v>
      </c>
      <c r="T623" s="48"/>
      <c r="U623" s="49">
        <f t="shared" si="414"/>
        <v>81.409999999941647</v>
      </c>
      <c r="V623" s="51"/>
      <c r="W623" s="51"/>
      <c r="X623" s="51"/>
      <c r="Y623" s="51">
        <f t="shared" si="415"/>
        <v>81.409999999941647</v>
      </c>
      <c r="Z623" s="52"/>
      <c r="AA623" s="53">
        <f t="shared" si="416"/>
        <v>85.440000000002328</v>
      </c>
      <c r="AB623" s="54"/>
      <c r="AC623" s="54"/>
      <c r="AD623" s="54"/>
      <c r="AE623" s="54">
        <f t="shared" si="417"/>
        <v>85.440000000002328</v>
      </c>
      <c r="AF623" s="53"/>
      <c r="AG623" s="53">
        <f t="shared" si="474"/>
        <v>618.90000000002101</v>
      </c>
      <c r="AH623" s="54"/>
      <c r="AI623" s="54"/>
      <c r="AJ623" s="54"/>
      <c r="AK623" s="54">
        <f t="shared" si="418"/>
        <v>618.90000000002101</v>
      </c>
      <c r="AL623" s="53"/>
      <c r="AM623" s="53">
        <f t="shared" si="401"/>
        <v>0</v>
      </c>
      <c r="AN623" s="54"/>
      <c r="AO623" s="54"/>
      <c r="AP623" s="54"/>
      <c r="AQ623" s="54">
        <f t="shared" si="402"/>
        <v>0</v>
      </c>
      <c r="AR623" s="53"/>
      <c r="AS623" s="50">
        <f t="shared" si="420"/>
        <v>591282.27999999991</v>
      </c>
      <c r="AT623" s="73">
        <f t="shared" si="455"/>
        <v>0</v>
      </c>
      <c r="AU623" s="50">
        <f t="shared" si="478"/>
        <v>0</v>
      </c>
      <c r="AV623" s="50">
        <f t="shared" si="456"/>
        <v>-537899.85</v>
      </c>
      <c r="AW623" s="50"/>
      <c r="AX623" s="50">
        <f t="shared" si="404"/>
        <v>53382.429999999993</v>
      </c>
      <c r="AY623" s="50">
        <f t="shared" si="405"/>
        <v>9300000</v>
      </c>
      <c r="AZ623" s="50">
        <f t="shared" si="406"/>
        <v>9353382.4299999997</v>
      </c>
      <c r="BA623" s="15">
        <f t="shared" si="475"/>
        <v>0</v>
      </c>
      <c r="BB623" s="15">
        <f t="shared" si="476"/>
        <v>-58472.874350000013</v>
      </c>
      <c r="BC623" s="58">
        <f t="shared" si="477"/>
        <v>573710.90500000014</v>
      </c>
    </row>
    <row r="624" spans="2:55" s="58" customFormat="1" ht="12.75" customHeight="1" x14ac:dyDescent="0.3">
      <c r="B624" s="99">
        <f t="shared" si="461"/>
        <v>45036</v>
      </c>
      <c r="C624" s="44">
        <f t="shared" si="409"/>
        <v>4858.4599999999627</v>
      </c>
      <c r="D624" s="45">
        <v>23665.22</v>
      </c>
      <c r="E624" s="45">
        <v>-100000</v>
      </c>
      <c r="F624" s="45">
        <v>-1411569.42</v>
      </c>
      <c r="G624" s="45">
        <f t="shared" si="462"/>
        <v>-1483045.74</v>
      </c>
      <c r="H624" s="44">
        <v>4300000</v>
      </c>
      <c r="I624" s="46">
        <f t="shared" si="410"/>
        <v>41309.070000000065</v>
      </c>
      <c r="J624" s="47"/>
      <c r="K624" s="47">
        <v>100000</v>
      </c>
      <c r="L624" s="47">
        <v>-116478.59</v>
      </c>
      <c r="M624" s="47">
        <f t="shared" si="411"/>
        <v>24830.480000000069</v>
      </c>
      <c r="N624" s="46">
        <v>5000000</v>
      </c>
      <c r="O624" s="48">
        <f t="shared" si="412"/>
        <v>6429.1499999999978</v>
      </c>
      <c r="P624" s="55"/>
      <c r="Q624" s="55"/>
      <c r="R624" s="55"/>
      <c r="S624" s="55">
        <f t="shared" si="413"/>
        <v>6429.1499999999978</v>
      </c>
      <c r="T624" s="48"/>
      <c r="U624" s="49">
        <f t="shared" si="414"/>
        <v>81.409999999941647</v>
      </c>
      <c r="V624" s="51"/>
      <c r="W624" s="51"/>
      <c r="X624" s="51"/>
      <c r="Y624" s="51">
        <f t="shared" si="415"/>
        <v>81.409999999941647</v>
      </c>
      <c r="Z624" s="52"/>
      <c r="AA624" s="53">
        <f t="shared" si="416"/>
        <v>85.440000000002328</v>
      </c>
      <c r="AB624" s="54"/>
      <c r="AC624" s="54"/>
      <c r="AD624" s="54"/>
      <c r="AE624" s="54">
        <f t="shared" si="417"/>
        <v>85.440000000002328</v>
      </c>
      <c r="AF624" s="53"/>
      <c r="AG624" s="53">
        <f t="shared" si="474"/>
        <v>618.90000000002101</v>
      </c>
      <c r="AH624" s="54"/>
      <c r="AI624" s="54"/>
      <c r="AJ624" s="54"/>
      <c r="AK624" s="54">
        <f t="shared" si="418"/>
        <v>618.90000000002101</v>
      </c>
      <c r="AL624" s="53"/>
      <c r="AM624" s="53">
        <f t="shared" si="401"/>
        <v>0</v>
      </c>
      <c r="AN624" s="54"/>
      <c r="AO624" s="54"/>
      <c r="AP624" s="54"/>
      <c r="AQ624" s="54">
        <f t="shared" si="402"/>
        <v>0</v>
      </c>
      <c r="AR624" s="53"/>
      <c r="AS624" s="50">
        <f t="shared" si="420"/>
        <v>53382.429999999993</v>
      </c>
      <c r="AT624" s="73">
        <f t="shared" si="455"/>
        <v>23665.22</v>
      </c>
      <c r="AU624" s="50">
        <f t="shared" si="478"/>
        <v>0</v>
      </c>
      <c r="AV624" s="50">
        <f t="shared" si="456"/>
        <v>-1528048.01</v>
      </c>
      <c r="AW624" s="50"/>
      <c r="AX624" s="50">
        <f t="shared" si="404"/>
        <v>-1451000.3600000003</v>
      </c>
      <c r="AY624" s="50">
        <f t="shared" si="405"/>
        <v>9300000</v>
      </c>
      <c r="AZ624" s="50">
        <f t="shared" si="406"/>
        <v>7848999.6399999997</v>
      </c>
      <c r="BA624" s="15">
        <f t="shared" ref="BA624:BA638" si="481">IF(AX624&lt;0,A624,0)</f>
        <v>0</v>
      </c>
      <c r="BB624" s="15">
        <f t="shared" ref="BB624:BB638" si="482">BA624+BB623</f>
        <v>-58472.874350000013</v>
      </c>
      <c r="BC624" s="58">
        <f t="shared" ref="BC624:BC638" si="483">AVERAGE(AX619:AX624)</f>
        <v>213062.09500000006</v>
      </c>
    </row>
    <row r="625" spans="2:55" s="58" customFormat="1" ht="12.75" customHeight="1" x14ac:dyDescent="0.3">
      <c r="B625" s="99">
        <f t="shared" si="461"/>
        <v>45037</v>
      </c>
      <c r="C625" s="44">
        <f t="shared" si="409"/>
        <v>-1483045.74</v>
      </c>
      <c r="D625" s="45"/>
      <c r="E625" s="45"/>
      <c r="F625" s="45"/>
      <c r="G625" s="45">
        <f t="shared" si="462"/>
        <v>-1483045.74</v>
      </c>
      <c r="H625" s="44">
        <v>4300000</v>
      </c>
      <c r="I625" s="46">
        <f t="shared" si="410"/>
        <v>24830.480000000069</v>
      </c>
      <c r="J625" s="47"/>
      <c r="K625" s="47"/>
      <c r="L625" s="47"/>
      <c r="M625" s="47">
        <f t="shared" si="411"/>
        <v>24830.480000000069</v>
      </c>
      <c r="N625" s="46">
        <v>5000000</v>
      </c>
      <c r="O625" s="48">
        <f t="shared" si="412"/>
        <v>6429.1499999999978</v>
      </c>
      <c r="P625" s="55"/>
      <c r="Q625" s="55"/>
      <c r="R625" s="55"/>
      <c r="S625" s="55">
        <f t="shared" si="413"/>
        <v>6429.1499999999978</v>
      </c>
      <c r="T625" s="48"/>
      <c r="U625" s="49">
        <f t="shared" si="414"/>
        <v>81.409999999941647</v>
      </c>
      <c r="V625" s="51"/>
      <c r="W625" s="51"/>
      <c r="X625" s="51"/>
      <c r="Y625" s="51">
        <f t="shared" si="415"/>
        <v>81.409999999941647</v>
      </c>
      <c r="Z625" s="52"/>
      <c r="AA625" s="53">
        <f t="shared" si="416"/>
        <v>85.440000000002328</v>
      </c>
      <c r="AB625" s="54"/>
      <c r="AC625" s="54"/>
      <c r="AD625" s="54"/>
      <c r="AE625" s="54">
        <f t="shared" si="417"/>
        <v>85.440000000002328</v>
      </c>
      <c r="AF625" s="53"/>
      <c r="AG625" s="53">
        <f t="shared" si="474"/>
        <v>618.90000000002101</v>
      </c>
      <c r="AH625" s="54"/>
      <c r="AI625" s="54"/>
      <c r="AJ625" s="54"/>
      <c r="AK625" s="54">
        <f t="shared" si="418"/>
        <v>618.90000000002101</v>
      </c>
      <c r="AL625" s="53"/>
      <c r="AM625" s="53">
        <f t="shared" si="401"/>
        <v>0</v>
      </c>
      <c r="AN625" s="54"/>
      <c r="AO625" s="54"/>
      <c r="AP625" s="54"/>
      <c r="AQ625" s="54">
        <f t="shared" si="402"/>
        <v>0</v>
      </c>
      <c r="AR625" s="53"/>
      <c r="AS625" s="50">
        <f t="shared" si="420"/>
        <v>-1451000.3600000003</v>
      </c>
      <c r="AT625" s="73">
        <f t="shared" si="455"/>
        <v>0</v>
      </c>
      <c r="AU625" s="50">
        <f t="shared" si="478"/>
        <v>0</v>
      </c>
      <c r="AV625" s="50">
        <f t="shared" si="456"/>
        <v>0</v>
      </c>
      <c r="AW625" s="50"/>
      <c r="AX625" s="50">
        <f t="shared" si="404"/>
        <v>-1451000.3600000003</v>
      </c>
      <c r="AY625" s="50">
        <f t="shared" si="405"/>
        <v>9300000</v>
      </c>
      <c r="AZ625" s="50">
        <f t="shared" si="406"/>
        <v>7848999.6399999997</v>
      </c>
      <c r="BA625" s="15">
        <f t="shared" si="481"/>
        <v>0</v>
      </c>
      <c r="BB625" s="15">
        <f t="shared" si="482"/>
        <v>-58472.874350000013</v>
      </c>
      <c r="BC625" s="58">
        <f t="shared" si="483"/>
        <v>-159423.54166666677</v>
      </c>
    </row>
    <row r="626" spans="2:55" s="58" customFormat="1" ht="12.75" customHeight="1" x14ac:dyDescent="0.3">
      <c r="B626" s="99">
        <f t="shared" ref="B626" si="484">B625+3</f>
        <v>45040</v>
      </c>
      <c r="C626" s="44">
        <f t="shared" si="409"/>
        <v>-1483045.74</v>
      </c>
      <c r="D626" s="45">
        <v>2177.8200000000002</v>
      </c>
      <c r="E626" s="45"/>
      <c r="F626" s="45">
        <v>-2.5499999999999998</v>
      </c>
      <c r="G626" s="45">
        <f t="shared" si="462"/>
        <v>-1480870.47</v>
      </c>
      <c r="H626" s="44">
        <v>4300000</v>
      </c>
      <c r="I626" s="46">
        <f t="shared" si="410"/>
        <v>24830.480000000069</v>
      </c>
      <c r="J626" s="47">
        <v>211093.75</v>
      </c>
      <c r="K626" s="47"/>
      <c r="L626" s="47">
        <v>-65554.160000000105</v>
      </c>
      <c r="M626" s="47">
        <f t="shared" si="411"/>
        <v>170370.06999999995</v>
      </c>
      <c r="N626" s="46">
        <v>5000000</v>
      </c>
      <c r="O626" s="48">
        <f t="shared" si="412"/>
        <v>6429.1499999999978</v>
      </c>
      <c r="P626" s="55"/>
      <c r="Q626" s="55"/>
      <c r="R626" s="55"/>
      <c r="S626" s="55">
        <f t="shared" si="413"/>
        <v>6429.1499999999978</v>
      </c>
      <c r="T626" s="48"/>
      <c r="U626" s="49">
        <f t="shared" si="414"/>
        <v>81.409999999941647</v>
      </c>
      <c r="V626" s="51">
        <v>137497.07999999999</v>
      </c>
      <c r="W626" s="51"/>
      <c r="X626" s="51"/>
      <c r="Y626" s="51">
        <f t="shared" si="415"/>
        <v>137578.48999999993</v>
      </c>
      <c r="Z626" s="52"/>
      <c r="AA626" s="53">
        <f t="shared" si="416"/>
        <v>85.440000000002328</v>
      </c>
      <c r="AB626" s="54"/>
      <c r="AC626" s="54"/>
      <c r="AD626" s="54"/>
      <c r="AE626" s="54">
        <f t="shared" si="417"/>
        <v>85.440000000002328</v>
      </c>
      <c r="AF626" s="53"/>
      <c r="AG626" s="53">
        <f t="shared" si="474"/>
        <v>618.90000000002101</v>
      </c>
      <c r="AH626" s="54"/>
      <c r="AI626" s="54"/>
      <c r="AJ626" s="54"/>
      <c r="AK626" s="54">
        <f t="shared" si="418"/>
        <v>618.90000000002101</v>
      </c>
      <c r="AL626" s="53"/>
      <c r="AM626" s="53">
        <f t="shared" si="401"/>
        <v>0</v>
      </c>
      <c r="AN626" s="54"/>
      <c r="AO626" s="54"/>
      <c r="AP626" s="54"/>
      <c r="AQ626" s="54">
        <f t="shared" si="402"/>
        <v>0</v>
      </c>
      <c r="AR626" s="53"/>
      <c r="AS626" s="50">
        <f t="shared" si="420"/>
        <v>-1451000.3600000003</v>
      </c>
      <c r="AT626" s="73">
        <f t="shared" si="455"/>
        <v>350768.65</v>
      </c>
      <c r="AU626" s="50">
        <f t="shared" si="478"/>
        <v>0</v>
      </c>
      <c r="AV626" s="50">
        <f t="shared" si="456"/>
        <v>-65556.710000000108</v>
      </c>
      <c r="AW626" s="50"/>
      <c r="AX626" s="50">
        <f t="shared" si="404"/>
        <v>-1165788.4200000002</v>
      </c>
      <c r="AY626" s="50">
        <f t="shared" si="405"/>
        <v>9300000</v>
      </c>
      <c r="AZ626" s="50">
        <f t="shared" si="406"/>
        <v>8134211.5800000001</v>
      </c>
      <c r="BA626" s="15">
        <f t="shared" si="481"/>
        <v>0</v>
      </c>
      <c r="BB626" s="15">
        <f t="shared" si="482"/>
        <v>-58472.874350000013</v>
      </c>
      <c r="BC626" s="58">
        <f t="shared" si="483"/>
        <v>-465117.1616666668</v>
      </c>
    </row>
    <row r="627" spans="2:55" s="58" customFormat="1" ht="12.75" customHeight="1" x14ac:dyDescent="0.3">
      <c r="B627" s="99">
        <f t="shared" ref="B627" si="485">B626+1</f>
        <v>45041</v>
      </c>
      <c r="C627" s="44">
        <f t="shared" si="409"/>
        <v>-1480870.47</v>
      </c>
      <c r="D627" s="45"/>
      <c r="E627" s="45"/>
      <c r="F627" s="45">
        <v>-294357.92</v>
      </c>
      <c r="G627" s="45">
        <f t="shared" si="462"/>
        <v>-1775228.39</v>
      </c>
      <c r="H627" s="44">
        <v>4300000</v>
      </c>
      <c r="I627" s="46">
        <f t="shared" si="410"/>
        <v>170370.06999999995</v>
      </c>
      <c r="J627" s="47"/>
      <c r="K627" s="47">
        <v>179000</v>
      </c>
      <c r="L627" s="47">
        <v>-289893.71999999997</v>
      </c>
      <c r="M627" s="47">
        <f t="shared" si="411"/>
        <v>59476.349999999977</v>
      </c>
      <c r="N627" s="46">
        <v>5000000</v>
      </c>
      <c r="O627" s="48">
        <f t="shared" si="412"/>
        <v>6429.1499999999978</v>
      </c>
      <c r="P627" s="55">
        <f>32497.9+3209.75</f>
        <v>35707.65</v>
      </c>
      <c r="Q627" s="55">
        <f>137500-179000</f>
        <v>-41500</v>
      </c>
      <c r="R627" s="55">
        <f>-103-10</f>
        <v>-113</v>
      </c>
      <c r="S627" s="55">
        <f t="shared" si="413"/>
        <v>523.80000000000291</v>
      </c>
      <c r="T627" s="48"/>
      <c r="U627" s="49">
        <f t="shared" si="414"/>
        <v>137578.48999999993</v>
      </c>
      <c r="V627" s="51"/>
      <c r="W627" s="51">
        <v>-137500</v>
      </c>
      <c r="X627" s="51">
        <f>-60.5-1.4</f>
        <v>-61.9</v>
      </c>
      <c r="Y627" s="51">
        <f t="shared" si="415"/>
        <v>16.589999999932481</v>
      </c>
      <c r="Z627" s="52"/>
      <c r="AA627" s="53">
        <f t="shared" si="416"/>
        <v>85.440000000002328</v>
      </c>
      <c r="AB627" s="54"/>
      <c r="AC627" s="54"/>
      <c r="AD627" s="54"/>
      <c r="AE627" s="54">
        <f t="shared" si="417"/>
        <v>85.440000000002328</v>
      </c>
      <c r="AF627" s="53"/>
      <c r="AG627" s="53">
        <f t="shared" si="474"/>
        <v>618.90000000002101</v>
      </c>
      <c r="AH627" s="54"/>
      <c r="AI627" s="54"/>
      <c r="AJ627" s="54"/>
      <c r="AK627" s="54">
        <f t="shared" si="418"/>
        <v>618.90000000002101</v>
      </c>
      <c r="AL627" s="53"/>
      <c r="AM627" s="53">
        <f t="shared" si="401"/>
        <v>0</v>
      </c>
      <c r="AN627" s="54"/>
      <c r="AO627" s="54"/>
      <c r="AP627" s="54"/>
      <c r="AQ627" s="54">
        <f t="shared" si="402"/>
        <v>0</v>
      </c>
      <c r="AR627" s="53"/>
      <c r="AS627" s="50">
        <f t="shared" si="420"/>
        <v>-1165788.4200000002</v>
      </c>
      <c r="AT627" s="73">
        <f t="shared" si="455"/>
        <v>35707.65</v>
      </c>
      <c r="AU627" s="50">
        <f t="shared" si="478"/>
        <v>0</v>
      </c>
      <c r="AV627" s="50">
        <f t="shared" si="456"/>
        <v>-584426.53999999992</v>
      </c>
      <c r="AW627" s="50"/>
      <c r="AX627" s="50">
        <f t="shared" si="404"/>
        <v>-1714507.3100000003</v>
      </c>
      <c r="AY627" s="50">
        <f t="shared" si="405"/>
        <v>9300000</v>
      </c>
      <c r="AZ627" s="50">
        <f t="shared" si="406"/>
        <v>7585492.6899999995</v>
      </c>
      <c r="BA627" s="15">
        <f t="shared" si="481"/>
        <v>0</v>
      </c>
      <c r="BB627" s="15">
        <f t="shared" si="482"/>
        <v>-58472.874350000013</v>
      </c>
      <c r="BC627" s="58">
        <f t="shared" si="483"/>
        <v>-856271.9566666669</v>
      </c>
    </row>
    <row r="628" spans="2:55" s="58" customFormat="1" ht="12.75" customHeight="1" x14ac:dyDescent="0.3">
      <c r="B628" s="99">
        <f t="shared" si="461"/>
        <v>45042</v>
      </c>
      <c r="C628" s="44">
        <f t="shared" si="409"/>
        <v>-1775228.39</v>
      </c>
      <c r="D628" s="45">
        <v>90744.86</v>
      </c>
      <c r="E628" s="45"/>
      <c r="F628" s="45">
        <v>-612193.56000000006</v>
      </c>
      <c r="G628" s="45">
        <f t="shared" si="462"/>
        <v>-2296677.09</v>
      </c>
      <c r="H628" s="44">
        <v>4300000</v>
      </c>
      <c r="I628" s="46">
        <f t="shared" si="410"/>
        <v>59476.349999999977</v>
      </c>
      <c r="J628" s="47">
        <v>9291.15</v>
      </c>
      <c r="K628" s="47">
        <v>64100</v>
      </c>
      <c r="L628" s="47">
        <v>-94761.01</v>
      </c>
      <c r="M628" s="47">
        <f t="shared" si="411"/>
        <v>38106.489999999976</v>
      </c>
      <c r="N628" s="46">
        <v>5000000</v>
      </c>
      <c r="O628" s="48">
        <f t="shared" si="412"/>
        <v>523.80000000000291</v>
      </c>
      <c r="P628" s="55"/>
      <c r="Q628" s="55"/>
      <c r="R628" s="55"/>
      <c r="S628" s="55">
        <f t="shared" si="413"/>
        <v>523.80000000000291</v>
      </c>
      <c r="T628" s="48"/>
      <c r="U628" s="49">
        <f t="shared" si="414"/>
        <v>16.589999999932481</v>
      </c>
      <c r="V628" s="51">
        <v>64151.15</v>
      </c>
      <c r="W628" s="51">
        <v>-64100</v>
      </c>
      <c r="X628" s="51">
        <v>-10</v>
      </c>
      <c r="Y628" s="51">
        <f t="shared" si="415"/>
        <v>57.739999999932479</v>
      </c>
      <c r="Z628" s="52"/>
      <c r="AA628" s="53">
        <f t="shared" si="416"/>
        <v>85.440000000002328</v>
      </c>
      <c r="AB628" s="54"/>
      <c r="AC628" s="54"/>
      <c r="AD628" s="54"/>
      <c r="AE628" s="54">
        <f t="shared" si="417"/>
        <v>85.440000000002328</v>
      </c>
      <c r="AF628" s="53"/>
      <c r="AG628" s="53">
        <f t="shared" si="474"/>
        <v>618.90000000002101</v>
      </c>
      <c r="AH628" s="54"/>
      <c r="AI628" s="54"/>
      <c r="AJ628" s="54"/>
      <c r="AK628" s="54">
        <f t="shared" si="418"/>
        <v>618.90000000002101</v>
      </c>
      <c r="AL628" s="53"/>
      <c r="AM628" s="53">
        <f t="shared" si="401"/>
        <v>0</v>
      </c>
      <c r="AN628" s="54"/>
      <c r="AO628" s="54"/>
      <c r="AP628" s="54"/>
      <c r="AQ628" s="54">
        <f t="shared" si="402"/>
        <v>0</v>
      </c>
      <c r="AR628" s="53"/>
      <c r="AS628" s="50">
        <f t="shared" si="420"/>
        <v>-1714507.3100000003</v>
      </c>
      <c r="AT628" s="73">
        <f t="shared" si="455"/>
        <v>164187.16</v>
      </c>
      <c r="AU628" s="50">
        <f t="shared" si="478"/>
        <v>0</v>
      </c>
      <c r="AV628" s="50">
        <f t="shared" si="456"/>
        <v>-706964.57000000007</v>
      </c>
      <c r="AW628" s="50"/>
      <c r="AX628" s="50">
        <f t="shared" si="404"/>
        <v>-2257284.7200000007</v>
      </c>
      <c r="AY628" s="50">
        <f t="shared" si="405"/>
        <v>9300000</v>
      </c>
      <c r="AZ628" s="50">
        <f t="shared" si="406"/>
        <v>7042715.2799999993</v>
      </c>
      <c r="BA628" s="15">
        <f t="shared" si="481"/>
        <v>0</v>
      </c>
      <c r="BB628" s="15">
        <f t="shared" si="482"/>
        <v>-58472.874350000013</v>
      </c>
      <c r="BC628" s="58">
        <f t="shared" si="483"/>
        <v>-1331033.1233333338</v>
      </c>
    </row>
    <row r="629" spans="2:55" s="58" customFormat="1" ht="12.75" customHeight="1" x14ac:dyDescent="0.3">
      <c r="B629" s="99">
        <f t="shared" si="461"/>
        <v>45043</v>
      </c>
      <c r="C629" s="44">
        <f t="shared" si="409"/>
        <v>-2296677.09</v>
      </c>
      <c r="D629" s="45"/>
      <c r="E629" s="45">
        <v>-50000</v>
      </c>
      <c r="F629" s="45"/>
      <c r="G629" s="45">
        <f t="shared" si="462"/>
        <v>-2346677.09</v>
      </c>
      <c r="H629" s="44">
        <v>4300000</v>
      </c>
      <c r="I629" s="46">
        <f t="shared" si="410"/>
        <v>38106.489999999976</v>
      </c>
      <c r="J629" s="47"/>
      <c r="K629" s="47">
        <v>50000</v>
      </c>
      <c r="L629" s="47">
        <v>-75882.75</v>
      </c>
      <c r="M629" s="47">
        <f t="shared" si="411"/>
        <v>12223.739999999976</v>
      </c>
      <c r="N629" s="46">
        <v>5000000</v>
      </c>
      <c r="O629" s="48">
        <f t="shared" si="412"/>
        <v>523.80000000000291</v>
      </c>
      <c r="P629" s="55"/>
      <c r="Q629" s="55"/>
      <c r="R629" s="55"/>
      <c r="S629" s="55">
        <f t="shared" si="413"/>
        <v>523.80000000000291</v>
      </c>
      <c r="T629" s="48"/>
      <c r="U629" s="49">
        <f t="shared" si="414"/>
        <v>57.739999999932479</v>
      </c>
      <c r="V629" s="51"/>
      <c r="W629" s="51"/>
      <c r="X629" s="51"/>
      <c r="Y629" s="51">
        <f t="shared" si="415"/>
        <v>57.739999999932479</v>
      </c>
      <c r="Z629" s="52"/>
      <c r="AA629" s="53">
        <f t="shared" si="416"/>
        <v>85.440000000002328</v>
      </c>
      <c r="AB629" s="54"/>
      <c r="AC629" s="54"/>
      <c r="AD629" s="54"/>
      <c r="AE629" s="54">
        <f t="shared" si="417"/>
        <v>85.440000000002328</v>
      </c>
      <c r="AF629" s="53"/>
      <c r="AG629" s="53">
        <f t="shared" si="474"/>
        <v>618.90000000002101</v>
      </c>
      <c r="AH629" s="54"/>
      <c r="AI629" s="54"/>
      <c r="AJ629" s="54"/>
      <c r="AK629" s="54">
        <f t="shared" si="418"/>
        <v>618.90000000002101</v>
      </c>
      <c r="AL629" s="53"/>
      <c r="AM629" s="53">
        <f t="shared" ref="AM629:AM692" si="486">AQ628</f>
        <v>0</v>
      </c>
      <c r="AN629" s="54"/>
      <c r="AO629" s="54"/>
      <c r="AP629" s="54"/>
      <c r="AQ629" s="54">
        <f t="shared" ref="AQ629:AQ692" si="487">SUM(AM629:AP629)</f>
        <v>0</v>
      </c>
      <c r="AR629" s="53"/>
      <c r="AS629" s="50">
        <f t="shared" si="420"/>
        <v>-2257284.7200000007</v>
      </c>
      <c r="AT629" s="73">
        <f t="shared" si="455"/>
        <v>0</v>
      </c>
      <c r="AU629" s="50">
        <f t="shared" si="478"/>
        <v>0</v>
      </c>
      <c r="AV629" s="50">
        <f t="shared" si="456"/>
        <v>-75882.75</v>
      </c>
      <c r="AW629" s="50"/>
      <c r="AX629" s="50">
        <f t="shared" si="404"/>
        <v>-2333167.4700000007</v>
      </c>
      <c r="AY629" s="50">
        <f t="shared" si="405"/>
        <v>9300000</v>
      </c>
      <c r="AZ629" s="50">
        <f t="shared" si="406"/>
        <v>6966832.5299999993</v>
      </c>
      <c r="BA629" s="15">
        <f t="shared" si="481"/>
        <v>0</v>
      </c>
      <c r="BB629" s="15">
        <f t="shared" si="482"/>
        <v>-58472.874350000013</v>
      </c>
      <c r="BC629" s="58">
        <f t="shared" si="483"/>
        <v>-1728791.4400000004</v>
      </c>
    </row>
    <row r="630" spans="2:55" s="58" customFormat="1" ht="12.75" customHeight="1" x14ac:dyDescent="0.3">
      <c r="B630" s="99">
        <f t="shared" si="461"/>
        <v>45044</v>
      </c>
      <c r="C630" s="44">
        <f t="shared" si="409"/>
        <v>-2346677.09</v>
      </c>
      <c r="D630" s="45">
        <v>515281.81000000006</v>
      </c>
      <c r="E630" s="45">
        <v>700000</v>
      </c>
      <c r="F630" s="45">
        <v>-68536.7300000002</v>
      </c>
      <c r="G630" s="45">
        <f t="shared" si="462"/>
        <v>-1199932.01</v>
      </c>
      <c r="H630" s="44">
        <v>4300000</v>
      </c>
      <c r="I630" s="46">
        <f t="shared" si="410"/>
        <v>12223.739999999976</v>
      </c>
      <c r="J630" s="47">
        <v>743265.31</v>
      </c>
      <c r="K630" s="47">
        <v>-700000</v>
      </c>
      <c r="L630" s="47">
        <v>-41666.75</v>
      </c>
      <c r="M630" s="47">
        <f t="shared" si="411"/>
        <v>13822.300000000047</v>
      </c>
      <c r="N630" s="46">
        <v>5000000</v>
      </c>
      <c r="O630" s="48">
        <f t="shared" si="412"/>
        <v>523.80000000000291</v>
      </c>
      <c r="P630" s="55"/>
      <c r="Q630" s="55"/>
      <c r="R630" s="55"/>
      <c r="S630" s="55">
        <f t="shared" si="413"/>
        <v>523.80000000000291</v>
      </c>
      <c r="T630" s="48"/>
      <c r="U630" s="49">
        <f t="shared" si="414"/>
        <v>57.739999999932479</v>
      </c>
      <c r="V630" s="51"/>
      <c r="W630" s="51"/>
      <c r="X630" s="51"/>
      <c r="Y630" s="51">
        <f t="shared" si="415"/>
        <v>57.739999999932479</v>
      </c>
      <c r="Z630" s="52"/>
      <c r="AA630" s="53">
        <f t="shared" si="416"/>
        <v>85.440000000002328</v>
      </c>
      <c r="AB630" s="54"/>
      <c r="AC630" s="54"/>
      <c r="AD630" s="54"/>
      <c r="AE630" s="54">
        <f t="shared" si="417"/>
        <v>85.440000000002328</v>
      </c>
      <c r="AF630" s="53"/>
      <c r="AG630" s="53">
        <f t="shared" si="474"/>
        <v>618.90000000002101</v>
      </c>
      <c r="AH630" s="54"/>
      <c r="AI630" s="54"/>
      <c r="AJ630" s="54"/>
      <c r="AK630" s="54">
        <f t="shared" si="418"/>
        <v>618.90000000002101</v>
      </c>
      <c r="AL630" s="53"/>
      <c r="AM630" s="53">
        <f t="shared" si="486"/>
        <v>0</v>
      </c>
      <c r="AN630" s="54"/>
      <c r="AO630" s="54"/>
      <c r="AP630" s="54"/>
      <c r="AQ630" s="54">
        <f t="shared" si="487"/>
        <v>0</v>
      </c>
      <c r="AR630" s="53"/>
      <c r="AS630" s="50">
        <f t="shared" si="420"/>
        <v>-2333167.4700000007</v>
      </c>
      <c r="AT630" s="73">
        <f t="shared" ref="AT630:AT632" si="488">SUM(D630,J630,P630,V630,AB630,AH630)</f>
        <v>1258547.1200000001</v>
      </c>
      <c r="AU630" s="50">
        <f t="shared" ref="AU630:AU632" si="489">SUM(E630,K630,Q630,W630,AC630,AI630)</f>
        <v>0</v>
      </c>
      <c r="AV630" s="50">
        <f t="shared" ref="AV630:AV632" si="490">SUM(F630,L630,R630,X630,AD630,AJ630)</f>
        <v>-110203.4800000002</v>
      </c>
      <c r="AW630" s="50"/>
      <c r="AX630" s="50">
        <f t="shared" ref="AX630:AX693" si="491">SUM(G630,M630,S630,Y630,AE630,AK630)</f>
        <v>-1184823.83</v>
      </c>
      <c r="AY630" s="50">
        <f t="shared" ref="AY630:AY693" si="492">SUM(H630,N630,T630,Z630,AF630,AL630)</f>
        <v>9300000</v>
      </c>
      <c r="AZ630" s="50">
        <f t="shared" ref="AZ630:AZ693" si="493">AX630+AY630</f>
        <v>8115176.1699999999</v>
      </c>
      <c r="BA630" s="15">
        <f t="shared" si="481"/>
        <v>0</v>
      </c>
      <c r="BB630" s="15">
        <f t="shared" si="482"/>
        <v>-58472.874350000013</v>
      </c>
      <c r="BC630" s="58">
        <f t="shared" si="483"/>
        <v>-1684428.6850000003</v>
      </c>
    </row>
    <row r="631" spans="2:55" s="58" customFormat="1" ht="12.75" customHeight="1" x14ac:dyDescent="0.3">
      <c r="B631" s="99">
        <f t="shared" ref="B631" si="494">B630+3</f>
        <v>45047</v>
      </c>
      <c r="C631" s="44">
        <f t="shared" si="409"/>
        <v>-1199932.01</v>
      </c>
      <c r="D631" s="45"/>
      <c r="E631" s="45"/>
      <c r="F631" s="45"/>
      <c r="G631" s="45">
        <f t="shared" si="462"/>
        <v>-1199932.01</v>
      </c>
      <c r="H631" s="44">
        <v>4300000</v>
      </c>
      <c r="I631" s="46">
        <f t="shared" si="410"/>
        <v>13822.300000000047</v>
      </c>
      <c r="J631" s="47"/>
      <c r="K631" s="47"/>
      <c r="L631" s="47"/>
      <c r="M631" s="47">
        <f t="shared" si="411"/>
        <v>13822.300000000047</v>
      </c>
      <c r="N631" s="46">
        <v>5000000</v>
      </c>
      <c r="O631" s="48">
        <f t="shared" si="412"/>
        <v>523.80000000000291</v>
      </c>
      <c r="P631" s="55"/>
      <c r="Q631" s="55"/>
      <c r="R631" s="55"/>
      <c r="S631" s="55">
        <f t="shared" si="413"/>
        <v>523.80000000000291</v>
      </c>
      <c r="T631" s="48"/>
      <c r="U631" s="49">
        <f t="shared" si="414"/>
        <v>57.739999999932479</v>
      </c>
      <c r="V631" s="51"/>
      <c r="W631" s="51"/>
      <c r="X631" s="51"/>
      <c r="Y631" s="51">
        <f t="shared" si="415"/>
        <v>57.739999999932479</v>
      </c>
      <c r="Z631" s="52"/>
      <c r="AA631" s="53">
        <f t="shared" si="416"/>
        <v>85.440000000002328</v>
      </c>
      <c r="AB631" s="54"/>
      <c r="AC631" s="54"/>
      <c r="AD631" s="54"/>
      <c r="AE631" s="54">
        <f t="shared" si="417"/>
        <v>85.440000000002328</v>
      </c>
      <c r="AF631" s="53"/>
      <c r="AG631" s="53">
        <f t="shared" si="474"/>
        <v>618.90000000002101</v>
      </c>
      <c r="AH631" s="54"/>
      <c r="AI631" s="54"/>
      <c r="AJ631" s="54"/>
      <c r="AK631" s="54">
        <f t="shared" si="418"/>
        <v>618.90000000002101</v>
      </c>
      <c r="AL631" s="53"/>
      <c r="AM631" s="53">
        <f t="shared" si="486"/>
        <v>0</v>
      </c>
      <c r="AN631" s="54"/>
      <c r="AO631" s="54"/>
      <c r="AP631" s="54"/>
      <c r="AQ631" s="54">
        <f t="shared" si="487"/>
        <v>0</v>
      </c>
      <c r="AR631" s="53"/>
      <c r="AS631" s="50">
        <f t="shared" si="420"/>
        <v>-1184823.83</v>
      </c>
      <c r="AT631" s="73">
        <f t="shared" si="488"/>
        <v>0</v>
      </c>
      <c r="AU631" s="50">
        <f t="shared" si="489"/>
        <v>0</v>
      </c>
      <c r="AV631" s="50">
        <f t="shared" si="490"/>
        <v>0</v>
      </c>
      <c r="AW631" s="50"/>
      <c r="AX631" s="50">
        <f t="shared" ref="AX631:AX632" si="495">SUM(G631,M631,S631,Y631,AE631,AK631)</f>
        <v>-1184823.83</v>
      </c>
      <c r="AY631" s="50">
        <f t="shared" si="492"/>
        <v>9300000</v>
      </c>
      <c r="AZ631" s="50">
        <f t="shared" si="493"/>
        <v>8115176.1699999999</v>
      </c>
      <c r="BA631" s="15">
        <f t="shared" si="481"/>
        <v>0</v>
      </c>
      <c r="BB631" s="15">
        <f t="shared" si="482"/>
        <v>-58472.874350000013</v>
      </c>
      <c r="BC631" s="58">
        <f t="shared" si="483"/>
        <v>-1640065.9300000004</v>
      </c>
    </row>
    <row r="632" spans="2:55" s="58" customFormat="1" ht="12.75" customHeight="1" x14ac:dyDescent="0.3">
      <c r="B632" s="99">
        <f t="shared" ref="B632" si="496">B631+1</f>
        <v>45048</v>
      </c>
      <c r="C632" s="44">
        <f t="shared" si="409"/>
        <v>-1199932.01</v>
      </c>
      <c r="D632" s="45">
        <f>1989.59+45942</f>
        <v>47931.59</v>
      </c>
      <c r="E632" s="45">
        <f>330000+850000</f>
        <v>1180000</v>
      </c>
      <c r="F632" s="45">
        <f>-133328.48-0.85</f>
        <v>-133329.33000000002</v>
      </c>
      <c r="G632" s="45">
        <f t="shared" si="462"/>
        <v>-105329.74999999994</v>
      </c>
      <c r="H632" s="44">
        <v>4300000</v>
      </c>
      <c r="I632" s="46">
        <f t="shared" si="410"/>
        <v>13822.300000000047</v>
      </c>
      <c r="J632" s="47"/>
      <c r="K632" s="47">
        <f>409000-330000</f>
        <v>79000</v>
      </c>
      <c r="L632" s="47">
        <v>-88442.13</v>
      </c>
      <c r="M632" s="47">
        <f t="shared" si="411"/>
        <v>4380.1700000000419</v>
      </c>
      <c r="N632" s="46">
        <v>5000000</v>
      </c>
      <c r="O632" s="48">
        <f t="shared" si="412"/>
        <v>523.80000000000291</v>
      </c>
      <c r="P632" s="55">
        <v>810186.88</v>
      </c>
      <c r="Q632" s="55">
        <f>-850000+72000</f>
        <v>-778000</v>
      </c>
      <c r="R632" s="55">
        <v>-25071.460000000101</v>
      </c>
      <c r="S632" s="55">
        <f>SUM(O632:R632)</f>
        <v>7639.2199999999502</v>
      </c>
      <c r="T632" s="48"/>
      <c r="U632" s="49">
        <f t="shared" si="414"/>
        <v>57.739999999932479</v>
      </c>
      <c r="V632" s="51">
        <v>71982.94</v>
      </c>
      <c r="W632" s="51">
        <v>-72000</v>
      </c>
      <c r="X632" s="51"/>
      <c r="Y632" s="51">
        <f t="shared" si="415"/>
        <v>40.679999999934807</v>
      </c>
      <c r="Z632" s="52"/>
      <c r="AA632" s="53">
        <f t="shared" si="416"/>
        <v>85.440000000002328</v>
      </c>
      <c r="AB632" s="54"/>
      <c r="AC632" s="54"/>
      <c r="AD632" s="54"/>
      <c r="AE632" s="54">
        <f t="shared" si="417"/>
        <v>85.440000000002328</v>
      </c>
      <c r="AF632" s="53"/>
      <c r="AG632" s="53">
        <f t="shared" si="474"/>
        <v>618.90000000002101</v>
      </c>
      <c r="AH632" s="54">
        <v>408906.28</v>
      </c>
      <c r="AI632" s="54">
        <v>-409000</v>
      </c>
      <c r="AJ632" s="54">
        <v>-70</v>
      </c>
      <c r="AK632" s="54">
        <f t="shared" si="418"/>
        <v>455.18000000005122</v>
      </c>
      <c r="AL632" s="53"/>
      <c r="AM632" s="53">
        <f t="shared" si="486"/>
        <v>0</v>
      </c>
      <c r="AN632" s="54"/>
      <c r="AO632" s="54"/>
      <c r="AP632" s="54"/>
      <c r="AQ632" s="54">
        <f t="shared" si="487"/>
        <v>0</v>
      </c>
      <c r="AR632" s="53"/>
      <c r="AS632" s="50">
        <f t="shared" si="420"/>
        <v>-1184823.83</v>
      </c>
      <c r="AT632" s="73">
        <f t="shared" si="488"/>
        <v>1339007.69</v>
      </c>
      <c r="AU632" s="50">
        <f t="shared" si="489"/>
        <v>0</v>
      </c>
      <c r="AV632" s="50">
        <f t="shared" si="490"/>
        <v>-246912.92000000013</v>
      </c>
      <c r="AW632" s="50"/>
      <c r="AX632" s="50">
        <f t="shared" si="495"/>
        <v>-92729.059999999969</v>
      </c>
      <c r="AY632" s="50">
        <f t="shared" si="492"/>
        <v>9300000</v>
      </c>
      <c r="AZ632" s="50">
        <f t="shared" si="493"/>
        <v>9207270.9399999995</v>
      </c>
      <c r="BA632" s="15">
        <f t="shared" si="481"/>
        <v>0</v>
      </c>
      <c r="BB632" s="15">
        <f t="shared" si="482"/>
        <v>-58472.874350000013</v>
      </c>
      <c r="BC632" s="58">
        <f t="shared" si="483"/>
        <v>-1461222.7033333338</v>
      </c>
    </row>
    <row r="633" spans="2:55" s="58" customFormat="1" ht="12.75" customHeight="1" x14ac:dyDescent="0.3">
      <c r="B633" s="99">
        <f t="shared" si="461"/>
        <v>45049</v>
      </c>
      <c r="C633" s="44">
        <f t="shared" si="409"/>
        <v>-105329.74999999994</v>
      </c>
      <c r="D633" s="45">
        <v>420922.36</v>
      </c>
      <c r="E633" s="45"/>
      <c r="F633" s="45">
        <v>-77465.180000000095</v>
      </c>
      <c r="G633" s="45">
        <f t="shared" si="462"/>
        <v>238127.42999999993</v>
      </c>
      <c r="H633" s="44">
        <v>4300000</v>
      </c>
      <c r="I633" s="46">
        <f t="shared" si="410"/>
        <v>4380.1700000000419</v>
      </c>
      <c r="J633" s="47">
        <v>203155.51</v>
      </c>
      <c r="K633" s="47"/>
      <c r="L633" s="47">
        <v>-88673.570000000094</v>
      </c>
      <c r="M633" s="47">
        <f t="shared" si="411"/>
        <v>118862.10999999996</v>
      </c>
      <c r="N633" s="46">
        <v>5000000</v>
      </c>
      <c r="O633" s="48">
        <f t="shared" si="412"/>
        <v>7639.2199999999502</v>
      </c>
      <c r="P633" s="55">
        <v>429627.77</v>
      </c>
      <c r="Q633" s="55"/>
      <c r="R633" s="55">
        <v>-10</v>
      </c>
      <c r="S633" s="55">
        <f t="shared" si="413"/>
        <v>437256.99</v>
      </c>
      <c r="T633" s="48"/>
      <c r="U633" s="49">
        <f t="shared" si="414"/>
        <v>40.679999999934807</v>
      </c>
      <c r="V633" s="51"/>
      <c r="W633" s="51"/>
      <c r="X633" s="51">
        <v>-40.6799999999348</v>
      </c>
      <c r="Y633" s="51">
        <f t="shared" si="415"/>
        <v>0</v>
      </c>
      <c r="Z633" s="52"/>
      <c r="AA633" s="53">
        <f t="shared" si="416"/>
        <v>85.440000000002328</v>
      </c>
      <c r="AB633" s="54"/>
      <c r="AC633" s="54"/>
      <c r="AD633" s="54"/>
      <c r="AE633" s="54">
        <f t="shared" si="417"/>
        <v>85.440000000002328</v>
      </c>
      <c r="AF633" s="53"/>
      <c r="AG633" s="53">
        <f t="shared" si="474"/>
        <v>455.18000000005122</v>
      </c>
      <c r="AH633" s="54"/>
      <c r="AI633" s="54"/>
      <c r="AJ633" s="54">
        <v>-9.6</v>
      </c>
      <c r="AK633" s="54">
        <f t="shared" si="418"/>
        <v>445.5800000000512</v>
      </c>
      <c r="AL633" s="53"/>
      <c r="AM633" s="53">
        <f t="shared" si="486"/>
        <v>0</v>
      </c>
      <c r="AN633" s="54"/>
      <c r="AO633" s="54"/>
      <c r="AP633" s="54"/>
      <c r="AQ633" s="54">
        <f t="shared" si="487"/>
        <v>0</v>
      </c>
      <c r="AR633" s="53"/>
      <c r="AS633" s="50">
        <f t="shared" si="420"/>
        <v>-92729.059999999969</v>
      </c>
      <c r="AT633" s="73">
        <f t="shared" si="455"/>
        <v>1053705.6400000001</v>
      </c>
      <c r="AU633" s="50">
        <f t="shared" si="478"/>
        <v>0</v>
      </c>
      <c r="AV633" s="50">
        <f t="shared" si="456"/>
        <v>-166199.03000000012</v>
      </c>
      <c r="AW633" s="50"/>
      <c r="AX633" s="50">
        <f t="shared" si="491"/>
        <v>794777.55</v>
      </c>
      <c r="AY633" s="50">
        <f t="shared" si="492"/>
        <v>9300000</v>
      </c>
      <c r="AZ633" s="50">
        <f t="shared" si="493"/>
        <v>10094777.550000001</v>
      </c>
      <c r="BA633" s="15">
        <f t="shared" si="481"/>
        <v>0</v>
      </c>
      <c r="BB633" s="15">
        <f t="shared" si="482"/>
        <v>-58472.874350000013</v>
      </c>
      <c r="BC633" s="58">
        <f t="shared" si="483"/>
        <v>-1043008.5600000002</v>
      </c>
    </row>
    <row r="634" spans="2:55" s="58" customFormat="1" ht="12.75" customHeight="1" x14ac:dyDescent="0.3">
      <c r="B634" s="99">
        <f t="shared" si="461"/>
        <v>45050</v>
      </c>
      <c r="C634" s="44">
        <f t="shared" si="409"/>
        <v>238127.42999999993</v>
      </c>
      <c r="D634" s="45">
        <v>43986.01</v>
      </c>
      <c r="E634" s="45"/>
      <c r="F634" s="45">
        <v>-11758.4999999999</v>
      </c>
      <c r="G634" s="45">
        <f t="shared" si="462"/>
        <v>270354.94000000006</v>
      </c>
      <c r="H634" s="44">
        <v>4300000</v>
      </c>
      <c r="I634" s="46">
        <f t="shared" si="410"/>
        <v>118862.10999999996</v>
      </c>
      <c r="J634" s="47">
        <v>3845.8</v>
      </c>
      <c r="K634" s="47">
        <v>430000</v>
      </c>
      <c r="L634" s="47">
        <v>-2299458.46</v>
      </c>
      <c r="M634" s="47">
        <f t="shared" si="411"/>
        <v>-1746750.55</v>
      </c>
      <c r="N634" s="46">
        <v>5000000</v>
      </c>
      <c r="O634" s="48">
        <f t="shared" si="412"/>
        <v>437256.99</v>
      </c>
      <c r="P634" s="55"/>
      <c r="Q634" s="55">
        <f>-430000-50</f>
        <v>-430050</v>
      </c>
      <c r="R634" s="55">
        <f>-2504.44-1281.93</f>
        <v>-3786.37</v>
      </c>
      <c r="S634" s="55">
        <f t="shared" si="413"/>
        <v>3420.6199999999908</v>
      </c>
      <c r="T634" s="48"/>
      <c r="U634" s="49">
        <f t="shared" si="414"/>
        <v>0</v>
      </c>
      <c r="V634" s="51"/>
      <c r="W634" s="51">
        <v>50</v>
      </c>
      <c r="X634" s="51">
        <f>-21.82-1.4</f>
        <v>-23.22</v>
      </c>
      <c r="Y634" s="51">
        <f t="shared" si="415"/>
        <v>26.78</v>
      </c>
      <c r="Z634" s="52"/>
      <c r="AA634" s="53">
        <f t="shared" si="416"/>
        <v>85.440000000002328</v>
      </c>
      <c r="AB634" s="54"/>
      <c r="AC634" s="54"/>
      <c r="AD634" s="54"/>
      <c r="AE634" s="54">
        <f t="shared" si="417"/>
        <v>85.440000000002328</v>
      </c>
      <c r="AF634" s="53"/>
      <c r="AG634" s="53">
        <f t="shared" si="474"/>
        <v>445.5800000000512</v>
      </c>
      <c r="AH634" s="54"/>
      <c r="AI634" s="54"/>
      <c r="AJ634" s="54">
        <v>-376.85</v>
      </c>
      <c r="AK634" s="54">
        <f t="shared" si="418"/>
        <v>68.730000000051177</v>
      </c>
      <c r="AL634" s="53"/>
      <c r="AM634" s="53">
        <f t="shared" si="486"/>
        <v>0</v>
      </c>
      <c r="AN634" s="54"/>
      <c r="AO634" s="54"/>
      <c r="AP634" s="54"/>
      <c r="AQ634" s="54">
        <f t="shared" si="487"/>
        <v>0</v>
      </c>
      <c r="AR634" s="53"/>
      <c r="AS634" s="50">
        <f t="shared" si="420"/>
        <v>794777.55</v>
      </c>
      <c r="AT634" s="73">
        <f t="shared" si="455"/>
        <v>47831.810000000005</v>
      </c>
      <c r="AU634" s="50">
        <f t="shared" si="478"/>
        <v>0</v>
      </c>
      <c r="AV634" s="50">
        <f t="shared" si="456"/>
        <v>-2315403.4000000004</v>
      </c>
      <c r="AW634" s="50"/>
      <c r="AX634" s="50">
        <f t="shared" si="491"/>
        <v>-1472794.04</v>
      </c>
      <c r="AY634" s="50">
        <f t="shared" si="492"/>
        <v>9300000</v>
      </c>
      <c r="AZ634" s="50">
        <f t="shared" si="493"/>
        <v>7827205.96</v>
      </c>
      <c r="BA634" s="15">
        <f t="shared" si="481"/>
        <v>0</v>
      </c>
      <c r="BB634" s="15">
        <f t="shared" si="482"/>
        <v>-58472.874350000013</v>
      </c>
      <c r="BC634" s="58">
        <f t="shared" si="483"/>
        <v>-912260.1133333334</v>
      </c>
    </row>
    <row r="635" spans="2:55" s="58" customFormat="1" ht="12.75" customHeight="1" x14ac:dyDescent="0.3">
      <c r="B635" s="99">
        <f t="shared" si="461"/>
        <v>45051</v>
      </c>
      <c r="C635" s="44">
        <f t="shared" ref="C635:C698" si="497">G634</f>
        <v>270354.94000000006</v>
      </c>
      <c r="D635" s="45">
        <v>233016.1</v>
      </c>
      <c r="E635" s="45">
        <v>-350000</v>
      </c>
      <c r="F635" s="45">
        <f>-436944.47+350000</f>
        <v>-86944.469999999972</v>
      </c>
      <c r="G635" s="45">
        <f t="shared" si="462"/>
        <v>66426.570000000065</v>
      </c>
      <c r="H635" s="44">
        <v>4300000</v>
      </c>
      <c r="I635" s="46">
        <f t="shared" ref="I635:I698" si="498">M634</f>
        <v>-1746750.55</v>
      </c>
      <c r="J635" s="47">
        <f>398169.24+27271.87+5699.92+6182.73+90267.92+73505</f>
        <v>601096.67999999993</v>
      </c>
      <c r="K635" s="47">
        <v>350000</v>
      </c>
      <c r="L635" s="47">
        <v>-1556216.38</v>
      </c>
      <c r="M635" s="47">
        <f t="shared" ref="M635:M698" si="499">SUM(I635:L635)</f>
        <v>-2351870.25</v>
      </c>
      <c r="N635" s="46">
        <v>5000000</v>
      </c>
      <c r="O635" s="48">
        <f t="shared" ref="O635:O698" si="500">S634</f>
        <v>3420.6199999999908</v>
      </c>
      <c r="P635" s="55">
        <f>143.36+10.18</f>
        <v>153.54000000000002</v>
      </c>
      <c r="Q635" s="55"/>
      <c r="R635" s="55">
        <f>-1350*2-10</f>
        <v>-2710</v>
      </c>
      <c r="S635" s="55">
        <f t="shared" ref="S635:S698" si="501">SUM(O635:R635)</f>
        <v>864.15999999999076</v>
      </c>
      <c r="T635" s="48"/>
      <c r="U635" s="49">
        <f t="shared" ref="U635:U698" si="502">Y634</f>
        <v>26.78</v>
      </c>
      <c r="V635" s="51"/>
      <c r="W635" s="51"/>
      <c r="X635" s="51"/>
      <c r="Y635" s="51">
        <f t="shared" ref="Y635:Y698" si="503">SUM(U635:X635)</f>
        <v>26.78</v>
      </c>
      <c r="Z635" s="52"/>
      <c r="AA635" s="53">
        <f t="shared" ref="AA635:AA698" si="504">AE634</f>
        <v>85.440000000002328</v>
      </c>
      <c r="AB635" s="54"/>
      <c r="AC635" s="54"/>
      <c r="AD635" s="54"/>
      <c r="AE635" s="54">
        <f t="shared" ref="AE635:AE698" si="505">SUM(AA635:AD635)</f>
        <v>85.440000000002328</v>
      </c>
      <c r="AF635" s="53"/>
      <c r="AG635" s="53">
        <f t="shared" si="474"/>
        <v>68.730000000051177</v>
      </c>
      <c r="AH635" s="54"/>
      <c r="AI635" s="54"/>
      <c r="AJ635" s="54"/>
      <c r="AK635" s="54">
        <f t="shared" ref="AK635:AK698" si="506">SUM(AG635:AJ635)</f>
        <v>68.730000000051177</v>
      </c>
      <c r="AL635" s="53"/>
      <c r="AM635" s="53">
        <f t="shared" si="486"/>
        <v>0</v>
      </c>
      <c r="AN635" s="54"/>
      <c r="AO635" s="54"/>
      <c r="AP635" s="54"/>
      <c r="AQ635" s="54">
        <f t="shared" si="487"/>
        <v>0</v>
      </c>
      <c r="AR635" s="53"/>
      <c r="AS635" s="50">
        <f t="shared" si="420"/>
        <v>-1472794.04</v>
      </c>
      <c r="AT635" s="73">
        <f t="shared" si="455"/>
        <v>834266.32</v>
      </c>
      <c r="AU635" s="50">
        <f t="shared" si="478"/>
        <v>0</v>
      </c>
      <c r="AV635" s="50">
        <f t="shared" si="456"/>
        <v>-1645870.8499999999</v>
      </c>
      <c r="AW635" s="50"/>
      <c r="AX635" s="50">
        <f t="shared" si="491"/>
        <v>-2284398.5699999998</v>
      </c>
      <c r="AY635" s="50">
        <f t="shared" si="492"/>
        <v>9300000</v>
      </c>
      <c r="AZ635" s="50">
        <f t="shared" si="493"/>
        <v>7015601.4299999997</v>
      </c>
      <c r="BA635" s="15">
        <f t="shared" si="481"/>
        <v>0</v>
      </c>
      <c r="BB635" s="15">
        <f t="shared" si="482"/>
        <v>-58472.874350000013</v>
      </c>
      <c r="BC635" s="58">
        <f t="shared" si="483"/>
        <v>-904131.96333333326</v>
      </c>
    </row>
    <row r="636" spans="2:55" s="58" customFormat="1" ht="12.75" customHeight="1" x14ac:dyDescent="0.3">
      <c r="B636" s="99">
        <f t="shared" ref="B636" si="507">B635+3</f>
        <v>45054</v>
      </c>
      <c r="C636" s="44">
        <f t="shared" si="497"/>
        <v>66426.570000000065</v>
      </c>
      <c r="D636" s="45">
        <f>61538.77+67200.96+421022.53</f>
        <v>549762.26</v>
      </c>
      <c r="E636" s="45"/>
      <c r="F636" s="45">
        <v>-12465.91</v>
      </c>
      <c r="G636" s="45">
        <f t="shared" si="462"/>
        <v>603722.92000000004</v>
      </c>
      <c r="H636" s="44">
        <v>4300000</v>
      </c>
      <c r="I636" s="46">
        <f t="shared" si="498"/>
        <v>-2351870.25</v>
      </c>
      <c r="J636" s="47">
        <v>37540</v>
      </c>
      <c r="K636" s="47">
        <f>97000+58790</f>
        <v>155790</v>
      </c>
      <c r="L636" s="47">
        <v>-134696.85</v>
      </c>
      <c r="M636" s="47">
        <f t="shared" si="499"/>
        <v>-2293237.1</v>
      </c>
      <c r="N636" s="46">
        <v>5000000</v>
      </c>
      <c r="O636" s="48">
        <f t="shared" si="500"/>
        <v>864.15999999999076</v>
      </c>
      <c r="P636" s="55"/>
      <c r="Q636" s="55"/>
      <c r="R636" s="55"/>
      <c r="S636" s="55">
        <f t="shared" si="501"/>
        <v>864.15999999999076</v>
      </c>
      <c r="T636" s="48"/>
      <c r="U636" s="49">
        <f t="shared" si="502"/>
        <v>26.78</v>
      </c>
      <c r="V636" s="51">
        <v>62554.78</v>
      </c>
      <c r="W636" s="51">
        <f>-58790</f>
        <v>-58790</v>
      </c>
      <c r="X636" s="51">
        <v>-3754</v>
      </c>
      <c r="Y636" s="51">
        <f t="shared" si="503"/>
        <v>37.559999999997672</v>
      </c>
      <c r="Z636" s="52"/>
      <c r="AA636" s="53">
        <f t="shared" si="504"/>
        <v>85.440000000002328</v>
      </c>
      <c r="AB636" s="54"/>
      <c r="AC636" s="54"/>
      <c r="AD636" s="54"/>
      <c r="AE636" s="54">
        <f t="shared" si="505"/>
        <v>85.440000000002328</v>
      </c>
      <c r="AF636" s="53"/>
      <c r="AG636" s="53">
        <f t="shared" si="474"/>
        <v>68.730000000051177</v>
      </c>
      <c r="AH636" s="54">
        <v>97893.52</v>
      </c>
      <c r="AI636" s="54">
        <v>-97000</v>
      </c>
      <c r="AJ636" s="54"/>
      <c r="AK636" s="54">
        <f t="shared" si="506"/>
        <v>962.25000000005821</v>
      </c>
      <c r="AL636" s="53"/>
      <c r="AM636" s="53">
        <f t="shared" si="486"/>
        <v>0</v>
      </c>
      <c r="AN636" s="54"/>
      <c r="AO636" s="54"/>
      <c r="AP636" s="54"/>
      <c r="AQ636" s="54">
        <f t="shared" si="487"/>
        <v>0</v>
      </c>
      <c r="AR636" s="53"/>
      <c r="AS636" s="50">
        <f t="shared" ref="AS636:AS699" si="508">SUM(C636,I636,O636,U636,AA636,AG636)</f>
        <v>-2284398.5699999998</v>
      </c>
      <c r="AT636" s="73">
        <f t="shared" si="455"/>
        <v>747750.56</v>
      </c>
      <c r="AU636" s="50">
        <f t="shared" si="478"/>
        <v>0</v>
      </c>
      <c r="AV636" s="50">
        <f t="shared" si="456"/>
        <v>-150916.76</v>
      </c>
      <c r="AW636" s="50"/>
      <c r="AX636" s="50">
        <f t="shared" si="491"/>
        <v>-1687564.7700000003</v>
      </c>
      <c r="AY636" s="50">
        <f t="shared" si="492"/>
        <v>9300000</v>
      </c>
      <c r="AZ636" s="50">
        <f t="shared" si="493"/>
        <v>7612435.2299999995</v>
      </c>
      <c r="BA636" s="15">
        <f t="shared" si="481"/>
        <v>0</v>
      </c>
      <c r="BB636" s="15">
        <f t="shared" si="482"/>
        <v>-58472.874350000013</v>
      </c>
      <c r="BC636" s="58">
        <f t="shared" si="483"/>
        <v>-987922.12000000011</v>
      </c>
    </row>
    <row r="637" spans="2:55" s="58" customFormat="1" ht="12.75" customHeight="1" x14ac:dyDescent="0.3">
      <c r="B637" s="99">
        <f t="shared" ref="B637" si="509">B636+1</f>
        <v>45055</v>
      </c>
      <c r="C637" s="44">
        <f t="shared" si="497"/>
        <v>603722.92000000004</v>
      </c>
      <c r="D637" s="45">
        <v>62565.440000000002</v>
      </c>
      <c r="E637" s="45"/>
      <c r="F637" s="45">
        <v>-39.370000000111702</v>
      </c>
      <c r="G637" s="45">
        <f t="shared" si="462"/>
        <v>666248.99</v>
      </c>
      <c r="H637" s="44">
        <v>4300000</v>
      </c>
      <c r="I637" s="46">
        <f t="shared" si="498"/>
        <v>-2293237.1</v>
      </c>
      <c r="J637" s="47">
        <v>131083.09</v>
      </c>
      <c r="K637" s="47"/>
      <c r="L637" s="47">
        <v>-19313.729999999701</v>
      </c>
      <c r="M637" s="47">
        <f t="shared" si="499"/>
        <v>-2181467.7399999998</v>
      </c>
      <c r="N637" s="46">
        <v>5000000</v>
      </c>
      <c r="O637" s="48">
        <f t="shared" si="500"/>
        <v>864.15999999999076</v>
      </c>
      <c r="P637" s="55"/>
      <c r="Q637" s="55"/>
      <c r="R637" s="55"/>
      <c r="S637" s="55">
        <f t="shared" si="501"/>
        <v>864.15999999999076</v>
      </c>
      <c r="T637" s="48"/>
      <c r="U637" s="49">
        <f t="shared" si="502"/>
        <v>37.559999999997672</v>
      </c>
      <c r="V637" s="51"/>
      <c r="W637" s="51"/>
      <c r="X637" s="51">
        <f>-1.4-10</f>
        <v>-11.4</v>
      </c>
      <c r="Y637" s="51">
        <f t="shared" si="503"/>
        <v>26.159999999997673</v>
      </c>
      <c r="Z637" s="52"/>
      <c r="AA637" s="53">
        <f t="shared" si="504"/>
        <v>85.440000000002328</v>
      </c>
      <c r="AB637" s="54"/>
      <c r="AC637" s="54"/>
      <c r="AD637" s="54"/>
      <c r="AE637" s="54">
        <f t="shared" si="505"/>
        <v>85.440000000002328</v>
      </c>
      <c r="AF637" s="53"/>
      <c r="AG637" s="53">
        <f t="shared" si="474"/>
        <v>962.25000000005821</v>
      </c>
      <c r="AH637" s="54"/>
      <c r="AI637" s="54"/>
      <c r="AJ637" s="54">
        <v>-9.5200000000581895</v>
      </c>
      <c r="AK637" s="54">
        <f t="shared" si="506"/>
        <v>952.73</v>
      </c>
      <c r="AL637" s="53"/>
      <c r="AM637" s="53">
        <f t="shared" si="486"/>
        <v>0</v>
      </c>
      <c r="AN637" s="54"/>
      <c r="AO637" s="54"/>
      <c r="AP637" s="54"/>
      <c r="AQ637" s="54">
        <f t="shared" si="487"/>
        <v>0</v>
      </c>
      <c r="AR637" s="53"/>
      <c r="AS637" s="50">
        <f t="shared" si="508"/>
        <v>-1687564.7700000003</v>
      </c>
      <c r="AT637" s="73">
        <f t="shared" si="455"/>
        <v>193648.53</v>
      </c>
      <c r="AU637" s="50">
        <f t="shared" si="478"/>
        <v>0</v>
      </c>
      <c r="AV637" s="50">
        <f t="shared" si="456"/>
        <v>-19374.019999999873</v>
      </c>
      <c r="AW637" s="50"/>
      <c r="AX637" s="50">
        <f t="shared" si="491"/>
        <v>-1513290.26</v>
      </c>
      <c r="AY637" s="50">
        <f t="shared" si="492"/>
        <v>9300000</v>
      </c>
      <c r="AZ637" s="50">
        <f t="shared" si="493"/>
        <v>7786709.7400000002</v>
      </c>
      <c r="BA637" s="15">
        <f t="shared" si="481"/>
        <v>0</v>
      </c>
      <c r="BB637" s="15">
        <f t="shared" si="482"/>
        <v>-58472.874350000013</v>
      </c>
      <c r="BC637" s="58">
        <f t="shared" si="483"/>
        <v>-1042666.5249999999</v>
      </c>
    </row>
    <row r="638" spans="2:55" s="58" customFormat="1" ht="12.75" customHeight="1" x14ac:dyDescent="0.3">
      <c r="B638" s="99">
        <f t="shared" si="461"/>
        <v>45056</v>
      </c>
      <c r="C638" s="44">
        <f t="shared" si="497"/>
        <v>666248.99</v>
      </c>
      <c r="D638" s="45"/>
      <c r="E638" s="45"/>
      <c r="F638" s="45">
        <v>-9596.0200000000095</v>
      </c>
      <c r="G638" s="45">
        <f t="shared" si="462"/>
        <v>656652.97</v>
      </c>
      <c r="H638" s="44">
        <v>4300000</v>
      </c>
      <c r="I638" s="46">
        <f t="shared" si="498"/>
        <v>-2181467.7399999998</v>
      </c>
      <c r="J638" s="47"/>
      <c r="K638" s="47"/>
      <c r="L638" s="47">
        <v>-167765.54999999999</v>
      </c>
      <c r="M638" s="47">
        <f t="shared" si="499"/>
        <v>-2349233.2899999996</v>
      </c>
      <c r="N638" s="46">
        <v>5000000</v>
      </c>
      <c r="O638" s="48">
        <f t="shared" si="500"/>
        <v>864.15999999999076</v>
      </c>
      <c r="P638" s="55">
        <v>3222.0600000000099</v>
      </c>
      <c r="Q638" s="55"/>
      <c r="R638" s="55"/>
      <c r="S638" s="55">
        <f t="shared" si="501"/>
        <v>4086.2200000000007</v>
      </c>
      <c r="T638" s="48"/>
      <c r="U638" s="49">
        <f t="shared" si="502"/>
        <v>26.159999999997673</v>
      </c>
      <c r="V638" s="51">
        <v>22467.69</v>
      </c>
      <c r="W638" s="51"/>
      <c r="X638" s="51"/>
      <c r="Y638" s="51">
        <f t="shared" si="503"/>
        <v>22493.849999999995</v>
      </c>
      <c r="Z638" s="52"/>
      <c r="AA638" s="53">
        <f t="shared" si="504"/>
        <v>85.440000000002328</v>
      </c>
      <c r="AB638" s="54"/>
      <c r="AC638" s="54"/>
      <c r="AD638" s="54"/>
      <c r="AE638" s="54">
        <f t="shared" si="505"/>
        <v>85.440000000002328</v>
      </c>
      <c r="AF638" s="53"/>
      <c r="AG638" s="53">
        <f t="shared" si="474"/>
        <v>952.73</v>
      </c>
      <c r="AH638" s="54"/>
      <c r="AI638" s="54"/>
      <c r="AJ638" s="54"/>
      <c r="AK638" s="54">
        <f t="shared" si="506"/>
        <v>952.73</v>
      </c>
      <c r="AL638" s="53"/>
      <c r="AM638" s="53">
        <f t="shared" si="486"/>
        <v>0</v>
      </c>
      <c r="AN638" s="54"/>
      <c r="AO638" s="54"/>
      <c r="AP638" s="54"/>
      <c r="AQ638" s="54">
        <f t="shared" si="487"/>
        <v>0</v>
      </c>
      <c r="AR638" s="53"/>
      <c r="AS638" s="50">
        <f t="shared" si="508"/>
        <v>-1513290.26</v>
      </c>
      <c r="AT638" s="73">
        <f t="shared" si="455"/>
        <v>25689.750000000007</v>
      </c>
      <c r="AU638" s="50">
        <f t="shared" si="478"/>
        <v>0</v>
      </c>
      <c r="AV638" s="50">
        <f t="shared" si="456"/>
        <v>-177361.57</v>
      </c>
      <c r="AW638" s="50"/>
      <c r="AX638" s="50">
        <f t="shared" si="491"/>
        <v>-1664962.0799999996</v>
      </c>
      <c r="AY638" s="50">
        <f t="shared" si="492"/>
        <v>9300000</v>
      </c>
      <c r="AZ638" s="50">
        <f t="shared" si="493"/>
        <v>7635037.9199999999</v>
      </c>
      <c r="BA638" s="15">
        <f t="shared" si="481"/>
        <v>0</v>
      </c>
      <c r="BB638" s="15">
        <f t="shared" si="482"/>
        <v>-58472.874350000013</v>
      </c>
      <c r="BC638" s="58">
        <f t="shared" si="483"/>
        <v>-1304705.3616666666</v>
      </c>
    </row>
    <row r="639" spans="2:55" s="58" customFormat="1" ht="12.75" customHeight="1" x14ac:dyDescent="0.3">
      <c r="B639" s="99">
        <f t="shared" si="461"/>
        <v>45057</v>
      </c>
      <c r="C639" s="44">
        <f t="shared" si="497"/>
        <v>656652.97</v>
      </c>
      <c r="D639" s="45">
        <v>203596.9</v>
      </c>
      <c r="E639" s="45">
        <v>-200000</v>
      </c>
      <c r="F639" s="45">
        <v>-3566.5699999999501</v>
      </c>
      <c r="G639" s="45">
        <f t="shared" si="462"/>
        <v>656683.30000000005</v>
      </c>
      <c r="H639" s="44">
        <v>4300000</v>
      </c>
      <c r="I639" s="46">
        <f t="shared" si="498"/>
        <v>-2349233.2899999996</v>
      </c>
      <c r="J639" s="47"/>
      <c r="K639" s="47">
        <v>200000</v>
      </c>
      <c r="L639" s="47">
        <v>-54087.120000000403</v>
      </c>
      <c r="M639" s="47">
        <f t="shared" si="499"/>
        <v>-2203320.41</v>
      </c>
      <c r="N639" s="46">
        <v>5000000</v>
      </c>
      <c r="O639" s="48">
        <f t="shared" si="500"/>
        <v>4086.2200000000007</v>
      </c>
      <c r="P639" s="55"/>
      <c r="Q639" s="55"/>
      <c r="R639" s="55"/>
      <c r="S639" s="55">
        <f t="shared" si="501"/>
        <v>4086.2200000000007</v>
      </c>
      <c r="T639" s="48"/>
      <c r="U639" s="49">
        <f t="shared" si="502"/>
        <v>22493.849999999995</v>
      </c>
      <c r="V639" s="51"/>
      <c r="W639" s="51"/>
      <c r="X639" s="51"/>
      <c r="Y639" s="51">
        <f t="shared" si="503"/>
        <v>22493.849999999995</v>
      </c>
      <c r="Z639" s="52"/>
      <c r="AA639" s="53">
        <f t="shared" si="504"/>
        <v>85.440000000002328</v>
      </c>
      <c r="AB639" s="54"/>
      <c r="AC639" s="54"/>
      <c r="AD639" s="54"/>
      <c r="AE639" s="54">
        <f t="shared" si="505"/>
        <v>85.440000000002328</v>
      </c>
      <c r="AF639" s="53"/>
      <c r="AG639" s="53">
        <f t="shared" si="474"/>
        <v>952.73</v>
      </c>
      <c r="AH639" s="54"/>
      <c r="AI639" s="54"/>
      <c r="AJ639" s="54"/>
      <c r="AK639" s="54">
        <f t="shared" si="506"/>
        <v>952.73</v>
      </c>
      <c r="AL639" s="53"/>
      <c r="AM639" s="53">
        <f t="shared" si="486"/>
        <v>0</v>
      </c>
      <c r="AN639" s="54"/>
      <c r="AO639" s="54"/>
      <c r="AP639" s="54"/>
      <c r="AQ639" s="54">
        <f t="shared" si="487"/>
        <v>0</v>
      </c>
      <c r="AR639" s="53"/>
      <c r="AS639" s="50">
        <f t="shared" si="508"/>
        <v>-1664962.0799999996</v>
      </c>
      <c r="AT639" s="73">
        <f t="shared" si="455"/>
        <v>203596.9</v>
      </c>
      <c r="AU639" s="50">
        <f t="shared" si="478"/>
        <v>0</v>
      </c>
      <c r="AV639" s="50">
        <f t="shared" si="456"/>
        <v>-57653.690000000352</v>
      </c>
      <c r="AW639" s="50"/>
      <c r="AX639" s="50">
        <f t="shared" si="491"/>
        <v>-1519018.87</v>
      </c>
      <c r="AY639" s="50">
        <f t="shared" si="492"/>
        <v>9300000</v>
      </c>
      <c r="AZ639" s="50">
        <f t="shared" si="493"/>
        <v>7780981.1299999999</v>
      </c>
      <c r="BA639" s="15">
        <f t="shared" ref="BA639:BA655" si="510">IF(AX639&lt;0,A639,0)</f>
        <v>0</v>
      </c>
      <c r="BB639" s="15">
        <f t="shared" ref="BB639:BB655" si="511">BA639+BB638</f>
        <v>-58472.874350000013</v>
      </c>
      <c r="BC639" s="58">
        <f t="shared" ref="BC639:BC655" si="512">AVERAGE(AX634:AX639)</f>
        <v>-1690338.0983333334</v>
      </c>
    </row>
    <row r="640" spans="2:55" s="58" customFormat="1" ht="12.75" customHeight="1" x14ac:dyDescent="0.3">
      <c r="B640" s="99">
        <f t="shared" si="461"/>
        <v>45058</v>
      </c>
      <c r="C640" s="44">
        <f t="shared" si="497"/>
        <v>656683.30000000005</v>
      </c>
      <c r="D640" s="45">
        <f>27773.04+421802.24+56649.37</f>
        <v>506224.64999999997</v>
      </c>
      <c r="E640" s="45"/>
      <c r="F640" s="45">
        <v>-10333.209999999901</v>
      </c>
      <c r="G640" s="45">
        <f t="shared" si="462"/>
        <v>1152574.74</v>
      </c>
      <c r="H640" s="44">
        <v>4300000</v>
      </c>
      <c r="I640" s="46">
        <f t="shared" si="498"/>
        <v>-2203320.41</v>
      </c>
      <c r="J640" s="47"/>
      <c r="K640" s="47"/>
      <c r="L640" s="47">
        <v>-72181.859999999899</v>
      </c>
      <c r="M640" s="47">
        <f t="shared" si="499"/>
        <v>-2275502.27</v>
      </c>
      <c r="N640" s="46">
        <v>5000000</v>
      </c>
      <c r="O640" s="48">
        <f t="shared" si="500"/>
        <v>4086.2200000000007</v>
      </c>
      <c r="P640" s="55"/>
      <c r="Q640" s="55"/>
      <c r="R640" s="55"/>
      <c r="S640" s="55">
        <f t="shared" si="501"/>
        <v>4086.2200000000007</v>
      </c>
      <c r="T640" s="48"/>
      <c r="U640" s="49">
        <f t="shared" si="502"/>
        <v>22493.849999999995</v>
      </c>
      <c r="V640" s="51"/>
      <c r="W640" s="51"/>
      <c r="X640" s="51"/>
      <c r="Y640" s="51">
        <f t="shared" si="503"/>
        <v>22493.849999999995</v>
      </c>
      <c r="Z640" s="52"/>
      <c r="AA640" s="53">
        <f t="shared" si="504"/>
        <v>85.440000000002328</v>
      </c>
      <c r="AB640" s="54"/>
      <c r="AC640" s="54"/>
      <c r="AD640" s="54"/>
      <c r="AE640" s="54">
        <f t="shared" si="505"/>
        <v>85.440000000002328</v>
      </c>
      <c r="AF640" s="53"/>
      <c r="AG640" s="53">
        <f t="shared" si="474"/>
        <v>952.73</v>
      </c>
      <c r="AH640" s="54"/>
      <c r="AI640" s="54"/>
      <c r="AJ640" s="54"/>
      <c r="AK640" s="54">
        <f t="shared" si="506"/>
        <v>952.73</v>
      </c>
      <c r="AL640" s="53"/>
      <c r="AM640" s="53">
        <f t="shared" si="486"/>
        <v>0</v>
      </c>
      <c r="AN640" s="54"/>
      <c r="AO640" s="54"/>
      <c r="AP640" s="54"/>
      <c r="AQ640" s="54">
        <f t="shared" si="487"/>
        <v>0</v>
      </c>
      <c r="AR640" s="53"/>
      <c r="AS640" s="50">
        <f t="shared" si="508"/>
        <v>-1519018.87</v>
      </c>
      <c r="AT640" s="73">
        <f t="shared" si="455"/>
        <v>506224.64999999997</v>
      </c>
      <c r="AU640" s="50">
        <f t="shared" si="478"/>
        <v>0</v>
      </c>
      <c r="AV640" s="50">
        <f t="shared" si="456"/>
        <v>-82515.069999999803</v>
      </c>
      <c r="AW640" s="50"/>
      <c r="AX640" s="50">
        <f t="shared" si="491"/>
        <v>-1095309.29</v>
      </c>
      <c r="AY640" s="50">
        <f t="shared" si="492"/>
        <v>9300000</v>
      </c>
      <c r="AZ640" s="50">
        <f t="shared" si="493"/>
        <v>8204690.71</v>
      </c>
      <c r="BA640" s="15">
        <f t="shared" si="510"/>
        <v>0</v>
      </c>
      <c r="BB640" s="15">
        <f t="shared" si="511"/>
        <v>-58472.874350000013</v>
      </c>
      <c r="BC640" s="58">
        <f t="shared" si="512"/>
        <v>-1627423.9733333334</v>
      </c>
    </row>
    <row r="641" spans="2:55" s="58" customFormat="1" ht="12.75" customHeight="1" x14ac:dyDescent="0.3">
      <c r="B641" s="99">
        <f t="shared" ref="B641" si="513">B640+3</f>
        <v>45061</v>
      </c>
      <c r="C641" s="44">
        <f t="shared" si="497"/>
        <v>1152574.74</v>
      </c>
      <c r="D641" s="45">
        <f>129263.11+2083.33+238384.42+15378.47+18141.37+89959.5+100000+140000+197263.82</f>
        <v>930474.02</v>
      </c>
      <c r="E641" s="45">
        <v>-2000000</v>
      </c>
      <c r="F641" s="45">
        <v>-33128.879999999997</v>
      </c>
      <c r="G641" s="45">
        <f t="shared" si="462"/>
        <v>49919.880000000012</v>
      </c>
      <c r="H641" s="44">
        <v>4300000</v>
      </c>
      <c r="I641" s="46">
        <f t="shared" si="498"/>
        <v>-2275502.27</v>
      </c>
      <c r="J641" s="47">
        <f>23368.65+24588.7+23462.5*3+23430.15</f>
        <v>141775</v>
      </c>
      <c r="K641" s="47">
        <f>2022450</f>
        <v>2022450</v>
      </c>
      <c r="L641" s="47">
        <v>-89716.03</v>
      </c>
      <c r="M641" s="47">
        <f t="shared" si="499"/>
        <v>-200993.30000000002</v>
      </c>
      <c r="N641" s="46">
        <v>5000000</v>
      </c>
      <c r="O641" s="48">
        <f t="shared" si="500"/>
        <v>4086.2200000000007</v>
      </c>
      <c r="P641" s="55">
        <f>284.58*4+880.1+157.12</f>
        <v>2175.54</v>
      </c>
      <c r="Q641" s="55"/>
      <c r="R641" s="55"/>
      <c r="S641" s="55">
        <f t="shared" si="501"/>
        <v>6261.76</v>
      </c>
      <c r="T641" s="48"/>
      <c r="U641" s="49">
        <f t="shared" si="502"/>
        <v>22493.849999999995</v>
      </c>
      <c r="V641" s="51"/>
      <c r="W641" s="51">
        <v>-22450</v>
      </c>
      <c r="X641" s="51">
        <v>-10</v>
      </c>
      <c r="Y641" s="51">
        <f t="shared" si="503"/>
        <v>33.849999999994907</v>
      </c>
      <c r="Z641" s="52"/>
      <c r="AA641" s="53">
        <f t="shared" si="504"/>
        <v>85.440000000002328</v>
      </c>
      <c r="AB641" s="54"/>
      <c r="AC641" s="54"/>
      <c r="AD641" s="54"/>
      <c r="AE641" s="54">
        <f t="shared" si="505"/>
        <v>85.440000000002328</v>
      </c>
      <c r="AF641" s="53"/>
      <c r="AG641" s="53">
        <f t="shared" si="474"/>
        <v>952.73</v>
      </c>
      <c r="AH641" s="54"/>
      <c r="AI641" s="54"/>
      <c r="AJ641" s="54"/>
      <c r="AK641" s="54">
        <f t="shared" si="506"/>
        <v>952.73</v>
      </c>
      <c r="AL641" s="53"/>
      <c r="AM641" s="53">
        <f t="shared" si="486"/>
        <v>0</v>
      </c>
      <c r="AN641" s="54"/>
      <c r="AO641" s="54"/>
      <c r="AP641" s="54"/>
      <c r="AQ641" s="54">
        <f t="shared" si="487"/>
        <v>0</v>
      </c>
      <c r="AR641" s="53"/>
      <c r="AS641" s="50">
        <f t="shared" si="508"/>
        <v>-1095309.29</v>
      </c>
      <c r="AT641" s="73">
        <f t="shared" si="455"/>
        <v>1074424.56</v>
      </c>
      <c r="AU641" s="50">
        <f t="shared" si="478"/>
        <v>0</v>
      </c>
      <c r="AV641" s="50">
        <f t="shared" si="456"/>
        <v>-122854.91</v>
      </c>
      <c r="AW641" s="50"/>
      <c r="AX641" s="50">
        <f t="shared" si="491"/>
        <v>-143739.63999999998</v>
      </c>
      <c r="AY641" s="50">
        <f t="shared" si="492"/>
        <v>9300000</v>
      </c>
      <c r="AZ641" s="50">
        <f t="shared" si="493"/>
        <v>9156260.3599999994</v>
      </c>
      <c r="BA641" s="15">
        <f t="shared" si="510"/>
        <v>0</v>
      </c>
      <c r="BB641" s="15">
        <f t="shared" si="511"/>
        <v>-58472.874350000013</v>
      </c>
      <c r="BC641" s="58">
        <f t="shared" si="512"/>
        <v>-1270647.4849999999</v>
      </c>
    </row>
    <row r="642" spans="2:55" s="58" customFormat="1" ht="12.75" customHeight="1" x14ac:dyDescent="0.3">
      <c r="B642" s="99">
        <f t="shared" ref="B642" si="514">B641+1</f>
        <v>45062</v>
      </c>
      <c r="C642" s="44">
        <f t="shared" si="497"/>
        <v>49919.880000000012</v>
      </c>
      <c r="D642" s="45">
        <f>3496.67+1579.36</f>
        <v>5076.03</v>
      </c>
      <c r="E642" s="45">
        <v>-51000</v>
      </c>
      <c r="F642" s="45">
        <v>-427.900000000011</v>
      </c>
      <c r="G642" s="45">
        <f t="shared" si="462"/>
        <v>3568.0099999999998</v>
      </c>
      <c r="H642" s="44">
        <v>4300000</v>
      </c>
      <c r="I642" s="46">
        <f t="shared" si="498"/>
        <v>-200993.30000000002</v>
      </c>
      <c r="J642" s="47"/>
      <c r="K642" s="47">
        <v>51000</v>
      </c>
      <c r="L642" s="47">
        <v>-109039.07</v>
      </c>
      <c r="M642" s="47">
        <f t="shared" si="499"/>
        <v>-259032.37000000002</v>
      </c>
      <c r="N642" s="46">
        <v>5000000</v>
      </c>
      <c r="O642" s="48">
        <f t="shared" si="500"/>
        <v>6261.76</v>
      </c>
      <c r="P642" s="55"/>
      <c r="Q642" s="55"/>
      <c r="R642" s="55">
        <v>-426.92</v>
      </c>
      <c r="S642" s="55">
        <f t="shared" si="501"/>
        <v>5834.84</v>
      </c>
      <c r="T642" s="48"/>
      <c r="U642" s="49">
        <f t="shared" si="502"/>
        <v>33.849999999994907</v>
      </c>
      <c r="V642" s="51"/>
      <c r="W642" s="51"/>
      <c r="X642" s="51"/>
      <c r="Y642" s="51">
        <f t="shared" si="503"/>
        <v>33.849999999994907</v>
      </c>
      <c r="Z642" s="52"/>
      <c r="AA642" s="53">
        <f t="shared" si="504"/>
        <v>85.440000000002328</v>
      </c>
      <c r="AB642" s="54"/>
      <c r="AC642" s="54"/>
      <c r="AD642" s="54"/>
      <c r="AE642" s="54">
        <f t="shared" si="505"/>
        <v>85.440000000002328</v>
      </c>
      <c r="AF642" s="53"/>
      <c r="AG642" s="53">
        <f t="shared" si="474"/>
        <v>952.73</v>
      </c>
      <c r="AH642" s="54"/>
      <c r="AI642" s="54"/>
      <c r="AJ642" s="54">
        <v>-426.92</v>
      </c>
      <c r="AK642" s="54">
        <f t="shared" si="506"/>
        <v>525.80999999999995</v>
      </c>
      <c r="AL642" s="53"/>
      <c r="AM642" s="53">
        <f t="shared" si="486"/>
        <v>0</v>
      </c>
      <c r="AN642" s="54"/>
      <c r="AO642" s="54"/>
      <c r="AP642" s="54"/>
      <c r="AQ642" s="54">
        <f t="shared" si="487"/>
        <v>0</v>
      </c>
      <c r="AR642" s="53"/>
      <c r="AS642" s="50">
        <f t="shared" si="508"/>
        <v>-143739.63999999998</v>
      </c>
      <c r="AT642" s="73">
        <f t="shared" si="455"/>
        <v>5076.03</v>
      </c>
      <c r="AU642" s="50">
        <f t="shared" si="478"/>
        <v>0</v>
      </c>
      <c r="AV642" s="50">
        <f t="shared" si="456"/>
        <v>-110320.81000000001</v>
      </c>
      <c r="AW642" s="50"/>
      <c r="AX642" s="50">
        <f t="shared" si="491"/>
        <v>-248984.42</v>
      </c>
      <c r="AY642" s="50">
        <f t="shared" si="492"/>
        <v>9300000</v>
      </c>
      <c r="AZ642" s="50">
        <f t="shared" si="493"/>
        <v>9051015.5800000001</v>
      </c>
      <c r="BA642" s="15">
        <f t="shared" si="510"/>
        <v>0</v>
      </c>
      <c r="BB642" s="15">
        <f t="shared" si="511"/>
        <v>-58472.874350000013</v>
      </c>
      <c r="BC642" s="58">
        <f t="shared" si="512"/>
        <v>-1030884.0933333333</v>
      </c>
    </row>
    <row r="643" spans="2:55" s="58" customFormat="1" ht="14.25" customHeight="1" x14ac:dyDescent="0.3">
      <c r="B643" s="99">
        <f t="shared" si="461"/>
        <v>45063</v>
      </c>
      <c r="C643" s="44">
        <f t="shared" si="497"/>
        <v>3568.0099999999998</v>
      </c>
      <c r="D643" s="45"/>
      <c r="E643" s="45">
        <v>-100000</v>
      </c>
      <c r="F643" s="45">
        <v>-846758.82</v>
      </c>
      <c r="G643" s="45">
        <f t="shared" si="462"/>
        <v>-943190.80999999994</v>
      </c>
      <c r="H643" s="44">
        <v>4300000</v>
      </c>
      <c r="I643" s="46">
        <f t="shared" si="498"/>
        <v>-259032.37000000002</v>
      </c>
      <c r="J643" s="47"/>
      <c r="K643" s="47">
        <v>100000</v>
      </c>
      <c r="L643" s="47">
        <v>-97179.23</v>
      </c>
      <c r="M643" s="47">
        <f t="shared" si="499"/>
        <v>-256211.60000000003</v>
      </c>
      <c r="N643" s="46">
        <v>5000000</v>
      </c>
      <c r="O643" s="48">
        <f t="shared" si="500"/>
        <v>5834.84</v>
      </c>
      <c r="P643" s="55"/>
      <c r="Q643" s="55"/>
      <c r="R643" s="55"/>
      <c r="S643" s="55">
        <f t="shared" si="501"/>
        <v>5834.84</v>
      </c>
      <c r="T643" s="48"/>
      <c r="U643" s="49">
        <f t="shared" si="502"/>
        <v>33.849999999994907</v>
      </c>
      <c r="V643" s="51"/>
      <c r="W643" s="51"/>
      <c r="X643" s="51"/>
      <c r="Y643" s="51">
        <f t="shared" si="503"/>
        <v>33.849999999994907</v>
      </c>
      <c r="Z643" s="52"/>
      <c r="AA643" s="53">
        <f t="shared" si="504"/>
        <v>85.440000000002328</v>
      </c>
      <c r="AB643" s="54"/>
      <c r="AC643" s="54"/>
      <c r="AD643" s="54"/>
      <c r="AE643" s="54">
        <f t="shared" si="505"/>
        <v>85.440000000002328</v>
      </c>
      <c r="AF643" s="53"/>
      <c r="AG643" s="53">
        <f t="shared" si="474"/>
        <v>525.80999999999995</v>
      </c>
      <c r="AH643" s="54"/>
      <c r="AI643" s="54"/>
      <c r="AJ643" s="54"/>
      <c r="AK643" s="54">
        <f t="shared" si="506"/>
        <v>525.80999999999995</v>
      </c>
      <c r="AL643" s="53"/>
      <c r="AM643" s="53">
        <f t="shared" si="486"/>
        <v>0</v>
      </c>
      <c r="AN643" s="54"/>
      <c r="AO643" s="54"/>
      <c r="AP643" s="54"/>
      <c r="AQ643" s="54">
        <f t="shared" si="487"/>
        <v>0</v>
      </c>
      <c r="AR643" s="53"/>
      <c r="AS643" s="50">
        <f t="shared" si="508"/>
        <v>-248984.42</v>
      </c>
      <c r="AT643" s="73">
        <f t="shared" si="455"/>
        <v>0</v>
      </c>
      <c r="AU643" s="50">
        <f t="shared" si="478"/>
        <v>0</v>
      </c>
      <c r="AV643" s="50">
        <f t="shared" si="456"/>
        <v>-943938.04999999993</v>
      </c>
      <c r="AW643" s="50"/>
      <c r="AX643" s="50">
        <f t="shared" si="491"/>
        <v>-1192922.4699999997</v>
      </c>
      <c r="AY643" s="50">
        <f t="shared" si="492"/>
        <v>9300000</v>
      </c>
      <c r="AZ643" s="50">
        <f t="shared" si="493"/>
        <v>8107077.5300000003</v>
      </c>
      <c r="BA643" s="15">
        <f t="shared" si="510"/>
        <v>0</v>
      </c>
      <c r="BB643" s="15">
        <f t="shared" si="511"/>
        <v>-58472.874350000013</v>
      </c>
      <c r="BC643" s="58">
        <f t="shared" si="512"/>
        <v>-977489.46166666655</v>
      </c>
    </row>
    <row r="644" spans="2:55" s="58" customFormat="1" ht="14.25" customHeight="1" x14ac:dyDescent="0.3">
      <c r="B644" s="99">
        <f t="shared" si="461"/>
        <v>45064</v>
      </c>
      <c r="C644" s="44">
        <f t="shared" si="497"/>
        <v>-943190.80999999994</v>
      </c>
      <c r="D644" s="45"/>
      <c r="E644" s="45">
        <v>-50000</v>
      </c>
      <c r="F644" s="45">
        <v>-988.12</v>
      </c>
      <c r="G644" s="45">
        <f t="shared" si="462"/>
        <v>-994178.92999999993</v>
      </c>
      <c r="H644" s="44">
        <v>4300000</v>
      </c>
      <c r="I644" s="46">
        <f t="shared" si="498"/>
        <v>-256211.60000000003</v>
      </c>
      <c r="J644" s="47">
        <f>1400.48+9372.47+361.24</f>
        <v>11134.189999999999</v>
      </c>
      <c r="K644" s="47">
        <v>50000</v>
      </c>
      <c r="L644" s="47">
        <v>-34314.410000000003</v>
      </c>
      <c r="M644" s="47">
        <f t="shared" si="499"/>
        <v>-229391.82000000004</v>
      </c>
      <c r="N644" s="46">
        <v>5000000</v>
      </c>
      <c r="O644" s="48">
        <f t="shared" si="500"/>
        <v>5834.84</v>
      </c>
      <c r="P644" s="55"/>
      <c r="Q644" s="55"/>
      <c r="R644" s="55"/>
      <c r="S644" s="55">
        <f t="shared" si="501"/>
        <v>5834.84</v>
      </c>
      <c r="T644" s="48"/>
      <c r="U644" s="49">
        <f t="shared" si="502"/>
        <v>33.849999999994907</v>
      </c>
      <c r="V644" s="51"/>
      <c r="W644" s="51"/>
      <c r="X644" s="51"/>
      <c r="Y644" s="51">
        <f t="shared" si="503"/>
        <v>33.849999999994907</v>
      </c>
      <c r="Z644" s="52"/>
      <c r="AA644" s="53">
        <f t="shared" si="504"/>
        <v>85.440000000002328</v>
      </c>
      <c r="AB644" s="54"/>
      <c r="AC644" s="54"/>
      <c r="AD644" s="54"/>
      <c r="AE644" s="54">
        <f t="shared" si="505"/>
        <v>85.440000000002328</v>
      </c>
      <c r="AF644" s="53"/>
      <c r="AG644" s="53">
        <f t="shared" si="474"/>
        <v>525.80999999999995</v>
      </c>
      <c r="AH644" s="54"/>
      <c r="AI644" s="54"/>
      <c r="AJ644" s="54"/>
      <c r="AK644" s="54">
        <f t="shared" si="506"/>
        <v>525.80999999999995</v>
      </c>
      <c r="AL644" s="53"/>
      <c r="AM644" s="53">
        <f t="shared" si="486"/>
        <v>0</v>
      </c>
      <c r="AN644" s="54"/>
      <c r="AO644" s="54"/>
      <c r="AP644" s="54"/>
      <c r="AQ644" s="54">
        <f t="shared" si="487"/>
        <v>0</v>
      </c>
      <c r="AR644" s="53"/>
      <c r="AS644" s="50">
        <f t="shared" si="508"/>
        <v>-1192922.4699999997</v>
      </c>
      <c r="AT644" s="73">
        <f t="shared" si="455"/>
        <v>11134.189999999999</v>
      </c>
      <c r="AU644" s="50">
        <f t="shared" si="478"/>
        <v>0</v>
      </c>
      <c r="AV644" s="50">
        <f t="shared" si="456"/>
        <v>-35302.530000000006</v>
      </c>
      <c r="AW644" s="50"/>
      <c r="AX644" s="50">
        <f t="shared" si="491"/>
        <v>-1217090.8099999998</v>
      </c>
      <c r="AY644" s="50">
        <f t="shared" si="492"/>
        <v>9300000</v>
      </c>
      <c r="AZ644" s="50">
        <f t="shared" si="493"/>
        <v>8082909.1900000004</v>
      </c>
      <c r="BA644" s="15">
        <f t="shared" si="510"/>
        <v>0</v>
      </c>
      <c r="BB644" s="15">
        <f t="shared" si="511"/>
        <v>-58472.874350000013</v>
      </c>
      <c r="BC644" s="58">
        <f t="shared" si="512"/>
        <v>-902844.24999999988</v>
      </c>
    </row>
    <row r="645" spans="2:55" s="58" customFormat="1" ht="14.25" customHeight="1" x14ac:dyDescent="0.3">
      <c r="B645" s="99">
        <f t="shared" si="461"/>
        <v>45065</v>
      </c>
      <c r="C645" s="44">
        <f t="shared" si="497"/>
        <v>-994178.92999999993</v>
      </c>
      <c r="D645" s="45"/>
      <c r="E645" s="45">
        <v>-550000</v>
      </c>
      <c r="F645" s="45">
        <v>-459024.87</v>
      </c>
      <c r="G645" s="45">
        <f t="shared" si="462"/>
        <v>-2003203.7999999998</v>
      </c>
      <c r="H645" s="44">
        <v>4300000</v>
      </c>
      <c r="I645" s="46">
        <f t="shared" si="498"/>
        <v>-229391.82000000004</v>
      </c>
      <c r="J645" s="47"/>
      <c r="K645" s="47">
        <v>550000</v>
      </c>
      <c r="L645" s="47">
        <v>-557459.52</v>
      </c>
      <c r="M645" s="47">
        <f t="shared" si="499"/>
        <v>-236851.34000000008</v>
      </c>
      <c r="N645" s="46">
        <v>5000000</v>
      </c>
      <c r="O645" s="48">
        <f t="shared" si="500"/>
        <v>5834.84</v>
      </c>
      <c r="P645" s="55"/>
      <c r="Q645" s="55"/>
      <c r="R645" s="55">
        <v>-361.24</v>
      </c>
      <c r="S645" s="55">
        <f t="shared" si="501"/>
        <v>5473.6</v>
      </c>
      <c r="T645" s="48"/>
      <c r="U645" s="49">
        <f t="shared" si="502"/>
        <v>33.849999999994907</v>
      </c>
      <c r="V645" s="51"/>
      <c r="W645" s="51"/>
      <c r="X645" s="51"/>
      <c r="Y645" s="51">
        <f t="shared" si="503"/>
        <v>33.849999999994907</v>
      </c>
      <c r="Z645" s="52"/>
      <c r="AA645" s="53">
        <f t="shared" si="504"/>
        <v>85.440000000002328</v>
      </c>
      <c r="AB645" s="54"/>
      <c r="AC645" s="54"/>
      <c r="AD645" s="54"/>
      <c r="AE645" s="54">
        <f t="shared" si="505"/>
        <v>85.440000000002328</v>
      </c>
      <c r="AF645" s="53"/>
      <c r="AG645" s="53">
        <f t="shared" si="474"/>
        <v>525.80999999999995</v>
      </c>
      <c r="AH645" s="54"/>
      <c r="AI645" s="54"/>
      <c r="AJ645" s="54"/>
      <c r="AK645" s="54">
        <f t="shared" si="506"/>
        <v>525.80999999999995</v>
      </c>
      <c r="AL645" s="53"/>
      <c r="AM645" s="53">
        <f t="shared" si="486"/>
        <v>0</v>
      </c>
      <c r="AN645" s="54"/>
      <c r="AO645" s="54"/>
      <c r="AP645" s="54"/>
      <c r="AQ645" s="54">
        <f t="shared" si="487"/>
        <v>0</v>
      </c>
      <c r="AR645" s="53"/>
      <c r="AS645" s="50">
        <f t="shared" si="508"/>
        <v>-1217090.8099999998</v>
      </c>
      <c r="AT645" s="73">
        <f t="shared" si="455"/>
        <v>0</v>
      </c>
      <c r="AU645" s="50">
        <f t="shared" si="478"/>
        <v>0</v>
      </c>
      <c r="AV645" s="50">
        <f t="shared" si="456"/>
        <v>-1016845.63</v>
      </c>
      <c r="AW645" s="50"/>
      <c r="AX645" s="50">
        <f t="shared" si="491"/>
        <v>-2233936.4399999995</v>
      </c>
      <c r="AY645" s="50">
        <f t="shared" si="492"/>
        <v>9300000</v>
      </c>
      <c r="AZ645" s="50">
        <f t="shared" si="493"/>
        <v>7066063.5600000005</v>
      </c>
      <c r="BA645" s="15">
        <f t="shared" si="510"/>
        <v>0</v>
      </c>
      <c r="BB645" s="15">
        <f t="shared" si="511"/>
        <v>-58472.874350000013</v>
      </c>
      <c r="BC645" s="58">
        <f t="shared" si="512"/>
        <v>-1021997.1783333331</v>
      </c>
    </row>
    <row r="646" spans="2:55" s="58" customFormat="1" ht="14.25" customHeight="1" x14ac:dyDescent="0.3">
      <c r="B646" s="99">
        <f t="shared" ref="B646" si="515">B645+3</f>
        <v>45068</v>
      </c>
      <c r="C646" s="44">
        <f t="shared" si="497"/>
        <v>-2003203.7999999998</v>
      </c>
      <c r="D646" s="45">
        <v>386635.78</v>
      </c>
      <c r="E646" s="45"/>
      <c r="F646" s="45">
        <v>-3338.45</v>
      </c>
      <c r="G646" s="45">
        <f t="shared" si="462"/>
        <v>-1619906.4699999997</v>
      </c>
      <c r="H646" s="44">
        <v>4300000</v>
      </c>
      <c r="I646" s="46">
        <f t="shared" si="498"/>
        <v>-236851.34000000008</v>
      </c>
      <c r="J646" s="47">
        <f>203198.25+211093.75</f>
        <v>414292</v>
      </c>
      <c r="K646" s="47"/>
      <c r="L646" s="47">
        <v>-129956.07</v>
      </c>
      <c r="M646" s="47">
        <f t="shared" si="499"/>
        <v>47484.589999999909</v>
      </c>
      <c r="N646" s="46">
        <v>5000000</v>
      </c>
      <c r="O646" s="48">
        <f t="shared" si="500"/>
        <v>5473.6</v>
      </c>
      <c r="P646" s="55">
        <v>84462.18</v>
      </c>
      <c r="Q646" s="55"/>
      <c r="R646" s="55"/>
      <c r="S646" s="55">
        <f t="shared" si="501"/>
        <v>89935.78</v>
      </c>
      <c r="T646" s="48"/>
      <c r="U646" s="49">
        <f t="shared" si="502"/>
        <v>33.849999999994907</v>
      </c>
      <c r="V646" s="51"/>
      <c r="W646" s="51"/>
      <c r="X646" s="51"/>
      <c r="Y646" s="51">
        <f t="shared" si="503"/>
        <v>33.849999999994907</v>
      </c>
      <c r="Z646" s="52"/>
      <c r="AA646" s="53">
        <f t="shared" si="504"/>
        <v>85.440000000002328</v>
      </c>
      <c r="AB646" s="54"/>
      <c r="AC646" s="54"/>
      <c r="AD646" s="54"/>
      <c r="AE646" s="54">
        <f t="shared" si="505"/>
        <v>85.440000000002328</v>
      </c>
      <c r="AF646" s="53"/>
      <c r="AG646" s="53">
        <f t="shared" si="474"/>
        <v>525.80999999999995</v>
      </c>
      <c r="AH646" s="54"/>
      <c r="AI646" s="54"/>
      <c r="AJ646" s="54"/>
      <c r="AK646" s="54">
        <f t="shared" si="506"/>
        <v>525.80999999999995</v>
      </c>
      <c r="AL646" s="53"/>
      <c r="AM646" s="53">
        <f t="shared" si="486"/>
        <v>0</v>
      </c>
      <c r="AN646" s="54"/>
      <c r="AO646" s="54"/>
      <c r="AP646" s="54"/>
      <c r="AQ646" s="54">
        <f t="shared" si="487"/>
        <v>0</v>
      </c>
      <c r="AR646" s="53"/>
      <c r="AS646" s="50">
        <f t="shared" si="508"/>
        <v>-2233936.4399999995</v>
      </c>
      <c r="AT646" s="73">
        <f t="shared" si="455"/>
        <v>885389.96</v>
      </c>
      <c r="AU646" s="50">
        <f t="shared" si="478"/>
        <v>0</v>
      </c>
      <c r="AV646" s="50">
        <f t="shared" si="456"/>
        <v>-133294.52000000002</v>
      </c>
      <c r="AW646" s="50"/>
      <c r="AX646" s="50">
        <f t="shared" si="491"/>
        <v>-1481840.9999999998</v>
      </c>
      <c r="AY646" s="50">
        <f t="shared" si="492"/>
        <v>9300000</v>
      </c>
      <c r="AZ646" s="50">
        <f t="shared" si="493"/>
        <v>7818159</v>
      </c>
      <c r="BA646" s="15">
        <f t="shared" si="510"/>
        <v>0</v>
      </c>
      <c r="BB646" s="15">
        <f t="shared" si="511"/>
        <v>-58472.874350000013</v>
      </c>
      <c r="BC646" s="58">
        <f t="shared" si="512"/>
        <v>-1086419.1299999999</v>
      </c>
    </row>
    <row r="647" spans="2:55" s="58" customFormat="1" ht="14.25" customHeight="1" x14ac:dyDescent="0.3">
      <c r="B647" s="99">
        <f t="shared" ref="B647" si="516">B646+1</f>
        <v>45069</v>
      </c>
      <c r="C647" s="44">
        <f t="shared" si="497"/>
        <v>-1619906.4699999997</v>
      </c>
      <c r="D647" s="45"/>
      <c r="E647" s="45"/>
      <c r="F647" s="45">
        <v>-0.85</v>
      </c>
      <c r="G647" s="45">
        <f t="shared" si="462"/>
        <v>-1619907.3199999998</v>
      </c>
      <c r="H647" s="44">
        <v>4300000</v>
      </c>
      <c r="I647" s="46">
        <f t="shared" si="498"/>
        <v>47484.589999999909</v>
      </c>
      <c r="J647" s="47"/>
      <c r="K647" s="47">
        <v>89000</v>
      </c>
      <c r="L647" s="47">
        <v>-9816.7799999999097</v>
      </c>
      <c r="M647" s="47">
        <f t="shared" si="499"/>
        <v>126667.81</v>
      </c>
      <c r="N647" s="46">
        <v>5000000</v>
      </c>
      <c r="O647" s="48">
        <f t="shared" si="500"/>
        <v>89935.78</v>
      </c>
      <c r="P647" s="55"/>
      <c r="Q647" s="55">
        <v>-89000</v>
      </c>
      <c r="R647" s="55">
        <f>-497.84</f>
        <v>-497.84</v>
      </c>
      <c r="S647" s="55">
        <f t="shared" si="501"/>
        <v>437.93999999999886</v>
      </c>
      <c r="T647" s="48"/>
      <c r="U647" s="49">
        <f t="shared" si="502"/>
        <v>33.849999999994907</v>
      </c>
      <c r="V647" s="51"/>
      <c r="W647" s="51"/>
      <c r="X647" s="51"/>
      <c r="Y647" s="51">
        <f t="shared" si="503"/>
        <v>33.849999999994907</v>
      </c>
      <c r="Z647" s="52"/>
      <c r="AA647" s="53">
        <f t="shared" si="504"/>
        <v>85.440000000002328</v>
      </c>
      <c r="AB647" s="54"/>
      <c r="AC647" s="54"/>
      <c r="AD647" s="54"/>
      <c r="AE647" s="54">
        <f t="shared" si="505"/>
        <v>85.440000000002328</v>
      </c>
      <c r="AF647" s="53"/>
      <c r="AG647" s="53">
        <f t="shared" si="474"/>
        <v>525.80999999999995</v>
      </c>
      <c r="AH647" s="54"/>
      <c r="AI647" s="54"/>
      <c r="AJ647" s="54"/>
      <c r="AK647" s="54">
        <f t="shared" si="506"/>
        <v>525.80999999999995</v>
      </c>
      <c r="AL647" s="53"/>
      <c r="AM647" s="53">
        <f t="shared" si="486"/>
        <v>0</v>
      </c>
      <c r="AN647" s="54"/>
      <c r="AO647" s="54"/>
      <c r="AP647" s="54"/>
      <c r="AQ647" s="54">
        <f t="shared" si="487"/>
        <v>0</v>
      </c>
      <c r="AR647" s="53"/>
      <c r="AS647" s="50">
        <f t="shared" si="508"/>
        <v>-1481840.9999999998</v>
      </c>
      <c r="AT647" s="73">
        <f t="shared" si="455"/>
        <v>0</v>
      </c>
      <c r="AU647" s="50">
        <f t="shared" si="478"/>
        <v>0</v>
      </c>
      <c r="AV647" s="50">
        <f t="shared" si="456"/>
        <v>-10315.46999999991</v>
      </c>
      <c r="AW647" s="50"/>
      <c r="AX647" s="50">
        <f t="shared" si="491"/>
        <v>-1492156.4699999997</v>
      </c>
      <c r="AY647" s="50">
        <f t="shared" si="492"/>
        <v>9300000</v>
      </c>
      <c r="AZ647" s="50">
        <f t="shared" si="493"/>
        <v>7807843.5300000003</v>
      </c>
      <c r="BA647" s="15">
        <f t="shared" si="510"/>
        <v>0</v>
      </c>
      <c r="BB647" s="15">
        <f t="shared" si="511"/>
        <v>-58472.874350000013</v>
      </c>
      <c r="BC647" s="58">
        <f t="shared" si="512"/>
        <v>-1311155.2683333331</v>
      </c>
    </row>
    <row r="648" spans="2:55" s="58" customFormat="1" ht="14.25" customHeight="1" x14ac:dyDescent="0.3">
      <c r="B648" s="99">
        <f t="shared" si="461"/>
        <v>45070</v>
      </c>
      <c r="C648" s="44">
        <f t="shared" si="497"/>
        <v>-1619907.3199999998</v>
      </c>
      <c r="D648" s="45">
        <f>222929.97-71615.99</f>
        <v>151313.97999999998</v>
      </c>
      <c r="E648" s="45"/>
      <c r="F648" s="45">
        <v>-109669.82</v>
      </c>
      <c r="G648" s="45">
        <f t="shared" si="462"/>
        <v>-1578263.16</v>
      </c>
      <c r="H648" s="44">
        <v>4300000</v>
      </c>
      <c r="I648" s="46">
        <f t="shared" si="498"/>
        <v>126667.81</v>
      </c>
      <c r="J648" s="47">
        <v>9291.15</v>
      </c>
      <c r="K648" s="47"/>
      <c r="L648" s="47">
        <v>-14186.76</v>
      </c>
      <c r="M648" s="47">
        <f t="shared" si="499"/>
        <v>121772.2</v>
      </c>
      <c r="N648" s="46">
        <v>5000000</v>
      </c>
      <c r="O648" s="48">
        <f t="shared" si="500"/>
        <v>437.93999999999886</v>
      </c>
      <c r="P648" s="55"/>
      <c r="Q648" s="55"/>
      <c r="R648" s="55"/>
      <c r="S648" s="55">
        <f t="shared" si="501"/>
        <v>437.93999999999886</v>
      </c>
      <c r="T648" s="48"/>
      <c r="U648" s="49">
        <f t="shared" si="502"/>
        <v>33.849999999994907</v>
      </c>
      <c r="V648" s="51"/>
      <c r="W648" s="51"/>
      <c r="X648" s="51"/>
      <c r="Y648" s="51">
        <f t="shared" si="503"/>
        <v>33.849999999994907</v>
      </c>
      <c r="Z648" s="52"/>
      <c r="AA648" s="53">
        <f t="shared" si="504"/>
        <v>85.440000000002328</v>
      </c>
      <c r="AB648" s="54"/>
      <c r="AC648" s="54"/>
      <c r="AD648" s="54"/>
      <c r="AE648" s="54">
        <f t="shared" si="505"/>
        <v>85.440000000002328</v>
      </c>
      <c r="AF648" s="53"/>
      <c r="AG648" s="53">
        <f t="shared" si="474"/>
        <v>525.80999999999995</v>
      </c>
      <c r="AH648" s="54"/>
      <c r="AI648" s="54"/>
      <c r="AJ648" s="54"/>
      <c r="AK648" s="54">
        <f t="shared" si="506"/>
        <v>525.80999999999995</v>
      </c>
      <c r="AL648" s="53"/>
      <c r="AM648" s="53">
        <f t="shared" si="486"/>
        <v>0</v>
      </c>
      <c r="AN648" s="54"/>
      <c r="AO648" s="54"/>
      <c r="AP648" s="54"/>
      <c r="AQ648" s="54">
        <f t="shared" si="487"/>
        <v>0</v>
      </c>
      <c r="AR648" s="53"/>
      <c r="AS648" s="50">
        <f t="shared" si="508"/>
        <v>-1492156.4699999997</v>
      </c>
      <c r="AT648" s="73">
        <f t="shared" si="455"/>
        <v>160605.12999999998</v>
      </c>
      <c r="AU648" s="50">
        <f t="shared" si="478"/>
        <v>0</v>
      </c>
      <c r="AV648" s="50">
        <f t="shared" si="456"/>
        <v>-123856.58</v>
      </c>
      <c r="AW648" s="50"/>
      <c r="AX648" s="50">
        <f t="shared" si="491"/>
        <v>-1455407.92</v>
      </c>
      <c r="AY648" s="50">
        <f t="shared" si="492"/>
        <v>9300000</v>
      </c>
      <c r="AZ648" s="50">
        <f t="shared" si="493"/>
        <v>7844592.0800000001</v>
      </c>
      <c r="BA648" s="15">
        <f t="shared" si="510"/>
        <v>0</v>
      </c>
      <c r="BB648" s="15">
        <f t="shared" si="511"/>
        <v>-58472.874350000013</v>
      </c>
      <c r="BC648" s="58">
        <f t="shared" si="512"/>
        <v>-1512225.8516666666</v>
      </c>
    </row>
    <row r="649" spans="2:55" s="58" customFormat="1" ht="14.25" customHeight="1" x14ac:dyDescent="0.3">
      <c r="B649" s="99">
        <f t="shared" si="461"/>
        <v>45071</v>
      </c>
      <c r="C649" s="44">
        <f t="shared" si="497"/>
        <v>-1578263.16</v>
      </c>
      <c r="D649" s="45">
        <v>71615.990000000005</v>
      </c>
      <c r="E649" s="45">
        <f>894000-100000</f>
        <v>794000</v>
      </c>
      <c r="F649" s="45">
        <v>-257207.22</v>
      </c>
      <c r="G649" s="45">
        <f t="shared" si="462"/>
        <v>-969854.3899999999</v>
      </c>
      <c r="H649" s="44">
        <v>4300000</v>
      </c>
      <c r="I649" s="46">
        <f t="shared" si="498"/>
        <v>121772.2</v>
      </c>
      <c r="J649" s="47">
        <f>69675.76+27269.45+6197.6</f>
        <v>103142.81</v>
      </c>
      <c r="K649" s="47">
        <v>100000</v>
      </c>
      <c r="L649" s="47">
        <v>-272734.8</v>
      </c>
      <c r="M649" s="47">
        <f t="shared" si="499"/>
        <v>52180.210000000021</v>
      </c>
      <c r="N649" s="46">
        <v>5000000</v>
      </c>
      <c r="O649" s="48">
        <f t="shared" si="500"/>
        <v>437.93999999999886</v>
      </c>
      <c r="P649" s="55"/>
      <c r="Q649" s="55"/>
      <c r="R649" s="55">
        <v>-103</v>
      </c>
      <c r="S649" s="55">
        <f t="shared" si="501"/>
        <v>334.93999999999886</v>
      </c>
      <c r="T649" s="48"/>
      <c r="U649" s="49">
        <f t="shared" si="502"/>
        <v>33.849999999994907</v>
      </c>
      <c r="V649" s="51">
        <f>26565.3</f>
        <v>26565.3</v>
      </c>
      <c r="W649" s="51"/>
      <c r="X649" s="51"/>
      <c r="Y649" s="51">
        <f t="shared" si="503"/>
        <v>26599.149999999994</v>
      </c>
      <c r="Z649" s="52"/>
      <c r="AA649" s="53">
        <f t="shared" si="504"/>
        <v>85.440000000002328</v>
      </c>
      <c r="AB649" s="54">
        <v>894726.64</v>
      </c>
      <c r="AC649" s="54">
        <v>-894000</v>
      </c>
      <c r="AD649" s="54">
        <f>-380</f>
        <v>-380</v>
      </c>
      <c r="AE649" s="54">
        <f t="shared" si="505"/>
        <v>432.08000000007451</v>
      </c>
      <c r="AF649" s="53"/>
      <c r="AG649" s="53">
        <f t="shared" si="474"/>
        <v>525.80999999999995</v>
      </c>
      <c r="AH649" s="54"/>
      <c r="AI649" s="54"/>
      <c r="AJ649" s="54">
        <v>-197.04</v>
      </c>
      <c r="AK649" s="54">
        <f t="shared" si="506"/>
        <v>328.77</v>
      </c>
      <c r="AL649" s="53"/>
      <c r="AM649" s="53">
        <f t="shared" si="486"/>
        <v>0</v>
      </c>
      <c r="AN649" s="54"/>
      <c r="AO649" s="54"/>
      <c r="AP649" s="54"/>
      <c r="AQ649" s="54">
        <f t="shared" si="487"/>
        <v>0</v>
      </c>
      <c r="AR649" s="53"/>
      <c r="AS649" s="50">
        <f t="shared" si="508"/>
        <v>-1455407.92</v>
      </c>
      <c r="AT649" s="73">
        <f t="shared" si="455"/>
        <v>1096050.74</v>
      </c>
      <c r="AU649" s="50">
        <f t="shared" si="478"/>
        <v>0</v>
      </c>
      <c r="AV649" s="50">
        <f t="shared" si="456"/>
        <v>-530622.06000000006</v>
      </c>
      <c r="AW649" s="50"/>
      <c r="AX649" s="50">
        <f t="shared" si="491"/>
        <v>-889979.23999999987</v>
      </c>
      <c r="AY649" s="50">
        <f t="shared" si="492"/>
        <v>9300000</v>
      </c>
      <c r="AZ649" s="50">
        <f t="shared" si="493"/>
        <v>8410020.7599999998</v>
      </c>
      <c r="BA649" s="15">
        <f t="shared" si="510"/>
        <v>0</v>
      </c>
      <c r="BB649" s="15">
        <f t="shared" si="511"/>
        <v>-58472.874350000013</v>
      </c>
      <c r="BC649" s="58">
        <f t="shared" si="512"/>
        <v>-1461735.3133333332</v>
      </c>
    </row>
    <row r="650" spans="2:55" s="58" customFormat="1" ht="14.25" customHeight="1" x14ac:dyDescent="0.3">
      <c r="B650" s="99">
        <f t="shared" si="461"/>
        <v>45072</v>
      </c>
      <c r="C650" s="44">
        <f t="shared" si="497"/>
        <v>-969854.3899999999</v>
      </c>
      <c r="D650" s="45">
        <v>19776.97</v>
      </c>
      <c r="E650" s="45"/>
      <c r="F650" s="45"/>
      <c r="G650" s="45">
        <f t="shared" si="462"/>
        <v>-950077.41999999993</v>
      </c>
      <c r="H650" s="44">
        <v>4300000</v>
      </c>
      <c r="I650" s="46">
        <f t="shared" si="498"/>
        <v>52180.210000000021</v>
      </c>
      <c r="J650" s="47"/>
      <c r="K650" s="47"/>
      <c r="L650" s="47">
        <v>-33034.629999999997</v>
      </c>
      <c r="M650" s="47">
        <f t="shared" si="499"/>
        <v>19145.580000000024</v>
      </c>
      <c r="N650" s="46">
        <v>5000000</v>
      </c>
      <c r="O650" s="48">
        <f t="shared" si="500"/>
        <v>334.93999999999886</v>
      </c>
      <c r="P650" s="55">
        <f>4814.42+30893.26</f>
        <v>35707.68</v>
      </c>
      <c r="Q650" s="55"/>
      <c r="R650" s="55"/>
      <c r="S650" s="55">
        <f t="shared" si="501"/>
        <v>36042.620000000003</v>
      </c>
      <c r="T650" s="48"/>
      <c r="U650" s="49">
        <f t="shared" si="502"/>
        <v>26599.149999999994</v>
      </c>
      <c r="V650" s="51">
        <f>32041.04</f>
        <v>32041.040000000001</v>
      </c>
      <c r="W650" s="51"/>
      <c r="X650" s="51"/>
      <c r="Y650" s="51">
        <f t="shared" si="503"/>
        <v>58640.189999999995</v>
      </c>
      <c r="Z650" s="52"/>
      <c r="AA650" s="53">
        <f t="shared" si="504"/>
        <v>432.08000000007451</v>
      </c>
      <c r="AB650" s="54"/>
      <c r="AC650" s="54"/>
      <c r="AD650" s="54"/>
      <c r="AE650" s="54">
        <f t="shared" si="505"/>
        <v>432.08000000007451</v>
      </c>
      <c r="AF650" s="53"/>
      <c r="AG650" s="53">
        <f t="shared" si="474"/>
        <v>328.77</v>
      </c>
      <c r="AH650" s="54"/>
      <c r="AI650" s="54"/>
      <c r="AJ650" s="54"/>
      <c r="AK650" s="54">
        <f t="shared" si="506"/>
        <v>328.77</v>
      </c>
      <c r="AL650" s="53"/>
      <c r="AM650" s="53">
        <f t="shared" si="486"/>
        <v>0</v>
      </c>
      <c r="AN650" s="54"/>
      <c r="AO650" s="54"/>
      <c r="AP650" s="54"/>
      <c r="AQ650" s="54">
        <f t="shared" si="487"/>
        <v>0</v>
      </c>
      <c r="AR650" s="53"/>
      <c r="AS650" s="50">
        <f t="shared" si="508"/>
        <v>-889979.23999999987</v>
      </c>
      <c r="AT650" s="73">
        <f t="shared" ref="AT650:AT702" si="517">SUM(D650,J650,P650,V650,AB650,AH650)</f>
        <v>87525.69</v>
      </c>
      <c r="AU650" s="50">
        <f t="shared" si="478"/>
        <v>0</v>
      </c>
      <c r="AV650" s="50">
        <f t="shared" ref="AV650:AV713" si="518">SUM(F650,L650,R650,X650,AD650,AJ650)</f>
        <v>-33034.629999999997</v>
      </c>
      <c r="AW650" s="50"/>
      <c r="AX650" s="50">
        <f t="shared" si="491"/>
        <v>-835488.17999999982</v>
      </c>
      <c r="AY650" s="50">
        <f t="shared" si="492"/>
        <v>9300000</v>
      </c>
      <c r="AZ650" s="50">
        <f t="shared" si="493"/>
        <v>8464511.8200000003</v>
      </c>
      <c r="BA650" s="15">
        <f t="shared" si="510"/>
        <v>0</v>
      </c>
      <c r="BB650" s="15">
        <f t="shared" si="511"/>
        <v>-58472.874350000013</v>
      </c>
      <c r="BC650" s="58">
        <f t="shared" si="512"/>
        <v>-1398134.875</v>
      </c>
    </row>
    <row r="651" spans="2:55" s="58" customFormat="1" ht="14.25" customHeight="1" x14ac:dyDescent="0.3">
      <c r="B651" s="99">
        <f t="shared" ref="B651" si="519">B650+3</f>
        <v>45075</v>
      </c>
      <c r="C651" s="44">
        <f t="shared" si="497"/>
        <v>-950077.41999999993</v>
      </c>
      <c r="D651" s="45">
        <v>458312.66</v>
      </c>
      <c r="E651" s="45">
        <f>250000+29600</f>
        <v>279600</v>
      </c>
      <c r="F651" s="45">
        <v>-0.85</v>
      </c>
      <c r="G651" s="45">
        <f t="shared" si="462"/>
        <v>-212165.60999999996</v>
      </c>
      <c r="H651" s="44">
        <v>4300000</v>
      </c>
      <c r="I651" s="46">
        <f t="shared" si="498"/>
        <v>19145.580000000024</v>
      </c>
      <c r="J651" s="47"/>
      <c r="K651" s="47">
        <f>360000-250000</f>
        <v>110000</v>
      </c>
      <c r="L651" s="47">
        <v>-89842.450000000012</v>
      </c>
      <c r="M651" s="47">
        <f t="shared" si="499"/>
        <v>39303.130000000005</v>
      </c>
      <c r="N651" s="46">
        <v>5000000</v>
      </c>
      <c r="O651" s="48">
        <f t="shared" si="500"/>
        <v>36042.620000000003</v>
      </c>
      <c r="P651" s="55">
        <f>284.58*3</f>
        <v>853.74</v>
      </c>
      <c r="Q651" s="55">
        <f>-360000+328500</f>
        <v>-31500</v>
      </c>
      <c r="R651" s="55">
        <v>-10</v>
      </c>
      <c r="S651" s="55">
        <f t="shared" si="501"/>
        <v>5386.3600000000006</v>
      </c>
      <c r="T651" s="48"/>
      <c r="U651" s="49">
        <f t="shared" si="502"/>
        <v>58640.189999999995</v>
      </c>
      <c r="V651" s="51">
        <v>269873.56</v>
      </c>
      <c r="W651" s="51">
        <v>-328500</v>
      </c>
      <c r="X651" s="51"/>
      <c r="Y651" s="51">
        <f t="shared" si="503"/>
        <v>13.75</v>
      </c>
      <c r="Z651" s="52"/>
      <c r="AA651" s="53">
        <f t="shared" si="504"/>
        <v>432.08000000007451</v>
      </c>
      <c r="AB651" s="54"/>
      <c r="AC651" s="54"/>
      <c r="AD651" s="54"/>
      <c r="AE651" s="54">
        <f t="shared" si="505"/>
        <v>432.08000000007451</v>
      </c>
      <c r="AF651" s="53"/>
      <c r="AG651" s="53">
        <f t="shared" si="474"/>
        <v>328.77</v>
      </c>
      <c r="AH651" s="54">
        <v>37151.870000000003</v>
      </c>
      <c r="AI651" s="54">
        <v>-29600</v>
      </c>
      <c r="AJ651" s="54">
        <v>-7500</v>
      </c>
      <c r="AK651" s="54">
        <f t="shared" si="506"/>
        <v>380.63999999999942</v>
      </c>
      <c r="AL651" s="53"/>
      <c r="AM651" s="53">
        <f t="shared" si="486"/>
        <v>0</v>
      </c>
      <c r="AN651" s="54"/>
      <c r="AO651" s="54"/>
      <c r="AP651" s="54"/>
      <c r="AQ651" s="54">
        <f t="shared" si="487"/>
        <v>0</v>
      </c>
      <c r="AR651" s="53"/>
      <c r="AS651" s="50">
        <f t="shared" si="508"/>
        <v>-835488.17999999982</v>
      </c>
      <c r="AT651" s="73">
        <f t="shared" si="517"/>
        <v>766191.83</v>
      </c>
      <c r="AU651" s="50">
        <f t="shared" si="478"/>
        <v>0</v>
      </c>
      <c r="AV651" s="50">
        <f t="shared" si="518"/>
        <v>-97353.300000000017</v>
      </c>
      <c r="AW651" s="50"/>
      <c r="AX651" s="50">
        <f t="shared" si="491"/>
        <v>-166649.64999999985</v>
      </c>
      <c r="AY651" s="50">
        <f t="shared" si="492"/>
        <v>9300000</v>
      </c>
      <c r="AZ651" s="50">
        <f t="shared" si="493"/>
        <v>9133350.3499999996</v>
      </c>
      <c r="BA651" s="15">
        <f t="shared" si="510"/>
        <v>0</v>
      </c>
      <c r="BB651" s="15">
        <f t="shared" si="511"/>
        <v>-58472.874350000013</v>
      </c>
      <c r="BC651" s="58">
        <f t="shared" si="512"/>
        <v>-1053587.0766666664</v>
      </c>
    </row>
    <row r="652" spans="2:55" s="58" customFormat="1" ht="14.25" customHeight="1" x14ac:dyDescent="0.3">
      <c r="B652" s="99">
        <f t="shared" ref="B652" si="520">B651+1</f>
        <v>45076</v>
      </c>
      <c r="C652" s="44">
        <f t="shared" si="497"/>
        <v>-212165.60999999996</v>
      </c>
      <c r="D652" s="45">
        <v>59455.519999999997</v>
      </c>
      <c r="E652" s="45">
        <v>264000</v>
      </c>
      <c r="F652" s="45">
        <v>-466425.65</v>
      </c>
      <c r="G652" s="45">
        <f t="shared" si="462"/>
        <v>-355135.74</v>
      </c>
      <c r="H652" s="44">
        <v>4300000</v>
      </c>
      <c r="I652" s="46">
        <f t="shared" si="498"/>
        <v>39303.130000000005</v>
      </c>
      <c r="J652" s="47">
        <v>484127.58</v>
      </c>
      <c r="K652" s="47">
        <v>64600</v>
      </c>
      <c r="L652" s="47">
        <f>-158221.08-27281.25-154868.3</f>
        <v>-340370.63</v>
      </c>
      <c r="M652" s="47">
        <f t="shared" si="499"/>
        <v>247660.07999999996</v>
      </c>
      <c r="N652" s="46">
        <v>5000000</v>
      </c>
      <c r="O652" s="48">
        <f t="shared" si="500"/>
        <v>5386.3600000000006</v>
      </c>
      <c r="P652" s="55">
        <v>722337.12</v>
      </c>
      <c r="Q652" s="55"/>
      <c r="R652" s="55"/>
      <c r="S652" s="55">
        <f t="shared" si="501"/>
        <v>727723.48</v>
      </c>
      <c r="T652" s="48"/>
      <c r="U652" s="49">
        <f t="shared" si="502"/>
        <v>13.75</v>
      </c>
      <c r="V652" s="51">
        <f>42701.75+21960.9</f>
        <v>64662.65</v>
      </c>
      <c r="W652" s="51">
        <v>-64600</v>
      </c>
      <c r="X652" s="51">
        <f>-1.4-10</f>
        <v>-11.4</v>
      </c>
      <c r="Y652" s="51">
        <f t="shared" si="503"/>
        <v>65.00000000000145</v>
      </c>
      <c r="Z652" s="52"/>
      <c r="AA652" s="53">
        <f t="shared" si="504"/>
        <v>432.08000000007451</v>
      </c>
      <c r="AB652" s="54"/>
      <c r="AC652" s="54"/>
      <c r="AD652" s="54"/>
      <c r="AE652" s="54">
        <f t="shared" si="505"/>
        <v>432.08000000007451</v>
      </c>
      <c r="AF652" s="53"/>
      <c r="AG652" s="53">
        <f t="shared" si="474"/>
        <v>380.63999999999942</v>
      </c>
      <c r="AH652" s="54">
        <v>264643.89</v>
      </c>
      <c r="AI652" s="54">
        <v>-264000</v>
      </c>
      <c r="AJ652" s="54">
        <v>-9.6</v>
      </c>
      <c r="AK652" s="54">
        <f t="shared" si="506"/>
        <v>1014.9300000000279</v>
      </c>
      <c r="AL652" s="53"/>
      <c r="AM652" s="53">
        <f t="shared" si="486"/>
        <v>0</v>
      </c>
      <c r="AN652" s="54"/>
      <c r="AO652" s="54"/>
      <c r="AP652" s="54"/>
      <c r="AQ652" s="54">
        <f t="shared" si="487"/>
        <v>0</v>
      </c>
      <c r="AR652" s="53"/>
      <c r="AS652" s="50">
        <f t="shared" si="508"/>
        <v>-166649.64999999985</v>
      </c>
      <c r="AT652" s="73">
        <f t="shared" si="517"/>
        <v>1595226.7599999998</v>
      </c>
      <c r="AU652" s="50">
        <f t="shared" si="478"/>
        <v>0</v>
      </c>
      <c r="AV652" s="50">
        <f t="shared" si="518"/>
        <v>-806817.28000000003</v>
      </c>
      <c r="AW652" s="50"/>
      <c r="AX652" s="50">
        <f t="shared" si="491"/>
        <v>621759.83000000007</v>
      </c>
      <c r="AY652" s="50">
        <f t="shared" si="492"/>
        <v>9300000</v>
      </c>
      <c r="AZ652" s="50">
        <f t="shared" si="493"/>
        <v>9921759.8300000001</v>
      </c>
      <c r="BA652" s="15">
        <f t="shared" si="510"/>
        <v>0</v>
      </c>
      <c r="BB652" s="15">
        <f t="shared" si="511"/>
        <v>-58472.874350000013</v>
      </c>
      <c r="BC652" s="58">
        <f t="shared" si="512"/>
        <v>-702986.93833333312</v>
      </c>
    </row>
    <row r="653" spans="2:55" s="58" customFormat="1" ht="14.25" customHeight="1" x14ac:dyDescent="0.3">
      <c r="B653" s="99">
        <f t="shared" si="461"/>
        <v>45077</v>
      </c>
      <c r="C653" s="44">
        <f t="shared" si="497"/>
        <v>-355135.74</v>
      </c>
      <c r="D653" s="45">
        <f>56649.37+434384.58+27842.8+31533.6</f>
        <v>550410.35</v>
      </c>
      <c r="E653" s="45"/>
      <c r="F653" s="45">
        <v>-71151.39</v>
      </c>
      <c r="G653" s="45">
        <f t="shared" si="462"/>
        <v>124123.21999999999</v>
      </c>
      <c r="H653" s="44">
        <v>4300000</v>
      </c>
      <c r="I653" s="46">
        <f t="shared" si="498"/>
        <v>247660.07999999996</v>
      </c>
      <c r="J653" s="47">
        <f>151.8+388.5+111.72</f>
        <v>652.02</v>
      </c>
      <c r="K653" s="47">
        <v>720000</v>
      </c>
      <c r="L653" s="47">
        <v>-103694.39999999999</v>
      </c>
      <c r="M653" s="47">
        <f t="shared" si="499"/>
        <v>864617.7</v>
      </c>
      <c r="N653" s="46">
        <v>5000000</v>
      </c>
      <c r="O653" s="48">
        <f t="shared" si="500"/>
        <v>727723.48</v>
      </c>
      <c r="P653" s="55"/>
      <c r="Q653" s="55">
        <v>-720000</v>
      </c>
      <c r="R653" s="55">
        <f>-189-1155</f>
        <v>-1344</v>
      </c>
      <c r="S653" s="55">
        <f t="shared" si="501"/>
        <v>6379.4799999999814</v>
      </c>
      <c r="T653" s="48"/>
      <c r="U653" s="49">
        <f t="shared" si="502"/>
        <v>65.00000000000145</v>
      </c>
      <c r="V653" s="51"/>
      <c r="W653" s="51"/>
      <c r="X653" s="51"/>
      <c r="Y653" s="51">
        <f t="shared" si="503"/>
        <v>65.00000000000145</v>
      </c>
      <c r="Z653" s="52"/>
      <c r="AA653" s="53">
        <f t="shared" si="504"/>
        <v>432.08000000007451</v>
      </c>
      <c r="AB653" s="54"/>
      <c r="AC653" s="54"/>
      <c r="AD653" s="54">
        <v>-238.820000000075</v>
      </c>
      <c r="AE653" s="54">
        <f t="shared" si="505"/>
        <v>193.25999999999951</v>
      </c>
      <c r="AF653" s="53"/>
      <c r="AG653" s="53">
        <f t="shared" si="474"/>
        <v>1014.9300000000279</v>
      </c>
      <c r="AH653" s="54"/>
      <c r="AI653" s="54"/>
      <c r="AJ653" s="54">
        <v>-79.5</v>
      </c>
      <c r="AK653" s="54">
        <f t="shared" si="506"/>
        <v>935.43000000002792</v>
      </c>
      <c r="AL653" s="53"/>
      <c r="AM653" s="53">
        <f t="shared" si="486"/>
        <v>0</v>
      </c>
      <c r="AN653" s="54"/>
      <c r="AO653" s="54"/>
      <c r="AP653" s="54"/>
      <c r="AQ653" s="54">
        <f t="shared" si="487"/>
        <v>0</v>
      </c>
      <c r="AR653" s="53"/>
      <c r="AS653" s="50">
        <f t="shared" si="508"/>
        <v>621759.83000000007</v>
      </c>
      <c r="AT653" s="73">
        <f t="shared" si="517"/>
        <v>551062.37</v>
      </c>
      <c r="AU653" s="50">
        <f t="shared" si="478"/>
        <v>0</v>
      </c>
      <c r="AV653" s="50">
        <f t="shared" si="518"/>
        <v>-176508.11000000004</v>
      </c>
      <c r="AW653" s="50"/>
      <c r="AX653" s="50">
        <f t="shared" si="491"/>
        <v>996314.09</v>
      </c>
      <c r="AY653" s="50">
        <f t="shared" si="492"/>
        <v>9300000</v>
      </c>
      <c r="AZ653" s="50">
        <f t="shared" si="493"/>
        <v>10296314.09</v>
      </c>
      <c r="BA653" s="15">
        <f t="shared" si="510"/>
        <v>0</v>
      </c>
      <c r="BB653" s="15">
        <f t="shared" si="511"/>
        <v>-58472.874350000013</v>
      </c>
      <c r="BC653" s="58">
        <f t="shared" si="512"/>
        <v>-288241.84499999991</v>
      </c>
    </row>
    <row r="654" spans="2:55" s="58" customFormat="1" ht="14.25" customHeight="1" x14ac:dyDescent="0.3">
      <c r="B654" s="99">
        <f t="shared" si="461"/>
        <v>45078</v>
      </c>
      <c r="C654" s="44">
        <f t="shared" si="497"/>
        <v>124123.21999999999</v>
      </c>
      <c r="D654" s="45">
        <f>7374.71+406.83</f>
        <v>7781.54</v>
      </c>
      <c r="E654" s="45"/>
      <c r="F654" s="45">
        <f>-46345.54-32.4</f>
        <v>-46377.94</v>
      </c>
      <c r="G654" s="45">
        <f t="shared" si="462"/>
        <v>85526.819999999978</v>
      </c>
      <c r="H654" s="44">
        <v>4300000</v>
      </c>
      <c r="I654" s="46">
        <f t="shared" si="498"/>
        <v>864617.7</v>
      </c>
      <c r="J654" s="47">
        <f>131214.3+3845.8</f>
        <v>135060.09999999998</v>
      </c>
      <c r="K654" s="47"/>
      <c r="L654" s="47">
        <v>-141398.35</v>
      </c>
      <c r="M654" s="47">
        <f t="shared" si="499"/>
        <v>858279.45</v>
      </c>
      <c r="N654" s="46">
        <v>5000000</v>
      </c>
      <c r="O654" s="48">
        <f t="shared" si="500"/>
        <v>6379.4799999999814</v>
      </c>
      <c r="P654" s="55"/>
      <c r="Q654" s="55"/>
      <c r="R654" s="55">
        <f>-1280.58-10</f>
        <v>-1290.58</v>
      </c>
      <c r="S654" s="55">
        <f t="shared" si="501"/>
        <v>5088.8999999999814</v>
      </c>
      <c r="T654" s="48"/>
      <c r="U654" s="49">
        <f t="shared" si="502"/>
        <v>65.00000000000145</v>
      </c>
      <c r="V654" s="51"/>
      <c r="W654" s="51"/>
      <c r="X654" s="51"/>
      <c r="Y654" s="51">
        <f t="shared" si="503"/>
        <v>65.00000000000145</v>
      </c>
      <c r="Z654" s="52"/>
      <c r="AA654" s="53">
        <f t="shared" si="504"/>
        <v>193.25999999999951</v>
      </c>
      <c r="AB654" s="54"/>
      <c r="AC654" s="54"/>
      <c r="AD654" s="54"/>
      <c r="AE654" s="54">
        <f t="shared" si="505"/>
        <v>193.25999999999951</v>
      </c>
      <c r="AF654" s="53"/>
      <c r="AG654" s="53">
        <f t="shared" si="474"/>
        <v>935.43000000002792</v>
      </c>
      <c r="AH654" s="54"/>
      <c r="AI654" s="54"/>
      <c r="AJ654" s="54"/>
      <c r="AK654" s="54">
        <f t="shared" si="506"/>
        <v>935.43000000002792</v>
      </c>
      <c r="AL654" s="53"/>
      <c r="AM654" s="53">
        <f t="shared" si="486"/>
        <v>0</v>
      </c>
      <c r="AN654" s="54"/>
      <c r="AO654" s="54"/>
      <c r="AP654" s="54"/>
      <c r="AQ654" s="54">
        <f t="shared" si="487"/>
        <v>0</v>
      </c>
      <c r="AR654" s="53"/>
      <c r="AS654" s="50">
        <f t="shared" si="508"/>
        <v>996314.09</v>
      </c>
      <c r="AT654" s="73">
        <f t="shared" si="517"/>
        <v>142841.63999999998</v>
      </c>
      <c r="AU654" s="50">
        <f t="shared" si="478"/>
        <v>0</v>
      </c>
      <c r="AV654" s="50">
        <f t="shared" si="518"/>
        <v>-189066.87</v>
      </c>
      <c r="AW654" s="50"/>
      <c r="AX654" s="50">
        <f t="shared" si="491"/>
        <v>950088.86</v>
      </c>
      <c r="AY654" s="50">
        <f t="shared" si="492"/>
        <v>9300000</v>
      </c>
      <c r="AZ654" s="50">
        <f t="shared" si="493"/>
        <v>10250088.859999999</v>
      </c>
      <c r="BA654" s="15">
        <f t="shared" si="510"/>
        <v>0</v>
      </c>
      <c r="BB654" s="15">
        <f t="shared" si="511"/>
        <v>-58472.874350000013</v>
      </c>
      <c r="BC654" s="58">
        <f t="shared" si="512"/>
        <v>112674.28500000008</v>
      </c>
    </row>
    <row r="655" spans="2:55" s="58" customFormat="1" ht="14.25" customHeight="1" x14ac:dyDescent="0.3">
      <c r="B655" s="99">
        <f t="shared" si="461"/>
        <v>45079</v>
      </c>
      <c r="C655" s="44">
        <f t="shared" si="497"/>
        <v>85526.819999999978</v>
      </c>
      <c r="D655" s="45"/>
      <c r="E655" s="45"/>
      <c r="F655" s="45">
        <v>-156472.37</v>
      </c>
      <c r="G655" s="45">
        <f t="shared" si="462"/>
        <v>-70945.550000000017</v>
      </c>
      <c r="H655" s="44">
        <v>4300000</v>
      </c>
      <c r="I655" s="46">
        <f t="shared" si="498"/>
        <v>858279.45</v>
      </c>
      <c r="J655" s="47">
        <v>229670.97</v>
      </c>
      <c r="K655" s="47">
        <v>-5000</v>
      </c>
      <c r="L655" s="47">
        <f>-2410175.53+5000</f>
        <v>-2405175.5299999998</v>
      </c>
      <c r="M655" s="47">
        <f t="shared" si="499"/>
        <v>-1322225.1099999999</v>
      </c>
      <c r="N655" s="46">
        <v>5000000</v>
      </c>
      <c r="O655" s="48">
        <f t="shared" si="500"/>
        <v>5088.8999999999814</v>
      </c>
      <c r="P655" s="55"/>
      <c r="Q655" s="55">
        <v>5000</v>
      </c>
      <c r="R655" s="55">
        <v>-6464.3699999999799</v>
      </c>
      <c r="S655" s="55">
        <f t="shared" si="501"/>
        <v>3624.5300000000016</v>
      </c>
      <c r="T655" s="48"/>
      <c r="U655" s="49">
        <f t="shared" si="502"/>
        <v>65.00000000000145</v>
      </c>
      <c r="V655" s="51"/>
      <c r="W655" s="51"/>
      <c r="X655" s="51">
        <v>-62.5</v>
      </c>
      <c r="Y655" s="51">
        <f t="shared" si="503"/>
        <v>2.5000000000014495</v>
      </c>
      <c r="Z655" s="52"/>
      <c r="AA655" s="53">
        <f t="shared" si="504"/>
        <v>193.25999999999951</v>
      </c>
      <c r="AB655" s="54"/>
      <c r="AC655" s="54"/>
      <c r="AD655" s="54"/>
      <c r="AE655" s="54">
        <f t="shared" si="505"/>
        <v>193.25999999999951</v>
      </c>
      <c r="AF655" s="53"/>
      <c r="AG655" s="53">
        <f t="shared" si="474"/>
        <v>935.43000000002792</v>
      </c>
      <c r="AH655" s="54"/>
      <c r="AI655" s="54"/>
      <c r="AJ655" s="54"/>
      <c r="AK655" s="54">
        <f t="shared" si="506"/>
        <v>935.43000000002792</v>
      </c>
      <c r="AL655" s="53"/>
      <c r="AM655" s="53">
        <f t="shared" si="486"/>
        <v>0</v>
      </c>
      <c r="AN655" s="54"/>
      <c r="AO655" s="54"/>
      <c r="AP655" s="54"/>
      <c r="AQ655" s="54">
        <f t="shared" si="487"/>
        <v>0</v>
      </c>
      <c r="AR655" s="53"/>
      <c r="AS655" s="50">
        <f t="shared" si="508"/>
        <v>950088.86</v>
      </c>
      <c r="AT655" s="73">
        <f t="shared" si="517"/>
        <v>229670.97</v>
      </c>
      <c r="AU655" s="50">
        <f t="shared" si="478"/>
        <v>0</v>
      </c>
      <c r="AV655" s="50">
        <f t="shared" si="518"/>
        <v>-2568174.77</v>
      </c>
      <c r="AW655" s="50"/>
      <c r="AX655" s="50">
        <f t="shared" si="491"/>
        <v>-1388414.94</v>
      </c>
      <c r="AY655" s="50">
        <f t="shared" si="492"/>
        <v>9300000</v>
      </c>
      <c r="AZ655" s="50">
        <f t="shared" si="493"/>
        <v>7911585.0600000005</v>
      </c>
      <c r="BA655" s="15">
        <f t="shared" si="510"/>
        <v>0</v>
      </c>
      <c r="BB655" s="15">
        <f t="shared" si="511"/>
        <v>-58472.874350000013</v>
      </c>
      <c r="BC655" s="58">
        <f t="shared" si="512"/>
        <v>29601.668333333411</v>
      </c>
    </row>
    <row r="656" spans="2:55" s="58" customFormat="1" ht="14.25" customHeight="1" x14ac:dyDescent="0.3">
      <c r="B656" s="99">
        <f t="shared" ref="B656" si="521">B655+3</f>
        <v>45082</v>
      </c>
      <c r="C656" s="44">
        <f t="shared" si="497"/>
        <v>-70945.550000000017</v>
      </c>
      <c r="D656" s="45">
        <v>596915.07000000007</v>
      </c>
      <c r="E656" s="45">
        <v>-350000</v>
      </c>
      <c r="F656" s="45">
        <v>-98394.66</v>
      </c>
      <c r="G656" s="45">
        <f t="shared" si="462"/>
        <v>77574.860000000015</v>
      </c>
      <c r="H656" s="44">
        <v>4300000</v>
      </c>
      <c r="I656" s="46">
        <f t="shared" si="498"/>
        <v>-1322225.1099999999</v>
      </c>
      <c r="J656" s="47">
        <v>37540</v>
      </c>
      <c r="K656" s="47">
        <v>350000</v>
      </c>
      <c r="L656" s="47">
        <v>-1106720.58</v>
      </c>
      <c r="M656" s="47">
        <f t="shared" si="499"/>
        <v>-2041405.69</v>
      </c>
      <c r="N656" s="46">
        <v>5000000</v>
      </c>
      <c r="O656" s="48">
        <f t="shared" si="500"/>
        <v>3624.5300000000016</v>
      </c>
      <c r="P656" s="55">
        <v>30557.56</v>
      </c>
      <c r="Q656" s="55"/>
      <c r="R656" s="55">
        <f>-315-1350</f>
        <v>-1665</v>
      </c>
      <c r="S656" s="55">
        <f t="shared" si="501"/>
        <v>32517.090000000004</v>
      </c>
      <c r="T656" s="48"/>
      <c r="U656" s="49">
        <f t="shared" si="502"/>
        <v>2.5000000000014495</v>
      </c>
      <c r="V656" s="51"/>
      <c r="W656" s="51"/>
      <c r="X656" s="51"/>
      <c r="Y656" s="51">
        <f t="shared" si="503"/>
        <v>2.5000000000014495</v>
      </c>
      <c r="Z656" s="52"/>
      <c r="AA656" s="53">
        <f t="shared" si="504"/>
        <v>193.25999999999951</v>
      </c>
      <c r="AB656" s="54"/>
      <c r="AC656" s="54"/>
      <c r="AD656" s="54"/>
      <c r="AE656" s="54">
        <f t="shared" si="505"/>
        <v>193.25999999999951</v>
      </c>
      <c r="AF656" s="53"/>
      <c r="AG656" s="53">
        <f t="shared" si="474"/>
        <v>935.43000000002792</v>
      </c>
      <c r="AH656" s="54"/>
      <c r="AI656" s="54"/>
      <c r="AJ656" s="54"/>
      <c r="AK656" s="54">
        <f t="shared" si="506"/>
        <v>935.43000000002792</v>
      </c>
      <c r="AL656" s="53"/>
      <c r="AM656" s="53">
        <f t="shared" si="486"/>
        <v>0</v>
      </c>
      <c r="AN656" s="54"/>
      <c r="AO656" s="54"/>
      <c r="AP656" s="54"/>
      <c r="AQ656" s="54">
        <f t="shared" si="487"/>
        <v>0</v>
      </c>
      <c r="AR656" s="53"/>
      <c r="AS656" s="50">
        <f t="shared" si="508"/>
        <v>-1388414.94</v>
      </c>
      <c r="AT656" s="73">
        <f t="shared" si="517"/>
        <v>665012.63000000012</v>
      </c>
      <c r="AU656" s="50">
        <f t="shared" si="478"/>
        <v>0</v>
      </c>
      <c r="AV656" s="50">
        <f t="shared" si="518"/>
        <v>-1206780.24</v>
      </c>
      <c r="AW656" s="50"/>
      <c r="AX656" s="50">
        <f t="shared" si="491"/>
        <v>-1930182.5499999998</v>
      </c>
      <c r="AY656" s="50">
        <f t="shared" si="492"/>
        <v>9300000</v>
      </c>
      <c r="AZ656" s="50">
        <f t="shared" si="493"/>
        <v>7369817.4500000002</v>
      </c>
      <c r="BA656" s="15"/>
      <c r="BB656" s="15"/>
    </row>
    <row r="657" spans="2:54" s="58" customFormat="1" ht="12" customHeight="1" x14ac:dyDescent="0.3">
      <c r="B657" s="99">
        <f t="shared" ref="B657" si="522">B656+1</f>
        <v>45083</v>
      </c>
      <c r="C657" s="44">
        <f t="shared" si="497"/>
        <v>77574.860000000015</v>
      </c>
      <c r="D657" s="45"/>
      <c r="E657" s="45"/>
      <c r="F657" s="45">
        <v>-662.19000000001699</v>
      </c>
      <c r="G657" s="45">
        <f t="shared" si="462"/>
        <v>76912.67</v>
      </c>
      <c r="H657" s="44">
        <v>4300000</v>
      </c>
      <c r="I657" s="46">
        <f t="shared" si="498"/>
        <v>-2041405.69</v>
      </c>
      <c r="J657" s="47">
        <v>629600.93999999994</v>
      </c>
      <c r="K657" s="47">
        <v>30000</v>
      </c>
      <c r="L657" s="47">
        <v>-91196.97</v>
      </c>
      <c r="M657" s="47">
        <f t="shared" si="499"/>
        <v>-1473001.72</v>
      </c>
      <c r="N657" s="46">
        <v>5000000</v>
      </c>
      <c r="O657" s="48">
        <f t="shared" si="500"/>
        <v>32517.090000000004</v>
      </c>
      <c r="P657" s="55"/>
      <c r="Q657" s="55">
        <v>-30000</v>
      </c>
      <c r="R657" s="55"/>
      <c r="S657" s="55">
        <f t="shared" si="501"/>
        <v>2517.0900000000038</v>
      </c>
      <c r="T657" s="48"/>
      <c r="U657" s="49">
        <f t="shared" si="502"/>
        <v>2.5000000000014495</v>
      </c>
      <c r="V657" s="51"/>
      <c r="W657" s="51"/>
      <c r="X657" s="51"/>
      <c r="Y657" s="51">
        <f t="shared" si="503"/>
        <v>2.5000000000014495</v>
      </c>
      <c r="Z657" s="52"/>
      <c r="AA657" s="53">
        <f t="shared" si="504"/>
        <v>193.25999999999951</v>
      </c>
      <c r="AB657" s="54"/>
      <c r="AC657" s="54"/>
      <c r="AD657" s="54"/>
      <c r="AE657" s="54">
        <f t="shared" si="505"/>
        <v>193.25999999999951</v>
      </c>
      <c r="AF657" s="53"/>
      <c r="AG657" s="53">
        <f t="shared" si="474"/>
        <v>935.43000000002792</v>
      </c>
      <c r="AH657" s="54"/>
      <c r="AI657" s="54"/>
      <c r="AJ657" s="54">
        <v>-623.97000000002799</v>
      </c>
      <c r="AK657" s="54">
        <f t="shared" si="506"/>
        <v>311.45999999999992</v>
      </c>
      <c r="AL657" s="53"/>
      <c r="AM657" s="53">
        <f t="shared" si="486"/>
        <v>0</v>
      </c>
      <c r="AN657" s="54"/>
      <c r="AO657" s="54"/>
      <c r="AP657" s="54"/>
      <c r="AQ657" s="54">
        <f t="shared" si="487"/>
        <v>0</v>
      </c>
      <c r="AR657" s="53"/>
      <c r="AS657" s="50">
        <f t="shared" si="508"/>
        <v>-1930182.5499999998</v>
      </c>
      <c r="AT657" s="73">
        <f t="shared" si="517"/>
        <v>629600.93999999994</v>
      </c>
      <c r="AU657" s="50">
        <f t="shared" si="478"/>
        <v>0</v>
      </c>
      <c r="AV657" s="50">
        <f t="shared" si="518"/>
        <v>-92483.130000000048</v>
      </c>
      <c r="AW657" s="50"/>
      <c r="AX657" s="50">
        <f t="shared" si="491"/>
        <v>-1393064.74</v>
      </c>
      <c r="AY657" s="50">
        <f t="shared" si="492"/>
        <v>9300000</v>
      </c>
      <c r="AZ657" s="50">
        <f t="shared" si="493"/>
        <v>7906935.2599999998</v>
      </c>
      <c r="BA657" s="15"/>
      <c r="BB657" s="15"/>
    </row>
    <row r="658" spans="2:54" s="58" customFormat="1" ht="14.25" customHeight="1" x14ac:dyDescent="0.3">
      <c r="B658" s="99">
        <f t="shared" si="461"/>
        <v>45084</v>
      </c>
      <c r="C658" s="44">
        <f t="shared" si="497"/>
        <v>76912.67</v>
      </c>
      <c r="D658" s="45">
        <v>4588.75</v>
      </c>
      <c r="E658" s="45"/>
      <c r="F658" s="45">
        <f>-4588.75+3076.07</f>
        <v>-1512.6799999999998</v>
      </c>
      <c r="G658" s="45">
        <f t="shared" si="462"/>
        <v>79988.740000000005</v>
      </c>
      <c r="H658" s="44">
        <v>4300000</v>
      </c>
      <c r="I658" s="46">
        <f t="shared" si="498"/>
        <v>-1473001.72</v>
      </c>
      <c r="J658" s="47"/>
      <c r="K658" s="47"/>
      <c r="L658" s="47">
        <v>-472162.38</v>
      </c>
      <c r="M658" s="47">
        <f t="shared" si="499"/>
        <v>-1945164.1</v>
      </c>
      <c r="N658" s="46">
        <v>5000000</v>
      </c>
      <c r="O658" s="48">
        <f t="shared" si="500"/>
        <v>2517.0900000000038</v>
      </c>
      <c r="P658" s="55">
        <f>163.84+222.38</f>
        <v>386.22</v>
      </c>
      <c r="Q658" s="55"/>
      <c r="R658" s="55">
        <f>-1211.88-10</f>
        <v>-1221.8800000000001</v>
      </c>
      <c r="S658" s="55">
        <f t="shared" si="501"/>
        <v>1681.4300000000039</v>
      </c>
      <c r="T658" s="48"/>
      <c r="U658" s="49">
        <f t="shared" si="502"/>
        <v>2.5000000000014495</v>
      </c>
      <c r="V658" s="51"/>
      <c r="W658" s="51"/>
      <c r="X658" s="51"/>
      <c r="Y658" s="51">
        <f t="shared" si="503"/>
        <v>2.5000000000014495</v>
      </c>
      <c r="Z658" s="52"/>
      <c r="AA658" s="53">
        <f t="shared" si="504"/>
        <v>193.25999999999951</v>
      </c>
      <c r="AB658" s="54"/>
      <c r="AC658" s="54"/>
      <c r="AD658" s="54"/>
      <c r="AE658" s="54">
        <f t="shared" si="505"/>
        <v>193.25999999999951</v>
      </c>
      <c r="AF658" s="53"/>
      <c r="AG658" s="53">
        <f t="shared" si="474"/>
        <v>311.45999999999992</v>
      </c>
      <c r="AH658" s="54"/>
      <c r="AI658" s="54"/>
      <c r="AJ658" s="54">
        <v>-250</v>
      </c>
      <c r="AK658" s="54">
        <f t="shared" si="506"/>
        <v>61.459999999999923</v>
      </c>
      <c r="AL658" s="53"/>
      <c r="AM658" s="53">
        <f t="shared" si="486"/>
        <v>0</v>
      </c>
      <c r="AN658" s="54"/>
      <c r="AO658" s="54"/>
      <c r="AP658" s="54"/>
      <c r="AQ658" s="54">
        <f t="shared" si="487"/>
        <v>0</v>
      </c>
      <c r="AR658" s="53"/>
      <c r="AS658" s="50">
        <f t="shared" si="508"/>
        <v>-1393064.74</v>
      </c>
      <c r="AT658" s="73">
        <f t="shared" si="517"/>
        <v>4974.97</v>
      </c>
      <c r="AU658" s="50">
        <f t="shared" si="478"/>
        <v>0</v>
      </c>
      <c r="AV658" s="50">
        <f t="shared" si="518"/>
        <v>-475146.94</v>
      </c>
      <c r="AW658" s="50"/>
      <c r="AX658" s="50">
        <f t="shared" si="491"/>
        <v>-1863236.7100000002</v>
      </c>
      <c r="AY658" s="50">
        <f t="shared" si="492"/>
        <v>9300000</v>
      </c>
      <c r="AZ658" s="50">
        <f t="shared" si="493"/>
        <v>7436763.29</v>
      </c>
      <c r="BA658" s="15"/>
      <c r="BB658" s="15"/>
    </row>
    <row r="659" spans="2:54" s="58" customFormat="1" ht="14.25" customHeight="1" x14ac:dyDescent="0.3">
      <c r="B659" s="99">
        <f t="shared" si="461"/>
        <v>45085</v>
      </c>
      <c r="C659" s="44">
        <f t="shared" si="497"/>
        <v>79988.740000000005</v>
      </c>
      <c r="D659" s="45"/>
      <c r="E659" s="45"/>
      <c r="F659" s="45"/>
      <c r="G659" s="45">
        <f t="shared" si="462"/>
        <v>79988.740000000005</v>
      </c>
      <c r="H659" s="44">
        <v>4300000</v>
      </c>
      <c r="I659" s="46">
        <f t="shared" si="498"/>
        <v>-1945164.1</v>
      </c>
      <c r="J659" s="47"/>
      <c r="K659" s="47"/>
      <c r="L659" s="47"/>
      <c r="M659" s="47">
        <f t="shared" si="499"/>
        <v>-1945164.1</v>
      </c>
      <c r="N659" s="46">
        <v>5000000</v>
      </c>
      <c r="O659" s="48">
        <f t="shared" si="500"/>
        <v>1681.4300000000039</v>
      </c>
      <c r="P659" s="55"/>
      <c r="Q659" s="55"/>
      <c r="R659" s="55"/>
      <c r="S659" s="55">
        <f t="shared" si="501"/>
        <v>1681.4300000000039</v>
      </c>
      <c r="T659" s="48"/>
      <c r="U659" s="49">
        <f t="shared" si="502"/>
        <v>2.5000000000014495</v>
      </c>
      <c r="V659" s="51"/>
      <c r="W659" s="51"/>
      <c r="X659" s="51"/>
      <c r="Y659" s="51">
        <f t="shared" si="503"/>
        <v>2.5000000000014495</v>
      </c>
      <c r="Z659" s="52"/>
      <c r="AA659" s="53">
        <f t="shared" si="504"/>
        <v>193.25999999999951</v>
      </c>
      <c r="AB659" s="54"/>
      <c r="AC659" s="54"/>
      <c r="AD659" s="54"/>
      <c r="AE659" s="54">
        <f t="shared" si="505"/>
        <v>193.25999999999951</v>
      </c>
      <c r="AF659" s="53"/>
      <c r="AG659" s="53">
        <f t="shared" si="474"/>
        <v>61.459999999999923</v>
      </c>
      <c r="AH659" s="54"/>
      <c r="AI659" s="54"/>
      <c r="AJ659" s="54"/>
      <c r="AK659" s="54">
        <f t="shared" si="506"/>
        <v>61.459999999999923</v>
      </c>
      <c r="AL659" s="53"/>
      <c r="AM659" s="53">
        <f t="shared" si="486"/>
        <v>0</v>
      </c>
      <c r="AN659" s="54"/>
      <c r="AO659" s="54"/>
      <c r="AP659" s="54"/>
      <c r="AQ659" s="54">
        <f t="shared" si="487"/>
        <v>0</v>
      </c>
      <c r="AR659" s="53"/>
      <c r="AS659" s="50">
        <f t="shared" si="508"/>
        <v>-1863236.7100000002</v>
      </c>
      <c r="AT659" s="73">
        <f t="shared" si="517"/>
        <v>0</v>
      </c>
      <c r="AU659" s="50">
        <f t="shared" si="478"/>
        <v>0</v>
      </c>
      <c r="AV659" s="50">
        <f t="shared" si="518"/>
        <v>0</v>
      </c>
      <c r="AW659" s="50"/>
      <c r="AX659" s="50">
        <f t="shared" si="491"/>
        <v>-1863236.7100000002</v>
      </c>
      <c r="AY659" s="50">
        <f t="shared" si="492"/>
        <v>9300000</v>
      </c>
      <c r="AZ659" s="50">
        <f t="shared" si="493"/>
        <v>7436763.29</v>
      </c>
      <c r="BA659" s="15"/>
      <c r="BB659" s="15"/>
    </row>
    <row r="660" spans="2:54" s="58" customFormat="1" ht="14.25" customHeight="1" x14ac:dyDescent="0.3">
      <c r="B660" s="99">
        <f t="shared" si="461"/>
        <v>45086</v>
      </c>
      <c r="C660" s="44">
        <f t="shared" si="497"/>
        <v>79988.740000000005</v>
      </c>
      <c r="D660" s="45"/>
      <c r="E660" s="45"/>
      <c r="F660" s="45">
        <v>-6740.6200000000099</v>
      </c>
      <c r="G660" s="45">
        <f t="shared" si="462"/>
        <v>73248.12</v>
      </c>
      <c r="H660" s="44">
        <v>4300000</v>
      </c>
      <c r="I660" s="46">
        <f t="shared" si="498"/>
        <v>-1945164.1</v>
      </c>
      <c r="J660" s="47"/>
      <c r="K660" s="47"/>
      <c r="L660" s="47">
        <v>-190716.08</v>
      </c>
      <c r="M660" s="47">
        <f t="shared" si="499"/>
        <v>-2135880.1800000002</v>
      </c>
      <c r="N660" s="46">
        <v>5000000</v>
      </c>
      <c r="O660" s="48">
        <f t="shared" si="500"/>
        <v>1681.4300000000039</v>
      </c>
      <c r="P660" s="55">
        <f>551+143.36+162.88+613.96+995.66+10.18</f>
        <v>2477.04</v>
      </c>
      <c r="Q660" s="55"/>
      <c r="R660" s="55">
        <v>-102.78</v>
      </c>
      <c r="S660" s="55">
        <f t="shared" si="501"/>
        <v>4055.6900000000037</v>
      </c>
      <c r="T660" s="48"/>
      <c r="U660" s="49">
        <f t="shared" si="502"/>
        <v>2.5000000000014495</v>
      </c>
      <c r="V660" s="51"/>
      <c r="W660" s="51"/>
      <c r="X660" s="51"/>
      <c r="Y660" s="51">
        <f t="shared" si="503"/>
        <v>2.5000000000014495</v>
      </c>
      <c r="Z660" s="52"/>
      <c r="AA660" s="53">
        <f t="shared" si="504"/>
        <v>193.25999999999951</v>
      </c>
      <c r="AB660" s="54"/>
      <c r="AC660" s="54"/>
      <c r="AD660" s="54"/>
      <c r="AE660" s="54">
        <f t="shared" si="505"/>
        <v>193.25999999999951</v>
      </c>
      <c r="AF660" s="53"/>
      <c r="AG660" s="53">
        <f t="shared" si="474"/>
        <v>61.459999999999923</v>
      </c>
      <c r="AH660" s="54"/>
      <c r="AI660" s="54"/>
      <c r="AJ660" s="54"/>
      <c r="AK660" s="54">
        <f t="shared" si="506"/>
        <v>61.459999999999923</v>
      </c>
      <c r="AL660" s="53"/>
      <c r="AM660" s="53">
        <f t="shared" si="486"/>
        <v>0</v>
      </c>
      <c r="AN660" s="54"/>
      <c r="AO660" s="54"/>
      <c r="AP660" s="54"/>
      <c r="AQ660" s="54">
        <f t="shared" si="487"/>
        <v>0</v>
      </c>
      <c r="AR660" s="53"/>
      <c r="AS660" s="50">
        <f t="shared" si="508"/>
        <v>-1863236.7100000002</v>
      </c>
      <c r="AT660" s="73">
        <f t="shared" si="517"/>
        <v>2477.04</v>
      </c>
      <c r="AU660" s="50">
        <f t="shared" si="478"/>
        <v>0</v>
      </c>
      <c r="AV660" s="50">
        <f t="shared" si="518"/>
        <v>-197559.48</v>
      </c>
      <c r="AW660" s="50"/>
      <c r="AX660" s="50">
        <f t="shared" si="491"/>
        <v>-2058319.1500000001</v>
      </c>
      <c r="AY660" s="50">
        <f t="shared" si="492"/>
        <v>9300000</v>
      </c>
      <c r="AZ660" s="50">
        <f t="shared" si="493"/>
        <v>7241680.8499999996</v>
      </c>
      <c r="BA660" s="15"/>
      <c r="BB660" s="15"/>
    </row>
    <row r="661" spans="2:54" s="58" customFormat="1" ht="14.25" customHeight="1" x14ac:dyDescent="0.3">
      <c r="B661" s="99">
        <f t="shared" ref="B661" si="523">B660+3</f>
        <v>45089</v>
      </c>
      <c r="C661" s="44">
        <f t="shared" si="497"/>
        <v>73248.12</v>
      </c>
      <c r="D661" s="45">
        <f>129263.11+2083.33</f>
        <v>131346.44</v>
      </c>
      <c r="E661" s="45"/>
      <c r="F661" s="45">
        <v>-131346.44</v>
      </c>
      <c r="G661" s="45">
        <f t="shared" ref="G661:G724" si="524">SUM(C661:F661)</f>
        <v>73248.12</v>
      </c>
      <c r="H661" s="44">
        <v>4300000</v>
      </c>
      <c r="I661" s="46">
        <f t="shared" si="498"/>
        <v>-2135880.1800000002</v>
      </c>
      <c r="J661" s="47">
        <v>1930.18</v>
      </c>
      <c r="K661" s="47"/>
      <c r="L661" s="47">
        <v>-1452633.34</v>
      </c>
      <c r="M661" s="47">
        <f t="shared" si="499"/>
        <v>-3586583.34</v>
      </c>
      <c r="N661" s="46">
        <v>5000000</v>
      </c>
      <c r="O661" s="48">
        <f t="shared" si="500"/>
        <v>4055.6900000000037</v>
      </c>
      <c r="P661" s="55"/>
      <c r="Q661" s="55"/>
      <c r="R661" s="55"/>
      <c r="S661" s="55">
        <f t="shared" si="501"/>
        <v>4055.6900000000037</v>
      </c>
      <c r="T661" s="48"/>
      <c r="U661" s="49">
        <f t="shared" si="502"/>
        <v>2.5000000000014495</v>
      </c>
      <c r="V661" s="51"/>
      <c r="W661" s="51"/>
      <c r="X661" s="51"/>
      <c r="Y661" s="51">
        <f t="shared" si="503"/>
        <v>2.5000000000014495</v>
      </c>
      <c r="Z661" s="52"/>
      <c r="AA661" s="53">
        <f t="shared" si="504"/>
        <v>193.25999999999951</v>
      </c>
      <c r="AB661" s="54"/>
      <c r="AC661" s="54"/>
      <c r="AD661" s="54"/>
      <c r="AE661" s="54">
        <f t="shared" si="505"/>
        <v>193.25999999999951</v>
      </c>
      <c r="AF661" s="53"/>
      <c r="AG661" s="53">
        <f t="shared" si="474"/>
        <v>61.459999999999923</v>
      </c>
      <c r="AH661" s="54"/>
      <c r="AI661" s="54"/>
      <c r="AJ661" s="54"/>
      <c r="AK661" s="54">
        <f t="shared" si="506"/>
        <v>61.459999999999923</v>
      </c>
      <c r="AL661" s="53"/>
      <c r="AM661" s="53">
        <f t="shared" si="486"/>
        <v>0</v>
      </c>
      <c r="AN661" s="54"/>
      <c r="AO661" s="54"/>
      <c r="AP661" s="54"/>
      <c r="AQ661" s="54">
        <f t="shared" si="487"/>
        <v>0</v>
      </c>
      <c r="AR661" s="53"/>
      <c r="AS661" s="50">
        <f t="shared" si="508"/>
        <v>-2058319.1500000001</v>
      </c>
      <c r="AT661" s="73">
        <f t="shared" si="517"/>
        <v>133276.62</v>
      </c>
      <c r="AU661" s="50">
        <f t="shared" si="478"/>
        <v>0</v>
      </c>
      <c r="AV661" s="50">
        <f t="shared" si="518"/>
        <v>-1583979.78</v>
      </c>
      <c r="AW661" s="50"/>
      <c r="AX661" s="50">
        <f t="shared" si="491"/>
        <v>-3509022.31</v>
      </c>
      <c r="AY661" s="50">
        <f t="shared" si="492"/>
        <v>9300000</v>
      </c>
      <c r="AZ661" s="50">
        <f t="shared" si="493"/>
        <v>5790977.6899999995</v>
      </c>
      <c r="BA661" s="15"/>
      <c r="BB661" s="15"/>
    </row>
    <row r="662" spans="2:54" s="58" customFormat="1" ht="14.25" customHeight="1" x14ac:dyDescent="0.3">
      <c r="B662" s="99">
        <f t="shared" ref="B662:B725" si="525">B661+1</f>
        <v>45090</v>
      </c>
      <c r="C662" s="44">
        <f t="shared" si="497"/>
        <v>73248.12</v>
      </c>
      <c r="D662" s="45">
        <v>238398.4</v>
      </c>
      <c r="E662" s="45">
        <v>-200000</v>
      </c>
      <c r="F662" s="45">
        <f>-30228.52-6928.89-382.33-382.33-26.33-450</f>
        <v>-38398.400000000009</v>
      </c>
      <c r="G662" s="45">
        <f t="shared" si="524"/>
        <v>73248.12000000001</v>
      </c>
      <c r="H662" s="44">
        <v>4300000</v>
      </c>
      <c r="I662" s="46">
        <f t="shared" si="498"/>
        <v>-3586583.34</v>
      </c>
      <c r="J662" s="47"/>
      <c r="K662" s="47">
        <v>200000</v>
      </c>
      <c r="L662" s="47">
        <v>-57615.9200000001</v>
      </c>
      <c r="M662" s="47">
        <f t="shared" si="499"/>
        <v>-3444199.26</v>
      </c>
      <c r="N662" s="46">
        <v>5000000</v>
      </c>
      <c r="O662" s="48">
        <f t="shared" si="500"/>
        <v>4055.6900000000037</v>
      </c>
      <c r="P662" s="55"/>
      <c r="Q662" s="55"/>
      <c r="R662" s="55">
        <f>-382.31-522.9</f>
        <v>-905.21</v>
      </c>
      <c r="S662" s="55">
        <f t="shared" si="501"/>
        <v>3150.4800000000037</v>
      </c>
      <c r="T662" s="48"/>
      <c r="U662" s="49">
        <f t="shared" si="502"/>
        <v>2.5000000000014495</v>
      </c>
      <c r="V662" s="51"/>
      <c r="W662" s="51"/>
      <c r="X662" s="51"/>
      <c r="Y662" s="51">
        <f t="shared" si="503"/>
        <v>2.5000000000014495</v>
      </c>
      <c r="Z662" s="52"/>
      <c r="AA662" s="53">
        <f t="shared" si="504"/>
        <v>193.25999999999951</v>
      </c>
      <c r="AB662" s="54"/>
      <c r="AC662" s="54"/>
      <c r="AD662" s="54"/>
      <c r="AE662" s="54">
        <f t="shared" si="505"/>
        <v>193.25999999999951</v>
      </c>
      <c r="AF662" s="53"/>
      <c r="AG662" s="53">
        <f t="shared" si="474"/>
        <v>61.459999999999923</v>
      </c>
      <c r="AH662" s="54"/>
      <c r="AI662" s="54"/>
      <c r="AJ662" s="54"/>
      <c r="AK662" s="54">
        <f t="shared" si="506"/>
        <v>61.459999999999923</v>
      </c>
      <c r="AL662" s="53"/>
      <c r="AM662" s="53">
        <f t="shared" si="486"/>
        <v>0</v>
      </c>
      <c r="AN662" s="54"/>
      <c r="AO662" s="54"/>
      <c r="AP662" s="54"/>
      <c r="AQ662" s="54">
        <f t="shared" si="487"/>
        <v>0</v>
      </c>
      <c r="AR662" s="53"/>
      <c r="AS662" s="50">
        <f t="shared" si="508"/>
        <v>-3509022.31</v>
      </c>
      <c r="AT662" s="73">
        <f t="shared" si="517"/>
        <v>238398.4</v>
      </c>
      <c r="AU662" s="50">
        <f t="shared" si="478"/>
        <v>0</v>
      </c>
      <c r="AV662" s="50">
        <f t="shared" si="518"/>
        <v>-96919.530000000115</v>
      </c>
      <c r="AW662" s="50"/>
      <c r="AX662" s="50">
        <f t="shared" si="491"/>
        <v>-3367543.44</v>
      </c>
      <c r="AY662" s="50">
        <f t="shared" si="492"/>
        <v>9300000</v>
      </c>
      <c r="AZ662" s="50">
        <f t="shared" si="493"/>
        <v>5932456.5600000005</v>
      </c>
      <c r="BA662" s="15"/>
      <c r="BB662" s="15"/>
    </row>
    <row r="663" spans="2:54" s="58" customFormat="1" ht="14.25" customHeight="1" x14ac:dyDescent="0.3">
      <c r="B663" s="99">
        <f t="shared" si="525"/>
        <v>45091</v>
      </c>
      <c r="C663" s="44">
        <f t="shared" si="497"/>
        <v>73248.12000000001</v>
      </c>
      <c r="D663" s="45">
        <f>514081.45</f>
        <v>514081.45</v>
      </c>
      <c r="E663" s="45">
        <v>-500000</v>
      </c>
      <c r="F663" s="45">
        <v>-14082.45</v>
      </c>
      <c r="G663" s="45">
        <f t="shared" si="524"/>
        <v>73247.120000000068</v>
      </c>
      <c r="H663" s="44">
        <v>4300000</v>
      </c>
      <c r="I663" s="46">
        <f t="shared" si="498"/>
        <v>-3444199.26</v>
      </c>
      <c r="J663" s="47"/>
      <c r="K663" s="47">
        <v>500000</v>
      </c>
      <c r="L663" s="47">
        <v>-601189.26</v>
      </c>
      <c r="M663" s="47">
        <f t="shared" si="499"/>
        <v>-3545388.5199999996</v>
      </c>
      <c r="N663" s="46">
        <v>5000000</v>
      </c>
      <c r="O663" s="48">
        <f t="shared" si="500"/>
        <v>3150.4800000000037</v>
      </c>
      <c r="P663" s="55"/>
      <c r="Q663" s="55"/>
      <c r="R663" s="55"/>
      <c r="S663" s="55">
        <f t="shared" si="501"/>
        <v>3150.4800000000037</v>
      </c>
      <c r="T663" s="48"/>
      <c r="U663" s="49">
        <f t="shared" si="502"/>
        <v>2.5000000000014495</v>
      </c>
      <c r="V663" s="51"/>
      <c r="W663" s="51"/>
      <c r="X663" s="51"/>
      <c r="Y663" s="51">
        <f t="shared" si="503"/>
        <v>2.5000000000014495</v>
      </c>
      <c r="Z663" s="52"/>
      <c r="AA663" s="53">
        <f t="shared" si="504"/>
        <v>193.25999999999951</v>
      </c>
      <c r="AB663" s="54"/>
      <c r="AC663" s="54"/>
      <c r="AD663" s="54"/>
      <c r="AE663" s="54">
        <f t="shared" si="505"/>
        <v>193.25999999999951</v>
      </c>
      <c r="AF663" s="53"/>
      <c r="AG663" s="53">
        <f t="shared" si="474"/>
        <v>61.459999999999923</v>
      </c>
      <c r="AH663" s="54"/>
      <c r="AI663" s="54"/>
      <c r="AJ663" s="54"/>
      <c r="AK663" s="54">
        <f t="shared" si="506"/>
        <v>61.459999999999923</v>
      </c>
      <c r="AL663" s="53"/>
      <c r="AM663" s="53">
        <f t="shared" si="486"/>
        <v>0</v>
      </c>
      <c r="AN663" s="54"/>
      <c r="AO663" s="54"/>
      <c r="AP663" s="54"/>
      <c r="AQ663" s="54">
        <f t="shared" si="487"/>
        <v>0</v>
      </c>
      <c r="AR663" s="53"/>
      <c r="AS663" s="50">
        <f t="shared" si="508"/>
        <v>-3367543.44</v>
      </c>
      <c r="AT663" s="73">
        <f t="shared" si="517"/>
        <v>514081.45</v>
      </c>
      <c r="AU663" s="50">
        <f t="shared" si="478"/>
        <v>0</v>
      </c>
      <c r="AV663" s="50">
        <f t="shared" si="518"/>
        <v>-615271.71</v>
      </c>
      <c r="AW663" s="50"/>
      <c r="AX663" s="50">
        <f t="shared" si="491"/>
        <v>-3468733.6999999997</v>
      </c>
      <c r="AY663" s="50">
        <f t="shared" si="492"/>
        <v>9300000</v>
      </c>
      <c r="AZ663" s="50">
        <f t="shared" si="493"/>
        <v>5831266.3000000007</v>
      </c>
      <c r="BA663" s="15"/>
      <c r="BB663" s="15"/>
    </row>
    <row r="664" spans="2:54" s="58" customFormat="1" ht="14.25" customHeight="1" x14ac:dyDescent="0.3">
      <c r="B664" s="99">
        <f t="shared" si="525"/>
        <v>45092</v>
      </c>
      <c r="C664" s="44">
        <f t="shared" si="497"/>
        <v>73247.120000000068</v>
      </c>
      <c r="D664" s="45">
        <f>7486.4+3076.16+25833.65+1859.21</f>
        <v>38255.42</v>
      </c>
      <c r="E664" s="45"/>
      <c r="F664" s="45">
        <v>-38255.42</v>
      </c>
      <c r="G664" s="45">
        <f t="shared" si="524"/>
        <v>73247.120000000068</v>
      </c>
      <c r="H664" s="44">
        <v>4300000</v>
      </c>
      <c r="I664" s="46">
        <f t="shared" si="498"/>
        <v>-3545388.5199999996</v>
      </c>
      <c r="J664" s="47"/>
      <c r="K664" s="47"/>
      <c r="L664" s="47">
        <v>-31663.560000000401</v>
      </c>
      <c r="M664" s="47">
        <f t="shared" si="499"/>
        <v>-3577052.08</v>
      </c>
      <c r="N664" s="46">
        <v>5000000</v>
      </c>
      <c r="O664" s="48">
        <f t="shared" si="500"/>
        <v>3150.4800000000037</v>
      </c>
      <c r="P664" s="55"/>
      <c r="Q664" s="55"/>
      <c r="R664" s="55"/>
      <c r="S664" s="55">
        <f t="shared" si="501"/>
        <v>3150.4800000000037</v>
      </c>
      <c r="T664" s="48"/>
      <c r="U664" s="49">
        <f t="shared" si="502"/>
        <v>2.5000000000014495</v>
      </c>
      <c r="V664" s="51"/>
      <c r="W664" s="51"/>
      <c r="X664" s="51"/>
      <c r="Y664" s="51">
        <f t="shared" si="503"/>
        <v>2.5000000000014495</v>
      </c>
      <c r="Z664" s="52"/>
      <c r="AA664" s="53">
        <f t="shared" si="504"/>
        <v>193.25999999999951</v>
      </c>
      <c r="AB664" s="54"/>
      <c r="AC664" s="54"/>
      <c r="AD664" s="54"/>
      <c r="AE664" s="54">
        <f t="shared" si="505"/>
        <v>193.25999999999951</v>
      </c>
      <c r="AF664" s="53"/>
      <c r="AG664" s="53">
        <f t="shared" si="474"/>
        <v>61.459999999999923</v>
      </c>
      <c r="AH664" s="54"/>
      <c r="AI664" s="54"/>
      <c r="AJ664" s="54"/>
      <c r="AK664" s="54">
        <f t="shared" si="506"/>
        <v>61.459999999999923</v>
      </c>
      <c r="AL664" s="53"/>
      <c r="AM664" s="53">
        <f t="shared" si="486"/>
        <v>0</v>
      </c>
      <c r="AN664" s="54"/>
      <c r="AO664" s="54"/>
      <c r="AP664" s="54"/>
      <c r="AQ664" s="54">
        <f t="shared" si="487"/>
        <v>0</v>
      </c>
      <c r="AR664" s="53"/>
      <c r="AS664" s="50">
        <f t="shared" si="508"/>
        <v>-3468733.6999999997</v>
      </c>
      <c r="AT664" s="73">
        <f t="shared" si="517"/>
        <v>38255.42</v>
      </c>
      <c r="AU664" s="50">
        <f t="shared" si="478"/>
        <v>0</v>
      </c>
      <c r="AV664" s="50">
        <f t="shared" si="518"/>
        <v>-69918.980000000403</v>
      </c>
      <c r="AW664" s="50"/>
      <c r="AX664" s="50">
        <f t="shared" si="491"/>
        <v>-3500397.2600000002</v>
      </c>
      <c r="AY664" s="50">
        <f t="shared" si="492"/>
        <v>9300000</v>
      </c>
      <c r="AZ664" s="50">
        <f t="shared" si="493"/>
        <v>5799602.7400000002</v>
      </c>
      <c r="BA664" s="15"/>
      <c r="BB664" s="15"/>
    </row>
    <row r="665" spans="2:54" s="58" customFormat="1" ht="14.25" customHeight="1" x14ac:dyDescent="0.3">
      <c r="B665" s="99">
        <f t="shared" si="525"/>
        <v>45093</v>
      </c>
      <c r="C665" s="44">
        <f t="shared" si="497"/>
        <v>73247.120000000068</v>
      </c>
      <c r="D665" s="45">
        <v>128.25</v>
      </c>
      <c r="E665" s="45"/>
      <c r="F665" s="45">
        <v>-128.25</v>
      </c>
      <c r="G665" s="45">
        <f t="shared" si="524"/>
        <v>73247.120000000068</v>
      </c>
      <c r="H665" s="44">
        <v>4300000</v>
      </c>
      <c r="I665" s="46">
        <f t="shared" si="498"/>
        <v>-3577052.08</v>
      </c>
      <c r="J665" s="47">
        <v>140775</v>
      </c>
      <c r="K665" s="47"/>
      <c r="L665" s="47">
        <f>-640832.79+0.03</f>
        <v>-640832.76</v>
      </c>
      <c r="M665" s="47">
        <f t="shared" si="499"/>
        <v>-4077109.84</v>
      </c>
      <c r="N665" s="46">
        <v>5000000</v>
      </c>
      <c r="O665" s="48">
        <f t="shared" si="500"/>
        <v>3150.4800000000037</v>
      </c>
      <c r="P665" s="55"/>
      <c r="Q665" s="55"/>
      <c r="R665" s="55">
        <v>-1300</v>
      </c>
      <c r="S665" s="55">
        <f t="shared" si="501"/>
        <v>1850.4800000000037</v>
      </c>
      <c r="T665" s="48"/>
      <c r="U665" s="49">
        <f t="shared" si="502"/>
        <v>2.5000000000014495</v>
      </c>
      <c r="V665" s="51"/>
      <c r="W665" s="51"/>
      <c r="X665" s="51"/>
      <c r="Y665" s="51">
        <f t="shared" si="503"/>
        <v>2.5000000000014495</v>
      </c>
      <c r="Z665" s="52"/>
      <c r="AA665" s="53">
        <f t="shared" si="504"/>
        <v>193.25999999999951</v>
      </c>
      <c r="AB665" s="54"/>
      <c r="AC665" s="54"/>
      <c r="AD665" s="54"/>
      <c r="AE665" s="54">
        <f t="shared" si="505"/>
        <v>193.25999999999951</v>
      </c>
      <c r="AF665" s="53"/>
      <c r="AG665" s="53">
        <f t="shared" si="474"/>
        <v>61.459999999999923</v>
      </c>
      <c r="AH665" s="54"/>
      <c r="AI665" s="54"/>
      <c r="AJ665" s="54"/>
      <c r="AK665" s="54">
        <f t="shared" si="506"/>
        <v>61.459999999999923</v>
      </c>
      <c r="AL665" s="53"/>
      <c r="AM665" s="53">
        <f t="shared" si="486"/>
        <v>0</v>
      </c>
      <c r="AN665" s="54"/>
      <c r="AO665" s="54"/>
      <c r="AP665" s="54"/>
      <c r="AQ665" s="54">
        <f t="shared" si="487"/>
        <v>0</v>
      </c>
      <c r="AR665" s="53"/>
      <c r="AS665" s="50">
        <f t="shared" si="508"/>
        <v>-3500397.2600000002</v>
      </c>
      <c r="AT665" s="73">
        <f t="shared" si="517"/>
        <v>140903.25</v>
      </c>
      <c r="AU665" s="50">
        <f t="shared" si="478"/>
        <v>0</v>
      </c>
      <c r="AV665" s="50">
        <f t="shared" si="518"/>
        <v>-642261.01</v>
      </c>
      <c r="AW665" s="50"/>
      <c r="AX665" s="50">
        <f t="shared" si="491"/>
        <v>-4001755.02</v>
      </c>
      <c r="AY665" s="50">
        <f t="shared" si="492"/>
        <v>9300000</v>
      </c>
      <c r="AZ665" s="50">
        <f t="shared" si="493"/>
        <v>5298244.9800000004</v>
      </c>
      <c r="BA665" s="15"/>
      <c r="BB665" s="15"/>
    </row>
    <row r="666" spans="2:54" s="58" customFormat="1" ht="14.25" customHeight="1" x14ac:dyDescent="0.3">
      <c r="B666" s="99">
        <f t="shared" ref="B666" si="526">B665+3</f>
        <v>45096</v>
      </c>
      <c r="C666" s="44">
        <f t="shared" si="497"/>
        <v>73247.120000000068</v>
      </c>
      <c r="D666" s="45">
        <v>553970.1</v>
      </c>
      <c r="E666" s="45">
        <v>-500000</v>
      </c>
      <c r="F666" s="45">
        <f>-500-500</f>
        <v>-1000</v>
      </c>
      <c r="G666" s="45">
        <f t="shared" si="524"/>
        <v>126217.22000000009</v>
      </c>
      <c r="H666" s="44">
        <v>4300000</v>
      </c>
      <c r="I666" s="46">
        <f t="shared" si="498"/>
        <v>-4077109.84</v>
      </c>
      <c r="J666" s="47">
        <v>383.46</v>
      </c>
      <c r="K666" s="47">
        <v>500000</v>
      </c>
      <c r="L666" s="47">
        <v>-69568.42</v>
      </c>
      <c r="M666" s="47">
        <f t="shared" si="499"/>
        <v>-3646294.8</v>
      </c>
      <c r="N666" s="46">
        <v>5000000</v>
      </c>
      <c r="O666" s="48">
        <f t="shared" si="500"/>
        <v>1850.4800000000037</v>
      </c>
      <c r="P666" s="55"/>
      <c r="Q666" s="55"/>
      <c r="R666" s="55">
        <v>-500</v>
      </c>
      <c r="S666" s="55">
        <f t="shared" si="501"/>
        <v>1350.4800000000037</v>
      </c>
      <c r="T666" s="48"/>
      <c r="U666" s="49">
        <f t="shared" si="502"/>
        <v>2.5000000000014495</v>
      </c>
      <c r="V666" s="51"/>
      <c r="W666" s="51"/>
      <c r="X666" s="51"/>
      <c r="Y666" s="51">
        <f t="shared" si="503"/>
        <v>2.5000000000014495</v>
      </c>
      <c r="Z666" s="52"/>
      <c r="AA666" s="53">
        <f t="shared" si="504"/>
        <v>193.25999999999951</v>
      </c>
      <c r="AB666" s="54"/>
      <c r="AC666" s="54"/>
      <c r="AD666" s="54"/>
      <c r="AE666" s="54">
        <f t="shared" si="505"/>
        <v>193.25999999999951</v>
      </c>
      <c r="AF666" s="53"/>
      <c r="AG666" s="53">
        <f t="shared" si="474"/>
        <v>61.459999999999923</v>
      </c>
      <c r="AH666" s="54"/>
      <c r="AI666" s="54"/>
      <c r="AJ666" s="54"/>
      <c r="AK666" s="54">
        <f t="shared" si="506"/>
        <v>61.459999999999923</v>
      </c>
      <c r="AL666" s="53"/>
      <c r="AM666" s="53">
        <f t="shared" si="486"/>
        <v>0</v>
      </c>
      <c r="AN666" s="54"/>
      <c r="AO666" s="54"/>
      <c r="AP666" s="54"/>
      <c r="AQ666" s="54">
        <f t="shared" si="487"/>
        <v>0</v>
      </c>
      <c r="AR666" s="53"/>
      <c r="AS666" s="50">
        <f t="shared" si="508"/>
        <v>-4001755.02</v>
      </c>
      <c r="AT666" s="73">
        <f t="shared" si="517"/>
        <v>554353.55999999994</v>
      </c>
      <c r="AU666" s="50">
        <f>SUM(E666,K666,Q666,W666,AC666,AI666)</f>
        <v>0</v>
      </c>
      <c r="AV666" s="50">
        <f t="shared" si="518"/>
        <v>-71068.42</v>
      </c>
      <c r="AW666" s="50"/>
      <c r="AX666" s="50">
        <f t="shared" si="491"/>
        <v>-3518469.88</v>
      </c>
      <c r="AY666" s="50">
        <f t="shared" si="492"/>
        <v>9300000</v>
      </c>
      <c r="AZ666" s="50">
        <f t="shared" si="493"/>
        <v>5781530.1200000001</v>
      </c>
      <c r="BA666" s="15"/>
      <c r="BB666" s="15"/>
    </row>
    <row r="667" spans="2:54" s="58" customFormat="1" ht="14.25" customHeight="1" x14ac:dyDescent="0.3">
      <c r="B667" s="99">
        <f t="shared" ref="B667" si="527">B666+1</f>
        <v>45097</v>
      </c>
      <c r="C667" s="44">
        <f t="shared" si="497"/>
        <v>126217.22000000009</v>
      </c>
      <c r="D667" s="45">
        <v>203586.9</v>
      </c>
      <c r="E667" s="45">
        <v>-30000</v>
      </c>
      <c r="F667" s="45">
        <f>-8400-348.6</f>
        <v>-8748.6</v>
      </c>
      <c r="G667" s="45">
        <f t="shared" si="524"/>
        <v>291055.52000000014</v>
      </c>
      <c r="H667" s="44">
        <v>4300000</v>
      </c>
      <c r="I667" s="46">
        <f t="shared" si="498"/>
        <v>-3646294.8</v>
      </c>
      <c r="J667" s="47"/>
      <c r="K667" s="47">
        <v>30000</v>
      </c>
      <c r="L667" s="47">
        <v>-56173.1</v>
      </c>
      <c r="M667" s="47">
        <f t="shared" si="499"/>
        <v>-3672467.9</v>
      </c>
      <c r="N667" s="46">
        <v>5000000</v>
      </c>
      <c r="O667" s="48">
        <f t="shared" si="500"/>
        <v>1350.4800000000037</v>
      </c>
      <c r="P667" s="55"/>
      <c r="Q667" s="55"/>
      <c r="R667" s="55"/>
      <c r="S667" s="55">
        <f t="shared" si="501"/>
        <v>1350.4800000000037</v>
      </c>
      <c r="T667" s="48"/>
      <c r="U667" s="49">
        <f t="shared" si="502"/>
        <v>2.5000000000014495</v>
      </c>
      <c r="V667" s="51"/>
      <c r="W667" s="51"/>
      <c r="X667" s="51"/>
      <c r="Y667" s="51">
        <f t="shared" si="503"/>
        <v>2.5000000000014495</v>
      </c>
      <c r="Z667" s="52"/>
      <c r="AA667" s="53">
        <f t="shared" si="504"/>
        <v>193.25999999999951</v>
      </c>
      <c r="AB667" s="54"/>
      <c r="AC667" s="54"/>
      <c r="AD667" s="54"/>
      <c r="AE667" s="54">
        <f t="shared" si="505"/>
        <v>193.25999999999951</v>
      </c>
      <c r="AF667" s="53"/>
      <c r="AG667" s="53">
        <f t="shared" si="474"/>
        <v>61.459999999999923</v>
      </c>
      <c r="AH667" s="54"/>
      <c r="AI667" s="54"/>
      <c r="AJ667" s="54"/>
      <c r="AK667" s="54">
        <f t="shared" si="506"/>
        <v>61.459999999999923</v>
      </c>
      <c r="AL667" s="53"/>
      <c r="AM667" s="53">
        <f t="shared" si="486"/>
        <v>0</v>
      </c>
      <c r="AN667" s="54"/>
      <c r="AO667" s="54"/>
      <c r="AP667" s="54"/>
      <c r="AQ667" s="54">
        <f t="shared" si="487"/>
        <v>0</v>
      </c>
      <c r="AR667" s="53"/>
      <c r="AS667" s="50">
        <f t="shared" si="508"/>
        <v>-3518469.88</v>
      </c>
      <c r="AT667" s="73">
        <f t="shared" si="517"/>
        <v>203586.9</v>
      </c>
      <c r="AU667" s="50">
        <f>SUM(E667,K667,Q667,W667,AC667,AI667)</f>
        <v>0</v>
      </c>
      <c r="AV667" s="50">
        <f t="shared" si="518"/>
        <v>-64921.7</v>
      </c>
      <c r="AW667" s="50"/>
      <c r="AX667" s="50">
        <f t="shared" si="491"/>
        <v>-3379804.68</v>
      </c>
      <c r="AY667" s="50">
        <f t="shared" si="492"/>
        <v>9300000</v>
      </c>
      <c r="AZ667" s="50">
        <f t="shared" si="493"/>
        <v>5920195.3200000003</v>
      </c>
      <c r="BA667" s="15"/>
      <c r="BB667" s="15"/>
    </row>
    <row r="668" spans="2:54" s="58" customFormat="1" ht="14.25" customHeight="1" x14ac:dyDescent="0.3">
      <c r="B668" s="99">
        <f t="shared" si="525"/>
        <v>45098</v>
      </c>
      <c r="C668" s="44">
        <f t="shared" si="497"/>
        <v>291055.52000000014</v>
      </c>
      <c r="D668" s="45">
        <f>522523.85-240719.69</f>
        <v>281804.15999999997</v>
      </c>
      <c r="E668" s="45">
        <v>-522000</v>
      </c>
      <c r="F668" s="45">
        <f>-25000</f>
        <v>-25000</v>
      </c>
      <c r="G668" s="45">
        <f t="shared" si="524"/>
        <v>25859.680000000168</v>
      </c>
      <c r="H668" s="44">
        <v>4300000</v>
      </c>
      <c r="I668" s="46">
        <f t="shared" si="498"/>
        <v>-3672467.9</v>
      </c>
      <c r="J668" s="47">
        <f>203086.61+9291.15</f>
        <v>212377.75999999998</v>
      </c>
      <c r="K668" s="47">
        <v>522000</v>
      </c>
      <c r="L668" s="47">
        <f>-12705.54-36268.25</f>
        <v>-48973.79</v>
      </c>
      <c r="M668" s="47">
        <f t="shared" si="499"/>
        <v>-2987063.93</v>
      </c>
      <c r="N668" s="46">
        <v>5000000</v>
      </c>
      <c r="O668" s="48">
        <f t="shared" si="500"/>
        <v>1350.4800000000037</v>
      </c>
      <c r="P668" s="55"/>
      <c r="Q668" s="55"/>
      <c r="R668" s="55">
        <f>-907.24</f>
        <v>-907.24</v>
      </c>
      <c r="S668" s="55">
        <f t="shared" si="501"/>
        <v>443.24000000000365</v>
      </c>
      <c r="T668" s="48"/>
      <c r="U668" s="49">
        <f t="shared" si="502"/>
        <v>2.5000000000014495</v>
      </c>
      <c r="V668" s="51"/>
      <c r="W668" s="51"/>
      <c r="X668" s="51"/>
      <c r="Y668" s="51">
        <f t="shared" si="503"/>
        <v>2.5000000000014495</v>
      </c>
      <c r="Z668" s="52"/>
      <c r="AA668" s="53">
        <f t="shared" si="504"/>
        <v>193.25999999999951</v>
      </c>
      <c r="AB668" s="54"/>
      <c r="AC668" s="54"/>
      <c r="AD668" s="54"/>
      <c r="AE668" s="54">
        <f t="shared" si="505"/>
        <v>193.25999999999951</v>
      </c>
      <c r="AF668" s="53"/>
      <c r="AG668" s="53">
        <f t="shared" si="474"/>
        <v>61.459999999999923</v>
      </c>
      <c r="AH668" s="54"/>
      <c r="AI668" s="54"/>
      <c r="AJ668" s="54"/>
      <c r="AK668" s="54">
        <f t="shared" si="506"/>
        <v>61.459999999999923</v>
      </c>
      <c r="AL668" s="53"/>
      <c r="AM668" s="53">
        <f t="shared" si="486"/>
        <v>0</v>
      </c>
      <c r="AN668" s="54"/>
      <c r="AO668" s="54"/>
      <c r="AP668" s="54"/>
      <c r="AQ668" s="54">
        <f t="shared" si="487"/>
        <v>0</v>
      </c>
      <c r="AR668" s="53"/>
      <c r="AS668" s="50">
        <f t="shared" si="508"/>
        <v>-3379804.68</v>
      </c>
      <c r="AT668" s="73">
        <f t="shared" si="517"/>
        <v>494181.91999999993</v>
      </c>
      <c r="AU668" s="50">
        <f>SUM(E668,K668,Q668,W668,AC668,AI668)</f>
        <v>0</v>
      </c>
      <c r="AV668" s="50">
        <f t="shared" si="518"/>
        <v>-74881.030000000013</v>
      </c>
      <c r="AW668" s="50"/>
      <c r="AX668" s="50">
        <f t="shared" si="491"/>
        <v>-2960503.79</v>
      </c>
      <c r="AY668" s="50">
        <f t="shared" si="492"/>
        <v>9300000</v>
      </c>
      <c r="AZ668" s="50">
        <f t="shared" si="493"/>
        <v>6339496.21</v>
      </c>
      <c r="BA668" s="15"/>
      <c r="BB668" s="15"/>
    </row>
    <row r="669" spans="2:54" s="58" customFormat="1" ht="14.25" customHeight="1" x14ac:dyDescent="0.3">
      <c r="B669" s="99">
        <f t="shared" si="525"/>
        <v>45099</v>
      </c>
      <c r="C669" s="44">
        <f t="shared" si="497"/>
        <v>25859.680000000168</v>
      </c>
      <c r="D669" s="45"/>
      <c r="E669" s="45"/>
      <c r="F669" s="45">
        <v>-1709.43</v>
      </c>
      <c r="G669" s="45">
        <f t="shared" si="524"/>
        <v>24150.250000000167</v>
      </c>
      <c r="H669" s="44">
        <v>4300000</v>
      </c>
      <c r="I669" s="46">
        <f t="shared" si="498"/>
        <v>-2987063.93</v>
      </c>
      <c r="J669" s="47">
        <v>1296212.1200000001</v>
      </c>
      <c r="K669" s="47">
        <v>2300000</v>
      </c>
      <c r="L669" s="47">
        <v>-136337.5</v>
      </c>
      <c r="M669" s="47">
        <f t="shared" si="499"/>
        <v>472810.68999999994</v>
      </c>
      <c r="N669" s="46">
        <v>5000000</v>
      </c>
      <c r="O669" s="48">
        <f t="shared" si="500"/>
        <v>443.24000000000365</v>
      </c>
      <c r="P669" s="55">
        <f>34585.16+4419.06</f>
        <v>39004.22</v>
      </c>
      <c r="Q669" s="55"/>
      <c r="R669" s="55"/>
      <c r="S669" s="55">
        <f t="shared" si="501"/>
        <v>39447.460000000006</v>
      </c>
      <c r="T669" s="48"/>
      <c r="U669" s="49">
        <f t="shared" si="502"/>
        <v>2.5000000000014495</v>
      </c>
      <c r="V669" s="51"/>
      <c r="W669" s="51"/>
      <c r="X669" s="51"/>
      <c r="Y669" s="51">
        <f t="shared" si="503"/>
        <v>2.5000000000014495</v>
      </c>
      <c r="Z669" s="52"/>
      <c r="AA669" s="53">
        <f t="shared" si="504"/>
        <v>193.25999999999951</v>
      </c>
      <c r="AB669" s="54">
        <v>2309679.33</v>
      </c>
      <c r="AC669" s="54">
        <v>-2300000</v>
      </c>
      <c r="AD669" s="54">
        <v>-380</v>
      </c>
      <c r="AE669" s="54">
        <f t="shared" si="505"/>
        <v>9492.589999999851</v>
      </c>
      <c r="AF669" s="53"/>
      <c r="AG669" s="53">
        <f t="shared" si="474"/>
        <v>61.459999999999923</v>
      </c>
      <c r="AH669" s="54"/>
      <c r="AI669" s="54"/>
      <c r="AJ669" s="54"/>
      <c r="AK669" s="54">
        <f t="shared" si="506"/>
        <v>61.459999999999923</v>
      </c>
      <c r="AL669" s="53"/>
      <c r="AM669" s="53">
        <f t="shared" si="486"/>
        <v>0</v>
      </c>
      <c r="AN669" s="54"/>
      <c r="AO669" s="54"/>
      <c r="AP669" s="54"/>
      <c r="AQ669" s="54">
        <f t="shared" si="487"/>
        <v>0</v>
      </c>
      <c r="AR669" s="53"/>
      <c r="AS669" s="50">
        <f t="shared" si="508"/>
        <v>-2960503.79</v>
      </c>
      <c r="AT669" s="73">
        <f t="shared" si="517"/>
        <v>3644895.67</v>
      </c>
      <c r="AU669" s="50">
        <f>SUM(E669,K669,Q669,W669,AC669,AI669)</f>
        <v>0</v>
      </c>
      <c r="AV669" s="50">
        <f t="shared" si="518"/>
        <v>-138426.93</v>
      </c>
      <c r="AW669" s="50"/>
      <c r="AX669" s="50">
        <f t="shared" si="491"/>
        <v>545964.94999999995</v>
      </c>
      <c r="AY669" s="50">
        <f t="shared" si="492"/>
        <v>9300000</v>
      </c>
      <c r="AZ669" s="50">
        <f t="shared" si="493"/>
        <v>9845964.9499999993</v>
      </c>
      <c r="BA669" s="15"/>
      <c r="BB669" s="15"/>
    </row>
    <row r="670" spans="2:54" s="58" customFormat="1" ht="14.25" customHeight="1" x14ac:dyDescent="0.3">
      <c r="B670" s="99">
        <f t="shared" si="525"/>
        <v>45100</v>
      </c>
      <c r="C670" s="44">
        <f t="shared" si="497"/>
        <v>24150.250000000167</v>
      </c>
      <c r="D670" s="45">
        <v>325903.32</v>
      </c>
      <c r="E670" s="45">
        <v>-350000</v>
      </c>
      <c r="F670" s="45">
        <v>-3.05</v>
      </c>
      <c r="G670" s="45">
        <f t="shared" si="524"/>
        <v>50.520000000181611</v>
      </c>
      <c r="H670" s="44">
        <v>4300000</v>
      </c>
      <c r="I670" s="46">
        <f t="shared" si="498"/>
        <v>472810.68999999994</v>
      </c>
      <c r="J670" s="47"/>
      <c r="K670" s="47">
        <f>350000+560000</f>
        <v>910000</v>
      </c>
      <c r="L670" s="47">
        <v>-10638.33</v>
      </c>
      <c r="M670" s="47">
        <f t="shared" si="499"/>
        <v>1372172.3599999999</v>
      </c>
      <c r="N670" s="46">
        <v>5000000</v>
      </c>
      <c r="O670" s="48">
        <f t="shared" si="500"/>
        <v>39447.460000000006</v>
      </c>
      <c r="P670" s="55">
        <v>185.75</v>
      </c>
      <c r="Q670" s="55">
        <f>560000-560000</f>
        <v>0</v>
      </c>
      <c r="R670" s="55"/>
      <c r="S670" s="55">
        <f t="shared" si="501"/>
        <v>39633.210000000006</v>
      </c>
      <c r="T670" s="48"/>
      <c r="U670" s="49">
        <f t="shared" si="502"/>
        <v>2.5000000000014495</v>
      </c>
      <c r="V670" s="51">
        <v>574099.9</v>
      </c>
      <c r="W670" s="51">
        <v>-560000</v>
      </c>
      <c r="X670" s="51"/>
      <c r="Y670" s="51">
        <f t="shared" si="503"/>
        <v>14102.400000000023</v>
      </c>
      <c r="Z670" s="52"/>
      <c r="AA670" s="53">
        <f t="shared" si="504"/>
        <v>9492.589999999851</v>
      </c>
      <c r="AB670" s="54"/>
      <c r="AC670" s="54"/>
      <c r="AD670" s="54"/>
      <c r="AE670" s="54">
        <f t="shared" si="505"/>
        <v>9492.589999999851</v>
      </c>
      <c r="AF670" s="53"/>
      <c r="AG670" s="53">
        <f t="shared" si="474"/>
        <v>61.459999999999923</v>
      </c>
      <c r="AH670" s="54"/>
      <c r="AI670" s="54"/>
      <c r="AJ670" s="54"/>
      <c r="AK670" s="54">
        <f t="shared" si="506"/>
        <v>61.459999999999923</v>
      </c>
      <c r="AL670" s="53"/>
      <c r="AM670" s="53">
        <f t="shared" si="486"/>
        <v>0</v>
      </c>
      <c r="AN670" s="54"/>
      <c r="AO670" s="54"/>
      <c r="AP670" s="54"/>
      <c r="AQ670" s="54">
        <f t="shared" si="487"/>
        <v>0</v>
      </c>
      <c r="AR670" s="53"/>
      <c r="AS670" s="50">
        <f t="shared" si="508"/>
        <v>545964.94999999995</v>
      </c>
      <c r="AT670" s="73">
        <f t="shared" si="517"/>
        <v>900188.97</v>
      </c>
      <c r="AU670" s="50">
        <f t="shared" si="478"/>
        <v>0</v>
      </c>
      <c r="AV670" s="50">
        <f t="shared" si="518"/>
        <v>-10641.38</v>
      </c>
      <c r="AW670" s="50"/>
      <c r="AX670" s="50">
        <f t="shared" si="491"/>
        <v>1435512.54</v>
      </c>
      <c r="AY670" s="50">
        <f t="shared" si="492"/>
        <v>9300000</v>
      </c>
      <c r="AZ670" s="50">
        <f t="shared" si="493"/>
        <v>10735512.539999999</v>
      </c>
      <c r="BA670" s="15"/>
      <c r="BB670" s="15"/>
    </row>
    <row r="671" spans="2:54" s="58" customFormat="1" ht="14.25" customHeight="1" x14ac:dyDescent="0.3">
      <c r="B671" s="99">
        <f t="shared" ref="B671" si="528">B670+3</f>
        <v>45103</v>
      </c>
      <c r="C671" s="44">
        <f t="shared" si="497"/>
        <v>50.520000000181611</v>
      </c>
      <c r="D671" s="45">
        <f>71615.99+49899.29-10540.54</f>
        <v>110974.73999999999</v>
      </c>
      <c r="E671" s="45">
        <v>50000</v>
      </c>
      <c r="F671" s="45">
        <v>-160860.71</v>
      </c>
      <c r="G671" s="45">
        <f t="shared" si="524"/>
        <v>164.55000000019209</v>
      </c>
      <c r="H671" s="44">
        <v>4300000</v>
      </c>
      <c r="I671" s="46">
        <f t="shared" si="498"/>
        <v>1372172.3599999999</v>
      </c>
      <c r="J671" s="47"/>
      <c r="K671" s="47"/>
      <c r="L671" s="47">
        <f>-266388.26+0.19</f>
        <v>-266388.07</v>
      </c>
      <c r="M671" s="47">
        <f t="shared" si="499"/>
        <v>1105784.2899999998</v>
      </c>
      <c r="N671" s="46">
        <v>5000000</v>
      </c>
      <c r="O671" s="48">
        <f t="shared" si="500"/>
        <v>39633.210000000006</v>
      </c>
      <c r="P671" s="55">
        <v>1549.54</v>
      </c>
      <c r="Q671" s="55"/>
      <c r="R671" s="55">
        <v>-233</v>
      </c>
      <c r="S671" s="55">
        <f t="shared" si="501"/>
        <v>40949.750000000007</v>
      </c>
      <c r="T671" s="48"/>
      <c r="U671" s="49">
        <f t="shared" si="502"/>
        <v>14102.400000000023</v>
      </c>
      <c r="V671" s="51">
        <v>38289.75</v>
      </c>
      <c r="W671" s="51">
        <v>-50000</v>
      </c>
      <c r="X671" s="51">
        <v>-10</v>
      </c>
      <c r="Y671" s="51">
        <f t="shared" si="503"/>
        <v>2382.1500000000233</v>
      </c>
      <c r="Z671" s="52"/>
      <c r="AA671" s="53">
        <f t="shared" si="504"/>
        <v>9492.589999999851</v>
      </c>
      <c r="AB671" s="54"/>
      <c r="AC671" s="54"/>
      <c r="AD671" s="54"/>
      <c r="AE671" s="54">
        <f t="shared" si="505"/>
        <v>9492.589999999851</v>
      </c>
      <c r="AF671" s="53"/>
      <c r="AG671" s="53">
        <f t="shared" si="474"/>
        <v>61.459999999999923</v>
      </c>
      <c r="AH671" s="54">
        <v>37151.93</v>
      </c>
      <c r="AI671" s="54"/>
      <c r="AJ671" s="54"/>
      <c r="AK671" s="54">
        <f t="shared" si="506"/>
        <v>37213.39</v>
      </c>
      <c r="AL671" s="53"/>
      <c r="AM671" s="53">
        <f t="shared" si="486"/>
        <v>0</v>
      </c>
      <c r="AN671" s="54"/>
      <c r="AO671" s="54"/>
      <c r="AP671" s="54"/>
      <c r="AQ671" s="54">
        <f t="shared" si="487"/>
        <v>0</v>
      </c>
      <c r="AR671" s="53"/>
      <c r="AS671" s="50">
        <f t="shared" si="508"/>
        <v>1435512.54</v>
      </c>
      <c r="AT671" s="73">
        <f t="shared" si="517"/>
        <v>187965.95999999996</v>
      </c>
      <c r="AU671" s="50">
        <f t="shared" si="478"/>
        <v>0</v>
      </c>
      <c r="AV671" s="50">
        <f t="shared" si="518"/>
        <v>-427491.78</v>
      </c>
      <c r="AW671" s="50"/>
      <c r="AX671" s="50">
        <f t="shared" si="491"/>
        <v>1195986.72</v>
      </c>
      <c r="AY671" s="50">
        <f t="shared" si="492"/>
        <v>9300000</v>
      </c>
      <c r="AZ671" s="50">
        <f t="shared" si="493"/>
        <v>10495986.720000001</v>
      </c>
      <c r="BA671" s="15"/>
      <c r="BB671" s="15"/>
    </row>
    <row r="672" spans="2:54" s="58" customFormat="1" ht="14.25" customHeight="1" x14ac:dyDescent="0.3">
      <c r="B672" s="99">
        <f t="shared" ref="B672" si="529">B671+1</f>
        <v>45104</v>
      </c>
      <c r="C672" s="44">
        <f t="shared" si="497"/>
        <v>164.55000000019209</v>
      </c>
      <c r="D672" s="45"/>
      <c r="E672" s="45"/>
      <c r="F672" s="45">
        <v>-1</v>
      </c>
      <c r="G672" s="45">
        <f t="shared" si="524"/>
        <v>163.55000000019209</v>
      </c>
      <c r="H672" s="44">
        <v>4300000</v>
      </c>
      <c r="I672" s="46">
        <f t="shared" si="498"/>
        <v>1105784.2899999998</v>
      </c>
      <c r="J672" s="47"/>
      <c r="K672" s="47"/>
      <c r="L672" s="47">
        <v>-3987.35</v>
      </c>
      <c r="M672" s="47">
        <f t="shared" si="499"/>
        <v>1101796.9399999997</v>
      </c>
      <c r="N672" s="46">
        <v>5000000</v>
      </c>
      <c r="O672" s="48">
        <f t="shared" si="500"/>
        <v>40949.750000000007</v>
      </c>
      <c r="P672" s="55"/>
      <c r="Q672" s="55"/>
      <c r="R672" s="55">
        <v>-5735.94</v>
      </c>
      <c r="S672" s="55">
        <f t="shared" si="501"/>
        <v>35213.810000000005</v>
      </c>
      <c r="T672" s="48"/>
      <c r="U672" s="49">
        <f t="shared" si="502"/>
        <v>2382.1500000000233</v>
      </c>
      <c r="V672" s="51"/>
      <c r="W672" s="51"/>
      <c r="X672" s="51"/>
      <c r="Y672" s="51">
        <f t="shared" si="503"/>
        <v>2382.1500000000233</v>
      </c>
      <c r="Z672" s="52"/>
      <c r="AA672" s="53">
        <f t="shared" si="504"/>
        <v>9492.589999999851</v>
      </c>
      <c r="AB672" s="54"/>
      <c r="AC672" s="54"/>
      <c r="AD672" s="54"/>
      <c r="AE672" s="54">
        <f t="shared" si="505"/>
        <v>9492.589999999851</v>
      </c>
      <c r="AF672" s="53"/>
      <c r="AG672" s="53">
        <f t="shared" si="474"/>
        <v>37213.39</v>
      </c>
      <c r="AH672" s="54"/>
      <c r="AI672" s="54"/>
      <c r="AJ672" s="54"/>
      <c r="AK672" s="54">
        <f t="shared" si="506"/>
        <v>37213.39</v>
      </c>
      <c r="AL672" s="53"/>
      <c r="AM672" s="53">
        <f t="shared" si="486"/>
        <v>0</v>
      </c>
      <c r="AN672" s="54"/>
      <c r="AO672" s="54"/>
      <c r="AP672" s="54"/>
      <c r="AQ672" s="54">
        <f t="shared" si="487"/>
        <v>0</v>
      </c>
      <c r="AR672" s="53"/>
      <c r="AS672" s="50">
        <f t="shared" si="508"/>
        <v>1195986.72</v>
      </c>
      <c r="AT672" s="73">
        <f t="shared" si="517"/>
        <v>0</v>
      </c>
      <c r="AU672" s="50">
        <f t="shared" si="478"/>
        <v>0</v>
      </c>
      <c r="AV672" s="50">
        <f t="shared" si="518"/>
        <v>-9724.2899999999991</v>
      </c>
      <c r="AW672" s="50"/>
      <c r="AX672" s="50">
        <f t="shared" si="491"/>
        <v>1186262.43</v>
      </c>
      <c r="AY672" s="50">
        <f t="shared" si="492"/>
        <v>9300000</v>
      </c>
      <c r="AZ672" s="50">
        <f t="shared" si="493"/>
        <v>10486262.43</v>
      </c>
      <c r="BA672" s="15"/>
      <c r="BB672" s="15"/>
    </row>
    <row r="673" spans="2:55" s="58" customFormat="1" ht="14.25" customHeight="1" x14ac:dyDescent="0.3">
      <c r="B673" s="99">
        <f t="shared" si="525"/>
        <v>45105</v>
      </c>
      <c r="C673" s="44">
        <f t="shared" si="497"/>
        <v>163.55000000019209</v>
      </c>
      <c r="D673" s="45">
        <v>173986.04</v>
      </c>
      <c r="E673" s="45"/>
      <c r="F673" s="45">
        <v>-1634.54</v>
      </c>
      <c r="G673" s="45">
        <f t="shared" si="524"/>
        <v>172515.05000000019</v>
      </c>
      <c r="H673" s="44">
        <v>4300000</v>
      </c>
      <c r="I673" s="46">
        <f t="shared" si="498"/>
        <v>1101796.9399999997</v>
      </c>
      <c r="J673" s="47">
        <v>131214.29999999999</v>
      </c>
      <c r="K673" s="47">
        <f>325000</f>
        <v>325000</v>
      </c>
      <c r="L673" s="47">
        <f>-318499.46+4.84</f>
        <v>-318494.62</v>
      </c>
      <c r="M673" s="47">
        <f t="shared" si="499"/>
        <v>1239516.6199999996</v>
      </c>
      <c r="N673" s="46">
        <v>5000000</v>
      </c>
      <c r="O673" s="48">
        <f t="shared" si="500"/>
        <v>35213.810000000005</v>
      </c>
      <c r="P673" s="55"/>
      <c r="Q673" s="55">
        <f>-325000+317000</f>
        <v>-8000</v>
      </c>
      <c r="R673" s="55">
        <v>-10</v>
      </c>
      <c r="S673" s="55">
        <f t="shared" si="501"/>
        <v>27203.810000000005</v>
      </c>
      <c r="T673" s="48"/>
      <c r="U673" s="49">
        <f t="shared" si="502"/>
        <v>2382.1500000000233</v>
      </c>
      <c r="V673" s="51">
        <v>316905.17</v>
      </c>
      <c r="W673" s="51">
        <f>-317000</f>
        <v>-317000</v>
      </c>
      <c r="X673" s="51">
        <v>-1.4</v>
      </c>
      <c r="Y673" s="51">
        <f t="shared" si="503"/>
        <v>2285.9200000000069</v>
      </c>
      <c r="Z673" s="52"/>
      <c r="AA673" s="53">
        <f t="shared" si="504"/>
        <v>9492.589999999851</v>
      </c>
      <c r="AB673" s="54"/>
      <c r="AC673" s="54"/>
      <c r="AD673" s="54"/>
      <c r="AE673" s="54">
        <f t="shared" si="505"/>
        <v>9492.589999999851</v>
      </c>
      <c r="AF673" s="53"/>
      <c r="AG673" s="53">
        <f t="shared" si="474"/>
        <v>37213.39</v>
      </c>
      <c r="AH673" s="54"/>
      <c r="AI673" s="54"/>
      <c r="AJ673" s="54"/>
      <c r="AK673" s="54">
        <f t="shared" si="506"/>
        <v>37213.39</v>
      </c>
      <c r="AL673" s="53"/>
      <c r="AM673" s="53">
        <f t="shared" si="486"/>
        <v>0</v>
      </c>
      <c r="AN673" s="54"/>
      <c r="AO673" s="54"/>
      <c r="AP673" s="54"/>
      <c r="AQ673" s="54">
        <f t="shared" si="487"/>
        <v>0</v>
      </c>
      <c r="AR673" s="53"/>
      <c r="AS673" s="50">
        <f t="shared" si="508"/>
        <v>1186262.43</v>
      </c>
      <c r="AT673" s="73">
        <f t="shared" si="517"/>
        <v>622105.51</v>
      </c>
      <c r="AU673" s="50">
        <f t="shared" si="478"/>
        <v>0</v>
      </c>
      <c r="AV673" s="50">
        <f t="shared" si="518"/>
        <v>-320140.56</v>
      </c>
      <c r="AW673" s="50"/>
      <c r="AX673" s="50">
        <f t="shared" si="491"/>
        <v>1488227.3799999997</v>
      </c>
      <c r="AY673" s="50">
        <f t="shared" si="492"/>
        <v>9300000</v>
      </c>
      <c r="AZ673" s="50">
        <f t="shared" si="493"/>
        <v>10788227.379999999</v>
      </c>
      <c r="BA673" s="15"/>
      <c r="BB673" s="15"/>
      <c r="BC673" s="58">
        <f>13600000*1.01</f>
        <v>13736000</v>
      </c>
    </row>
    <row r="674" spans="2:55" s="58" customFormat="1" ht="14.25" customHeight="1" x14ac:dyDescent="0.3">
      <c r="B674" s="99">
        <f t="shared" si="525"/>
        <v>45106</v>
      </c>
      <c r="C674" s="44">
        <f t="shared" si="497"/>
        <v>172515.05000000019</v>
      </c>
      <c r="D674" s="45">
        <f>704517.7-312880.84</f>
        <v>391636.85999999993</v>
      </c>
      <c r="E674" s="45"/>
      <c r="F674" s="45">
        <v>-178793.82</v>
      </c>
      <c r="G674" s="45">
        <f t="shared" si="524"/>
        <v>385358.09000000014</v>
      </c>
      <c r="H674" s="44">
        <v>4300000</v>
      </c>
      <c r="I674" s="46">
        <f t="shared" si="498"/>
        <v>1239516.6199999996</v>
      </c>
      <c r="J674" s="47"/>
      <c r="K674" s="47">
        <v>417000</v>
      </c>
      <c r="L674" s="47">
        <v>-1288845.69</v>
      </c>
      <c r="M674" s="47">
        <f t="shared" si="499"/>
        <v>367670.9299999997</v>
      </c>
      <c r="N674" s="46">
        <v>5000000</v>
      </c>
      <c r="O674" s="48">
        <f t="shared" si="500"/>
        <v>27203.810000000005</v>
      </c>
      <c r="P674" s="55"/>
      <c r="Q674" s="55"/>
      <c r="R674" s="55"/>
      <c r="S674" s="55">
        <f t="shared" si="501"/>
        <v>27203.810000000005</v>
      </c>
      <c r="T674" s="48"/>
      <c r="U674" s="49">
        <f t="shared" si="502"/>
        <v>2285.9200000000069</v>
      </c>
      <c r="V674" s="51"/>
      <c r="W674" s="51"/>
      <c r="X674" s="51">
        <v>-1720.5900000000099</v>
      </c>
      <c r="Y674" s="51">
        <f t="shared" si="503"/>
        <v>565.32999999999697</v>
      </c>
      <c r="Z674" s="52"/>
      <c r="AA674" s="53">
        <f t="shared" si="504"/>
        <v>9492.589999999851</v>
      </c>
      <c r="AB674" s="54"/>
      <c r="AC674" s="54"/>
      <c r="AD674" s="54">
        <v>-8063.12999999985</v>
      </c>
      <c r="AE674" s="54">
        <f t="shared" si="505"/>
        <v>1429.4600000000009</v>
      </c>
      <c r="AF674" s="53"/>
      <c r="AG674" s="53">
        <f t="shared" si="474"/>
        <v>37213.39</v>
      </c>
      <c r="AH674" s="54">
        <f>29070.98+351197.76</f>
        <v>380268.74</v>
      </c>
      <c r="AI674" s="54">
        <v>-417000</v>
      </c>
      <c r="AJ674" s="54">
        <v>-70</v>
      </c>
      <c r="AK674" s="54">
        <f t="shared" si="506"/>
        <v>412.13000000000466</v>
      </c>
      <c r="AL674" s="53"/>
      <c r="AM674" s="53">
        <f t="shared" si="486"/>
        <v>0</v>
      </c>
      <c r="AN674" s="54"/>
      <c r="AO674" s="54"/>
      <c r="AP674" s="54"/>
      <c r="AQ674" s="54">
        <f t="shared" si="487"/>
        <v>0</v>
      </c>
      <c r="AR674" s="53"/>
      <c r="AS674" s="50">
        <f t="shared" si="508"/>
        <v>1488227.3799999997</v>
      </c>
      <c r="AT674" s="73">
        <f t="shared" si="517"/>
        <v>771905.59999999986</v>
      </c>
      <c r="AU674" s="50">
        <f t="shared" si="478"/>
        <v>0</v>
      </c>
      <c r="AV674" s="50">
        <f t="shared" si="518"/>
        <v>-1477493.23</v>
      </c>
      <c r="AW674" s="50"/>
      <c r="AX674" s="50">
        <f t="shared" si="491"/>
        <v>782639.74999999977</v>
      </c>
      <c r="AY674" s="50">
        <f t="shared" si="492"/>
        <v>9300000</v>
      </c>
      <c r="AZ674" s="50">
        <f t="shared" si="493"/>
        <v>10082639.75</v>
      </c>
      <c r="BA674" s="15">
        <f>SUM(AT654:AT674)</f>
        <v>10118677.419999998</v>
      </c>
      <c r="BB674" s="15">
        <f>SUM(AV654:AV674)</f>
        <v>-10332351.760000002</v>
      </c>
      <c r="BC674" s="58">
        <f>SUM(AV654:AV674)</f>
        <v>-10332351.760000002</v>
      </c>
    </row>
    <row r="675" spans="2:55" s="58" customFormat="1" ht="14.25" customHeight="1" x14ac:dyDescent="0.3">
      <c r="B675" s="99">
        <f t="shared" si="525"/>
        <v>45107</v>
      </c>
      <c r="C675" s="44">
        <f t="shared" si="497"/>
        <v>385358.09000000014</v>
      </c>
      <c r="D675" s="45">
        <v>358821.84</v>
      </c>
      <c r="E675" s="45"/>
      <c r="F675" s="45">
        <v>-129628.76</v>
      </c>
      <c r="G675" s="45">
        <f t="shared" si="524"/>
        <v>614551.17000000016</v>
      </c>
      <c r="H675" s="44">
        <v>4300000</v>
      </c>
      <c r="I675" s="46">
        <f t="shared" si="498"/>
        <v>367670.9299999997</v>
      </c>
      <c r="J675" s="47">
        <v>941025.6100000001</v>
      </c>
      <c r="K675" s="47"/>
      <c r="L675" s="47">
        <v>-261767.99</v>
      </c>
      <c r="M675" s="47">
        <f t="shared" si="499"/>
        <v>1046928.5499999998</v>
      </c>
      <c r="N675" s="46">
        <v>5000000</v>
      </c>
      <c r="O675" s="48">
        <f t="shared" si="500"/>
        <v>27203.810000000005</v>
      </c>
      <c r="P675" s="55">
        <v>776881.73</v>
      </c>
      <c r="Q675" s="55"/>
      <c r="R675" s="55">
        <f>-189-1155-21391.74</f>
        <v>-22735.74</v>
      </c>
      <c r="S675" s="55">
        <f t="shared" si="501"/>
        <v>781349.8</v>
      </c>
      <c r="T675" s="48"/>
      <c r="U675" s="49">
        <f t="shared" si="502"/>
        <v>565.32999999999697</v>
      </c>
      <c r="V675" s="51">
        <f>26841.1+53682.2</f>
        <v>80523.299999999988</v>
      </c>
      <c r="W675" s="51"/>
      <c r="X675" s="51"/>
      <c r="Y675" s="51">
        <f t="shared" si="503"/>
        <v>81088.62999999999</v>
      </c>
      <c r="Z675" s="52"/>
      <c r="AA675" s="53">
        <f t="shared" si="504"/>
        <v>1429.4600000000009</v>
      </c>
      <c r="AB675" s="54"/>
      <c r="AC675" s="54"/>
      <c r="AD675" s="54">
        <v>-491.4</v>
      </c>
      <c r="AE675" s="54">
        <f t="shared" si="505"/>
        <v>938.06000000000097</v>
      </c>
      <c r="AF675" s="53"/>
      <c r="AG675" s="53">
        <f t="shared" si="474"/>
        <v>412.13000000000466</v>
      </c>
      <c r="AH675" s="54"/>
      <c r="AI675" s="54"/>
      <c r="AJ675" s="54">
        <v>-9.6</v>
      </c>
      <c r="AK675" s="54">
        <f t="shared" si="506"/>
        <v>402.53000000000463</v>
      </c>
      <c r="AL675" s="53"/>
      <c r="AM675" s="53">
        <f t="shared" si="486"/>
        <v>0</v>
      </c>
      <c r="AN675" s="54"/>
      <c r="AO675" s="54"/>
      <c r="AP675" s="54"/>
      <c r="AQ675" s="54">
        <f t="shared" si="487"/>
        <v>0</v>
      </c>
      <c r="AR675" s="53"/>
      <c r="AS675" s="50">
        <f t="shared" si="508"/>
        <v>782639.74999999977</v>
      </c>
      <c r="AT675" s="73">
        <f t="shared" si="517"/>
        <v>2157252.48</v>
      </c>
      <c r="AU675" s="50">
        <f t="shared" si="478"/>
        <v>0</v>
      </c>
      <c r="AV675" s="50">
        <f t="shared" si="518"/>
        <v>-414633.49</v>
      </c>
      <c r="AW675" s="50"/>
      <c r="AX675" s="50">
        <f t="shared" si="491"/>
        <v>2525258.7399999998</v>
      </c>
      <c r="AY675" s="50">
        <f t="shared" si="492"/>
        <v>9300000</v>
      </c>
      <c r="AZ675" s="50">
        <f t="shared" si="493"/>
        <v>11825258.74</v>
      </c>
      <c r="BA675" s="15"/>
      <c r="BB675" s="15">
        <v>-427000</v>
      </c>
      <c r="BC675" s="58">
        <v>-500000</v>
      </c>
    </row>
    <row r="676" spans="2:55" s="58" customFormat="1" ht="14.25" customHeight="1" x14ac:dyDescent="0.3">
      <c r="B676" s="99">
        <f t="shared" ref="B676" si="530">B675+3</f>
        <v>45110</v>
      </c>
      <c r="C676" s="44">
        <f t="shared" si="497"/>
        <v>614551.17000000016</v>
      </c>
      <c r="D676" s="45">
        <v>203586.9</v>
      </c>
      <c r="E676" s="45"/>
      <c r="F676" s="45">
        <v>-185144.15</v>
      </c>
      <c r="G676" s="45">
        <f t="shared" si="524"/>
        <v>632993.92000000016</v>
      </c>
      <c r="H676" s="44">
        <v>4300000</v>
      </c>
      <c r="I676" s="46">
        <f t="shared" si="498"/>
        <v>1046928.5499999998</v>
      </c>
      <c r="J676" s="47"/>
      <c r="K676" s="47">
        <v>830000</v>
      </c>
      <c r="L676" s="47">
        <v>-94693.19</v>
      </c>
      <c r="M676" s="47">
        <f t="shared" si="499"/>
        <v>1782235.3599999999</v>
      </c>
      <c r="N676" s="46">
        <v>5000000</v>
      </c>
      <c r="O676" s="48">
        <f t="shared" si="500"/>
        <v>781349.8</v>
      </c>
      <c r="P676" s="55">
        <f>143.36+10.18+30557.56+30688.95</f>
        <v>61400.05</v>
      </c>
      <c r="Q676" s="55">
        <v>-830000</v>
      </c>
      <c r="R676" s="55">
        <f>-983.64-722.48-3754-300-10</f>
        <v>-5770.12</v>
      </c>
      <c r="S676" s="55">
        <f t="shared" si="501"/>
        <v>6979.7300000000932</v>
      </c>
      <c r="T676" s="48"/>
      <c r="U676" s="49">
        <f t="shared" si="502"/>
        <v>81088.62999999999</v>
      </c>
      <c r="V676" s="51">
        <v>429845.76000000001</v>
      </c>
      <c r="W676" s="51"/>
      <c r="X676" s="51"/>
      <c r="Y676" s="51">
        <f t="shared" si="503"/>
        <v>510934.39</v>
      </c>
      <c r="Z676" s="52"/>
      <c r="AA676" s="53">
        <f t="shared" si="504"/>
        <v>938.06000000000097</v>
      </c>
      <c r="AB676" s="54"/>
      <c r="AC676" s="54"/>
      <c r="AD676" s="54"/>
      <c r="AE676" s="54">
        <f t="shared" si="505"/>
        <v>938.06000000000097</v>
      </c>
      <c r="AF676" s="53"/>
      <c r="AG676" s="53">
        <f t="shared" si="474"/>
        <v>402.53000000000463</v>
      </c>
      <c r="AH676" s="54"/>
      <c r="AI676" s="54"/>
      <c r="AJ676" s="54"/>
      <c r="AK676" s="54">
        <f t="shared" si="506"/>
        <v>402.53000000000463</v>
      </c>
      <c r="AL676" s="53"/>
      <c r="AM676" s="53">
        <f t="shared" si="486"/>
        <v>0</v>
      </c>
      <c r="AN676" s="54"/>
      <c r="AO676" s="54"/>
      <c r="AP676" s="54"/>
      <c r="AQ676" s="54">
        <f t="shared" si="487"/>
        <v>0</v>
      </c>
      <c r="AR676" s="53"/>
      <c r="AS676" s="50">
        <f t="shared" si="508"/>
        <v>2525258.7399999998</v>
      </c>
      <c r="AT676" s="73">
        <f t="shared" si="517"/>
        <v>694832.71</v>
      </c>
      <c r="AU676" s="50">
        <f t="shared" si="478"/>
        <v>0</v>
      </c>
      <c r="AV676" s="50">
        <f t="shared" si="518"/>
        <v>-285607.45999999996</v>
      </c>
      <c r="AW676" s="50"/>
      <c r="AX676" s="50">
        <f t="shared" si="491"/>
        <v>2934483.99</v>
      </c>
      <c r="AY676" s="50">
        <f t="shared" si="492"/>
        <v>9300000</v>
      </c>
      <c r="AZ676" s="50">
        <f t="shared" si="493"/>
        <v>12234483.99</v>
      </c>
      <c r="BA676" s="15"/>
      <c r="BB676" s="15">
        <f>SUM(BB674:BB675)</f>
        <v>-10759351.760000002</v>
      </c>
      <c r="BC676" s="58">
        <f>SUM(BC674:BC675)</f>
        <v>-10832351.760000002</v>
      </c>
    </row>
    <row r="677" spans="2:55" s="58" customFormat="1" ht="14.25" customHeight="1" x14ac:dyDescent="0.3">
      <c r="B677" s="99">
        <f t="shared" ref="B677" si="531">B676+1</f>
        <v>45111</v>
      </c>
      <c r="C677" s="44">
        <f t="shared" si="497"/>
        <v>632993.92000000016</v>
      </c>
      <c r="D677" s="45">
        <v>549079.4</v>
      </c>
      <c r="E677" s="45">
        <v>-500000</v>
      </c>
      <c r="F677" s="45">
        <v>-8349.86</v>
      </c>
      <c r="G677" s="45">
        <f t="shared" si="524"/>
        <v>673723.46000000031</v>
      </c>
      <c r="H677" s="44">
        <v>4300000</v>
      </c>
      <c r="I677" s="46">
        <f t="shared" si="498"/>
        <v>1782235.3599999999</v>
      </c>
      <c r="J677" s="47"/>
      <c r="K677" s="47">
        <f>510000+500000</f>
        <v>1010000</v>
      </c>
      <c r="L677" s="47">
        <v>-2710669.23</v>
      </c>
      <c r="M677" s="47">
        <f t="shared" si="499"/>
        <v>81566.129999999888</v>
      </c>
      <c r="N677" s="46">
        <v>5000000</v>
      </c>
      <c r="O677" s="48">
        <f t="shared" si="500"/>
        <v>6979.7300000000932</v>
      </c>
      <c r="P677" s="55"/>
      <c r="Q677" s="55">
        <f>510000-510000</f>
        <v>0</v>
      </c>
      <c r="R677" s="55">
        <v>-3963.4</v>
      </c>
      <c r="S677" s="55">
        <f t="shared" si="501"/>
        <v>3016.3300000000932</v>
      </c>
      <c r="T677" s="48"/>
      <c r="U677" s="49">
        <f t="shared" si="502"/>
        <v>510934.39</v>
      </c>
      <c r="V677" s="51"/>
      <c r="W677" s="51">
        <v>-510000</v>
      </c>
      <c r="X677" s="51">
        <v>-63.9</v>
      </c>
      <c r="Y677" s="51">
        <f t="shared" si="503"/>
        <v>870.49000000001399</v>
      </c>
      <c r="Z677" s="52"/>
      <c r="AA677" s="53">
        <f t="shared" si="504"/>
        <v>938.06000000000097</v>
      </c>
      <c r="AB677" s="54"/>
      <c r="AC677" s="54"/>
      <c r="AD677" s="54"/>
      <c r="AE677" s="54">
        <f t="shared" si="505"/>
        <v>938.06000000000097</v>
      </c>
      <c r="AF677" s="53"/>
      <c r="AG677" s="53">
        <f t="shared" si="474"/>
        <v>402.53000000000463</v>
      </c>
      <c r="AH677" s="54"/>
      <c r="AI677" s="54"/>
      <c r="AJ677" s="54"/>
      <c r="AK677" s="54">
        <f t="shared" si="506"/>
        <v>402.53000000000463</v>
      </c>
      <c r="AL677" s="53"/>
      <c r="AM677" s="53">
        <f t="shared" si="486"/>
        <v>0</v>
      </c>
      <c r="AN677" s="54"/>
      <c r="AO677" s="54"/>
      <c r="AP677" s="54"/>
      <c r="AQ677" s="54">
        <f t="shared" si="487"/>
        <v>0</v>
      </c>
      <c r="AR677" s="53"/>
      <c r="AS677" s="50">
        <f t="shared" si="508"/>
        <v>2934483.99</v>
      </c>
      <c r="AT677" s="73">
        <f t="shared" si="517"/>
        <v>549079.4</v>
      </c>
      <c r="AU677" s="50">
        <f t="shared" si="478"/>
        <v>0</v>
      </c>
      <c r="AV677" s="50">
        <f t="shared" si="518"/>
        <v>-2723046.3899999997</v>
      </c>
      <c r="AW677" s="50"/>
      <c r="AX677" s="50">
        <f t="shared" si="491"/>
        <v>760517.00000000035</v>
      </c>
      <c r="AY677" s="50">
        <f t="shared" si="492"/>
        <v>9300000</v>
      </c>
      <c r="AZ677" s="50">
        <f t="shared" si="493"/>
        <v>10060517</v>
      </c>
      <c r="BA677" s="15"/>
      <c r="BB677" s="15"/>
    </row>
    <row r="678" spans="2:55" s="58" customFormat="1" ht="14.25" customHeight="1" x14ac:dyDescent="0.3">
      <c r="B678" s="99">
        <f t="shared" si="525"/>
        <v>45112</v>
      </c>
      <c r="C678" s="44">
        <f t="shared" si="497"/>
        <v>673723.46000000031</v>
      </c>
      <c r="D678" s="45">
        <v>43986.01</v>
      </c>
      <c r="E678" s="45">
        <v>-1100000</v>
      </c>
      <c r="F678" s="45">
        <v>-69807.73</v>
      </c>
      <c r="G678" s="45">
        <f t="shared" si="524"/>
        <v>-452098.25999999966</v>
      </c>
      <c r="H678" s="44">
        <v>4300000</v>
      </c>
      <c r="I678" s="46">
        <f t="shared" si="498"/>
        <v>81566.129999999888</v>
      </c>
      <c r="J678" s="47">
        <v>100699.25</v>
      </c>
      <c r="K678" s="47">
        <v>1100000</v>
      </c>
      <c r="L678" s="47">
        <v>-1095480.6100000001</v>
      </c>
      <c r="M678" s="47">
        <f t="shared" si="499"/>
        <v>186784.76999999979</v>
      </c>
      <c r="N678" s="46">
        <v>5000000</v>
      </c>
      <c r="O678" s="48">
        <f t="shared" si="500"/>
        <v>3016.3300000000932</v>
      </c>
      <c r="P678" s="55"/>
      <c r="Q678" s="55"/>
      <c r="R678" s="55">
        <v>-1832.16</v>
      </c>
      <c r="S678" s="55">
        <f t="shared" si="501"/>
        <v>1184.1700000000931</v>
      </c>
      <c r="T678" s="48"/>
      <c r="U678" s="49">
        <f t="shared" si="502"/>
        <v>870.49000000001399</v>
      </c>
      <c r="V678" s="51"/>
      <c r="W678" s="51"/>
      <c r="X678" s="51"/>
      <c r="Y678" s="51">
        <f t="shared" si="503"/>
        <v>870.49000000001399</v>
      </c>
      <c r="Z678" s="52"/>
      <c r="AA678" s="53">
        <f t="shared" si="504"/>
        <v>938.06000000000097</v>
      </c>
      <c r="AB678" s="54"/>
      <c r="AC678" s="54"/>
      <c r="AD678" s="54">
        <v>-69.2</v>
      </c>
      <c r="AE678" s="54">
        <f t="shared" si="505"/>
        <v>868.86000000000092</v>
      </c>
      <c r="AF678" s="53"/>
      <c r="AG678" s="53">
        <f t="shared" si="474"/>
        <v>402.53000000000463</v>
      </c>
      <c r="AH678" s="54"/>
      <c r="AI678" s="54"/>
      <c r="AJ678" s="54"/>
      <c r="AK678" s="54">
        <f t="shared" si="506"/>
        <v>402.53000000000463</v>
      </c>
      <c r="AL678" s="53"/>
      <c r="AM678" s="53">
        <f t="shared" si="486"/>
        <v>0</v>
      </c>
      <c r="AN678" s="54"/>
      <c r="AO678" s="54"/>
      <c r="AP678" s="54"/>
      <c r="AQ678" s="54">
        <f t="shared" si="487"/>
        <v>0</v>
      </c>
      <c r="AR678" s="53"/>
      <c r="AS678" s="50">
        <f t="shared" si="508"/>
        <v>760517.00000000035</v>
      </c>
      <c r="AT678" s="73">
        <f t="shared" si="517"/>
        <v>144685.26</v>
      </c>
      <c r="AU678" s="50">
        <f t="shared" si="478"/>
        <v>0</v>
      </c>
      <c r="AV678" s="50">
        <f t="shared" si="518"/>
        <v>-1167189.7</v>
      </c>
      <c r="AW678" s="50"/>
      <c r="AX678" s="50">
        <f t="shared" si="491"/>
        <v>-261987.4399999998</v>
      </c>
      <c r="AY678" s="50">
        <f t="shared" si="492"/>
        <v>9300000</v>
      </c>
      <c r="AZ678" s="50">
        <f t="shared" si="493"/>
        <v>9038012.5600000005</v>
      </c>
      <c r="BA678" s="15"/>
      <c r="BB678" s="15"/>
    </row>
    <row r="679" spans="2:55" s="58" customFormat="1" ht="14.25" customHeight="1" x14ac:dyDescent="0.3">
      <c r="B679" s="99">
        <f t="shared" si="525"/>
        <v>45113</v>
      </c>
      <c r="C679" s="44">
        <f t="shared" si="497"/>
        <v>-452098.25999999966</v>
      </c>
      <c r="D679" s="45"/>
      <c r="E679" s="45"/>
      <c r="F679" s="45">
        <v>-43077.61</v>
      </c>
      <c r="G679" s="45">
        <f t="shared" si="524"/>
        <v>-495175.86999999965</v>
      </c>
      <c r="H679" s="44">
        <v>4300000</v>
      </c>
      <c r="I679" s="46">
        <f t="shared" si="498"/>
        <v>186784.76999999979</v>
      </c>
      <c r="J679" s="47">
        <v>37540</v>
      </c>
      <c r="K679" s="47"/>
      <c r="L679" s="47">
        <v>-145192.82</v>
      </c>
      <c r="M679" s="47">
        <f t="shared" si="499"/>
        <v>79131.949999999779</v>
      </c>
      <c r="N679" s="46">
        <v>5000000</v>
      </c>
      <c r="O679" s="48">
        <f t="shared" si="500"/>
        <v>1184.1700000000931</v>
      </c>
      <c r="P679" s="55"/>
      <c r="Q679" s="55"/>
      <c r="R679" s="55"/>
      <c r="S679" s="55">
        <f t="shared" si="501"/>
        <v>1184.1700000000931</v>
      </c>
      <c r="T679" s="48"/>
      <c r="U679" s="49">
        <f t="shared" si="502"/>
        <v>870.49000000001399</v>
      </c>
      <c r="V679" s="51"/>
      <c r="W679" s="51"/>
      <c r="X679" s="51"/>
      <c r="Y679" s="51">
        <f t="shared" si="503"/>
        <v>870.49000000001399</v>
      </c>
      <c r="Z679" s="52"/>
      <c r="AA679" s="53">
        <f t="shared" si="504"/>
        <v>868.86000000000092</v>
      </c>
      <c r="AB679" s="54"/>
      <c r="AC679" s="54"/>
      <c r="AD679" s="54"/>
      <c r="AE679" s="54">
        <f t="shared" si="505"/>
        <v>868.86000000000092</v>
      </c>
      <c r="AF679" s="53"/>
      <c r="AG679" s="53">
        <f t="shared" si="474"/>
        <v>402.53000000000463</v>
      </c>
      <c r="AH679" s="54"/>
      <c r="AI679" s="54"/>
      <c r="AJ679" s="54"/>
      <c r="AK679" s="54">
        <f t="shared" si="506"/>
        <v>402.53000000000463</v>
      </c>
      <c r="AL679" s="53"/>
      <c r="AM679" s="53">
        <f t="shared" si="486"/>
        <v>0</v>
      </c>
      <c r="AN679" s="54"/>
      <c r="AO679" s="54"/>
      <c r="AP679" s="54"/>
      <c r="AQ679" s="54">
        <f t="shared" si="487"/>
        <v>0</v>
      </c>
      <c r="AR679" s="53"/>
      <c r="AS679" s="50">
        <f t="shared" si="508"/>
        <v>-261987.4399999998</v>
      </c>
      <c r="AT679" s="73">
        <f t="shared" si="517"/>
        <v>37540</v>
      </c>
      <c r="AU679" s="50">
        <f t="shared" si="478"/>
        <v>0</v>
      </c>
      <c r="AV679" s="50">
        <f t="shared" si="518"/>
        <v>-188270.43</v>
      </c>
      <c r="AW679" s="50"/>
      <c r="AX679" s="50">
        <f t="shared" si="491"/>
        <v>-412717.86999999976</v>
      </c>
      <c r="AY679" s="50">
        <f t="shared" si="492"/>
        <v>9300000</v>
      </c>
      <c r="AZ679" s="50">
        <f t="shared" si="493"/>
        <v>8887282.1300000008</v>
      </c>
      <c r="BA679" s="15"/>
      <c r="BB679" s="15"/>
    </row>
    <row r="680" spans="2:55" s="58" customFormat="1" ht="14.25" customHeight="1" x14ac:dyDescent="0.3">
      <c r="B680" s="99">
        <f t="shared" si="525"/>
        <v>45114</v>
      </c>
      <c r="C680" s="44">
        <f t="shared" si="497"/>
        <v>-495175.86999999965</v>
      </c>
      <c r="D680" s="45">
        <f>238398.4+9884.02</f>
        <v>248282.41999999998</v>
      </c>
      <c r="E680" s="45"/>
      <c r="F680" s="45">
        <v>-387982.32</v>
      </c>
      <c r="G680" s="45">
        <f t="shared" si="524"/>
        <v>-634875.76999999967</v>
      </c>
      <c r="H680" s="44">
        <v>4300000</v>
      </c>
      <c r="I680" s="46">
        <f t="shared" si="498"/>
        <v>79131.949999999779</v>
      </c>
      <c r="J680" s="47"/>
      <c r="K680" s="47">
        <v>107000</v>
      </c>
      <c r="L680" s="47">
        <v>-126291.15</v>
      </c>
      <c r="M680" s="47">
        <f t="shared" si="499"/>
        <v>59840.799999999785</v>
      </c>
      <c r="N680" s="46">
        <v>5000000</v>
      </c>
      <c r="O680" s="48">
        <f t="shared" si="500"/>
        <v>1184.1700000000931</v>
      </c>
      <c r="P680" s="55"/>
      <c r="Q680" s="55"/>
      <c r="R680" s="55"/>
      <c r="S680" s="55">
        <f t="shared" si="501"/>
        <v>1184.1700000000931</v>
      </c>
      <c r="T680" s="48"/>
      <c r="U680" s="49">
        <f t="shared" si="502"/>
        <v>870.49000000001399</v>
      </c>
      <c r="V680" s="51">
        <v>106481.45</v>
      </c>
      <c r="W680" s="51">
        <v>-107000</v>
      </c>
      <c r="X680" s="51">
        <v>-1.4</v>
      </c>
      <c r="Y680" s="51">
        <f t="shared" si="503"/>
        <v>350.5400000000169</v>
      </c>
      <c r="Z680" s="52"/>
      <c r="AA680" s="53">
        <f t="shared" si="504"/>
        <v>868.86000000000092</v>
      </c>
      <c r="AB680" s="54"/>
      <c r="AC680" s="54"/>
      <c r="AD680" s="54"/>
      <c r="AE680" s="54">
        <f t="shared" si="505"/>
        <v>868.86000000000092</v>
      </c>
      <c r="AF680" s="53"/>
      <c r="AG680" s="53">
        <f t="shared" si="474"/>
        <v>402.53000000000463</v>
      </c>
      <c r="AH680" s="54"/>
      <c r="AI680" s="54"/>
      <c r="AJ680" s="54"/>
      <c r="AK680" s="54">
        <f t="shared" si="506"/>
        <v>402.53000000000463</v>
      </c>
      <c r="AL680" s="53"/>
      <c r="AM680" s="53">
        <f t="shared" si="486"/>
        <v>0</v>
      </c>
      <c r="AN680" s="54"/>
      <c r="AO680" s="54"/>
      <c r="AP680" s="54"/>
      <c r="AQ680" s="54">
        <f t="shared" si="487"/>
        <v>0</v>
      </c>
      <c r="AR680" s="53"/>
      <c r="AS680" s="50">
        <f t="shared" si="508"/>
        <v>-412717.86999999976</v>
      </c>
      <c r="AT680" s="73">
        <f t="shared" si="517"/>
        <v>354763.87</v>
      </c>
      <c r="AU680" s="50">
        <f t="shared" si="478"/>
        <v>0</v>
      </c>
      <c r="AV680" s="50">
        <f t="shared" si="518"/>
        <v>-514274.87</v>
      </c>
      <c r="AW680" s="50"/>
      <c r="AX680" s="50">
        <f t="shared" si="491"/>
        <v>-572228.86999999976</v>
      </c>
      <c r="AY680" s="50">
        <f t="shared" si="492"/>
        <v>9300000</v>
      </c>
      <c r="AZ680" s="50">
        <f t="shared" si="493"/>
        <v>8727771.1300000008</v>
      </c>
      <c r="BA680" s="15"/>
      <c r="BB680" s="15"/>
    </row>
    <row r="681" spans="2:55" s="58" customFormat="1" ht="14.25" customHeight="1" x14ac:dyDescent="0.3">
      <c r="B681" s="99">
        <f t="shared" ref="B681" si="532">B680+3</f>
        <v>45117</v>
      </c>
      <c r="C681" s="44">
        <f t="shared" si="497"/>
        <v>-634875.76999999967</v>
      </c>
      <c r="D681" s="45"/>
      <c r="E681" s="45">
        <v>-100000</v>
      </c>
      <c r="F681" s="45">
        <v>-114964.11</v>
      </c>
      <c r="G681" s="45">
        <f t="shared" si="524"/>
        <v>-849839.87999999966</v>
      </c>
      <c r="H681" s="44">
        <v>4300000</v>
      </c>
      <c r="I681" s="46">
        <f t="shared" si="498"/>
        <v>59840.799999999785</v>
      </c>
      <c r="J681" s="47"/>
      <c r="K681" s="47">
        <v>100000</v>
      </c>
      <c r="L681" s="47">
        <v>-146537.60000000001</v>
      </c>
      <c r="M681" s="47">
        <f t="shared" si="499"/>
        <v>13303.199999999779</v>
      </c>
      <c r="N681" s="46">
        <v>5000000</v>
      </c>
      <c r="O681" s="48">
        <f t="shared" si="500"/>
        <v>1184.1700000000931</v>
      </c>
      <c r="P681" s="55"/>
      <c r="Q681" s="55"/>
      <c r="R681" s="55">
        <v>-10</v>
      </c>
      <c r="S681" s="55">
        <f t="shared" si="501"/>
        <v>1174.1700000000931</v>
      </c>
      <c r="T681" s="48"/>
      <c r="U681" s="49">
        <f t="shared" si="502"/>
        <v>350.5400000000169</v>
      </c>
      <c r="V681" s="51"/>
      <c r="W681" s="51"/>
      <c r="X681" s="51"/>
      <c r="Y681" s="51">
        <f t="shared" si="503"/>
        <v>350.5400000000169</v>
      </c>
      <c r="Z681" s="52"/>
      <c r="AA681" s="53">
        <f t="shared" si="504"/>
        <v>868.86000000000092</v>
      </c>
      <c r="AB681" s="54"/>
      <c r="AC681" s="54"/>
      <c r="AD681" s="54">
        <v>-380</v>
      </c>
      <c r="AE681" s="54">
        <f t="shared" si="505"/>
        <v>488.86000000000092</v>
      </c>
      <c r="AF681" s="53"/>
      <c r="AG681" s="53">
        <f t="shared" ref="AG681:AG744" si="533">AK680</f>
        <v>402.53000000000463</v>
      </c>
      <c r="AH681" s="54"/>
      <c r="AI681" s="54"/>
      <c r="AJ681" s="54"/>
      <c r="AK681" s="54">
        <f t="shared" si="506"/>
        <v>402.53000000000463</v>
      </c>
      <c r="AL681" s="53"/>
      <c r="AM681" s="53">
        <f t="shared" si="486"/>
        <v>0</v>
      </c>
      <c r="AN681" s="54"/>
      <c r="AO681" s="54"/>
      <c r="AP681" s="54"/>
      <c r="AQ681" s="54">
        <f t="shared" si="487"/>
        <v>0</v>
      </c>
      <c r="AR681" s="53"/>
      <c r="AS681" s="50">
        <f t="shared" si="508"/>
        <v>-572228.86999999976</v>
      </c>
      <c r="AT681" s="73">
        <f t="shared" si="517"/>
        <v>0</v>
      </c>
      <c r="AU681" s="50">
        <f t="shared" si="478"/>
        <v>0</v>
      </c>
      <c r="AV681" s="50">
        <f t="shared" si="518"/>
        <v>-261891.71000000002</v>
      </c>
      <c r="AW681" s="50"/>
      <c r="AX681" s="50">
        <f t="shared" si="491"/>
        <v>-834120.57999999984</v>
      </c>
      <c r="AY681" s="50">
        <f t="shared" si="492"/>
        <v>9300000</v>
      </c>
      <c r="AZ681" s="50">
        <f t="shared" si="493"/>
        <v>8465879.4199999999</v>
      </c>
      <c r="BA681" s="15"/>
      <c r="BB681" s="15"/>
    </row>
    <row r="682" spans="2:55" s="58" customFormat="1" ht="14.25" customHeight="1" x14ac:dyDescent="0.3">
      <c r="B682" s="99">
        <f t="shared" ref="B682" si="534">B681+1</f>
        <v>45118</v>
      </c>
      <c r="C682" s="44">
        <f t="shared" si="497"/>
        <v>-849839.87999999966</v>
      </c>
      <c r="D682" s="45"/>
      <c r="E682" s="45"/>
      <c r="F682" s="45">
        <v>-613.51</v>
      </c>
      <c r="G682" s="45">
        <f t="shared" si="524"/>
        <v>-850453.38999999966</v>
      </c>
      <c r="H682" s="44">
        <v>4300000</v>
      </c>
      <c r="I682" s="46">
        <f t="shared" si="498"/>
        <v>13303.199999999779</v>
      </c>
      <c r="J682" s="47">
        <v>140775</v>
      </c>
      <c r="K682" s="47"/>
      <c r="L682" s="47">
        <v>-25956.35</v>
      </c>
      <c r="M682" s="47">
        <f t="shared" si="499"/>
        <v>128121.84999999977</v>
      </c>
      <c r="N682" s="46">
        <v>5000000</v>
      </c>
      <c r="O682" s="48">
        <f t="shared" si="500"/>
        <v>1174.1700000000931</v>
      </c>
      <c r="P682" s="55"/>
      <c r="Q682" s="55"/>
      <c r="R682" s="55"/>
      <c r="S682" s="55">
        <f t="shared" si="501"/>
        <v>1174.1700000000931</v>
      </c>
      <c r="T682" s="48"/>
      <c r="U682" s="49">
        <f t="shared" si="502"/>
        <v>350.5400000000169</v>
      </c>
      <c r="V682" s="51"/>
      <c r="W682" s="51"/>
      <c r="X682" s="51"/>
      <c r="Y682" s="51">
        <f t="shared" si="503"/>
        <v>350.5400000000169</v>
      </c>
      <c r="Z682" s="52"/>
      <c r="AA682" s="53">
        <f t="shared" si="504"/>
        <v>488.86000000000092</v>
      </c>
      <c r="AB682" s="54"/>
      <c r="AC682" s="54"/>
      <c r="AD682" s="54"/>
      <c r="AE682" s="54">
        <f t="shared" si="505"/>
        <v>488.86000000000092</v>
      </c>
      <c r="AF682" s="53"/>
      <c r="AG682" s="53">
        <f t="shared" si="533"/>
        <v>402.53000000000463</v>
      </c>
      <c r="AH682" s="54"/>
      <c r="AI682" s="54"/>
      <c r="AJ682" s="54"/>
      <c r="AK682" s="54">
        <f t="shared" si="506"/>
        <v>402.53000000000463</v>
      </c>
      <c r="AL682" s="53"/>
      <c r="AM682" s="53">
        <f t="shared" si="486"/>
        <v>0</v>
      </c>
      <c r="AN682" s="54"/>
      <c r="AO682" s="54"/>
      <c r="AP682" s="54"/>
      <c r="AQ682" s="54">
        <f t="shared" si="487"/>
        <v>0</v>
      </c>
      <c r="AR682" s="53"/>
      <c r="AS682" s="50">
        <f t="shared" si="508"/>
        <v>-834120.57999999984</v>
      </c>
      <c r="AT682" s="73">
        <f t="shared" si="517"/>
        <v>140775</v>
      </c>
      <c r="AU682" s="50">
        <f t="shared" ref="AU682:AU713" si="535">SUM(E682,K682,Q682,W682,AC682,AI682)</f>
        <v>0</v>
      </c>
      <c r="AV682" s="50">
        <f t="shared" si="518"/>
        <v>-26569.859999999997</v>
      </c>
      <c r="AW682" s="50"/>
      <c r="AX682" s="50">
        <f t="shared" si="491"/>
        <v>-719915.43999999983</v>
      </c>
      <c r="AY682" s="50">
        <f t="shared" si="492"/>
        <v>9300000</v>
      </c>
      <c r="AZ682" s="50">
        <f t="shared" si="493"/>
        <v>8580084.5600000005</v>
      </c>
      <c r="BA682" s="15"/>
      <c r="BB682" s="15"/>
    </row>
    <row r="683" spans="2:55" s="58" customFormat="1" ht="14.25" customHeight="1" x14ac:dyDescent="0.3">
      <c r="B683" s="99">
        <f t="shared" si="525"/>
        <v>45119</v>
      </c>
      <c r="C683" s="44">
        <f t="shared" si="497"/>
        <v>-850453.38999999966</v>
      </c>
      <c r="D683" s="45"/>
      <c r="E683" s="45">
        <v>-100000</v>
      </c>
      <c r="F683" s="45">
        <v>-27356.07</v>
      </c>
      <c r="G683" s="45">
        <f t="shared" si="524"/>
        <v>-977809.45999999961</v>
      </c>
      <c r="H683" s="44">
        <v>4300000</v>
      </c>
      <c r="I683" s="46">
        <f t="shared" si="498"/>
        <v>128121.84999999977</v>
      </c>
      <c r="J683" s="47"/>
      <c r="K683" s="47">
        <v>100000</v>
      </c>
      <c r="L683" s="47">
        <v>-130046.93</v>
      </c>
      <c r="M683" s="47">
        <f t="shared" si="499"/>
        <v>98074.91999999978</v>
      </c>
      <c r="N683" s="46">
        <v>5000000</v>
      </c>
      <c r="O683" s="48">
        <f t="shared" si="500"/>
        <v>1174.1700000000931</v>
      </c>
      <c r="P683" s="55"/>
      <c r="Q683" s="55"/>
      <c r="R683" s="55"/>
      <c r="S683" s="55">
        <f t="shared" si="501"/>
        <v>1174.1700000000931</v>
      </c>
      <c r="T683" s="48"/>
      <c r="U683" s="49">
        <f t="shared" si="502"/>
        <v>350.5400000000169</v>
      </c>
      <c r="V683" s="51"/>
      <c r="W683" s="51"/>
      <c r="X683" s="51"/>
      <c r="Y683" s="51">
        <f t="shared" si="503"/>
        <v>350.5400000000169</v>
      </c>
      <c r="Z683" s="52"/>
      <c r="AA683" s="53">
        <f t="shared" si="504"/>
        <v>488.86000000000092</v>
      </c>
      <c r="AB683" s="54"/>
      <c r="AC683" s="54"/>
      <c r="AD683" s="54">
        <v>-110</v>
      </c>
      <c r="AE683" s="54">
        <f t="shared" si="505"/>
        <v>378.86000000000092</v>
      </c>
      <c r="AF683" s="53"/>
      <c r="AG683" s="53">
        <f t="shared" si="533"/>
        <v>402.53000000000463</v>
      </c>
      <c r="AH683" s="54"/>
      <c r="AI683" s="54"/>
      <c r="AJ683" s="54"/>
      <c r="AK683" s="54">
        <f t="shared" si="506"/>
        <v>402.53000000000463</v>
      </c>
      <c r="AL683" s="53"/>
      <c r="AM683" s="53">
        <f t="shared" si="486"/>
        <v>0</v>
      </c>
      <c r="AN683" s="54"/>
      <c r="AO683" s="54"/>
      <c r="AP683" s="54"/>
      <c r="AQ683" s="54">
        <f t="shared" si="487"/>
        <v>0</v>
      </c>
      <c r="AR683" s="53"/>
      <c r="AS683" s="50">
        <f t="shared" si="508"/>
        <v>-719915.43999999983</v>
      </c>
      <c r="AT683" s="73">
        <f t="shared" si="517"/>
        <v>0</v>
      </c>
      <c r="AU683" s="50">
        <f t="shared" si="535"/>
        <v>0</v>
      </c>
      <c r="AV683" s="50">
        <f t="shared" si="518"/>
        <v>-157513</v>
      </c>
      <c r="AW683" s="50"/>
      <c r="AX683" s="50">
        <f t="shared" si="491"/>
        <v>-877428.43999999971</v>
      </c>
      <c r="AY683" s="50">
        <f t="shared" si="492"/>
        <v>9300000</v>
      </c>
      <c r="AZ683" s="50">
        <f t="shared" si="493"/>
        <v>8422571.5600000005</v>
      </c>
      <c r="BA683" s="15"/>
      <c r="BB683" s="15"/>
    </row>
    <row r="684" spans="2:55" s="58" customFormat="1" ht="14.25" customHeight="1" x14ac:dyDescent="0.3">
      <c r="B684" s="99">
        <f t="shared" si="525"/>
        <v>45120</v>
      </c>
      <c r="C684" s="44">
        <f t="shared" si="497"/>
        <v>-977809.45999999961</v>
      </c>
      <c r="D684" s="45">
        <v>131346.44</v>
      </c>
      <c r="E684" s="45"/>
      <c r="F684" s="45">
        <v>-13048.3</v>
      </c>
      <c r="G684" s="45">
        <f t="shared" si="524"/>
        <v>-859511.3199999996</v>
      </c>
      <c r="H684" s="44">
        <v>4300000</v>
      </c>
      <c r="I684" s="46">
        <f t="shared" si="498"/>
        <v>98074.91999999978</v>
      </c>
      <c r="J684" s="47"/>
      <c r="K684" s="47"/>
      <c r="L684" s="47">
        <v>-43524.31</v>
      </c>
      <c r="M684" s="47">
        <f t="shared" si="499"/>
        <v>54550.609999999782</v>
      </c>
      <c r="N684" s="46">
        <v>5000000</v>
      </c>
      <c r="O684" s="48">
        <f t="shared" si="500"/>
        <v>1174.1700000000931</v>
      </c>
      <c r="P684" s="55"/>
      <c r="Q684" s="55"/>
      <c r="R684" s="55">
        <v>-500</v>
      </c>
      <c r="S684" s="55">
        <f t="shared" si="501"/>
        <v>674.17000000009307</v>
      </c>
      <c r="T684" s="48"/>
      <c r="U684" s="49">
        <f t="shared" si="502"/>
        <v>350.5400000000169</v>
      </c>
      <c r="V684" s="51"/>
      <c r="W684" s="51"/>
      <c r="X684" s="51"/>
      <c r="Y684" s="51">
        <f t="shared" si="503"/>
        <v>350.5400000000169</v>
      </c>
      <c r="Z684" s="52"/>
      <c r="AA684" s="53">
        <f t="shared" si="504"/>
        <v>378.86000000000092</v>
      </c>
      <c r="AB684" s="54"/>
      <c r="AC684" s="54"/>
      <c r="AD684" s="54"/>
      <c r="AE684" s="54">
        <f t="shared" si="505"/>
        <v>378.86000000000092</v>
      </c>
      <c r="AF684" s="53"/>
      <c r="AG684" s="53">
        <f t="shared" si="533"/>
        <v>402.53000000000463</v>
      </c>
      <c r="AH684" s="54"/>
      <c r="AI684" s="54"/>
      <c r="AJ684" s="54"/>
      <c r="AK684" s="54">
        <f t="shared" si="506"/>
        <v>402.53000000000463</v>
      </c>
      <c r="AL684" s="53"/>
      <c r="AM684" s="53">
        <f t="shared" si="486"/>
        <v>0</v>
      </c>
      <c r="AN684" s="54"/>
      <c r="AO684" s="54"/>
      <c r="AP684" s="54"/>
      <c r="AQ684" s="54">
        <f t="shared" si="487"/>
        <v>0</v>
      </c>
      <c r="AR684" s="53"/>
      <c r="AS684" s="50">
        <f t="shared" si="508"/>
        <v>-877428.43999999971</v>
      </c>
      <c r="AT684" s="73">
        <f t="shared" si="517"/>
        <v>131346.44</v>
      </c>
      <c r="AU684" s="50">
        <f t="shared" si="535"/>
        <v>0</v>
      </c>
      <c r="AV684" s="50">
        <f t="shared" si="518"/>
        <v>-57072.61</v>
      </c>
      <c r="AW684" s="50"/>
      <c r="AX684" s="50">
        <f t="shared" si="491"/>
        <v>-803154.60999999975</v>
      </c>
      <c r="AY684" s="50">
        <f t="shared" si="492"/>
        <v>9300000</v>
      </c>
      <c r="AZ684" s="50">
        <f t="shared" si="493"/>
        <v>8496845.3900000006</v>
      </c>
      <c r="BA684" s="15"/>
      <c r="BB684" s="15"/>
    </row>
    <row r="685" spans="2:55" s="58" customFormat="1" ht="14.25" customHeight="1" x14ac:dyDescent="0.3">
      <c r="B685" s="99">
        <f t="shared" si="525"/>
        <v>45121</v>
      </c>
      <c r="C685" s="44">
        <f t="shared" si="497"/>
        <v>-859511.3199999996</v>
      </c>
      <c r="D685" s="45"/>
      <c r="E685" s="45"/>
      <c r="F685" s="45">
        <v>-4294.8900000000003</v>
      </c>
      <c r="G685" s="45">
        <f t="shared" si="524"/>
        <v>-863806.20999999961</v>
      </c>
      <c r="H685" s="44">
        <v>4300000</v>
      </c>
      <c r="I685" s="46">
        <f t="shared" si="498"/>
        <v>54550.609999999782</v>
      </c>
      <c r="J685" s="47"/>
      <c r="K685" s="47"/>
      <c r="L685" s="47">
        <v>-53542.51</v>
      </c>
      <c r="M685" s="47">
        <f t="shared" si="499"/>
        <v>1008.0999999997803</v>
      </c>
      <c r="N685" s="46">
        <v>5000000</v>
      </c>
      <c r="O685" s="48">
        <f t="shared" si="500"/>
        <v>674.17000000009307</v>
      </c>
      <c r="P685" s="55">
        <v>1546.68</v>
      </c>
      <c r="Q685" s="55"/>
      <c r="R685" s="55"/>
      <c r="S685" s="55">
        <f t="shared" si="501"/>
        <v>2220.8500000000931</v>
      </c>
      <c r="T685" s="48"/>
      <c r="U685" s="49">
        <f t="shared" si="502"/>
        <v>350.5400000000169</v>
      </c>
      <c r="V685" s="51"/>
      <c r="W685" s="51"/>
      <c r="X685" s="51"/>
      <c r="Y685" s="51">
        <f t="shared" si="503"/>
        <v>350.5400000000169</v>
      </c>
      <c r="Z685" s="52"/>
      <c r="AA685" s="53">
        <f t="shared" si="504"/>
        <v>378.86000000000092</v>
      </c>
      <c r="AB685" s="54"/>
      <c r="AC685" s="54"/>
      <c r="AD685" s="54"/>
      <c r="AE685" s="54">
        <f t="shared" si="505"/>
        <v>378.86000000000092</v>
      </c>
      <c r="AF685" s="53"/>
      <c r="AG685" s="53">
        <f t="shared" si="533"/>
        <v>402.53000000000463</v>
      </c>
      <c r="AH685" s="54"/>
      <c r="AI685" s="54"/>
      <c r="AJ685" s="54"/>
      <c r="AK685" s="54">
        <f t="shared" si="506"/>
        <v>402.53000000000463</v>
      </c>
      <c r="AL685" s="53"/>
      <c r="AM685" s="53">
        <f t="shared" si="486"/>
        <v>0</v>
      </c>
      <c r="AN685" s="54"/>
      <c r="AO685" s="54"/>
      <c r="AP685" s="54"/>
      <c r="AQ685" s="54">
        <f t="shared" si="487"/>
        <v>0</v>
      </c>
      <c r="AR685" s="53"/>
      <c r="AS685" s="50">
        <f t="shared" si="508"/>
        <v>-803154.60999999975</v>
      </c>
      <c r="AT685" s="73">
        <f t="shared" si="517"/>
        <v>1546.68</v>
      </c>
      <c r="AU685" s="50">
        <f t="shared" si="535"/>
        <v>0</v>
      </c>
      <c r="AV685" s="50">
        <f t="shared" si="518"/>
        <v>-57837.4</v>
      </c>
      <c r="AW685" s="50"/>
      <c r="AX685" s="50">
        <f t="shared" si="491"/>
        <v>-859445.32999999973</v>
      </c>
      <c r="AY685" s="50">
        <f t="shared" si="492"/>
        <v>9300000</v>
      </c>
      <c r="AZ685" s="50">
        <f t="shared" si="493"/>
        <v>8440554.6699999999</v>
      </c>
      <c r="BA685" s="15"/>
      <c r="BB685" s="15"/>
    </row>
    <row r="686" spans="2:55" s="58" customFormat="1" ht="14.25" customHeight="1" x14ac:dyDescent="0.3">
      <c r="B686" s="99">
        <f t="shared" ref="B686" si="536">B685+3</f>
        <v>45124</v>
      </c>
      <c r="C686" s="44">
        <f t="shared" si="497"/>
        <v>-863806.20999999961</v>
      </c>
      <c r="D686" s="45">
        <v>61167.39</v>
      </c>
      <c r="E686" s="45"/>
      <c r="F686" s="45">
        <v>-43918.16</v>
      </c>
      <c r="G686" s="45">
        <f t="shared" si="524"/>
        <v>-846556.97999999963</v>
      </c>
      <c r="H686" s="44">
        <v>4300000</v>
      </c>
      <c r="I686" s="46">
        <f t="shared" si="498"/>
        <v>1008.0999999997803</v>
      </c>
      <c r="J686" s="47">
        <v>211093.75</v>
      </c>
      <c r="K686" s="47"/>
      <c r="L686" s="47">
        <v>-158208.42000000001</v>
      </c>
      <c r="M686" s="47">
        <f t="shared" si="499"/>
        <v>53893.42999999976</v>
      </c>
      <c r="N686" s="46">
        <v>5000000</v>
      </c>
      <c r="O686" s="48">
        <f t="shared" si="500"/>
        <v>2220.8500000000931</v>
      </c>
      <c r="P686" s="55">
        <v>2109.59</v>
      </c>
      <c r="Q686" s="55"/>
      <c r="R686" s="55"/>
      <c r="S686" s="55">
        <f t="shared" si="501"/>
        <v>4330.4400000000933</v>
      </c>
      <c r="T686" s="48"/>
      <c r="U686" s="49">
        <f t="shared" si="502"/>
        <v>350.5400000000169</v>
      </c>
      <c r="V686" s="51"/>
      <c r="W686" s="51"/>
      <c r="X686" s="51"/>
      <c r="Y686" s="51">
        <f t="shared" si="503"/>
        <v>350.5400000000169</v>
      </c>
      <c r="Z686" s="52"/>
      <c r="AA686" s="53">
        <f t="shared" si="504"/>
        <v>378.86000000000092</v>
      </c>
      <c r="AB686" s="54"/>
      <c r="AC686" s="54"/>
      <c r="AD686" s="54"/>
      <c r="AE686" s="54">
        <f t="shared" si="505"/>
        <v>378.86000000000092</v>
      </c>
      <c r="AF686" s="53"/>
      <c r="AG686" s="53">
        <f t="shared" si="533"/>
        <v>402.53000000000463</v>
      </c>
      <c r="AH686" s="54"/>
      <c r="AI686" s="54"/>
      <c r="AJ686" s="54"/>
      <c r="AK686" s="54">
        <f t="shared" si="506"/>
        <v>402.53000000000463</v>
      </c>
      <c r="AL686" s="53"/>
      <c r="AM686" s="53">
        <f t="shared" si="486"/>
        <v>0</v>
      </c>
      <c r="AN686" s="54"/>
      <c r="AO686" s="54"/>
      <c r="AP686" s="54"/>
      <c r="AQ686" s="54">
        <f t="shared" si="487"/>
        <v>0</v>
      </c>
      <c r="AR686" s="53"/>
      <c r="AS686" s="50">
        <f t="shared" si="508"/>
        <v>-859445.32999999973</v>
      </c>
      <c r="AT686" s="73">
        <f t="shared" si="517"/>
        <v>274370.73000000004</v>
      </c>
      <c r="AU686" s="50">
        <f t="shared" si="535"/>
        <v>0</v>
      </c>
      <c r="AV686" s="50">
        <f t="shared" si="518"/>
        <v>-202126.58000000002</v>
      </c>
      <c r="AW686" s="50"/>
      <c r="AX686" s="50">
        <f t="shared" si="491"/>
        <v>-787201.1799999997</v>
      </c>
      <c r="AY686" s="50">
        <f t="shared" si="492"/>
        <v>9300000</v>
      </c>
      <c r="AZ686" s="50">
        <f t="shared" si="493"/>
        <v>8512798.8200000003</v>
      </c>
      <c r="BA686" s="15"/>
      <c r="BB686" s="15"/>
    </row>
    <row r="687" spans="2:55" s="58" customFormat="1" ht="14.25" customHeight="1" x14ac:dyDescent="0.3">
      <c r="B687" s="99">
        <f t="shared" ref="B687" si="537">B686+1</f>
        <v>45125</v>
      </c>
      <c r="C687" s="44">
        <f t="shared" si="497"/>
        <v>-846556.97999999963</v>
      </c>
      <c r="D687" s="45">
        <v>98611.839999999997</v>
      </c>
      <c r="E687" s="45"/>
      <c r="F687" s="45">
        <v>-3182.02</v>
      </c>
      <c r="G687" s="45">
        <f t="shared" si="524"/>
        <v>-751127.15999999968</v>
      </c>
      <c r="H687" s="44">
        <v>4300000</v>
      </c>
      <c r="I687" s="46">
        <f t="shared" si="498"/>
        <v>53893.42999999976</v>
      </c>
      <c r="J687" s="47"/>
      <c r="K687" s="47"/>
      <c r="L687" s="47">
        <v>-20956.61</v>
      </c>
      <c r="M687" s="47">
        <f t="shared" si="499"/>
        <v>32936.81999999976</v>
      </c>
      <c r="N687" s="46">
        <v>5000000</v>
      </c>
      <c r="O687" s="48">
        <f t="shared" si="500"/>
        <v>4330.4400000000933</v>
      </c>
      <c r="P687" s="55"/>
      <c r="Q687" s="55"/>
      <c r="R687" s="55"/>
      <c r="S687" s="55">
        <f t="shared" si="501"/>
        <v>4330.4400000000933</v>
      </c>
      <c r="T687" s="48"/>
      <c r="U687" s="49">
        <f t="shared" si="502"/>
        <v>350.5400000000169</v>
      </c>
      <c r="V687" s="51"/>
      <c r="W687" s="51"/>
      <c r="X687" s="51"/>
      <c r="Y687" s="51">
        <f t="shared" si="503"/>
        <v>350.5400000000169</v>
      </c>
      <c r="Z687" s="52"/>
      <c r="AA687" s="53">
        <f t="shared" si="504"/>
        <v>378.86000000000092</v>
      </c>
      <c r="AB687" s="54"/>
      <c r="AC687" s="54"/>
      <c r="AD687" s="54"/>
      <c r="AE687" s="54">
        <f t="shared" si="505"/>
        <v>378.86000000000092</v>
      </c>
      <c r="AF687" s="53"/>
      <c r="AG687" s="53">
        <f t="shared" si="533"/>
        <v>402.53000000000463</v>
      </c>
      <c r="AH687" s="54"/>
      <c r="AI687" s="54"/>
      <c r="AJ687" s="54"/>
      <c r="AK687" s="54">
        <f t="shared" si="506"/>
        <v>402.53000000000463</v>
      </c>
      <c r="AL687" s="53"/>
      <c r="AM687" s="53">
        <f t="shared" si="486"/>
        <v>0</v>
      </c>
      <c r="AN687" s="54"/>
      <c r="AO687" s="54"/>
      <c r="AP687" s="54"/>
      <c r="AQ687" s="54">
        <f t="shared" si="487"/>
        <v>0</v>
      </c>
      <c r="AR687" s="53"/>
      <c r="AS687" s="50">
        <f t="shared" si="508"/>
        <v>-787201.1799999997</v>
      </c>
      <c r="AT687" s="73">
        <f t="shared" si="517"/>
        <v>98611.839999999997</v>
      </c>
      <c r="AU687" s="50">
        <f t="shared" si="535"/>
        <v>0</v>
      </c>
      <c r="AV687" s="50">
        <f t="shared" si="518"/>
        <v>-24138.63</v>
      </c>
      <c r="AW687" s="50"/>
      <c r="AX687" s="50">
        <f t="shared" si="491"/>
        <v>-712727.96999999986</v>
      </c>
      <c r="AY687" s="50">
        <f t="shared" si="492"/>
        <v>9300000</v>
      </c>
      <c r="AZ687" s="50">
        <f t="shared" si="493"/>
        <v>8587272.0299999993</v>
      </c>
      <c r="BA687" s="15"/>
      <c r="BB687" s="15"/>
    </row>
    <row r="688" spans="2:55" s="58" customFormat="1" ht="14.25" customHeight="1" x14ac:dyDescent="0.3">
      <c r="B688" s="99">
        <f t="shared" si="525"/>
        <v>45126</v>
      </c>
      <c r="C688" s="44">
        <f t="shared" si="497"/>
        <v>-751127.15999999968</v>
      </c>
      <c r="D688" s="45">
        <v>276377.12</v>
      </c>
      <c r="E688" s="45">
        <v>-480000</v>
      </c>
      <c r="F688" s="45">
        <v>-543.44000000000005</v>
      </c>
      <c r="G688" s="45">
        <f t="shared" si="524"/>
        <v>-955293.47999999963</v>
      </c>
      <c r="H688" s="44">
        <v>4300000</v>
      </c>
      <c r="I688" s="46">
        <f t="shared" si="498"/>
        <v>32936.81999999976</v>
      </c>
      <c r="J688" s="47">
        <v>203198.25</v>
      </c>
      <c r="K688" s="47">
        <v>480000</v>
      </c>
      <c r="L688" s="47">
        <v>-710013.37</v>
      </c>
      <c r="M688" s="47">
        <f t="shared" si="499"/>
        <v>6121.699999999837</v>
      </c>
      <c r="N688" s="46">
        <v>5000000</v>
      </c>
      <c r="O688" s="48">
        <f t="shared" si="500"/>
        <v>4330.4400000000933</v>
      </c>
      <c r="P688" s="55"/>
      <c r="Q688" s="55"/>
      <c r="R688" s="55">
        <v>-1183.76</v>
      </c>
      <c r="S688" s="55">
        <f t="shared" si="501"/>
        <v>3146.6800000000931</v>
      </c>
      <c r="T688" s="48"/>
      <c r="U688" s="49">
        <f t="shared" si="502"/>
        <v>350.5400000000169</v>
      </c>
      <c r="V688" s="51"/>
      <c r="W688" s="51"/>
      <c r="X688" s="51"/>
      <c r="Y688" s="51">
        <f t="shared" si="503"/>
        <v>350.5400000000169</v>
      </c>
      <c r="Z688" s="52"/>
      <c r="AA688" s="53">
        <f t="shared" si="504"/>
        <v>378.86000000000092</v>
      </c>
      <c r="AB688" s="54"/>
      <c r="AC688" s="54"/>
      <c r="AD688" s="54">
        <v>-134.66</v>
      </c>
      <c r="AE688" s="54">
        <f t="shared" si="505"/>
        <v>244.20000000000093</v>
      </c>
      <c r="AF688" s="53"/>
      <c r="AG688" s="53">
        <f t="shared" si="533"/>
        <v>402.53000000000463</v>
      </c>
      <c r="AH688" s="54"/>
      <c r="AI688" s="54"/>
      <c r="AJ688" s="54"/>
      <c r="AK688" s="54">
        <f t="shared" si="506"/>
        <v>402.53000000000463</v>
      </c>
      <c r="AL688" s="53"/>
      <c r="AM688" s="53">
        <f t="shared" si="486"/>
        <v>0</v>
      </c>
      <c r="AN688" s="54"/>
      <c r="AO688" s="54"/>
      <c r="AP688" s="54"/>
      <c r="AQ688" s="54">
        <f t="shared" si="487"/>
        <v>0</v>
      </c>
      <c r="AR688" s="53"/>
      <c r="AS688" s="50">
        <f t="shared" si="508"/>
        <v>-712727.96999999986</v>
      </c>
      <c r="AT688" s="73">
        <f t="shared" si="517"/>
        <v>479575.37</v>
      </c>
      <c r="AU688" s="50">
        <f t="shared" si="535"/>
        <v>0</v>
      </c>
      <c r="AV688" s="50">
        <f t="shared" si="518"/>
        <v>-711875.23</v>
      </c>
      <c r="AW688" s="50"/>
      <c r="AX688" s="50">
        <f t="shared" si="491"/>
        <v>-945027.82999999973</v>
      </c>
      <c r="AY688" s="50">
        <f t="shared" si="492"/>
        <v>9300000</v>
      </c>
      <c r="AZ688" s="50">
        <f t="shared" si="493"/>
        <v>8354972.1699999999</v>
      </c>
      <c r="BA688" s="15"/>
      <c r="BB688" s="15"/>
    </row>
    <row r="689" spans="2:54" s="58" customFormat="1" ht="14.25" customHeight="1" x14ac:dyDescent="0.3">
      <c r="B689" s="99">
        <f t="shared" si="525"/>
        <v>45127</v>
      </c>
      <c r="C689" s="44">
        <f t="shared" si="497"/>
        <v>-955293.47999999963</v>
      </c>
      <c r="D689" s="45">
        <v>68446.33</v>
      </c>
      <c r="E689" s="45">
        <v>-60000</v>
      </c>
      <c r="F689" s="45">
        <v>-1484729.64</v>
      </c>
      <c r="G689" s="45">
        <f t="shared" si="524"/>
        <v>-2431576.7899999996</v>
      </c>
      <c r="H689" s="44">
        <v>4300000</v>
      </c>
      <c r="I689" s="46">
        <f t="shared" si="498"/>
        <v>6121.699999999837</v>
      </c>
      <c r="J689" s="47"/>
      <c r="K689" s="47">
        <v>60000</v>
      </c>
      <c r="L689" s="47">
        <v>-55524.32</v>
      </c>
      <c r="M689" s="47">
        <f t="shared" si="499"/>
        <v>10597.379999999837</v>
      </c>
      <c r="N689" s="46">
        <v>5000000</v>
      </c>
      <c r="O689" s="48">
        <f t="shared" si="500"/>
        <v>3146.6800000000931</v>
      </c>
      <c r="P689" s="55">
        <v>162.88</v>
      </c>
      <c r="Q689" s="55"/>
      <c r="R689" s="55"/>
      <c r="S689" s="55">
        <f t="shared" si="501"/>
        <v>3309.5600000000932</v>
      </c>
      <c r="T689" s="48"/>
      <c r="U689" s="49">
        <f t="shared" si="502"/>
        <v>350.5400000000169</v>
      </c>
      <c r="V689" s="51"/>
      <c r="W689" s="51"/>
      <c r="X689" s="51"/>
      <c r="Y689" s="51">
        <f t="shared" si="503"/>
        <v>350.5400000000169</v>
      </c>
      <c r="Z689" s="52"/>
      <c r="AA689" s="53">
        <f t="shared" si="504"/>
        <v>244.20000000000093</v>
      </c>
      <c r="AB689" s="54"/>
      <c r="AC689" s="54"/>
      <c r="AD689" s="54"/>
      <c r="AE689" s="54">
        <f t="shared" si="505"/>
        <v>244.20000000000093</v>
      </c>
      <c r="AF689" s="53"/>
      <c r="AG689" s="53">
        <f t="shared" si="533"/>
        <v>402.53000000000463</v>
      </c>
      <c r="AH689" s="54"/>
      <c r="AI689" s="54"/>
      <c r="AJ689" s="54"/>
      <c r="AK689" s="54">
        <f t="shared" si="506"/>
        <v>402.53000000000463</v>
      </c>
      <c r="AL689" s="53"/>
      <c r="AM689" s="53">
        <f t="shared" si="486"/>
        <v>0</v>
      </c>
      <c r="AN689" s="54"/>
      <c r="AO689" s="54"/>
      <c r="AP689" s="54"/>
      <c r="AQ689" s="54">
        <f t="shared" si="487"/>
        <v>0</v>
      </c>
      <c r="AR689" s="53"/>
      <c r="AS689" s="50">
        <f t="shared" si="508"/>
        <v>-945027.82999999973</v>
      </c>
      <c r="AT689" s="73">
        <f t="shared" si="517"/>
        <v>68609.210000000006</v>
      </c>
      <c r="AU689" s="50">
        <f t="shared" si="535"/>
        <v>0</v>
      </c>
      <c r="AV689" s="50">
        <f t="shared" si="518"/>
        <v>-1540253.96</v>
      </c>
      <c r="AW689" s="50"/>
      <c r="AX689" s="50">
        <f t="shared" si="491"/>
        <v>-2416672.5799999996</v>
      </c>
      <c r="AY689" s="50">
        <f t="shared" si="492"/>
        <v>9300000</v>
      </c>
      <c r="AZ689" s="50">
        <f t="shared" si="493"/>
        <v>6883327.4199999999</v>
      </c>
      <c r="BA689" s="15"/>
      <c r="BB689" s="15"/>
    </row>
    <row r="690" spans="2:54" s="58" customFormat="1" ht="14.25" customHeight="1" x14ac:dyDescent="0.3">
      <c r="B690" s="99">
        <f t="shared" si="525"/>
        <v>45128</v>
      </c>
      <c r="C690" s="44">
        <f t="shared" si="497"/>
        <v>-2431576.7899999996</v>
      </c>
      <c r="D690" s="45">
        <v>671202.07</v>
      </c>
      <c r="E690" s="45">
        <v>-40000</v>
      </c>
      <c r="F690" s="45">
        <v>-0.85</v>
      </c>
      <c r="G690" s="45">
        <f t="shared" si="524"/>
        <v>-1800375.5699999998</v>
      </c>
      <c r="H690" s="44">
        <v>4300000</v>
      </c>
      <c r="I690" s="46">
        <f t="shared" si="498"/>
        <v>10597.379999999837</v>
      </c>
      <c r="J690" s="47"/>
      <c r="K690" s="47">
        <v>40000</v>
      </c>
      <c r="L690" s="47">
        <v>-44397.67</v>
      </c>
      <c r="M690" s="47">
        <f t="shared" si="499"/>
        <v>6199.7099999998391</v>
      </c>
      <c r="N690" s="46">
        <v>5000000</v>
      </c>
      <c r="O690" s="48">
        <f t="shared" si="500"/>
        <v>3309.5600000000932</v>
      </c>
      <c r="P690" s="55">
        <v>1037.22</v>
      </c>
      <c r="Q690" s="55"/>
      <c r="R690" s="55"/>
      <c r="S690" s="55">
        <f t="shared" si="501"/>
        <v>4346.7800000000934</v>
      </c>
      <c r="T690" s="48"/>
      <c r="U690" s="49">
        <f t="shared" si="502"/>
        <v>350.5400000000169</v>
      </c>
      <c r="V690" s="51"/>
      <c r="W690" s="51"/>
      <c r="X690" s="51"/>
      <c r="Y690" s="51">
        <f t="shared" si="503"/>
        <v>350.5400000000169</v>
      </c>
      <c r="Z690" s="52"/>
      <c r="AA690" s="53">
        <f t="shared" si="504"/>
        <v>244.20000000000093</v>
      </c>
      <c r="AB690" s="54"/>
      <c r="AC690" s="54"/>
      <c r="AD690" s="54"/>
      <c r="AE690" s="54">
        <f t="shared" si="505"/>
        <v>244.20000000000093</v>
      </c>
      <c r="AF690" s="53"/>
      <c r="AG690" s="53">
        <f t="shared" si="533"/>
        <v>402.53000000000463</v>
      </c>
      <c r="AH690" s="54"/>
      <c r="AI690" s="54"/>
      <c r="AJ690" s="54"/>
      <c r="AK690" s="54">
        <f t="shared" si="506"/>
        <v>402.53000000000463</v>
      </c>
      <c r="AL690" s="53"/>
      <c r="AM690" s="53">
        <f t="shared" si="486"/>
        <v>0</v>
      </c>
      <c r="AN690" s="54"/>
      <c r="AO690" s="54"/>
      <c r="AP690" s="54"/>
      <c r="AQ690" s="54">
        <f t="shared" si="487"/>
        <v>0</v>
      </c>
      <c r="AR690" s="53"/>
      <c r="AS690" s="50">
        <f t="shared" si="508"/>
        <v>-2416672.5799999996</v>
      </c>
      <c r="AT690" s="73">
        <f t="shared" si="517"/>
        <v>672239.28999999992</v>
      </c>
      <c r="AU690" s="50">
        <f t="shared" si="535"/>
        <v>0</v>
      </c>
      <c r="AV690" s="50">
        <f t="shared" si="518"/>
        <v>-44398.52</v>
      </c>
      <c r="AW690" s="50"/>
      <c r="AX690" s="50">
        <f t="shared" si="491"/>
        <v>-1788831.81</v>
      </c>
      <c r="AY690" s="50">
        <f t="shared" si="492"/>
        <v>9300000</v>
      </c>
      <c r="AZ690" s="50">
        <f t="shared" si="493"/>
        <v>7511168.1899999995</v>
      </c>
      <c r="BA690" s="15"/>
      <c r="BB690" s="15"/>
    </row>
    <row r="691" spans="2:54" s="58" customFormat="1" ht="14.25" customHeight="1" x14ac:dyDescent="0.3">
      <c r="B691" s="99">
        <f t="shared" ref="B691" si="538">B690+3</f>
        <v>45131</v>
      </c>
      <c r="C691" s="44">
        <f t="shared" si="497"/>
        <v>-1800375.5699999998</v>
      </c>
      <c r="D691" s="45">
        <v>84929.07</v>
      </c>
      <c r="E691" s="45"/>
      <c r="F691" s="45">
        <v>-0.85</v>
      </c>
      <c r="G691" s="45">
        <f t="shared" si="524"/>
        <v>-1715447.3499999999</v>
      </c>
      <c r="H691" s="44">
        <v>4300000</v>
      </c>
      <c r="I691" s="46">
        <f t="shared" si="498"/>
        <v>6199.7099999998391</v>
      </c>
      <c r="J691" s="47"/>
      <c r="K691" s="47">
        <f>138800+205000</f>
        <v>343800</v>
      </c>
      <c r="L691" s="47">
        <v>-226345.02</v>
      </c>
      <c r="M691" s="47">
        <f t="shared" si="499"/>
        <v>123654.68999999986</v>
      </c>
      <c r="N691" s="46">
        <v>5000000</v>
      </c>
      <c r="O691" s="48">
        <f t="shared" si="500"/>
        <v>4346.7800000000934</v>
      </c>
      <c r="P691" s="55">
        <v>222.38</v>
      </c>
      <c r="Q691" s="55">
        <f>203000-205000</f>
        <v>-2000</v>
      </c>
      <c r="R691" s="55"/>
      <c r="S691" s="55">
        <f t="shared" si="501"/>
        <v>2569.1600000000935</v>
      </c>
      <c r="T691" s="48"/>
      <c r="U691" s="49">
        <f t="shared" si="502"/>
        <v>350.5400000000169</v>
      </c>
      <c r="V691" s="51">
        <v>202719.34</v>
      </c>
      <c r="W691" s="51">
        <v>-203000</v>
      </c>
      <c r="X691" s="51">
        <v>-1.4</v>
      </c>
      <c r="Y691" s="51">
        <f t="shared" si="503"/>
        <v>68.480000000004651</v>
      </c>
      <c r="Z691" s="52"/>
      <c r="AA691" s="53">
        <f t="shared" si="504"/>
        <v>244.20000000000093</v>
      </c>
      <c r="AB691" s="54">
        <v>138647.99</v>
      </c>
      <c r="AC691" s="54">
        <v>-138800</v>
      </c>
      <c r="AD691" s="54"/>
      <c r="AE691" s="54">
        <f t="shared" si="505"/>
        <v>92.190000000002328</v>
      </c>
      <c r="AF691" s="53"/>
      <c r="AG691" s="53">
        <f t="shared" si="533"/>
        <v>402.53000000000463</v>
      </c>
      <c r="AH691" s="54"/>
      <c r="AI691" s="54"/>
      <c r="AJ691" s="54"/>
      <c r="AK691" s="54">
        <f t="shared" si="506"/>
        <v>402.53000000000463</v>
      </c>
      <c r="AL691" s="53"/>
      <c r="AM691" s="53">
        <f t="shared" si="486"/>
        <v>0</v>
      </c>
      <c r="AN691" s="54"/>
      <c r="AO691" s="54"/>
      <c r="AP691" s="54"/>
      <c r="AQ691" s="54">
        <f t="shared" si="487"/>
        <v>0</v>
      </c>
      <c r="AR691" s="53"/>
      <c r="AS691" s="50">
        <f t="shared" si="508"/>
        <v>-1788831.81</v>
      </c>
      <c r="AT691" s="73">
        <f t="shared" si="517"/>
        <v>426518.78</v>
      </c>
      <c r="AU691" s="50">
        <f t="shared" si="535"/>
        <v>0</v>
      </c>
      <c r="AV691" s="50">
        <f t="shared" si="518"/>
        <v>-226347.27</v>
      </c>
      <c r="AW691" s="50"/>
      <c r="AX691" s="50">
        <f t="shared" si="491"/>
        <v>-1588660.2999999998</v>
      </c>
      <c r="AY691" s="50">
        <f t="shared" si="492"/>
        <v>9300000</v>
      </c>
      <c r="AZ691" s="50">
        <f t="shared" si="493"/>
        <v>7711339.7000000002</v>
      </c>
      <c r="BA691" s="15"/>
      <c r="BB691" s="15"/>
    </row>
    <row r="692" spans="2:54" s="58" customFormat="1" ht="14.25" customHeight="1" x14ac:dyDescent="0.3">
      <c r="B692" s="99">
        <f t="shared" ref="B692" si="539">B691+1</f>
        <v>45132</v>
      </c>
      <c r="C692" s="44">
        <f t="shared" si="497"/>
        <v>-1715447.3499999999</v>
      </c>
      <c r="D692" s="45"/>
      <c r="E692" s="45"/>
      <c r="F692" s="45">
        <v>-245006.38</v>
      </c>
      <c r="G692" s="45">
        <f t="shared" si="524"/>
        <v>-1960453.73</v>
      </c>
      <c r="H692" s="44">
        <v>4300000</v>
      </c>
      <c r="I692" s="46">
        <f t="shared" si="498"/>
        <v>123654.68999999986</v>
      </c>
      <c r="J692" s="47"/>
      <c r="K692" s="47">
        <v>34000</v>
      </c>
      <c r="L692" s="47">
        <v>-80696.23</v>
      </c>
      <c r="M692" s="47">
        <f t="shared" si="499"/>
        <v>76958.459999999861</v>
      </c>
      <c r="N692" s="46">
        <v>5000000</v>
      </c>
      <c r="O692" s="48">
        <f t="shared" si="500"/>
        <v>2569.1600000000935</v>
      </c>
      <c r="P692" s="55">
        <v>32103.040000000001</v>
      </c>
      <c r="Q692" s="55">
        <v>-34000</v>
      </c>
      <c r="R692" s="55">
        <v>-113</v>
      </c>
      <c r="S692" s="55">
        <f t="shared" si="501"/>
        <v>559.20000000009168</v>
      </c>
      <c r="T692" s="48"/>
      <c r="U692" s="49">
        <f t="shared" si="502"/>
        <v>68.480000000004651</v>
      </c>
      <c r="V692" s="51"/>
      <c r="W692" s="51"/>
      <c r="X692" s="51"/>
      <c r="Y692" s="51">
        <f t="shared" si="503"/>
        <v>68.480000000004651</v>
      </c>
      <c r="Z692" s="52"/>
      <c r="AA692" s="53">
        <f t="shared" si="504"/>
        <v>92.190000000002328</v>
      </c>
      <c r="AB692" s="54">
        <v>1343249.95</v>
      </c>
      <c r="AC692" s="54"/>
      <c r="AD692" s="54"/>
      <c r="AE692" s="54">
        <f t="shared" si="505"/>
        <v>1343342.14</v>
      </c>
      <c r="AF692" s="53"/>
      <c r="AG692" s="53">
        <f t="shared" si="533"/>
        <v>402.53000000000463</v>
      </c>
      <c r="AH692" s="54"/>
      <c r="AI692" s="54"/>
      <c r="AJ692" s="54"/>
      <c r="AK692" s="54">
        <f t="shared" si="506"/>
        <v>402.53000000000463</v>
      </c>
      <c r="AL692" s="53"/>
      <c r="AM692" s="53">
        <f t="shared" si="486"/>
        <v>0</v>
      </c>
      <c r="AN692" s="54"/>
      <c r="AO692" s="54"/>
      <c r="AP692" s="54"/>
      <c r="AQ692" s="54">
        <f t="shared" si="487"/>
        <v>0</v>
      </c>
      <c r="AR692" s="53"/>
      <c r="AS692" s="50">
        <f t="shared" si="508"/>
        <v>-1588660.2999999998</v>
      </c>
      <c r="AT692" s="73">
        <f t="shared" si="517"/>
        <v>1375352.99</v>
      </c>
      <c r="AU692" s="50">
        <f t="shared" si="535"/>
        <v>0</v>
      </c>
      <c r="AV692" s="50">
        <f t="shared" si="518"/>
        <v>-325815.61</v>
      </c>
      <c r="AW692" s="50"/>
      <c r="AX692" s="50">
        <f t="shared" si="491"/>
        <v>-539122.91999999993</v>
      </c>
      <c r="AY692" s="50">
        <f t="shared" si="492"/>
        <v>9300000</v>
      </c>
      <c r="AZ692" s="50">
        <f t="shared" si="493"/>
        <v>8760877.0800000001</v>
      </c>
      <c r="BA692" s="15"/>
      <c r="BB692" s="15"/>
    </row>
    <row r="693" spans="2:54" s="58" customFormat="1" ht="13.95" customHeight="1" x14ac:dyDescent="0.3">
      <c r="B693" s="99">
        <f t="shared" si="525"/>
        <v>45133</v>
      </c>
      <c r="C693" s="44">
        <f t="shared" si="497"/>
        <v>-1960453.73</v>
      </c>
      <c r="D693" s="45">
        <v>142587.84</v>
      </c>
      <c r="E693" s="45">
        <v>1343000</v>
      </c>
      <c r="F693" s="45">
        <v>-30000</v>
      </c>
      <c r="G693" s="45">
        <f t="shared" si="524"/>
        <v>-504865.8899999999</v>
      </c>
      <c r="H693" s="44">
        <v>4300000</v>
      </c>
      <c r="I693" s="46">
        <f t="shared" si="498"/>
        <v>76958.459999999861</v>
      </c>
      <c r="J693" s="47">
        <v>9291.15</v>
      </c>
      <c r="K693" s="47"/>
      <c r="L693" s="47">
        <v>-46389.98</v>
      </c>
      <c r="M693" s="47">
        <f t="shared" si="499"/>
        <v>39859.629999999852</v>
      </c>
      <c r="N693" s="46">
        <v>5000000</v>
      </c>
      <c r="O693" s="48">
        <f t="shared" si="500"/>
        <v>559.20000000009168</v>
      </c>
      <c r="P693" s="55"/>
      <c r="Q693" s="55"/>
      <c r="R693" s="55">
        <v>-141.07</v>
      </c>
      <c r="S693" s="55">
        <f t="shared" si="501"/>
        <v>418.13000000009168</v>
      </c>
      <c r="T693" s="48"/>
      <c r="U693" s="49">
        <f t="shared" si="502"/>
        <v>68.480000000004651</v>
      </c>
      <c r="V693" s="51"/>
      <c r="W693" s="51"/>
      <c r="X693" s="51"/>
      <c r="Y693" s="51">
        <f t="shared" si="503"/>
        <v>68.480000000004651</v>
      </c>
      <c r="Z693" s="52"/>
      <c r="AA693" s="53">
        <f t="shared" si="504"/>
        <v>1343342.14</v>
      </c>
      <c r="AB693" s="54"/>
      <c r="AC693" s="54">
        <v>-1343000</v>
      </c>
      <c r="AD693" s="54"/>
      <c r="AE693" s="54">
        <f t="shared" si="505"/>
        <v>342.13999999989755</v>
      </c>
      <c r="AF693" s="53"/>
      <c r="AG693" s="53">
        <f t="shared" si="533"/>
        <v>402.53000000000463</v>
      </c>
      <c r="AH693" s="54"/>
      <c r="AI693" s="54"/>
      <c r="AJ693" s="54"/>
      <c r="AK693" s="54">
        <f t="shared" si="506"/>
        <v>402.53000000000463</v>
      </c>
      <c r="AL693" s="53"/>
      <c r="AM693" s="53">
        <f t="shared" ref="AM693:AM756" si="540">AQ692</f>
        <v>0</v>
      </c>
      <c r="AN693" s="54"/>
      <c r="AO693" s="54"/>
      <c r="AP693" s="54"/>
      <c r="AQ693" s="54">
        <f t="shared" ref="AQ693:AQ756" si="541">SUM(AM693:AP693)</f>
        <v>0</v>
      </c>
      <c r="AR693" s="53"/>
      <c r="AS693" s="50">
        <f t="shared" si="508"/>
        <v>-539122.91999999993</v>
      </c>
      <c r="AT693" s="73">
        <f t="shared" si="517"/>
        <v>151878.99</v>
      </c>
      <c r="AU693" s="50">
        <f t="shared" si="535"/>
        <v>0</v>
      </c>
      <c r="AV693" s="50">
        <f t="shared" si="518"/>
        <v>-76531.050000000017</v>
      </c>
      <c r="AW693" s="50"/>
      <c r="AX693" s="50">
        <f t="shared" si="491"/>
        <v>-463774.9800000001</v>
      </c>
      <c r="AY693" s="50">
        <f t="shared" si="492"/>
        <v>9300000</v>
      </c>
      <c r="AZ693" s="50">
        <f t="shared" si="493"/>
        <v>8836225.0199999996</v>
      </c>
      <c r="BA693" s="15"/>
      <c r="BB693" s="15"/>
    </row>
    <row r="694" spans="2:54" s="58" customFormat="1" ht="13.95" customHeight="1" x14ac:dyDescent="0.3">
      <c r="B694" s="99">
        <f t="shared" si="525"/>
        <v>45134</v>
      </c>
      <c r="C694" s="44">
        <f t="shared" si="497"/>
        <v>-504865.8899999999</v>
      </c>
      <c r="D694" s="45"/>
      <c r="E694" s="45"/>
      <c r="F694" s="45">
        <v>-20000</v>
      </c>
      <c r="G694" s="45">
        <f t="shared" si="524"/>
        <v>-524865.8899999999</v>
      </c>
      <c r="H694" s="44">
        <v>4300000</v>
      </c>
      <c r="I694" s="46">
        <f t="shared" si="498"/>
        <v>39859.629999999852</v>
      </c>
      <c r="J694" s="47"/>
      <c r="K694" s="47">
        <v>320000</v>
      </c>
      <c r="L694" s="47">
        <v>-161810.81</v>
      </c>
      <c r="M694" s="47">
        <f t="shared" si="499"/>
        <v>198048.81999999983</v>
      </c>
      <c r="N694" s="46">
        <v>5000000</v>
      </c>
      <c r="O694" s="48">
        <f t="shared" si="500"/>
        <v>418.13000000009168</v>
      </c>
      <c r="P694" s="55"/>
      <c r="Q694" s="55">
        <f>322000-320000</f>
        <v>2000</v>
      </c>
      <c r="R694" s="55">
        <v>-1631.4</v>
      </c>
      <c r="S694" s="55">
        <f t="shared" si="501"/>
        <v>786.73000000009142</v>
      </c>
      <c r="T694" s="48"/>
      <c r="U694" s="49">
        <f t="shared" si="502"/>
        <v>68.480000000004651</v>
      </c>
      <c r="V694" s="51">
        <v>322236.53000000003</v>
      </c>
      <c r="W694" s="51">
        <v>-322000</v>
      </c>
      <c r="X694" s="51">
        <v>-1.4</v>
      </c>
      <c r="Y694" s="51">
        <f t="shared" si="503"/>
        <v>303.61000000000934</v>
      </c>
      <c r="Z694" s="52"/>
      <c r="AA694" s="53">
        <f t="shared" si="504"/>
        <v>342.13999999989755</v>
      </c>
      <c r="AB694" s="54"/>
      <c r="AC694" s="54"/>
      <c r="AD694" s="54"/>
      <c r="AE694" s="54">
        <f t="shared" si="505"/>
        <v>342.13999999989755</v>
      </c>
      <c r="AF694" s="53"/>
      <c r="AG694" s="53">
        <f t="shared" si="533"/>
        <v>402.53000000000463</v>
      </c>
      <c r="AH694" s="54"/>
      <c r="AI694" s="54"/>
      <c r="AJ694" s="54"/>
      <c r="AK694" s="54">
        <f t="shared" si="506"/>
        <v>402.53000000000463</v>
      </c>
      <c r="AL694" s="53"/>
      <c r="AM694" s="53">
        <f t="shared" si="540"/>
        <v>0</v>
      </c>
      <c r="AN694" s="54"/>
      <c r="AO694" s="54"/>
      <c r="AP694" s="54"/>
      <c r="AQ694" s="54">
        <f t="shared" si="541"/>
        <v>0</v>
      </c>
      <c r="AR694" s="53"/>
      <c r="AS694" s="50">
        <f t="shared" si="508"/>
        <v>-463774.9800000001</v>
      </c>
      <c r="AT694" s="73">
        <f t="shared" si="517"/>
        <v>322236.53000000003</v>
      </c>
      <c r="AU694" s="50">
        <f t="shared" si="535"/>
        <v>0</v>
      </c>
      <c r="AV694" s="50">
        <f t="shared" si="518"/>
        <v>-183443.61</v>
      </c>
      <c r="AW694" s="50"/>
      <c r="AX694" s="50">
        <f t="shared" ref="AX694:AX757" si="542">SUM(G694,M694,S694,Y694,AE694,AK694)</f>
        <v>-324982.06000000006</v>
      </c>
      <c r="AY694" s="50">
        <f t="shared" ref="AY694:AY757" si="543">SUM(H694,N694,T694,Z694,AF694,AL694)</f>
        <v>9300000</v>
      </c>
      <c r="AZ694" s="50">
        <f t="shared" ref="AZ694:AZ757" si="544">AX694+AY694</f>
        <v>8975017.9399999995</v>
      </c>
      <c r="BA694" s="15"/>
      <c r="BB694" s="15"/>
    </row>
    <row r="695" spans="2:54" s="58" customFormat="1" ht="13.95" customHeight="1" x14ac:dyDescent="0.3">
      <c r="B695" s="99">
        <f t="shared" si="525"/>
        <v>45135</v>
      </c>
      <c r="C695" s="44">
        <f t="shared" si="497"/>
        <v>-524865.8899999999</v>
      </c>
      <c r="D695" s="45">
        <v>887604.34</v>
      </c>
      <c r="E695" s="45"/>
      <c r="F695" s="45"/>
      <c r="G695" s="45">
        <f t="shared" si="524"/>
        <v>362738.45000000007</v>
      </c>
      <c r="H695" s="44">
        <v>4300000</v>
      </c>
      <c r="I695" s="46">
        <f t="shared" si="498"/>
        <v>198048.81999999983</v>
      </c>
      <c r="J695" s="47">
        <v>217771.56</v>
      </c>
      <c r="K695" s="47">
        <f>388000+175000</f>
        <v>563000</v>
      </c>
      <c r="L695" s="47">
        <v>-244213.49</v>
      </c>
      <c r="M695" s="47">
        <f t="shared" si="499"/>
        <v>734606.8899999999</v>
      </c>
      <c r="N695" s="46">
        <v>5000000</v>
      </c>
      <c r="O695" s="48">
        <f t="shared" si="500"/>
        <v>786.73000000009142</v>
      </c>
      <c r="P695" s="55"/>
      <c r="Q695" s="55">
        <f>177200-175000</f>
        <v>2200</v>
      </c>
      <c r="R695" s="55"/>
      <c r="S695" s="55">
        <f t="shared" si="501"/>
        <v>2986.7300000000914</v>
      </c>
      <c r="T695" s="48"/>
      <c r="U695" s="49">
        <f t="shared" si="502"/>
        <v>303.61000000000934</v>
      </c>
      <c r="V695" s="51">
        <v>176990.42</v>
      </c>
      <c r="W695" s="51">
        <v>-177200</v>
      </c>
      <c r="X695" s="51">
        <v>-1.4</v>
      </c>
      <c r="Y695" s="51">
        <f t="shared" si="503"/>
        <v>92.630000000027934</v>
      </c>
      <c r="Z695" s="52"/>
      <c r="AA695" s="53">
        <f t="shared" si="504"/>
        <v>342.13999999989755</v>
      </c>
      <c r="AB695" s="54"/>
      <c r="AC695" s="54"/>
      <c r="AD695" s="54"/>
      <c r="AE695" s="54">
        <f t="shared" si="505"/>
        <v>342.13999999989755</v>
      </c>
      <c r="AF695" s="53"/>
      <c r="AG695" s="53">
        <f t="shared" si="533"/>
        <v>402.53000000000463</v>
      </c>
      <c r="AH695" s="54">
        <f>26428.16+361193.34</f>
        <v>387621.5</v>
      </c>
      <c r="AI695" s="54">
        <v>-388000</v>
      </c>
      <c r="AJ695" s="54"/>
      <c r="AK695" s="54">
        <f t="shared" si="506"/>
        <v>24.03000000002794</v>
      </c>
      <c r="AL695" s="53"/>
      <c r="AM695" s="53">
        <f t="shared" si="540"/>
        <v>0</v>
      </c>
      <c r="AN695" s="54"/>
      <c r="AO695" s="54"/>
      <c r="AP695" s="54"/>
      <c r="AQ695" s="54">
        <f t="shared" si="541"/>
        <v>0</v>
      </c>
      <c r="AR695" s="53"/>
      <c r="AS695" s="50">
        <f t="shared" si="508"/>
        <v>-324982.06000000006</v>
      </c>
      <c r="AT695" s="73">
        <f t="shared" si="517"/>
        <v>1669987.8199999998</v>
      </c>
      <c r="AU695" s="50">
        <f t="shared" si="535"/>
        <v>0</v>
      </c>
      <c r="AV695" s="50">
        <f t="shared" si="518"/>
        <v>-244214.88999999998</v>
      </c>
      <c r="AW695" s="50"/>
      <c r="AX695" s="50">
        <f t="shared" si="542"/>
        <v>1100790.8699999999</v>
      </c>
      <c r="AY695" s="50">
        <f t="shared" si="543"/>
        <v>9300000</v>
      </c>
      <c r="AZ695" s="50">
        <f t="shared" si="544"/>
        <v>10400790.869999999</v>
      </c>
      <c r="BA695" s="15"/>
      <c r="BB695" s="15"/>
    </row>
    <row r="696" spans="2:54" s="58" customFormat="1" ht="13.95" customHeight="1" x14ac:dyDescent="0.3">
      <c r="B696" s="99">
        <f t="shared" ref="B696" si="545">B695+3</f>
        <v>45138</v>
      </c>
      <c r="C696" s="44">
        <f t="shared" si="497"/>
        <v>362738.45000000007</v>
      </c>
      <c r="D696" s="45">
        <f>31533.6+45942</f>
        <v>77475.600000000006</v>
      </c>
      <c r="E696" s="45"/>
      <c r="F696" s="45">
        <v>-70294.19</v>
      </c>
      <c r="G696" s="45">
        <f t="shared" si="524"/>
        <v>369919.86000000004</v>
      </c>
      <c r="H696" s="44">
        <v>4300000</v>
      </c>
      <c r="I696" s="46">
        <f t="shared" si="498"/>
        <v>734606.8899999999</v>
      </c>
      <c r="J696" s="47">
        <v>584137.18999999994</v>
      </c>
      <c r="K696" s="47">
        <v>120000</v>
      </c>
      <c r="L696" s="47">
        <v>-856029.52</v>
      </c>
      <c r="M696" s="47">
        <f t="shared" si="499"/>
        <v>582714.55999999982</v>
      </c>
      <c r="N696" s="46">
        <v>5000000</v>
      </c>
      <c r="O696" s="48">
        <f t="shared" si="500"/>
        <v>2986.7300000000914</v>
      </c>
      <c r="P696" s="55">
        <v>701834.68</v>
      </c>
      <c r="Q696" s="55">
        <f>123000-120000</f>
        <v>3000</v>
      </c>
      <c r="R696" s="55">
        <f>-1265-117.6-10</f>
        <v>-1392.6</v>
      </c>
      <c r="S696" s="55">
        <f t="shared" si="501"/>
        <v>706428.81000000017</v>
      </c>
      <c r="T696" s="48"/>
      <c r="U696" s="49">
        <f t="shared" si="502"/>
        <v>92.630000000027934</v>
      </c>
      <c r="V696" s="51">
        <v>122954.91</v>
      </c>
      <c r="W696" s="51">
        <v>-123000</v>
      </c>
      <c r="X696" s="51"/>
      <c r="Y696" s="51">
        <f t="shared" si="503"/>
        <v>47.540000000037253</v>
      </c>
      <c r="Z696" s="52"/>
      <c r="AA696" s="53">
        <f t="shared" si="504"/>
        <v>342.13999999989755</v>
      </c>
      <c r="AB696" s="54"/>
      <c r="AC696" s="54"/>
      <c r="AD696" s="54"/>
      <c r="AE696" s="54">
        <f t="shared" si="505"/>
        <v>342.13999999989755</v>
      </c>
      <c r="AF696" s="53"/>
      <c r="AG696" s="53">
        <f t="shared" si="533"/>
        <v>24.03000000002794</v>
      </c>
      <c r="AH696" s="54"/>
      <c r="AI696" s="54"/>
      <c r="AJ696" s="54">
        <v>-9.6</v>
      </c>
      <c r="AK696" s="54">
        <f t="shared" si="506"/>
        <v>14.43000000002794</v>
      </c>
      <c r="AL696" s="53"/>
      <c r="AM696" s="53">
        <f t="shared" si="540"/>
        <v>0</v>
      </c>
      <c r="AN696" s="54"/>
      <c r="AO696" s="54"/>
      <c r="AP696" s="54"/>
      <c r="AQ696" s="54">
        <f t="shared" si="541"/>
        <v>0</v>
      </c>
      <c r="AR696" s="53"/>
      <c r="AS696" s="50">
        <f t="shared" si="508"/>
        <v>1100790.8699999999</v>
      </c>
      <c r="AT696" s="73">
        <f t="shared" si="517"/>
        <v>1486402.38</v>
      </c>
      <c r="AU696" s="50">
        <f t="shared" si="535"/>
        <v>0</v>
      </c>
      <c r="AV696" s="50">
        <f t="shared" si="518"/>
        <v>-927725.90999999992</v>
      </c>
      <c r="AW696" s="50"/>
      <c r="AX696" s="50">
        <f t="shared" si="542"/>
        <v>1659467.3399999999</v>
      </c>
      <c r="AY696" s="50">
        <f t="shared" si="543"/>
        <v>9300000</v>
      </c>
      <c r="AZ696" s="50">
        <f t="shared" si="544"/>
        <v>10959467.34</v>
      </c>
      <c r="BA696" s="15"/>
      <c r="BB696" s="15"/>
    </row>
    <row r="697" spans="2:54" s="58" customFormat="1" ht="13.95" customHeight="1" x14ac:dyDescent="0.3">
      <c r="B697" s="99">
        <f t="shared" ref="B697" si="546">B696+1</f>
        <v>45139</v>
      </c>
      <c r="C697" s="44">
        <f t="shared" si="497"/>
        <v>369919.86000000004</v>
      </c>
      <c r="D697" s="45">
        <f>238398.4+1200</f>
        <v>239598.4</v>
      </c>
      <c r="E697" s="45"/>
      <c r="F697" s="45">
        <v>-2.2000000000000002</v>
      </c>
      <c r="G697" s="45">
        <f t="shared" si="524"/>
        <v>609516.06000000006</v>
      </c>
      <c r="H697" s="44">
        <v>4300000</v>
      </c>
      <c r="I697" s="46">
        <f t="shared" si="498"/>
        <v>582714.55999999982</v>
      </c>
      <c r="J697" s="47">
        <v>3845.8</v>
      </c>
      <c r="K697" s="47">
        <v>700000</v>
      </c>
      <c r="L697" s="47">
        <v>-55563.71</v>
      </c>
      <c r="M697" s="47">
        <f t="shared" si="499"/>
        <v>1230996.6499999999</v>
      </c>
      <c r="N697" s="46">
        <v>5000000</v>
      </c>
      <c r="O697" s="48">
        <f t="shared" si="500"/>
        <v>706428.81000000017</v>
      </c>
      <c r="P697" s="55"/>
      <c r="Q697" s="55">
        <v>-700000</v>
      </c>
      <c r="R697" s="55">
        <v>-10</v>
      </c>
      <c r="S697" s="55">
        <f t="shared" si="501"/>
        <v>6418.8100000001723</v>
      </c>
      <c r="T697" s="48"/>
      <c r="U697" s="49">
        <f t="shared" si="502"/>
        <v>47.540000000037253</v>
      </c>
      <c r="V697" s="51"/>
      <c r="W697" s="51"/>
      <c r="X697" s="51">
        <v>-1.4</v>
      </c>
      <c r="Y697" s="51">
        <f t="shared" si="503"/>
        <v>46.140000000037254</v>
      </c>
      <c r="Z697" s="52"/>
      <c r="AA697" s="53">
        <f t="shared" si="504"/>
        <v>342.13999999989755</v>
      </c>
      <c r="AB697" s="54"/>
      <c r="AC697" s="54"/>
      <c r="AD697" s="54"/>
      <c r="AE697" s="54">
        <f t="shared" si="505"/>
        <v>342.13999999989755</v>
      </c>
      <c r="AF697" s="53"/>
      <c r="AG697" s="53">
        <f t="shared" si="533"/>
        <v>14.43000000002794</v>
      </c>
      <c r="AH697" s="54"/>
      <c r="AI697" s="54"/>
      <c r="AJ697" s="54"/>
      <c r="AK697" s="54">
        <f t="shared" si="506"/>
        <v>14.43000000002794</v>
      </c>
      <c r="AL697" s="53"/>
      <c r="AM697" s="53">
        <f t="shared" si="540"/>
        <v>0</v>
      </c>
      <c r="AN697" s="54"/>
      <c r="AO697" s="54"/>
      <c r="AP697" s="54"/>
      <c r="AQ697" s="54">
        <f t="shared" si="541"/>
        <v>0</v>
      </c>
      <c r="AR697" s="53"/>
      <c r="AS697" s="50">
        <f t="shared" si="508"/>
        <v>1659467.3399999999</v>
      </c>
      <c r="AT697" s="73">
        <f t="shared" si="517"/>
        <v>243444.19999999998</v>
      </c>
      <c r="AU697" s="50">
        <f t="shared" si="535"/>
        <v>0</v>
      </c>
      <c r="AV697" s="50">
        <f t="shared" si="518"/>
        <v>-55577.31</v>
      </c>
      <c r="AW697" s="50"/>
      <c r="AX697" s="50">
        <f t="shared" si="542"/>
        <v>1847334.23</v>
      </c>
      <c r="AY697" s="50">
        <f t="shared" si="543"/>
        <v>9300000</v>
      </c>
      <c r="AZ697" s="50">
        <f t="shared" si="544"/>
        <v>11147334.23</v>
      </c>
      <c r="BA697" s="15"/>
      <c r="BB697" s="15"/>
    </row>
    <row r="698" spans="2:54" s="58" customFormat="1" ht="13.95" customHeight="1" x14ac:dyDescent="0.3">
      <c r="B698" s="99">
        <f t="shared" si="525"/>
        <v>45140</v>
      </c>
      <c r="C698" s="44">
        <f t="shared" si="497"/>
        <v>609516.06000000006</v>
      </c>
      <c r="D698" s="45"/>
      <c r="E698" s="45"/>
      <c r="F698" s="45">
        <v>-210360.71</v>
      </c>
      <c r="G698" s="45">
        <f t="shared" si="524"/>
        <v>399155.35000000009</v>
      </c>
      <c r="H698" s="44">
        <v>4300000</v>
      </c>
      <c r="I698" s="46">
        <f t="shared" si="498"/>
        <v>1230996.6499999999</v>
      </c>
      <c r="J698" s="47"/>
      <c r="K698" s="47"/>
      <c r="L698" s="47">
        <v>-62368.23</v>
      </c>
      <c r="M698" s="47">
        <f t="shared" si="499"/>
        <v>1168628.42</v>
      </c>
      <c r="N698" s="46">
        <v>5000000</v>
      </c>
      <c r="O698" s="48">
        <f t="shared" si="500"/>
        <v>6418.8100000001723</v>
      </c>
      <c r="P698" s="55"/>
      <c r="Q698" s="55"/>
      <c r="R698" s="55">
        <v>-10</v>
      </c>
      <c r="S698" s="55">
        <f t="shared" si="501"/>
        <v>6408.8100000001723</v>
      </c>
      <c r="T698" s="48"/>
      <c r="U698" s="49">
        <f t="shared" si="502"/>
        <v>46.140000000037254</v>
      </c>
      <c r="V698" s="51"/>
      <c r="W698" s="51"/>
      <c r="X698" s="51">
        <v>-46.14</v>
      </c>
      <c r="Y698" s="51">
        <f t="shared" si="503"/>
        <v>3.7253755635902053E-11</v>
      </c>
      <c r="Z698" s="52"/>
      <c r="AA698" s="53">
        <f t="shared" si="504"/>
        <v>342.13999999989755</v>
      </c>
      <c r="AB698" s="54"/>
      <c r="AC698" s="54"/>
      <c r="AD698" s="54"/>
      <c r="AE698" s="54">
        <f t="shared" si="505"/>
        <v>342.13999999989755</v>
      </c>
      <c r="AF698" s="53"/>
      <c r="AG698" s="53">
        <f t="shared" si="533"/>
        <v>14.43000000002794</v>
      </c>
      <c r="AH698" s="54"/>
      <c r="AI698" s="54"/>
      <c r="AJ698" s="54"/>
      <c r="AK698" s="54">
        <f t="shared" si="506"/>
        <v>14.43000000002794</v>
      </c>
      <c r="AL698" s="53"/>
      <c r="AM698" s="53">
        <f t="shared" si="540"/>
        <v>0</v>
      </c>
      <c r="AN698" s="54"/>
      <c r="AO698" s="54"/>
      <c r="AP698" s="54"/>
      <c r="AQ698" s="54">
        <f t="shared" si="541"/>
        <v>0</v>
      </c>
      <c r="AR698" s="53"/>
      <c r="AS698" s="50">
        <f t="shared" si="508"/>
        <v>1847334.23</v>
      </c>
      <c r="AT698" s="73">
        <f t="shared" si="517"/>
        <v>0</v>
      </c>
      <c r="AU698" s="50">
        <f t="shared" si="535"/>
        <v>0</v>
      </c>
      <c r="AV698" s="50">
        <f t="shared" si="518"/>
        <v>-272785.08</v>
      </c>
      <c r="AW698" s="50"/>
      <c r="AX698" s="50">
        <f t="shared" si="542"/>
        <v>1574549.15</v>
      </c>
      <c r="AY698" s="50">
        <f t="shared" si="543"/>
        <v>9300000</v>
      </c>
      <c r="AZ698" s="50">
        <f t="shared" si="544"/>
        <v>10874549.15</v>
      </c>
      <c r="BA698" s="15"/>
      <c r="BB698" s="15"/>
    </row>
    <row r="699" spans="2:54" s="58" customFormat="1" ht="13.95" customHeight="1" x14ac:dyDescent="0.3">
      <c r="B699" s="99">
        <f t="shared" si="525"/>
        <v>45141</v>
      </c>
      <c r="C699" s="44">
        <f t="shared" ref="C699:C762" si="547">G698</f>
        <v>399155.35000000009</v>
      </c>
      <c r="D699" s="45">
        <f>43986.01+33809.84+349805.11</f>
        <v>427600.95999999996</v>
      </c>
      <c r="E699" s="45">
        <v>-800000</v>
      </c>
      <c r="F699" s="45">
        <v>-14560.97</v>
      </c>
      <c r="G699" s="45">
        <f t="shared" si="524"/>
        <v>12195.340000000057</v>
      </c>
      <c r="H699" s="44">
        <v>4300000</v>
      </c>
      <c r="I699" s="46">
        <f t="shared" ref="I699:I762" si="548">M698</f>
        <v>1168628.42</v>
      </c>
      <c r="J699" s="47"/>
      <c r="K699" s="47">
        <v>800000</v>
      </c>
      <c r="L699" s="47">
        <f>-2833498.23+3.96</f>
        <v>-2833494.27</v>
      </c>
      <c r="M699" s="47">
        <f t="shared" ref="M699:M762" si="549">SUM(I699:L699)</f>
        <v>-864865.85000000009</v>
      </c>
      <c r="N699" s="46">
        <v>5000000</v>
      </c>
      <c r="O699" s="48">
        <f t="shared" ref="O699:O762" si="550">S698</f>
        <v>6408.8100000001723</v>
      </c>
      <c r="P699" s="55"/>
      <c r="Q699" s="55">
        <v>-50</v>
      </c>
      <c r="R699" s="55">
        <f>-4003.4+50</f>
        <v>-3953.4</v>
      </c>
      <c r="S699" s="55">
        <f t="shared" ref="S699:S762" si="551">SUM(O699:R699)</f>
        <v>2405.4100000001722</v>
      </c>
      <c r="T699" s="48"/>
      <c r="U699" s="49">
        <f t="shared" ref="U699:U762" si="552">Y698</f>
        <v>3.7253755635902053E-11</v>
      </c>
      <c r="V699" s="51"/>
      <c r="W699" s="51">
        <v>50</v>
      </c>
      <c r="X699" s="51">
        <v>-16.36</v>
      </c>
      <c r="Y699" s="51">
        <f t="shared" ref="Y699:Y762" si="553">SUM(U699:X699)</f>
        <v>33.640000000037254</v>
      </c>
      <c r="Z699" s="52"/>
      <c r="AA699" s="53">
        <f t="shared" ref="AA699:AA762" si="554">AE698</f>
        <v>342.13999999989755</v>
      </c>
      <c r="AB699" s="54"/>
      <c r="AC699" s="54"/>
      <c r="AD699" s="54"/>
      <c r="AE699" s="54">
        <f t="shared" ref="AE699:AE762" si="555">SUM(AA699:AD699)</f>
        <v>342.13999999989755</v>
      </c>
      <c r="AF699" s="53"/>
      <c r="AG699" s="53">
        <f t="shared" si="533"/>
        <v>14.43000000002794</v>
      </c>
      <c r="AH699" s="54"/>
      <c r="AI699" s="54"/>
      <c r="AJ699" s="54"/>
      <c r="AK699" s="54">
        <f t="shared" ref="AK699:AK762" si="556">SUM(AG699:AJ699)</f>
        <v>14.43000000002794</v>
      </c>
      <c r="AL699" s="53"/>
      <c r="AM699" s="53">
        <f t="shared" si="540"/>
        <v>0</v>
      </c>
      <c r="AN699" s="54"/>
      <c r="AO699" s="54"/>
      <c r="AP699" s="54"/>
      <c r="AQ699" s="54">
        <f t="shared" si="541"/>
        <v>0</v>
      </c>
      <c r="AR699" s="53"/>
      <c r="AS699" s="50">
        <f t="shared" si="508"/>
        <v>1574549.15</v>
      </c>
      <c r="AT699" s="73">
        <f t="shared" si="517"/>
        <v>427600.95999999996</v>
      </c>
      <c r="AU699" s="50">
        <f t="shared" si="535"/>
        <v>0</v>
      </c>
      <c r="AV699" s="50">
        <f t="shared" si="518"/>
        <v>-2852025</v>
      </c>
      <c r="AW699" s="50"/>
      <c r="AX699" s="50">
        <f t="shared" si="542"/>
        <v>-849874.8899999999</v>
      </c>
      <c r="AY699" s="50">
        <f t="shared" si="543"/>
        <v>9300000</v>
      </c>
      <c r="AZ699" s="50">
        <f t="shared" si="544"/>
        <v>8450125.1099999994</v>
      </c>
      <c r="BA699" s="15"/>
      <c r="BB699" s="15"/>
    </row>
    <row r="700" spans="2:54" s="58" customFormat="1" ht="13.95" customHeight="1" x14ac:dyDescent="0.3">
      <c r="B700" s="99">
        <f t="shared" si="525"/>
        <v>45142</v>
      </c>
      <c r="C700" s="44">
        <f t="shared" si="547"/>
        <v>12195.340000000057</v>
      </c>
      <c r="D700" s="45"/>
      <c r="E700" s="45"/>
      <c r="F700" s="45">
        <v>-6450</v>
      </c>
      <c r="G700" s="45">
        <f t="shared" si="524"/>
        <v>5745.3400000000565</v>
      </c>
      <c r="H700" s="44">
        <v>4300000</v>
      </c>
      <c r="I700" s="46">
        <f t="shared" si="548"/>
        <v>-864865.85000000009</v>
      </c>
      <c r="J700" s="47"/>
      <c r="K700" s="47">
        <v>13000</v>
      </c>
      <c r="L700" s="47">
        <v>-529712.02</v>
      </c>
      <c r="M700" s="47">
        <f t="shared" si="549"/>
        <v>-1381577.87</v>
      </c>
      <c r="N700" s="46">
        <v>5000000</v>
      </c>
      <c r="O700" s="48">
        <f t="shared" si="550"/>
        <v>2405.4100000001722</v>
      </c>
      <c r="P700" s="55"/>
      <c r="Q700" s="55"/>
      <c r="R700" s="55">
        <v>-44.88</v>
      </c>
      <c r="S700" s="55">
        <f t="shared" si="551"/>
        <v>2360.5300000001721</v>
      </c>
      <c r="T700" s="48"/>
      <c r="U700" s="49">
        <f t="shared" si="552"/>
        <v>33.640000000037254</v>
      </c>
      <c r="V700" s="51"/>
      <c r="W700" s="51"/>
      <c r="X700" s="51"/>
      <c r="Y700" s="51">
        <f t="shared" si="553"/>
        <v>33.640000000037254</v>
      </c>
      <c r="Z700" s="52"/>
      <c r="AA700" s="53">
        <f t="shared" si="554"/>
        <v>342.13999999989755</v>
      </c>
      <c r="AB700" s="54"/>
      <c r="AC700" s="54"/>
      <c r="AD700" s="54"/>
      <c r="AE700" s="54">
        <f t="shared" si="555"/>
        <v>342.13999999989755</v>
      </c>
      <c r="AF700" s="53"/>
      <c r="AG700" s="53">
        <f t="shared" si="533"/>
        <v>14.43000000002794</v>
      </c>
      <c r="AH700" s="54">
        <v>37151.870000000003</v>
      </c>
      <c r="AI700" s="54">
        <v>-13000</v>
      </c>
      <c r="AJ700" s="54">
        <v>-23547.1</v>
      </c>
      <c r="AK700" s="54">
        <f t="shared" si="556"/>
        <v>619.20000000003347</v>
      </c>
      <c r="AL700" s="53"/>
      <c r="AM700" s="53">
        <f t="shared" si="540"/>
        <v>0</v>
      </c>
      <c r="AN700" s="54"/>
      <c r="AO700" s="54"/>
      <c r="AP700" s="54"/>
      <c r="AQ700" s="54">
        <f t="shared" si="541"/>
        <v>0</v>
      </c>
      <c r="AR700" s="53"/>
      <c r="AS700" s="50">
        <f t="shared" ref="AS700:AS706" si="557">SUM(C700,I700,O700,U700,AA700,AG700)</f>
        <v>-849874.8899999999</v>
      </c>
      <c r="AT700" s="73">
        <f t="shared" si="517"/>
        <v>37151.870000000003</v>
      </c>
      <c r="AU700" s="50">
        <f t="shared" si="535"/>
        <v>0</v>
      </c>
      <c r="AV700" s="50">
        <f t="shared" si="518"/>
        <v>-559754</v>
      </c>
      <c r="AW700" s="50"/>
      <c r="AX700" s="50">
        <f t="shared" si="542"/>
        <v>-1372477.0199999998</v>
      </c>
      <c r="AY700" s="50">
        <f t="shared" si="543"/>
        <v>9300000</v>
      </c>
      <c r="AZ700" s="50">
        <f t="shared" si="544"/>
        <v>7927522.9800000004</v>
      </c>
      <c r="BA700" s="15"/>
      <c r="BB700" s="15"/>
    </row>
    <row r="701" spans="2:54" s="58" customFormat="1" ht="13.95" customHeight="1" x14ac:dyDescent="0.3">
      <c r="B701" s="99">
        <f t="shared" ref="B701" si="558">B700+3</f>
        <v>45145</v>
      </c>
      <c r="C701" s="44">
        <f t="shared" si="547"/>
        <v>5745.3400000000565</v>
      </c>
      <c r="D701" s="45"/>
      <c r="E701" s="45"/>
      <c r="F701" s="45">
        <v>-698.05</v>
      </c>
      <c r="G701" s="45">
        <f t="shared" si="524"/>
        <v>5047.2900000000564</v>
      </c>
      <c r="H701" s="44">
        <v>4300000</v>
      </c>
      <c r="I701" s="46">
        <f t="shared" si="548"/>
        <v>-1381577.87</v>
      </c>
      <c r="J701" s="47">
        <v>37540</v>
      </c>
      <c r="K701" s="47"/>
      <c r="L701" s="47">
        <v>-1320177.3500000001</v>
      </c>
      <c r="M701" s="47">
        <f t="shared" si="549"/>
        <v>-2664215.2200000002</v>
      </c>
      <c r="N701" s="46">
        <v>5000000</v>
      </c>
      <c r="O701" s="48">
        <f t="shared" si="550"/>
        <v>2360.5300000001721</v>
      </c>
      <c r="P701" s="55"/>
      <c r="Q701" s="55"/>
      <c r="R701" s="55"/>
      <c r="S701" s="55">
        <f t="shared" si="551"/>
        <v>2360.5300000001721</v>
      </c>
      <c r="T701" s="48"/>
      <c r="U701" s="49">
        <f t="shared" si="552"/>
        <v>33.640000000037254</v>
      </c>
      <c r="V701" s="51"/>
      <c r="W701" s="51"/>
      <c r="X701" s="51"/>
      <c r="Y701" s="51">
        <f t="shared" si="553"/>
        <v>33.640000000037254</v>
      </c>
      <c r="Z701" s="52"/>
      <c r="AA701" s="53">
        <f t="shared" si="554"/>
        <v>342.13999999989755</v>
      </c>
      <c r="AB701" s="54"/>
      <c r="AC701" s="54"/>
      <c r="AD701" s="54"/>
      <c r="AE701" s="54">
        <f t="shared" si="555"/>
        <v>342.13999999989755</v>
      </c>
      <c r="AF701" s="53"/>
      <c r="AG701" s="53">
        <f t="shared" si="533"/>
        <v>619.20000000003347</v>
      </c>
      <c r="AH701" s="54"/>
      <c r="AI701" s="54"/>
      <c r="AJ701" s="54">
        <v>-9.9</v>
      </c>
      <c r="AK701" s="54">
        <f t="shared" si="556"/>
        <v>609.30000000003349</v>
      </c>
      <c r="AL701" s="53"/>
      <c r="AM701" s="53">
        <f t="shared" si="540"/>
        <v>0</v>
      </c>
      <c r="AN701" s="54"/>
      <c r="AO701" s="54"/>
      <c r="AP701" s="54"/>
      <c r="AQ701" s="54">
        <f t="shared" si="541"/>
        <v>0</v>
      </c>
      <c r="AR701" s="53"/>
      <c r="AS701" s="50">
        <f t="shared" si="557"/>
        <v>-1372477.0199999998</v>
      </c>
      <c r="AT701" s="73">
        <f t="shared" si="517"/>
        <v>37540</v>
      </c>
      <c r="AU701" s="50">
        <f t="shared" si="535"/>
        <v>0</v>
      </c>
      <c r="AV701" s="50">
        <f t="shared" si="518"/>
        <v>-1320885.3</v>
      </c>
      <c r="AW701" s="50"/>
      <c r="AX701" s="50">
        <f t="shared" si="542"/>
        <v>-2655822.3200000003</v>
      </c>
      <c r="AY701" s="50">
        <f t="shared" si="543"/>
        <v>9300000</v>
      </c>
      <c r="AZ701" s="50">
        <f t="shared" si="544"/>
        <v>6644177.6799999997</v>
      </c>
      <c r="BA701" s="15"/>
      <c r="BB701" s="15"/>
    </row>
    <row r="702" spans="2:54" s="58" customFormat="1" ht="13.95" customHeight="1" x14ac:dyDescent="0.3">
      <c r="B702" s="99">
        <f t="shared" ref="B702" si="559">B701+1</f>
        <v>45146</v>
      </c>
      <c r="C702" s="44">
        <f t="shared" si="547"/>
        <v>5047.2900000000564</v>
      </c>
      <c r="D702" s="45"/>
      <c r="E702" s="45"/>
      <c r="F702" s="45">
        <v>-40.1</v>
      </c>
      <c r="G702" s="45">
        <f t="shared" si="524"/>
        <v>5007.190000000056</v>
      </c>
      <c r="H702" s="44">
        <v>4300000</v>
      </c>
      <c r="I702" s="46">
        <f t="shared" si="548"/>
        <v>-2664215.2200000002</v>
      </c>
      <c r="J702" s="47"/>
      <c r="K702" s="47"/>
      <c r="L702" s="47">
        <v>-60825.99</v>
      </c>
      <c r="M702" s="47">
        <f t="shared" si="549"/>
        <v>-2725041.2100000004</v>
      </c>
      <c r="N702" s="46">
        <v>5000000</v>
      </c>
      <c r="O702" s="48">
        <f t="shared" si="550"/>
        <v>2360.5300000001721</v>
      </c>
      <c r="P702" s="55"/>
      <c r="Q702" s="55"/>
      <c r="R702" s="55"/>
      <c r="S702" s="55">
        <f t="shared" si="551"/>
        <v>2360.5300000001721</v>
      </c>
      <c r="T702" s="48"/>
      <c r="U702" s="49">
        <f t="shared" si="552"/>
        <v>33.640000000037254</v>
      </c>
      <c r="V702" s="51"/>
      <c r="W702" s="51"/>
      <c r="X702" s="51"/>
      <c r="Y702" s="51">
        <f t="shared" si="553"/>
        <v>33.640000000037254</v>
      </c>
      <c r="Z702" s="52"/>
      <c r="AA702" s="53">
        <f t="shared" si="554"/>
        <v>342.13999999989755</v>
      </c>
      <c r="AB702" s="54"/>
      <c r="AC702" s="54"/>
      <c r="AD702" s="54"/>
      <c r="AE702" s="54">
        <f t="shared" si="555"/>
        <v>342.13999999989755</v>
      </c>
      <c r="AF702" s="53"/>
      <c r="AG702" s="53">
        <f t="shared" si="533"/>
        <v>609.30000000003349</v>
      </c>
      <c r="AH702" s="54"/>
      <c r="AI702" s="54"/>
      <c r="AJ702" s="54"/>
      <c r="AK702" s="54">
        <f t="shared" si="556"/>
        <v>609.30000000003349</v>
      </c>
      <c r="AL702" s="53"/>
      <c r="AM702" s="53">
        <f t="shared" si="540"/>
        <v>0</v>
      </c>
      <c r="AN702" s="54"/>
      <c r="AO702" s="54"/>
      <c r="AP702" s="54"/>
      <c r="AQ702" s="54">
        <f t="shared" si="541"/>
        <v>0</v>
      </c>
      <c r="AR702" s="53"/>
      <c r="AS702" s="50">
        <f t="shared" si="557"/>
        <v>-2655822.3200000003</v>
      </c>
      <c r="AT702" s="73">
        <f t="shared" si="517"/>
        <v>0</v>
      </c>
      <c r="AU702" s="50">
        <f t="shared" si="535"/>
        <v>0</v>
      </c>
      <c r="AV702" s="50">
        <f t="shared" si="518"/>
        <v>-60866.09</v>
      </c>
      <c r="AW702" s="50"/>
      <c r="AX702" s="50">
        <f t="shared" si="542"/>
        <v>-2716688.41</v>
      </c>
      <c r="AY702" s="50">
        <f t="shared" si="543"/>
        <v>9300000</v>
      </c>
      <c r="AZ702" s="50">
        <f t="shared" si="544"/>
        <v>6583311.5899999999</v>
      </c>
      <c r="BA702" s="15"/>
      <c r="BB702" s="15"/>
    </row>
    <row r="703" spans="2:54" s="58" customFormat="1" ht="13.95" customHeight="1" x14ac:dyDescent="0.3">
      <c r="B703" s="99">
        <f t="shared" si="525"/>
        <v>45147</v>
      </c>
      <c r="C703" s="44">
        <f t="shared" si="547"/>
        <v>5007.190000000056</v>
      </c>
      <c r="D703" s="45"/>
      <c r="E703" s="45"/>
      <c r="F703" s="45">
        <v>-2738.97</v>
      </c>
      <c r="G703" s="45">
        <f t="shared" si="524"/>
        <v>2268.2200000000562</v>
      </c>
      <c r="H703" s="44">
        <v>4300000</v>
      </c>
      <c r="I703" s="46">
        <f t="shared" si="548"/>
        <v>-2725041.2100000004</v>
      </c>
      <c r="J703" s="47"/>
      <c r="K703" s="47"/>
      <c r="L703" s="47">
        <v>-84039.93</v>
      </c>
      <c r="M703" s="47">
        <f t="shared" si="549"/>
        <v>-2809081.1400000006</v>
      </c>
      <c r="N703" s="46">
        <v>5000000</v>
      </c>
      <c r="O703" s="48">
        <f t="shared" si="550"/>
        <v>2360.5300000001721</v>
      </c>
      <c r="P703" s="55"/>
      <c r="Q703" s="55"/>
      <c r="R703" s="55"/>
      <c r="S703" s="55">
        <f t="shared" si="551"/>
        <v>2360.5300000001721</v>
      </c>
      <c r="T703" s="48"/>
      <c r="U703" s="49">
        <f t="shared" si="552"/>
        <v>33.640000000037254</v>
      </c>
      <c r="V703" s="51"/>
      <c r="W703" s="51"/>
      <c r="X703" s="51"/>
      <c r="Y703" s="51">
        <f t="shared" si="553"/>
        <v>33.640000000037254</v>
      </c>
      <c r="Z703" s="52"/>
      <c r="AA703" s="53">
        <f t="shared" si="554"/>
        <v>342.13999999989755</v>
      </c>
      <c r="AB703" s="54"/>
      <c r="AC703" s="54"/>
      <c r="AD703" s="54"/>
      <c r="AE703" s="54">
        <f t="shared" si="555"/>
        <v>342.13999999989755</v>
      </c>
      <c r="AF703" s="53"/>
      <c r="AG703" s="53">
        <f t="shared" si="533"/>
        <v>609.30000000003349</v>
      </c>
      <c r="AH703" s="54"/>
      <c r="AI703" s="54"/>
      <c r="AJ703" s="54"/>
      <c r="AK703" s="54">
        <f t="shared" si="556"/>
        <v>609.30000000003349</v>
      </c>
      <c r="AL703" s="53"/>
      <c r="AM703" s="53">
        <f t="shared" si="540"/>
        <v>0</v>
      </c>
      <c r="AN703" s="54"/>
      <c r="AO703" s="54"/>
      <c r="AP703" s="54"/>
      <c r="AQ703" s="54">
        <f t="shared" si="541"/>
        <v>0</v>
      </c>
      <c r="AR703" s="53"/>
      <c r="AS703" s="50">
        <f t="shared" si="557"/>
        <v>-2716688.41</v>
      </c>
      <c r="AT703" s="73">
        <f t="shared" ref="AT703:AT745" si="560">SUM(D703,J703,P703,V703,AB703,AH703)</f>
        <v>0</v>
      </c>
      <c r="AU703" s="50">
        <f t="shared" si="535"/>
        <v>0</v>
      </c>
      <c r="AV703" s="50">
        <f t="shared" si="518"/>
        <v>-86778.9</v>
      </c>
      <c r="AW703" s="50"/>
      <c r="AX703" s="50">
        <f t="shared" si="542"/>
        <v>-2803467.3100000005</v>
      </c>
      <c r="AY703" s="50">
        <f t="shared" si="543"/>
        <v>9300000</v>
      </c>
      <c r="AZ703" s="50">
        <f t="shared" si="544"/>
        <v>6496532.6899999995</v>
      </c>
      <c r="BA703" s="15"/>
      <c r="BB703" s="15"/>
    </row>
    <row r="704" spans="2:54" s="58" customFormat="1" ht="13.95" customHeight="1" x14ac:dyDescent="0.3">
      <c r="B704" s="99">
        <f t="shared" si="525"/>
        <v>45148</v>
      </c>
      <c r="C704" s="44">
        <f t="shared" si="547"/>
        <v>2268.2200000000562</v>
      </c>
      <c r="D704" s="45">
        <v>260839.38</v>
      </c>
      <c r="E704" s="45">
        <v>-100000</v>
      </c>
      <c r="F704" s="45">
        <v>-133026.03</v>
      </c>
      <c r="G704" s="45">
        <f t="shared" si="524"/>
        <v>30081.570000000036</v>
      </c>
      <c r="H704" s="44">
        <v>4300000</v>
      </c>
      <c r="I704" s="46">
        <f t="shared" si="548"/>
        <v>-2809081.1400000006</v>
      </c>
      <c r="J704" s="47">
        <v>14721.73</v>
      </c>
      <c r="K704" s="47">
        <f>100000+88900</f>
        <v>188900</v>
      </c>
      <c r="L704" s="47">
        <v>-103487.63</v>
      </c>
      <c r="M704" s="47">
        <f t="shared" si="549"/>
        <v>-2708947.0400000005</v>
      </c>
      <c r="N704" s="46">
        <v>5000000</v>
      </c>
      <c r="O704" s="48">
        <f t="shared" si="550"/>
        <v>2360.5300000001721</v>
      </c>
      <c r="P704" s="55"/>
      <c r="Q704" s="55"/>
      <c r="R704" s="55"/>
      <c r="S704" s="55">
        <f t="shared" si="551"/>
        <v>2360.5300000001721</v>
      </c>
      <c r="T704" s="48"/>
      <c r="U704" s="49">
        <f t="shared" si="552"/>
        <v>33.640000000037254</v>
      </c>
      <c r="V704" s="51">
        <v>88965.29</v>
      </c>
      <c r="W704" s="51">
        <v>-88900</v>
      </c>
      <c r="X704" s="51"/>
      <c r="Y704" s="51">
        <f t="shared" si="553"/>
        <v>98.930000000036671</v>
      </c>
      <c r="Z704" s="52"/>
      <c r="AA704" s="53">
        <f t="shared" si="554"/>
        <v>342.13999999989755</v>
      </c>
      <c r="AB704" s="54"/>
      <c r="AC704" s="54"/>
      <c r="AD704" s="54"/>
      <c r="AE704" s="54">
        <f t="shared" si="555"/>
        <v>342.13999999989755</v>
      </c>
      <c r="AF704" s="53"/>
      <c r="AG704" s="53">
        <f t="shared" si="533"/>
        <v>609.30000000003349</v>
      </c>
      <c r="AH704" s="54"/>
      <c r="AI704" s="54"/>
      <c r="AJ704" s="54"/>
      <c r="AK704" s="54">
        <f t="shared" si="556"/>
        <v>609.30000000003349</v>
      </c>
      <c r="AL704" s="53"/>
      <c r="AM704" s="53">
        <f t="shared" si="540"/>
        <v>0</v>
      </c>
      <c r="AN704" s="54"/>
      <c r="AO704" s="54"/>
      <c r="AP704" s="54"/>
      <c r="AQ704" s="54">
        <f t="shared" si="541"/>
        <v>0</v>
      </c>
      <c r="AR704" s="53"/>
      <c r="AS704" s="50">
        <f t="shared" si="557"/>
        <v>-2803467.3100000005</v>
      </c>
      <c r="AT704" s="73">
        <f t="shared" si="560"/>
        <v>364526.39999999997</v>
      </c>
      <c r="AU704" s="50">
        <f t="shared" si="535"/>
        <v>0</v>
      </c>
      <c r="AV704" s="50">
        <f t="shared" si="518"/>
        <v>-236513.66</v>
      </c>
      <c r="AW704" s="50"/>
      <c r="AX704" s="50">
        <f t="shared" si="542"/>
        <v>-2675454.5700000003</v>
      </c>
      <c r="AY704" s="50">
        <f t="shared" si="543"/>
        <v>9300000</v>
      </c>
      <c r="AZ704" s="50">
        <f t="shared" si="544"/>
        <v>6624545.4299999997</v>
      </c>
      <c r="BA704" s="15"/>
      <c r="BB704" s="15"/>
    </row>
    <row r="705" spans="2:54" s="58" customFormat="1" ht="13.95" customHeight="1" x14ac:dyDescent="0.3">
      <c r="B705" s="99">
        <f t="shared" si="525"/>
        <v>45149</v>
      </c>
      <c r="C705" s="44">
        <f t="shared" si="547"/>
        <v>30081.570000000036</v>
      </c>
      <c r="D705" s="45">
        <f>520615.38+86115.2</f>
        <v>606730.57999999996</v>
      </c>
      <c r="E705" s="45"/>
      <c r="F705" s="45">
        <v>-15344.77</v>
      </c>
      <c r="G705" s="45">
        <f t="shared" si="524"/>
        <v>621467.38</v>
      </c>
      <c r="H705" s="44">
        <v>4300000</v>
      </c>
      <c r="I705" s="46">
        <f t="shared" si="548"/>
        <v>-2708947.0400000005</v>
      </c>
      <c r="J705" s="47">
        <v>216211.3</v>
      </c>
      <c r="K705" s="47"/>
      <c r="L705" s="47">
        <v>-111784.72</v>
      </c>
      <c r="M705" s="47">
        <f t="shared" si="549"/>
        <v>-2604520.4600000009</v>
      </c>
      <c r="N705" s="46">
        <v>5000000</v>
      </c>
      <c r="O705" s="48">
        <f t="shared" si="550"/>
        <v>2360.5300000001721</v>
      </c>
      <c r="P705" s="55"/>
      <c r="Q705" s="55"/>
      <c r="R705" s="55"/>
      <c r="S705" s="55">
        <f t="shared" si="551"/>
        <v>2360.5300000001721</v>
      </c>
      <c r="T705" s="48"/>
      <c r="U705" s="49">
        <f t="shared" si="552"/>
        <v>98.930000000036671</v>
      </c>
      <c r="V705" s="51"/>
      <c r="W705" s="51"/>
      <c r="X705" s="51">
        <v>-10</v>
      </c>
      <c r="Y705" s="51">
        <f t="shared" si="553"/>
        <v>88.930000000036671</v>
      </c>
      <c r="Z705" s="52"/>
      <c r="AA705" s="53">
        <f t="shared" si="554"/>
        <v>342.13999999989755</v>
      </c>
      <c r="AB705" s="54"/>
      <c r="AC705" s="54"/>
      <c r="AD705" s="54"/>
      <c r="AE705" s="54">
        <f t="shared" si="555"/>
        <v>342.13999999989755</v>
      </c>
      <c r="AF705" s="53"/>
      <c r="AG705" s="53">
        <f t="shared" si="533"/>
        <v>609.30000000003349</v>
      </c>
      <c r="AH705" s="54"/>
      <c r="AI705" s="54"/>
      <c r="AJ705" s="54"/>
      <c r="AK705" s="54">
        <f t="shared" si="556"/>
        <v>609.30000000003349</v>
      </c>
      <c r="AL705" s="53"/>
      <c r="AM705" s="53">
        <f t="shared" si="540"/>
        <v>0</v>
      </c>
      <c r="AN705" s="54"/>
      <c r="AO705" s="54"/>
      <c r="AP705" s="54"/>
      <c r="AQ705" s="54">
        <f t="shared" si="541"/>
        <v>0</v>
      </c>
      <c r="AR705" s="53"/>
      <c r="AS705" s="50">
        <f t="shared" si="557"/>
        <v>-2675454.5700000003</v>
      </c>
      <c r="AT705" s="73">
        <f t="shared" si="560"/>
        <v>822941.87999999989</v>
      </c>
      <c r="AU705" s="50">
        <f t="shared" si="535"/>
        <v>0</v>
      </c>
      <c r="AV705" s="50">
        <f t="shared" si="518"/>
        <v>-127139.49</v>
      </c>
      <c r="AW705" s="50"/>
      <c r="AX705" s="50">
        <f t="shared" si="542"/>
        <v>-1979652.1800000009</v>
      </c>
      <c r="AY705" s="50">
        <f t="shared" si="543"/>
        <v>9300000</v>
      </c>
      <c r="AZ705" s="50">
        <f t="shared" si="544"/>
        <v>7320347.8199999994</v>
      </c>
      <c r="BA705" s="15"/>
      <c r="BB705" s="15"/>
    </row>
    <row r="706" spans="2:54" s="58" customFormat="1" ht="13.95" customHeight="1" x14ac:dyDescent="0.3">
      <c r="B706" s="99">
        <f t="shared" ref="B706" si="561">B705+3</f>
        <v>45152</v>
      </c>
      <c r="C706" s="44">
        <f t="shared" si="547"/>
        <v>621467.38</v>
      </c>
      <c r="D706" s="45">
        <f>27773.04+428359.34</f>
        <v>456132.38</v>
      </c>
      <c r="E706" s="45">
        <v>-1000000</v>
      </c>
      <c r="F706" s="45">
        <v>-11494.63</v>
      </c>
      <c r="G706" s="45">
        <f t="shared" si="524"/>
        <v>66105.13</v>
      </c>
      <c r="H706" s="44">
        <v>4300000</v>
      </c>
      <c r="I706" s="46">
        <f t="shared" si="548"/>
        <v>-2604520.4600000009</v>
      </c>
      <c r="J706" s="47">
        <v>126727.18</v>
      </c>
      <c r="K706" s="47">
        <v>1000000</v>
      </c>
      <c r="L706" s="47">
        <v>-1652101.13</v>
      </c>
      <c r="M706" s="47">
        <f t="shared" si="549"/>
        <v>-3129894.4100000006</v>
      </c>
      <c r="N706" s="46">
        <v>5000000</v>
      </c>
      <c r="O706" s="48">
        <f t="shared" si="550"/>
        <v>2360.5300000001721</v>
      </c>
      <c r="P706" s="55">
        <f>163.84+512.32</f>
        <v>676.16000000000008</v>
      </c>
      <c r="Q706" s="55"/>
      <c r="R706" s="55"/>
      <c r="S706" s="55">
        <f t="shared" si="551"/>
        <v>3036.6900000001724</v>
      </c>
      <c r="T706" s="48"/>
      <c r="U706" s="49">
        <f t="shared" si="552"/>
        <v>88.930000000036671</v>
      </c>
      <c r="V706" s="51"/>
      <c r="W706" s="51"/>
      <c r="X706" s="51"/>
      <c r="Y706" s="51">
        <f t="shared" si="553"/>
        <v>88.930000000036671</v>
      </c>
      <c r="Z706" s="52"/>
      <c r="AA706" s="53">
        <f t="shared" si="554"/>
        <v>342.13999999989755</v>
      </c>
      <c r="AB706" s="54"/>
      <c r="AC706" s="54"/>
      <c r="AD706" s="54"/>
      <c r="AE706" s="54">
        <f t="shared" si="555"/>
        <v>342.13999999989755</v>
      </c>
      <c r="AF706" s="53"/>
      <c r="AG706" s="53">
        <f t="shared" si="533"/>
        <v>609.30000000003349</v>
      </c>
      <c r="AH706" s="54"/>
      <c r="AI706" s="54"/>
      <c r="AJ706" s="54"/>
      <c r="AK706" s="54">
        <f t="shared" si="556"/>
        <v>609.30000000003349</v>
      </c>
      <c r="AL706" s="53"/>
      <c r="AM706" s="53">
        <f t="shared" si="540"/>
        <v>0</v>
      </c>
      <c r="AN706" s="54"/>
      <c r="AO706" s="54"/>
      <c r="AP706" s="54"/>
      <c r="AQ706" s="54">
        <f t="shared" si="541"/>
        <v>0</v>
      </c>
      <c r="AR706" s="53"/>
      <c r="AS706" s="50">
        <f t="shared" si="557"/>
        <v>-1979652.1800000009</v>
      </c>
      <c r="AT706" s="73">
        <f t="shared" si="560"/>
        <v>583535.72000000009</v>
      </c>
      <c r="AU706" s="50">
        <f t="shared" si="535"/>
        <v>0</v>
      </c>
      <c r="AV706" s="50">
        <f t="shared" si="518"/>
        <v>-1663595.7599999998</v>
      </c>
      <c r="AW706" s="50"/>
      <c r="AX706" s="50">
        <f t="shared" si="542"/>
        <v>-3059712.2200000007</v>
      </c>
      <c r="AY706" s="50">
        <f t="shared" si="543"/>
        <v>9300000</v>
      </c>
      <c r="AZ706" s="50">
        <f t="shared" si="544"/>
        <v>6240287.7799999993</v>
      </c>
      <c r="BA706" s="15"/>
      <c r="BB706" s="15"/>
    </row>
    <row r="707" spans="2:54" s="58" customFormat="1" ht="13.95" customHeight="1" x14ac:dyDescent="0.3">
      <c r="B707" s="99">
        <f t="shared" ref="B707" si="562">B706+1</f>
        <v>45153</v>
      </c>
      <c r="C707" s="44">
        <f t="shared" si="547"/>
        <v>66105.13</v>
      </c>
      <c r="D707" s="45">
        <f>1311.61+3136.61</f>
        <v>4448.22</v>
      </c>
      <c r="E707" s="45"/>
      <c r="F707" s="45">
        <v>-65282.15</v>
      </c>
      <c r="G707" s="45">
        <f t="shared" si="524"/>
        <v>5271.2000000000044</v>
      </c>
      <c r="H707" s="44">
        <v>4300000</v>
      </c>
      <c r="I707" s="46">
        <f t="shared" si="548"/>
        <v>-3129894.4100000006</v>
      </c>
      <c r="J707" s="47"/>
      <c r="K707" s="47"/>
      <c r="L707" s="47">
        <v>-16416.88</v>
      </c>
      <c r="M707" s="47">
        <f t="shared" si="549"/>
        <v>-3146311.2900000005</v>
      </c>
      <c r="N707" s="46">
        <v>5000000</v>
      </c>
      <c r="O707" s="48">
        <f t="shared" si="550"/>
        <v>3036.6900000001724</v>
      </c>
      <c r="P707" s="55"/>
      <c r="Q707" s="55"/>
      <c r="R707" s="55"/>
      <c r="S707" s="55">
        <f t="shared" si="551"/>
        <v>3036.6900000001724</v>
      </c>
      <c r="T707" s="48"/>
      <c r="U707" s="49">
        <f t="shared" si="552"/>
        <v>88.930000000036671</v>
      </c>
      <c r="V707" s="51"/>
      <c r="W707" s="51"/>
      <c r="X707" s="51"/>
      <c r="Y707" s="51">
        <f t="shared" si="553"/>
        <v>88.930000000036671</v>
      </c>
      <c r="Z707" s="52"/>
      <c r="AA707" s="53">
        <f t="shared" si="554"/>
        <v>342.13999999989755</v>
      </c>
      <c r="AB707" s="54"/>
      <c r="AC707" s="54"/>
      <c r="AD707" s="54"/>
      <c r="AE707" s="54">
        <f t="shared" si="555"/>
        <v>342.13999999989755</v>
      </c>
      <c r="AF707" s="53"/>
      <c r="AG707" s="53">
        <f t="shared" si="533"/>
        <v>609.30000000003349</v>
      </c>
      <c r="AH707" s="54"/>
      <c r="AI707" s="54"/>
      <c r="AJ707" s="54"/>
      <c r="AK707" s="54">
        <f t="shared" si="556"/>
        <v>609.30000000003349</v>
      </c>
      <c r="AL707" s="53"/>
      <c r="AM707" s="53">
        <f t="shared" si="540"/>
        <v>0</v>
      </c>
      <c r="AN707" s="54"/>
      <c r="AO707" s="54"/>
      <c r="AP707" s="54"/>
      <c r="AQ707" s="54">
        <f t="shared" si="541"/>
        <v>0</v>
      </c>
      <c r="AR707" s="53"/>
      <c r="AS707" s="50">
        <f t="shared" ref="AS707:AS738" si="563">SUM(C707,I707,O707,U707,AA707,)</f>
        <v>-3060321.5200000005</v>
      </c>
      <c r="AT707" s="73">
        <f t="shared" si="560"/>
        <v>4448.22</v>
      </c>
      <c r="AU707" s="50">
        <f t="shared" si="535"/>
        <v>0</v>
      </c>
      <c r="AV707" s="50">
        <f t="shared" si="518"/>
        <v>-81699.03</v>
      </c>
      <c r="AW707" s="50"/>
      <c r="AX707" s="50">
        <f t="shared" si="542"/>
        <v>-3136963.0300000003</v>
      </c>
      <c r="AY707" s="50">
        <f t="shared" si="543"/>
        <v>9300000</v>
      </c>
      <c r="AZ707" s="50">
        <f t="shared" si="544"/>
        <v>6163036.9699999997</v>
      </c>
      <c r="BA707" s="15"/>
      <c r="BB707" s="15"/>
    </row>
    <row r="708" spans="2:54" s="58" customFormat="1" ht="13.95" customHeight="1" x14ac:dyDescent="0.3">
      <c r="B708" s="99">
        <f t="shared" si="525"/>
        <v>45154</v>
      </c>
      <c r="C708" s="44">
        <f t="shared" si="547"/>
        <v>5271.2000000000044</v>
      </c>
      <c r="D708" s="45"/>
      <c r="E708" s="45"/>
      <c r="F708" s="45">
        <v>-5263.21</v>
      </c>
      <c r="G708" s="45">
        <f t="shared" si="524"/>
        <v>7.9900000000043292</v>
      </c>
      <c r="H708" s="44">
        <v>4300000</v>
      </c>
      <c r="I708" s="46">
        <f t="shared" si="548"/>
        <v>-3146311.2900000005</v>
      </c>
      <c r="J708" s="47">
        <v>140775</v>
      </c>
      <c r="K708" s="47"/>
      <c r="L708" s="47">
        <v>-115546.82</v>
      </c>
      <c r="M708" s="47">
        <f t="shared" si="549"/>
        <v>-3121083.1100000003</v>
      </c>
      <c r="N708" s="46">
        <v>5000000</v>
      </c>
      <c r="O708" s="48">
        <f t="shared" si="550"/>
        <v>3036.6900000001724</v>
      </c>
      <c r="P708" s="55">
        <v>162.88</v>
      </c>
      <c r="Q708" s="55"/>
      <c r="R708" s="55">
        <v>-1674.22</v>
      </c>
      <c r="S708" s="55">
        <f t="shared" si="551"/>
        <v>1525.3500000001725</v>
      </c>
      <c r="T708" s="48"/>
      <c r="U708" s="49">
        <f t="shared" si="552"/>
        <v>88.930000000036671</v>
      </c>
      <c r="V708" s="51"/>
      <c r="W708" s="51"/>
      <c r="X708" s="51"/>
      <c r="Y708" s="51">
        <f t="shared" si="553"/>
        <v>88.930000000036671</v>
      </c>
      <c r="Z708" s="52"/>
      <c r="AA708" s="53">
        <f t="shared" si="554"/>
        <v>342.13999999989755</v>
      </c>
      <c r="AB708" s="54"/>
      <c r="AC708" s="54"/>
      <c r="AD708" s="54">
        <v>-28.5</v>
      </c>
      <c r="AE708" s="54">
        <f t="shared" si="555"/>
        <v>313.63999999989755</v>
      </c>
      <c r="AF708" s="53"/>
      <c r="AG708" s="53">
        <f t="shared" si="533"/>
        <v>609.30000000003349</v>
      </c>
      <c r="AH708" s="54"/>
      <c r="AI708" s="54"/>
      <c r="AJ708" s="54"/>
      <c r="AK708" s="54">
        <f t="shared" si="556"/>
        <v>609.30000000003349</v>
      </c>
      <c r="AL708" s="53"/>
      <c r="AM708" s="53">
        <f t="shared" si="540"/>
        <v>0</v>
      </c>
      <c r="AN708" s="54"/>
      <c r="AO708" s="54"/>
      <c r="AP708" s="54"/>
      <c r="AQ708" s="54">
        <f t="shared" si="541"/>
        <v>0</v>
      </c>
      <c r="AR708" s="53"/>
      <c r="AS708" s="50">
        <f t="shared" si="563"/>
        <v>-3137572.33</v>
      </c>
      <c r="AT708" s="73">
        <f t="shared" si="560"/>
        <v>140937.88</v>
      </c>
      <c r="AU708" s="50">
        <f t="shared" si="535"/>
        <v>0</v>
      </c>
      <c r="AV708" s="50">
        <f t="shared" si="518"/>
        <v>-122512.75000000001</v>
      </c>
      <c r="AW708" s="50"/>
      <c r="AX708" s="50">
        <f t="shared" si="542"/>
        <v>-3118537.9000000004</v>
      </c>
      <c r="AY708" s="50">
        <f t="shared" si="543"/>
        <v>9300000</v>
      </c>
      <c r="AZ708" s="50">
        <f t="shared" si="544"/>
        <v>6181462.0999999996</v>
      </c>
      <c r="BA708" s="15"/>
      <c r="BB708" s="15"/>
    </row>
    <row r="709" spans="2:54" s="58" customFormat="1" ht="13.95" customHeight="1" x14ac:dyDescent="0.3">
      <c r="B709" s="99">
        <f t="shared" si="525"/>
        <v>45155</v>
      </c>
      <c r="C709" s="44">
        <f t="shared" si="547"/>
        <v>7.9900000000043292</v>
      </c>
      <c r="D709" s="45">
        <v>323814.01</v>
      </c>
      <c r="E709" s="45">
        <v>-200000</v>
      </c>
      <c r="F709" s="45">
        <v>-13210.26</v>
      </c>
      <c r="G709" s="45">
        <f t="shared" si="524"/>
        <v>110611.74</v>
      </c>
      <c r="H709" s="44">
        <v>4300000</v>
      </c>
      <c r="I709" s="46">
        <f t="shared" si="548"/>
        <v>-3121083.1100000003</v>
      </c>
      <c r="J709" s="47"/>
      <c r="K709" s="47">
        <v>200000</v>
      </c>
      <c r="L709" s="47">
        <v>-32145.01</v>
      </c>
      <c r="M709" s="47">
        <f t="shared" si="549"/>
        <v>-2953228.12</v>
      </c>
      <c r="N709" s="46">
        <v>5000000</v>
      </c>
      <c r="O709" s="48">
        <f t="shared" si="550"/>
        <v>1525.3500000001725</v>
      </c>
      <c r="P709" s="55"/>
      <c r="Q709" s="55"/>
      <c r="R709" s="55"/>
      <c r="S709" s="55">
        <f t="shared" si="551"/>
        <v>1525.3500000001725</v>
      </c>
      <c r="T709" s="48"/>
      <c r="U709" s="49">
        <f t="shared" si="552"/>
        <v>88.930000000036671</v>
      </c>
      <c r="V709" s="51"/>
      <c r="W709" s="51"/>
      <c r="X709" s="51"/>
      <c r="Y709" s="51">
        <f t="shared" si="553"/>
        <v>88.930000000036671</v>
      </c>
      <c r="Z709" s="52"/>
      <c r="AA709" s="53">
        <f t="shared" si="554"/>
        <v>313.63999999989755</v>
      </c>
      <c r="AB709" s="54"/>
      <c r="AC709" s="54"/>
      <c r="AD709" s="54"/>
      <c r="AE709" s="54">
        <f t="shared" si="555"/>
        <v>313.63999999989755</v>
      </c>
      <c r="AF709" s="53"/>
      <c r="AG709" s="53">
        <f t="shared" si="533"/>
        <v>609.30000000003349</v>
      </c>
      <c r="AH709" s="54"/>
      <c r="AI709" s="54"/>
      <c r="AJ709" s="54"/>
      <c r="AK709" s="54">
        <f t="shared" si="556"/>
        <v>609.30000000003349</v>
      </c>
      <c r="AL709" s="53"/>
      <c r="AM709" s="53">
        <f t="shared" si="540"/>
        <v>0</v>
      </c>
      <c r="AN709" s="54"/>
      <c r="AO709" s="54"/>
      <c r="AP709" s="54"/>
      <c r="AQ709" s="54">
        <f t="shared" si="541"/>
        <v>0</v>
      </c>
      <c r="AR709" s="53"/>
      <c r="AS709" s="50">
        <f t="shared" si="563"/>
        <v>-3119147.2</v>
      </c>
      <c r="AT709" s="73">
        <f t="shared" si="560"/>
        <v>323814.01</v>
      </c>
      <c r="AU709" s="50">
        <f t="shared" si="535"/>
        <v>0</v>
      </c>
      <c r="AV709" s="50">
        <f t="shared" si="518"/>
        <v>-45355.27</v>
      </c>
      <c r="AW709" s="50"/>
      <c r="AX709" s="50">
        <f t="shared" si="542"/>
        <v>-2840079.16</v>
      </c>
      <c r="AY709" s="50">
        <f t="shared" si="543"/>
        <v>9300000</v>
      </c>
      <c r="AZ709" s="50">
        <f t="shared" si="544"/>
        <v>6459920.8399999999</v>
      </c>
      <c r="BA709" s="15"/>
      <c r="BB709" s="15"/>
    </row>
    <row r="710" spans="2:54" s="58" customFormat="1" ht="13.95" customHeight="1" x14ac:dyDescent="0.3">
      <c r="B710" s="99">
        <f t="shared" si="525"/>
        <v>45156</v>
      </c>
      <c r="C710" s="44">
        <f t="shared" si="547"/>
        <v>110611.74</v>
      </c>
      <c r="D710" s="45">
        <v>60025.59</v>
      </c>
      <c r="E710" s="45">
        <v>-100000</v>
      </c>
      <c r="F710" s="45"/>
      <c r="G710" s="45">
        <f t="shared" si="524"/>
        <v>70637.330000000016</v>
      </c>
      <c r="H710" s="44">
        <v>4300000</v>
      </c>
      <c r="I710" s="46">
        <f t="shared" si="548"/>
        <v>-2953228.12</v>
      </c>
      <c r="J710" s="47">
        <v>97281.12</v>
      </c>
      <c r="K710" s="47">
        <v>100000</v>
      </c>
      <c r="L710" s="47">
        <v>-725050.59</v>
      </c>
      <c r="M710" s="47">
        <f t="shared" si="549"/>
        <v>-3480997.59</v>
      </c>
      <c r="N710" s="46">
        <v>5000000</v>
      </c>
      <c r="O710" s="48">
        <f t="shared" si="550"/>
        <v>1525.3500000001725</v>
      </c>
      <c r="P710" s="55"/>
      <c r="Q710" s="55"/>
      <c r="R710" s="55"/>
      <c r="S710" s="55">
        <f t="shared" si="551"/>
        <v>1525.3500000001725</v>
      </c>
      <c r="T710" s="48"/>
      <c r="U710" s="49">
        <f t="shared" si="552"/>
        <v>88.930000000036671</v>
      </c>
      <c r="V710" s="51"/>
      <c r="W710" s="51"/>
      <c r="X710" s="51"/>
      <c r="Y710" s="51">
        <f t="shared" si="553"/>
        <v>88.930000000036671</v>
      </c>
      <c r="Z710" s="52"/>
      <c r="AA710" s="53">
        <f t="shared" si="554"/>
        <v>313.63999999989755</v>
      </c>
      <c r="AB710" s="54">
        <v>1105074.6399999999</v>
      </c>
      <c r="AC710" s="54"/>
      <c r="AD710" s="54">
        <v>-418</v>
      </c>
      <c r="AE710" s="54">
        <f t="shared" si="555"/>
        <v>1104970.2799999998</v>
      </c>
      <c r="AF710" s="53"/>
      <c r="AG710" s="53">
        <f t="shared" si="533"/>
        <v>609.30000000003349</v>
      </c>
      <c r="AH710" s="54"/>
      <c r="AI710" s="54"/>
      <c r="AJ710" s="54"/>
      <c r="AK710" s="54">
        <f t="shared" si="556"/>
        <v>609.30000000003349</v>
      </c>
      <c r="AL710" s="53"/>
      <c r="AM710" s="53">
        <f t="shared" si="540"/>
        <v>0</v>
      </c>
      <c r="AN710" s="54"/>
      <c r="AO710" s="54"/>
      <c r="AP710" s="54"/>
      <c r="AQ710" s="54">
        <f t="shared" si="541"/>
        <v>0</v>
      </c>
      <c r="AR710" s="53"/>
      <c r="AS710" s="50">
        <f t="shared" si="563"/>
        <v>-2840688.46</v>
      </c>
      <c r="AT710" s="73">
        <f t="shared" si="560"/>
        <v>1262381.3499999999</v>
      </c>
      <c r="AU710" s="50">
        <f t="shared" si="535"/>
        <v>0</v>
      </c>
      <c r="AV710" s="50">
        <f t="shared" si="518"/>
        <v>-725468.59</v>
      </c>
      <c r="AW710" s="50"/>
      <c r="AX710" s="50">
        <f t="shared" si="542"/>
        <v>-2303166.4</v>
      </c>
      <c r="AY710" s="50">
        <f t="shared" si="543"/>
        <v>9300000</v>
      </c>
      <c r="AZ710" s="50">
        <f t="shared" si="544"/>
        <v>6996833.5999999996</v>
      </c>
      <c r="BA710" s="15"/>
      <c r="BB710" s="15"/>
    </row>
    <row r="711" spans="2:54" s="58" customFormat="1" ht="13.95" customHeight="1" x14ac:dyDescent="0.3">
      <c r="B711" s="99">
        <f t="shared" ref="B711" si="564">B710+3</f>
        <v>45159</v>
      </c>
      <c r="C711" s="44">
        <f t="shared" si="547"/>
        <v>70637.330000000016</v>
      </c>
      <c r="D711" s="45">
        <f>53584.24+86115.2</f>
        <v>139699.44</v>
      </c>
      <c r="E711" s="45"/>
      <c r="F711" s="45">
        <v>-0.85</v>
      </c>
      <c r="G711" s="45">
        <f t="shared" si="524"/>
        <v>210335.92</v>
      </c>
      <c r="H711" s="44">
        <v>4300000</v>
      </c>
      <c r="I711" s="46">
        <f t="shared" si="548"/>
        <v>-3480997.59</v>
      </c>
      <c r="J711" s="47"/>
      <c r="K711" s="47">
        <v>1104000</v>
      </c>
      <c r="L711" s="47">
        <v>-36545.78</v>
      </c>
      <c r="M711" s="47">
        <f t="shared" si="549"/>
        <v>-2413543.3699999996</v>
      </c>
      <c r="N711" s="46">
        <v>5000000</v>
      </c>
      <c r="O711" s="48">
        <f t="shared" si="550"/>
        <v>1525.3500000001725</v>
      </c>
      <c r="P711" s="55">
        <f>34440.63+30.54+30.54+122.88+122.88</f>
        <v>34747.469999999994</v>
      </c>
      <c r="Q711" s="55"/>
      <c r="R711" s="55"/>
      <c r="S711" s="55">
        <f t="shared" si="551"/>
        <v>36272.820000000167</v>
      </c>
      <c r="T711" s="48"/>
      <c r="U711" s="49">
        <f t="shared" si="552"/>
        <v>88.930000000036671</v>
      </c>
      <c r="V711" s="51"/>
      <c r="W711" s="51"/>
      <c r="X711" s="51"/>
      <c r="Y711" s="51">
        <f t="shared" si="553"/>
        <v>88.930000000036671</v>
      </c>
      <c r="Z711" s="52"/>
      <c r="AA711" s="53">
        <f t="shared" si="554"/>
        <v>1104970.2799999998</v>
      </c>
      <c r="AB711" s="54"/>
      <c r="AC711" s="54">
        <v>-1104000</v>
      </c>
      <c r="AD711" s="54"/>
      <c r="AE711" s="54">
        <f t="shared" si="555"/>
        <v>970.27999999979511</v>
      </c>
      <c r="AF711" s="53"/>
      <c r="AG711" s="53">
        <f t="shared" si="533"/>
        <v>609.30000000003349</v>
      </c>
      <c r="AH711" s="54"/>
      <c r="AI711" s="54"/>
      <c r="AJ711" s="54"/>
      <c r="AK711" s="54">
        <f t="shared" si="556"/>
        <v>609.30000000003349</v>
      </c>
      <c r="AL711" s="53"/>
      <c r="AM711" s="53">
        <f t="shared" si="540"/>
        <v>0</v>
      </c>
      <c r="AN711" s="54"/>
      <c r="AO711" s="54"/>
      <c r="AP711" s="54"/>
      <c r="AQ711" s="54">
        <f t="shared" si="541"/>
        <v>0</v>
      </c>
      <c r="AR711" s="53"/>
      <c r="AS711" s="50">
        <f t="shared" si="563"/>
        <v>-2303775.6999999997</v>
      </c>
      <c r="AT711" s="73">
        <f t="shared" si="560"/>
        <v>174446.91</v>
      </c>
      <c r="AU711" s="50">
        <f t="shared" si="535"/>
        <v>0</v>
      </c>
      <c r="AV711" s="50">
        <f t="shared" si="518"/>
        <v>-36546.629999999997</v>
      </c>
      <c r="AW711" s="50"/>
      <c r="AX711" s="50">
        <f t="shared" si="542"/>
        <v>-2165266.1199999996</v>
      </c>
      <c r="AY711" s="50">
        <f t="shared" si="543"/>
        <v>9300000</v>
      </c>
      <c r="AZ711" s="50">
        <f t="shared" si="544"/>
        <v>7134733.8800000008</v>
      </c>
      <c r="BA711" s="15"/>
      <c r="BB711" s="15"/>
    </row>
    <row r="712" spans="2:54" s="58" customFormat="1" ht="13.95" customHeight="1" x14ac:dyDescent="0.3">
      <c r="B712" s="99">
        <f t="shared" ref="B712" si="565">B711+1</f>
        <v>45160</v>
      </c>
      <c r="C712" s="44">
        <f t="shared" si="547"/>
        <v>210335.92</v>
      </c>
      <c r="D712" s="45">
        <v>266935.95</v>
      </c>
      <c r="E712" s="45"/>
      <c r="F712" s="45">
        <f>-788345.35-136525.89</f>
        <v>-924871.24</v>
      </c>
      <c r="G712" s="45">
        <f t="shared" si="524"/>
        <v>-447599.37</v>
      </c>
      <c r="H712" s="44">
        <v>4300000</v>
      </c>
      <c r="I712" s="46">
        <f t="shared" si="548"/>
        <v>-2413543.3699999996</v>
      </c>
      <c r="J712" s="47">
        <v>400057.96</v>
      </c>
      <c r="K712" s="47">
        <v>35000</v>
      </c>
      <c r="L712" s="47">
        <v>-38595.29</v>
      </c>
      <c r="M712" s="47">
        <f t="shared" si="549"/>
        <v>-2017080.6999999997</v>
      </c>
      <c r="N712" s="46">
        <v>5000000</v>
      </c>
      <c r="O712" s="48">
        <f t="shared" si="550"/>
        <v>36272.820000000167</v>
      </c>
      <c r="P712" s="55"/>
      <c r="Q712" s="55">
        <v>-35000</v>
      </c>
      <c r="R712" s="55">
        <v>-291.42</v>
      </c>
      <c r="S712" s="55">
        <f t="shared" si="551"/>
        <v>981.40000000016698</v>
      </c>
      <c r="T712" s="48"/>
      <c r="U712" s="49">
        <f t="shared" si="552"/>
        <v>88.930000000036671</v>
      </c>
      <c r="V712" s="51"/>
      <c r="W712" s="51"/>
      <c r="X712" s="51"/>
      <c r="Y712" s="51">
        <f t="shared" si="553"/>
        <v>88.930000000036671</v>
      </c>
      <c r="Z712" s="52"/>
      <c r="AA712" s="53">
        <f t="shared" si="554"/>
        <v>970.27999999979511</v>
      </c>
      <c r="AB712" s="54"/>
      <c r="AC712" s="54"/>
      <c r="AD712" s="54">
        <v>-295.56</v>
      </c>
      <c r="AE712" s="54">
        <f t="shared" si="555"/>
        <v>674.71999999979516</v>
      </c>
      <c r="AF712" s="53"/>
      <c r="AG712" s="53">
        <f t="shared" si="533"/>
        <v>609.30000000003349</v>
      </c>
      <c r="AH712" s="54"/>
      <c r="AI712" s="54"/>
      <c r="AJ712" s="54"/>
      <c r="AK712" s="54">
        <f t="shared" si="556"/>
        <v>609.30000000003349</v>
      </c>
      <c r="AL712" s="53"/>
      <c r="AM712" s="53">
        <f t="shared" si="540"/>
        <v>0</v>
      </c>
      <c r="AN712" s="54"/>
      <c r="AO712" s="54"/>
      <c r="AP712" s="54"/>
      <c r="AQ712" s="54">
        <f t="shared" si="541"/>
        <v>0</v>
      </c>
      <c r="AR712" s="53"/>
      <c r="AS712" s="50">
        <f t="shared" si="563"/>
        <v>-2165875.4199999995</v>
      </c>
      <c r="AT712" s="73">
        <f t="shared" si="560"/>
        <v>666993.91</v>
      </c>
      <c r="AU712" s="50">
        <f t="shared" si="535"/>
        <v>0</v>
      </c>
      <c r="AV712" s="50">
        <f t="shared" si="518"/>
        <v>-964053.51000000013</v>
      </c>
      <c r="AW712" s="50"/>
      <c r="AX712" s="50">
        <f t="shared" si="542"/>
        <v>-2462325.7199999997</v>
      </c>
      <c r="AY712" s="50">
        <f t="shared" si="543"/>
        <v>9300000</v>
      </c>
      <c r="AZ712" s="50">
        <f t="shared" si="544"/>
        <v>6837674.2800000003</v>
      </c>
      <c r="BA712" s="15"/>
      <c r="BB712" s="15"/>
    </row>
    <row r="713" spans="2:54" s="58" customFormat="1" ht="13.95" customHeight="1" x14ac:dyDescent="0.3">
      <c r="B713" s="99">
        <f t="shared" si="525"/>
        <v>45161</v>
      </c>
      <c r="C713" s="44">
        <f t="shared" si="547"/>
        <v>-447599.37</v>
      </c>
      <c r="D713" s="45">
        <v>69074.78</v>
      </c>
      <c r="E713" s="45"/>
      <c r="F713" s="45"/>
      <c r="G713" s="45">
        <f t="shared" si="524"/>
        <v>-378524.58999999997</v>
      </c>
      <c r="H713" s="44">
        <v>4300000</v>
      </c>
      <c r="I713" s="46">
        <f t="shared" si="548"/>
        <v>-2017080.6999999997</v>
      </c>
      <c r="J713" s="47">
        <v>9291.15</v>
      </c>
      <c r="K713" s="47"/>
      <c r="L713" s="47">
        <v>-283432.89</v>
      </c>
      <c r="M713" s="47">
        <f t="shared" si="549"/>
        <v>-2291222.44</v>
      </c>
      <c r="N713" s="46">
        <v>5000000</v>
      </c>
      <c r="O713" s="48">
        <f t="shared" si="550"/>
        <v>981.40000000016698</v>
      </c>
      <c r="P713" s="55"/>
      <c r="Q713" s="55"/>
      <c r="R713" s="55"/>
      <c r="S713" s="55">
        <f t="shared" si="551"/>
        <v>981.40000000016698</v>
      </c>
      <c r="T713" s="48"/>
      <c r="U713" s="49">
        <f t="shared" si="552"/>
        <v>88.930000000036671</v>
      </c>
      <c r="V713" s="51"/>
      <c r="W713" s="51"/>
      <c r="X713" s="51"/>
      <c r="Y713" s="51">
        <f t="shared" si="553"/>
        <v>88.930000000036671</v>
      </c>
      <c r="Z713" s="52"/>
      <c r="AA713" s="53">
        <f t="shared" si="554"/>
        <v>674.71999999979516</v>
      </c>
      <c r="AB713" s="54"/>
      <c r="AC713" s="54"/>
      <c r="AD713" s="54"/>
      <c r="AE713" s="54">
        <f t="shared" si="555"/>
        <v>674.71999999979516</v>
      </c>
      <c r="AF713" s="53"/>
      <c r="AG713" s="53">
        <f t="shared" si="533"/>
        <v>609.30000000003349</v>
      </c>
      <c r="AH713" s="54"/>
      <c r="AI713" s="54"/>
      <c r="AJ713" s="54"/>
      <c r="AK713" s="54">
        <f t="shared" si="556"/>
        <v>609.30000000003349</v>
      </c>
      <c r="AL713" s="53"/>
      <c r="AM713" s="53">
        <f t="shared" si="540"/>
        <v>0</v>
      </c>
      <c r="AN713" s="54"/>
      <c r="AO713" s="54"/>
      <c r="AP713" s="54"/>
      <c r="AQ713" s="54">
        <f t="shared" si="541"/>
        <v>0</v>
      </c>
      <c r="AR713" s="53"/>
      <c r="AS713" s="50">
        <f t="shared" si="563"/>
        <v>-2462935.0199999996</v>
      </c>
      <c r="AT713" s="73">
        <f t="shared" si="560"/>
        <v>78365.929999999993</v>
      </c>
      <c r="AU713" s="50">
        <f t="shared" si="535"/>
        <v>0</v>
      </c>
      <c r="AV713" s="50">
        <f t="shared" si="518"/>
        <v>-283432.89</v>
      </c>
      <c r="AW713" s="50"/>
      <c r="AX713" s="50">
        <f t="shared" si="542"/>
        <v>-2667392.6799999997</v>
      </c>
      <c r="AY713" s="50">
        <f t="shared" si="543"/>
        <v>9300000</v>
      </c>
      <c r="AZ713" s="50">
        <f t="shared" si="544"/>
        <v>6632607.3200000003</v>
      </c>
      <c r="BA713" s="15"/>
      <c r="BB713" s="15"/>
    </row>
    <row r="714" spans="2:54" s="58" customFormat="1" ht="13.95" customHeight="1" x14ac:dyDescent="0.3">
      <c r="B714" s="99">
        <f t="shared" si="525"/>
        <v>45162</v>
      </c>
      <c r="C714" s="44">
        <f t="shared" si="547"/>
        <v>-378524.58999999997</v>
      </c>
      <c r="D714" s="45">
        <v>143904.15</v>
      </c>
      <c r="E714" s="45"/>
      <c r="F714" s="45"/>
      <c r="G714" s="45">
        <f t="shared" si="524"/>
        <v>-234620.43999999997</v>
      </c>
      <c r="H714" s="44">
        <v>4300000</v>
      </c>
      <c r="I714" s="46">
        <f t="shared" si="548"/>
        <v>-2291222.44</v>
      </c>
      <c r="J714" s="47"/>
      <c r="K714" s="47">
        <v>975000</v>
      </c>
      <c r="L714" s="47">
        <v>-60166.55</v>
      </c>
      <c r="M714" s="47">
        <f t="shared" si="549"/>
        <v>-1376388.99</v>
      </c>
      <c r="N714" s="46">
        <v>5000000</v>
      </c>
      <c r="O714" s="48">
        <f t="shared" si="550"/>
        <v>981.40000000016698</v>
      </c>
      <c r="P714" s="55"/>
      <c r="Q714" s="55"/>
      <c r="R714" s="55">
        <v>-23</v>
      </c>
      <c r="S714" s="55">
        <f t="shared" si="551"/>
        <v>958.40000000016698</v>
      </c>
      <c r="T714" s="48"/>
      <c r="U714" s="49">
        <f t="shared" si="552"/>
        <v>88.930000000036671</v>
      </c>
      <c r="V714" s="51">
        <v>975026.37</v>
      </c>
      <c r="W714" s="51">
        <v>-975000</v>
      </c>
      <c r="X714" s="51">
        <v>-1.4</v>
      </c>
      <c r="Y714" s="51">
        <f t="shared" si="553"/>
        <v>113.90000000004656</v>
      </c>
      <c r="Z714" s="52"/>
      <c r="AA714" s="53">
        <f t="shared" si="554"/>
        <v>674.71999999979516</v>
      </c>
      <c r="AB714" s="54"/>
      <c r="AC714" s="54"/>
      <c r="AD714" s="54"/>
      <c r="AE714" s="54">
        <f t="shared" si="555"/>
        <v>674.71999999979516</v>
      </c>
      <c r="AF714" s="53"/>
      <c r="AG714" s="53">
        <f t="shared" si="533"/>
        <v>609.30000000003349</v>
      </c>
      <c r="AH714" s="54"/>
      <c r="AI714" s="54"/>
      <c r="AJ714" s="54"/>
      <c r="AK714" s="54">
        <f t="shared" si="556"/>
        <v>609.30000000003349</v>
      </c>
      <c r="AL714" s="53"/>
      <c r="AM714" s="53">
        <f t="shared" si="540"/>
        <v>0</v>
      </c>
      <c r="AN714" s="54"/>
      <c r="AO714" s="54"/>
      <c r="AP714" s="54"/>
      <c r="AQ714" s="54">
        <f t="shared" si="541"/>
        <v>0</v>
      </c>
      <c r="AR714" s="53"/>
      <c r="AS714" s="50">
        <f t="shared" si="563"/>
        <v>-2668001.9799999995</v>
      </c>
      <c r="AT714" s="73">
        <f t="shared" si="560"/>
        <v>1118930.52</v>
      </c>
      <c r="AU714" s="50">
        <f t="shared" ref="AU714:AU745" si="566">SUM(E714,K714,Q714,W714,AC714,AI714)</f>
        <v>0</v>
      </c>
      <c r="AV714" s="50">
        <f t="shared" ref="AV714:AV777" si="567">SUM(F714,L714,R714,X714,AD714,AJ714)</f>
        <v>-60190.950000000004</v>
      </c>
      <c r="AW714" s="50"/>
      <c r="AX714" s="50">
        <f t="shared" si="542"/>
        <v>-1608653.1099999999</v>
      </c>
      <c r="AY714" s="50">
        <f t="shared" si="543"/>
        <v>9300000</v>
      </c>
      <c r="AZ714" s="50">
        <f t="shared" si="544"/>
        <v>7691346.8900000006</v>
      </c>
      <c r="BA714" s="15"/>
      <c r="BB714" s="15"/>
    </row>
    <row r="715" spans="2:54" s="58" customFormat="1" ht="13.95" customHeight="1" x14ac:dyDescent="0.3">
      <c r="B715" s="99">
        <f t="shared" si="525"/>
        <v>45163</v>
      </c>
      <c r="C715" s="44">
        <f t="shared" si="547"/>
        <v>-234620.43999999997</v>
      </c>
      <c r="D715" s="45"/>
      <c r="E715" s="45"/>
      <c r="F715" s="45">
        <v>-63086.52</v>
      </c>
      <c r="G715" s="45">
        <f t="shared" si="524"/>
        <v>-297706.95999999996</v>
      </c>
      <c r="H715" s="44">
        <v>4300000</v>
      </c>
      <c r="I715" s="46">
        <f t="shared" si="548"/>
        <v>-1376388.99</v>
      </c>
      <c r="J715" s="47">
        <v>961345.7</v>
      </c>
      <c r="K715" s="47"/>
      <c r="L715" s="47">
        <v>-101810.48</v>
      </c>
      <c r="M715" s="47">
        <f t="shared" si="549"/>
        <v>-516853.77</v>
      </c>
      <c r="N715" s="46">
        <v>5000000</v>
      </c>
      <c r="O715" s="48">
        <f t="shared" si="550"/>
        <v>958.40000000016698</v>
      </c>
      <c r="P715" s="55"/>
      <c r="Q715" s="55"/>
      <c r="R715" s="55">
        <v>-163.5</v>
      </c>
      <c r="S715" s="55">
        <f t="shared" si="551"/>
        <v>794.90000000016698</v>
      </c>
      <c r="T715" s="48"/>
      <c r="U715" s="49">
        <f t="shared" si="552"/>
        <v>113.90000000004656</v>
      </c>
      <c r="V715" s="51">
        <v>41937.64</v>
      </c>
      <c r="W715" s="51"/>
      <c r="X715" s="51"/>
      <c r="Y715" s="51">
        <f t="shared" si="553"/>
        <v>42051.540000000045</v>
      </c>
      <c r="Z715" s="52"/>
      <c r="AA715" s="53">
        <f t="shared" si="554"/>
        <v>674.71999999979516</v>
      </c>
      <c r="AB715" s="54"/>
      <c r="AC715" s="54"/>
      <c r="AD715" s="54"/>
      <c r="AE715" s="54">
        <f t="shared" si="555"/>
        <v>674.71999999979516</v>
      </c>
      <c r="AF715" s="53"/>
      <c r="AG715" s="53">
        <f t="shared" si="533"/>
        <v>609.30000000003349</v>
      </c>
      <c r="AH715" s="54"/>
      <c r="AI715" s="54"/>
      <c r="AJ715" s="54"/>
      <c r="AK715" s="54">
        <f t="shared" si="556"/>
        <v>609.30000000003349</v>
      </c>
      <c r="AL715" s="53"/>
      <c r="AM715" s="53">
        <f t="shared" si="540"/>
        <v>0</v>
      </c>
      <c r="AN715" s="54"/>
      <c r="AO715" s="54"/>
      <c r="AP715" s="54"/>
      <c r="AQ715" s="54">
        <f t="shared" si="541"/>
        <v>0</v>
      </c>
      <c r="AR715" s="53"/>
      <c r="AS715" s="50">
        <f t="shared" si="563"/>
        <v>-1609262.41</v>
      </c>
      <c r="AT715" s="73">
        <f t="shared" si="560"/>
        <v>1003283.34</v>
      </c>
      <c r="AU715" s="50">
        <f t="shared" si="566"/>
        <v>0</v>
      </c>
      <c r="AV715" s="50">
        <f t="shared" si="567"/>
        <v>-165060.5</v>
      </c>
      <c r="AW715" s="50"/>
      <c r="AX715" s="50">
        <f t="shared" si="542"/>
        <v>-770430.27</v>
      </c>
      <c r="AY715" s="50">
        <f t="shared" si="543"/>
        <v>9300000</v>
      </c>
      <c r="AZ715" s="50">
        <f t="shared" si="544"/>
        <v>8529569.7300000004</v>
      </c>
      <c r="BA715" s="15"/>
      <c r="BB715" s="15"/>
    </row>
    <row r="716" spans="2:54" s="58" customFormat="1" ht="13.95" customHeight="1" x14ac:dyDescent="0.3">
      <c r="B716" s="99">
        <f t="shared" ref="B716" si="568">B715+3</f>
        <v>45166</v>
      </c>
      <c r="C716" s="44">
        <f t="shared" si="547"/>
        <v>-297706.95999999996</v>
      </c>
      <c r="D716" s="45">
        <v>1255726.68</v>
      </c>
      <c r="E716" s="45">
        <v>-700000</v>
      </c>
      <c r="F716" s="45">
        <v>-33693.49</v>
      </c>
      <c r="G716" s="45">
        <f t="shared" si="524"/>
        <v>224326.22999999998</v>
      </c>
      <c r="H716" s="44">
        <v>4300000</v>
      </c>
      <c r="I716" s="46">
        <f t="shared" si="548"/>
        <v>-516853.77</v>
      </c>
      <c r="J716" s="47"/>
      <c r="K716" s="47">
        <f>41700+700000+37000</f>
        <v>778700</v>
      </c>
      <c r="L716" s="47">
        <v>-1205130.83</v>
      </c>
      <c r="M716" s="47">
        <f t="shared" si="549"/>
        <v>-943284.60000000009</v>
      </c>
      <c r="N716" s="46">
        <v>5000000</v>
      </c>
      <c r="O716" s="48">
        <f t="shared" si="550"/>
        <v>794.90000000016698</v>
      </c>
      <c r="P716" s="55"/>
      <c r="Q716" s="55"/>
      <c r="R716" s="55"/>
      <c r="S716" s="55">
        <f t="shared" si="551"/>
        <v>794.90000000016698</v>
      </c>
      <c r="T716" s="48"/>
      <c r="U716" s="49">
        <f t="shared" si="552"/>
        <v>42051.540000000045</v>
      </c>
      <c r="V716" s="51"/>
      <c r="W716" s="51">
        <v>-41700</v>
      </c>
      <c r="X716" s="51">
        <v>-314.38</v>
      </c>
      <c r="Y716" s="51">
        <f t="shared" si="553"/>
        <v>37.160000000044533</v>
      </c>
      <c r="Z716" s="52"/>
      <c r="AA716" s="53">
        <f t="shared" si="554"/>
        <v>674.71999999979516</v>
      </c>
      <c r="AB716" s="54"/>
      <c r="AC716" s="54"/>
      <c r="AD716" s="54"/>
      <c r="AE716" s="54">
        <f t="shared" si="555"/>
        <v>674.71999999979516</v>
      </c>
      <c r="AF716" s="53"/>
      <c r="AG716" s="53">
        <f t="shared" si="533"/>
        <v>609.30000000003349</v>
      </c>
      <c r="AH716" s="54">
        <v>37151.870000000003</v>
      </c>
      <c r="AI716" s="54">
        <v>-37000</v>
      </c>
      <c r="AJ716" s="54">
        <v>-468</v>
      </c>
      <c r="AK716" s="54">
        <f t="shared" si="556"/>
        <v>293.17000000003463</v>
      </c>
      <c r="AL716" s="53"/>
      <c r="AM716" s="53">
        <f t="shared" si="540"/>
        <v>0</v>
      </c>
      <c r="AN716" s="54"/>
      <c r="AO716" s="54"/>
      <c r="AP716" s="54"/>
      <c r="AQ716" s="54">
        <f t="shared" si="541"/>
        <v>0</v>
      </c>
      <c r="AR716" s="53"/>
      <c r="AS716" s="50">
        <f t="shared" si="563"/>
        <v>-771039.57000000007</v>
      </c>
      <c r="AT716" s="73">
        <f t="shared" si="560"/>
        <v>1292878.55</v>
      </c>
      <c r="AU716" s="50">
        <f t="shared" si="566"/>
        <v>0</v>
      </c>
      <c r="AV716" s="50">
        <f t="shared" si="567"/>
        <v>-1239606.7</v>
      </c>
      <c r="AW716" s="50"/>
      <c r="AX716" s="50">
        <f t="shared" si="542"/>
        <v>-717158.42000000016</v>
      </c>
      <c r="AY716" s="50">
        <f t="shared" si="543"/>
        <v>9300000</v>
      </c>
      <c r="AZ716" s="50">
        <f t="shared" si="544"/>
        <v>8582841.5800000001</v>
      </c>
      <c r="BA716" s="15"/>
      <c r="BB716" s="15"/>
    </row>
    <row r="717" spans="2:54" s="58" customFormat="1" ht="13.95" customHeight="1" x14ac:dyDescent="0.3">
      <c r="B717" s="99">
        <f t="shared" ref="B717" si="569">B716+1</f>
        <v>45167</v>
      </c>
      <c r="C717" s="44">
        <f t="shared" si="547"/>
        <v>224326.22999999998</v>
      </c>
      <c r="D717" s="45">
        <v>240869.77</v>
      </c>
      <c r="E717" s="45"/>
      <c r="F717" s="45"/>
      <c r="G717" s="45">
        <f t="shared" si="524"/>
        <v>465196</v>
      </c>
      <c r="H717" s="44">
        <v>4300000</v>
      </c>
      <c r="I717" s="46">
        <f t="shared" si="548"/>
        <v>-943284.60000000009</v>
      </c>
      <c r="J717" s="47"/>
      <c r="K717" s="47"/>
      <c r="L717" s="47"/>
      <c r="M717" s="47">
        <f t="shared" si="549"/>
        <v>-943284.60000000009</v>
      </c>
      <c r="N717" s="46">
        <v>5000000</v>
      </c>
      <c r="O717" s="48">
        <f t="shared" si="550"/>
        <v>794.90000000016698</v>
      </c>
      <c r="P717" s="55"/>
      <c r="Q717" s="55"/>
      <c r="R717" s="55"/>
      <c r="S717" s="55">
        <f t="shared" si="551"/>
        <v>794.90000000016698</v>
      </c>
      <c r="T717" s="48"/>
      <c r="U717" s="49">
        <f t="shared" si="552"/>
        <v>37.160000000044533</v>
      </c>
      <c r="V717" s="51"/>
      <c r="W717" s="51"/>
      <c r="X717" s="51">
        <v>-1.4</v>
      </c>
      <c r="Y717" s="51">
        <f t="shared" si="553"/>
        <v>35.760000000044535</v>
      </c>
      <c r="Z717" s="52"/>
      <c r="AA717" s="53">
        <f t="shared" si="554"/>
        <v>674.71999999979516</v>
      </c>
      <c r="AB717" s="54"/>
      <c r="AC717" s="54"/>
      <c r="AD717" s="54"/>
      <c r="AE717" s="54">
        <f t="shared" si="555"/>
        <v>674.71999999979516</v>
      </c>
      <c r="AF717" s="53"/>
      <c r="AG717" s="53">
        <f t="shared" si="533"/>
        <v>293.17000000003463</v>
      </c>
      <c r="AH717" s="54"/>
      <c r="AI717" s="54"/>
      <c r="AJ717" s="54">
        <v>-9.9</v>
      </c>
      <c r="AK717" s="54">
        <f t="shared" si="556"/>
        <v>283.27000000003466</v>
      </c>
      <c r="AL717" s="53"/>
      <c r="AM717" s="53">
        <f t="shared" si="540"/>
        <v>0</v>
      </c>
      <c r="AN717" s="54"/>
      <c r="AO717" s="54"/>
      <c r="AP717" s="54"/>
      <c r="AQ717" s="54">
        <f t="shared" si="541"/>
        <v>0</v>
      </c>
      <c r="AR717" s="53"/>
      <c r="AS717" s="50">
        <f t="shared" si="563"/>
        <v>-717451.5900000002</v>
      </c>
      <c r="AT717" s="73">
        <f t="shared" si="560"/>
        <v>240869.77</v>
      </c>
      <c r="AU717" s="50">
        <f t="shared" si="566"/>
        <v>0</v>
      </c>
      <c r="AV717" s="50">
        <f t="shared" si="567"/>
        <v>-11.3</v>
      </c>
      <c r="AW717" s="50"/>
      <c r="AX717" s="50">
        <f t="shared" si="542"/>
        <v>-476299.95000000007</v>
      </c>
      <c r="AY717" s="50">
        <f t="shared" si="543"/>
        <v>9300000</v>
      </c>
      <c r="AZ717" s="50">
        <f t="shared" si="544"/>
        <v>8823700.0500000007</v>
      </c>
      <c r="BA717" s="15"/>
      <c r="BB717" s="15"/>
    </row>
    <row r="718" spans="2:54" s="58" customFormat="1" ht="13.95" customHeight="1" x14ac:dyDescent="0.3">
      <c r="B718" s="99">
        <f t="shared" si="525"/>
        <v>45168</v>
      </c>
      <c r="C718" s="44">
        <f t="shared" si="547"/>
        <v>465196</v>
      </c>
      <c r="D718" s="45">
        <f>55075.43+14369.48</f>
        <v>69444.91</v>
      </c>
      <c r="E718" s="45"/>
      <c r="F718" s="45">
        <v>-0.85</v>
      </c>
      <c r="G718" s="45">
        <f t="shared" si="524"/>
        <v>534640.06000000006</v>
      </c>
      <c r="H718" s="44">
        <v>4300000</v>
      </c>
      <c r="I718" s="46">
        <f t="shared" si="548"/>
        <v>-943284.60000000009</v>
      </c>
      <c r="J718" s="47">
        <v>503910.53</v>
      </c>
      <c r="K718" s="47">
        <v>892000</v>
      </c>
      <c r="L718" s="47">
        <v>-10000</v>
      </c>
      <c r="M718" s="47">
        <f t="shared" si="549"/>
        <v>442625.92999999993</v>
      </c>
      <c r="N718" s="46">
        <v>5000000</v>
      </c>
      <c r="O718" s="48">
        <f t="shared" si="550"/>
        <v>794.90000000016698</v>
      </c>
      <c r="P718" s="55">
        <v>740513.39</v>
      </c>
      <c r="Q718" s="55">
        <f>151556.21-892000</f>
        <v>-740443.79</v>
      </c>
      <c r="R718" s="55">
        <v>-11.5</v>
      </c>
      <c r="S718" s="55">
        <f t="shared" si="551"/>
        <v>853.00000000011642</v>
      </c>
      <c r="T718" s="48"/>
      <c r="U718" s="49">
        <f t="shared" si="552"/>
        <v>35.760000000044535</v>
      </c>
      <c r="V718" s="51">
        <v>151570.45000000001</v>
      </c>
      <c r="W718" s="51">
        <v>-151556.21</v>
      </c>
      <c r="X718" s="51">
        <v>-1.4</v>
      </c>
      <c r="Y718" s="51">
        <f t="shared" si="553"/>
        <v>48.600000000058209</v>
      </c>
      <c r="Z718" s="52"/>
      <c r="AA718" s="53">
        <f t="shared" si="554"/>
        <v>674.71999999979516</v>
      </c>
      <c r="AB718" s="54"/>
      <c r="AC718" s="54"/>
      <c r="AD718" s="54"/>
      <c r="AE718" s="54">
        <f t="shared" si="555"/>
        <v>674.71999999979516</v>
      </c>
      <c r="AF718" s="53"/>
      <c r="AG718" s="53">
        <f t="shared" si="533"/>
        <v>283.27000000003466</v>
      </c>
      <c r="AH718" s="54">
        <v>5285.63</v>
      </c>
      <c r="AI718" s="54"/>
      <c r="AJ718" s="54">
        <v>-75</v>
      </c>
      <c r="AK718" s="54">
        <f t="shared" si="556"/>
        <v>5493.9000000000351</v>
      </c>
      <c r="AL718" s="53"/>
      <c r="AM718" s="53">
        <f t="shared" si="540"/>
        <v>0</v>
      </c>
      <c r="AN718" s="54"/>
      <c r="AO718" s="54"/>
      <c r="AP718" s="54"/>
      <c r="AQ718" s="54">
        <f t="shared" si="541"/>
        <v>0</v>
      </c>
      <c r="AR718" s="53"/>
      <c r="AS718" s="50">
        <f t="shared" si="563"/>
        <v>-476583.22000000009</v>
      </c>
      <c r="AT718" s="73">
        <f t="shared" si="560"/>
        <v>1470724.91</v>
      </c>
      <c r="AU718" s="50">
        <f t="shared" si="566"/>
        <v>0</v>
      </c>
      <c r="AV718" s="50">
        <f t="shared" si="567"/>
        <v>-10088.75</v>
      </c>
      <c r="AW718" s="50"/>
      <c r="AX718" s="50">
        <f t="shared" si="542"/>
        <v>984336.21</v>
      </c>
      <c r="AY718" s="50">
        <f t="shared" si="543"/>
        <v>9300000</v>
      </c>
      <c r="AZ718" s="50">
        <f t="shared" si="544"/>
        <v>10284336.210000001</v>
      </c>
      <c r="BA718" s="15"/>
      <c r="BB718" s="15"/>
    </row>
    <row r="719" spans="2:54" s="58" customFormat="1" ht="13.95" customHeight="1" x14ac:dyDescent="0.3">
      <c r="B719" s="99">
        <f t="shared" si="525"/>
        <v>45169</v>
      </c>
      <c r="C719" s="44">
        <f t="shared" si="547"/>
        <v>534640.06000000006</v>
      </c>
      <c r="D719" s="45">
        <v>170152.66</v>
      </c>
      <c r="E719" s="45"/>
      <c r="F719" s="45">
        <v>-69683.360000000001</v>
      </c>
      <c r="G719" s="45">
        <f t="shared" si="524"/>
        <v>635109.3600000001</v>
      </c>
      <c r="H719" s="44">
        <v>4300000</v>
      </c>
      <c r="I719" s="46">
        <f t="shared" si="548"/>
        <v>442625.92999999993</v>
      </c>
      <c r="J719" s="47"/>
      <c r="K719" s="47"/>
      <c r="L719" s="47"/>
      <c r="M719" s="47">
        <f t="shared" si="549"/>
        <v>442625.92999999993</v>
      </c>
      <c r="N719" s="46">
        <v>5000000</v>
      </c>
      <c r="O719" s="48">
        <f t="shared" si="550"/>
        <v>853.00000000011642</v>
      </c>
      <c r="P719" s="55">
        <v>101358</v>
      </c>
      <c r="Q719" s="55"/>
      <c r="R719" s="55"/>
      <c r="S719" s="55">
        <f t="shared" si="551"/>
        <v>102211.00000000012</v>
      </c>
      <c r="T719" s="48"/>
      <c r="U719" s="49">
        <f t="shared" si="552"/>
        <v>48.600000000058209</v>
      </c>
      <c r="V719" s="51"/>
      <c r="W719" s="51"/>
      <c r="X719" s="51"/>
      <c r="Y719" s="51">
        <f t="shared" si="553"/>
        <v>48.600000000058209</v>
      </c>
      <c r="Z719" s="52"/>
      <c r="AA719" s="53">
        <f t="shared" si="554"/>
        <v>674.71999999979516</v>
      </c>
      <c r="AB719" s="54"/>
      <c r="AC719" s="54"/>
      <c r="AD719" s="54"/>
      <c r="AE719" s="54">
        <f t="shared" si="555"/>
        <v>674.71999999979516</v>
      </c>
      <c r="AF719" s="53"/>
      <c r="AG719" s="53">
        <f t="shared" si="533"/>
        <v>5493.9000000000351</v>
      </c>
      <c r="AH719" s="54"/>
      <c r="AI719" s="54"/>
      <c r="AJ719" s="54"/>
      <c r="AK719" s="54">
        <f t="shared" si="556"/>
        <v>5493.9000000000351</v>
      </c>
      <c r="AL719" s="53"/>
      <c r="AM719" s="53">
        <f t="shared" si="540"/>
        <v>0</v>
      </c>
      <c r="AN719" s="54"/>
      <c r="AO719" s="54"/>
      <c r="AP719" s="54"/>
      <c r="AQ719" s="54">
        <f t="shared" si="541"/>
        <v>0</v>
      </c>
      <c r="AR719" s="53"/>
      <c r="AS719" s="50">
        <f t="shared" si="563"/>
        <v>978842.30999999994</v>
      </c>
      <c r="AT719" s="73">
        <f t="shared" si="560"/>
        <v>271510.66000000003</v>
      </c>
      <c r="AU719" s="50">
        <f t="shared" si="566"/>
        <v>0</v>
      </c>
      <c r="AV719" s="50">
        <f t="shared" si="567"/>
        <v>-69683.360000000001</v>
      </c>
      <c r="AW719" s="50"/>
      <c r="AX719" s="50">
        <f t="shared" si="542"/>
        <v>1186163.51</v>
      </c>
      <c r="AY719" s="50">
        <f t="shared" si="543"/>
        <v>9300000</v>
      </c>
      <c r="AZ719" s="50">
        <f t="shared" si="544"/>
        <v>10486163.51</v>
      </c>
      <c r="BA719" s="15"/>
      <c r="BB719" s="15"/>
    </row>
    <row r="720" spans="2:54" s="58" customFormat="1" ht="13.95" customHeight="1" x14ac:dyDescent="0.3">
      <c r="B720" s="99">
        <f t="shared" si="525"/>
        <v>45170</v>
      </c>
      <c r="C720" s="44">
        <f t="shared" si="547"/>
        <v>635109.3600000001</v>
      </c>
      <c r="D720" s="45">
        <v>331244.77</v>
      </c>
      <c r="E720" s="45"/>
      <c r="F720" s="45">
        <v>-1976.32</v>
      </c>
      <c r="G720" s="45">
        <f t="shared" si="524"/>
        <v>964377.81000000017</v>
      </c>
      <c r="H720" s="44">
        <v>4300000</v>
      </c>
      <c r="I720" s="46">
        <f t="shared" si="548"/>
        <v>442625.92999999993</v>
      </c>
      <c r="J720" s="47">
        <f>210093.26+3845.8</f>
        <v>213939.06</v>
      </c>
      <c r="K720" s="47">
        <f>20950+95000</f>
        <v>115950</v>
      </c>
      <c r="L720" s="47">
        <v>-67784.759999999995</v>
      </c>
      <c r="M720" s="47">
        <f t="shared" si="549"/>
        <v>704730.23</v>
      </c>
      <c r="N720" s="46">
        <v>5000000</v>
      </c>
      <c r="O720" s="48">
        <f t="shared" si="550"/>
        <v>102211.00000000012</v>
      </c>
      <c r="P720" s="55">
        <v>10.18</v>
      </c>
      <c r="Q720" s="55">
        <v>-95000</v>
      </c>
      <c r="R720" s="55">
        <f>-1150.38-2074.22</f>
        <v>-3224.6</v>
      </c>
      <c r="S720" s="55">
        <f t="shared" si="551"/>
        <v>3996.5800000001095</v>
      </c>
      <c r="T720" s="48"/>
      <c r="U720" s="49">
        <f t="shared" si="552"/>
        <v>48.600000000058209</v>
      </c>
      <c r="V720" s="51">
        <v>20956.18</v>
      </c>
      <c r="W720" s="51">
        <v>-20950</v>
      </c>
      <c r="X720" s="51"/>
      <c r="Y720" s="51">
        <f t="shared" si="553"/>
        <v>54.780000000057044</v>
      </c>
      <c r="Z720" s="52"/>
      <c r="AA720" s="53">
        <f t="shared" si="554"/>
        <v>674.71999999979516</v>
      </c>
      <c r="AB720" s="54"/>
      <c r="AC720" s="54"/>
      <c r="AD720" s="54"/>
      <c r="AE720" s="54">
        <f t="shared" si="555"/>
        <v>674.71999999979516</v>
      </c>
      <c r="AF720" s="53"/>
      <c r="AG720" s="53">
        <f t="shared" si="533"/>
        <v>5493.9000000000351</v>
      </c>
      <c r="AH720" s="54"/>
      <c r="AI720" s="54"/>
      <c r="AJ720" s="54">
        <v>-722.48</v>
      </c>
      <c r="AK720" s="54">
        <f t="shared" si="556"/>
        <v>4771.4200000000346</v>
      </c>
      <c r="AL720" s="53"/>
      <c r="AM720" s="53">
        <f t="shared" si="540"/>
        <v>0</v>
      </c>
      <c r="AN720" s="54"/>
      <c r="AO720" s="54"/>
      <c r="AP720" s="54"/>
      <c r="AQ720" s="54">
        <f t="shared" si="541"/>
        <v>0</v>
      </c>
      <c r="AR720" s="53"/>
      <c r="AS720" s="50">
        <f t="shared" si="563"/>
        <v>1180669.6099999999</v>
      </c>
      <c r="AT720" s="73">
        <f t="shared" si="560"/>
        <v>566150.19000000018</v>
      </c>
      <c r="AU720" s="50">
        <f t="shared" si="566"/>
        <v>0</v>
      </c>
      <c r="AV720" s="50">
        <f t="shared" si="567"/>
        <v>-73708.160000000003</v>
      </c>
      <c r="AW720" s="50"/>
      <c r="AX720" s="50">
        <f t="shared" si="542"/>
        <v>1678605.5399999998</v>
      </c>
      <c r="AY720" s="50">
        <f t="shared" si="543"/>
        <v>9300000</v>
      </c>
      <c r="AZ720" s="50">
        <f t="shared" si="544"/>
        <v>10978605.539999999</v>
      </c>
      <c r="BA720" s="15"/>
      <c r="BB720" s="15"/>
    </row>
    <row r="721" spans="2:54" s="58" customFormat="1" ht="13.95" customHeight="1" x14ac:dyDescent="0.3">
      <c r="B721" s="99">
        <f t="shared" ref="B721" si="570">B720+3</f>
        <v>45173</v>
      </c>
      <c r="C721" s="44">
        <f t="shared" si="547"/>
        <v>964377.81000000017</v>
      </c>
      <c r="D721" s="45">
        <v>111379.71</v>
      </c>
      <c r="E721" s="45"/>
      <c r="F721" s="45">
        <v>-194323.94</v>
      </c>
      <c r="G721" s="45">
        <f t="shared" si="524"/>
        <v>881433.58000000031</v>
      </c>
      <c r="H721" s="44">
        <v>4300000</v>
      </c>
      <c r="I721" s="46">
        <f t="shared" si="548"/>
        <v>704730.23</v>
      </c>
      <c r="J721" s="47"/>
      <c r="K721" s="47">
        <v>357000</v>
      </c>
      <c r="L721" s="47">
        <v>-108937.38</v>
      </c>
      <c r="M721" s="47">
        <f t="shared" si="549"/>
        <v>952792.85</v>
      </c>
      <c r="N721" s="46">
        <v>5000000</v>
      </c>
      <c r="O721" s="48">
        <f t="shared" si="550"/>
        <v>3996.5800000001095</v>
      </c>
      <c r="P721" s="55">
        <f>122.88+217.28</f>
        <v>340.15999999999997</v>
      </c>
      <c r="Q721" s="55"/>
      <c r="R721" s="55">
        <v>-10</v>
      </c>
      <c r="S721" s="55">
        <f t="shared" si="551"/>
        <v>4326.7400000001098</v>
      </c>
      <c r="T721" s="48"/>
      <c r="U721" s="49">
        <f t="shared" si="552"/>
        <v>54.780000000057044</v>
      </c>
      <c r="V721" s="51"/>
      <c r="W721" s="51"/>
      <c r="X721" s="51">
        <v>-54.78</v>
      </c>
      <c r="Y721" s="51">
        <f t="shared" si="553"/>
        <v>5.7042370826820843E-11</v>
      </c>
      <c r="Z721" s="52"/>
      <c r="AA721" s="53">
        <f t="shared" si="554"/>
        <v>674.71999999979516</v>
      </c>
      <c r="AB721" s="54"/>
      <c r="AC721" s="54"/>
      <c r="AD721" s="54"/>
      <c r="AE721" s="54">
        <f t="shared" si="555"/>
        <v>674.71999999979516</v>
      </c>
      <c r="AF721" s="53"/>
      <c r="AG721" s="53">
        <f t="shared" si="533"/>
        <v>4771.4200000000346</v>
      </c>
      <c r="AH721" s="54">
        <v>353041.51</v>
      </c>
      <c r="AI721" s="54">
        <v>-357000</v>
      </c>
      <c r="AJ721" s="54"/>
      <c r="AK721" s="54">
        <f t="shared" si="556"/>
        <v>812.93000000005122</v>
      </c>
      <c r="AL721" s="53"/>
      <c r="AM721" s="53">
        <f t="shared" si="540"/>
        <v>0</v>
      </c>
      <c r="AN721" s="54"/>
      <c r="AO721" s="54"/>
      <c r="AP721" s="54"/>
      <c r="AQ721" s="54">
        <f t="shared" si="541"/>
        <v>0</v>
      </c>
      <c r="AR721" s="53"/>
      <c r="AS721" s="50">
        <f t="shared" si="563"/>
        <v>1673834.1199999999</v>
      </c>
      <c r="AT721" s="73">
        <f t="shared" si="560"/>
        <v>464761.38</v>
      </c>
      <c r="AU721" s="50">
        <f t="shared" si="566"/>
        <v>0</v>
      </c>
      <c r="AV721" s="50">
        <f t="shared" si="567"/>
        <v>-303326.10000000003</v>
      </c>
      <c r="AW721" s="50"/>
      <c r="AX721" s="50">
        <f t="shared" si="542"/>
        <v>1840040.8200000003</v>
      </c>
      <c r="AY721" s="50">
        <f t="shared" si="543"/>
        <v>9300000</v>
      </c>
      <c r="AZ721" s="50">
        <f t="shared" si="544"/>
        <v>11140040.82</v>
      </c>
      <c r="BA721" s="15"/>
      <c r="BB721" s="15"/>
    </row>
    <row r="722" spans="2:54" s="58" customFormat="1" ht="13.95" customHeight="1" x14ac:dyDescent="0.3">
      <c r="B722" s="99">
        <f t="shared" ref="B722" si="571">B721+1</f>
        <v>45174</v>
      </c>
      <c r="C722" s="44">
        <f t="shared" si="547"/>
        <v>881433.58000000031</v>
      </c>
      <c r="D722" s="45">
        <v>686798.12</v>
      </c>
      <c r="E722" s="45">
        <v>-1490000</v>
      </c>
      <c r="F722" s="45">
        <f>-15235.02+11.8</f>
        <v>-15223.220000000001</v>
      </c>
      <c r="G722" s="45">
        <f t="shared" si="524"/>
        <v>63008.480000000185</v>
      </c>
      <c r="H722" s="44">
        <v>4300000</v>
      </c>
      <c r="I722" s="46">
        <f t="shared" si="548"/>
        <v>952792.85</v>
      </c>
      <c r="J722" s="47"/>
      <c r="K722" s="47">
        <v>1490000</v>
      </c>
      <c r="L722" s="47">
        <v>-3871689.96</v>
      </c>
      <c r="M722" s="47">
        <f t="shared" si="549"/>
        <v>-1428897.1099999999</v>
      </c>
      <c r="N722" s="46">
        <v>5000000</v>
      </c>
      <c r="O722" s="48">
        <f t="shared" si="550"/>
        <v>4326.7400000001098</v>
      </c>
      <c r="P722" s="55"/>
      <c r="Q722" s="55">
        <v>-50</v>
      </c>
      <c r="R722" s="55">
        <v>-3953.4</v>
      </c>
      <c r="S722" s="55">
        <f t="shared" si="551"/>
        <v>323.34000000010974</v>
      </c>
      <c r="T722" s="48"/>
      <c r="U722" s="49">
        <f t="shared" si="552"/>
        <v>5.7042370826820843E-11</v>
      </c>
      <c r="V722" s="51"/>
      <c r="W722" s="51">
        <v>50</v>
      </c>
      <c r="X722" s="51">
        <v>-17.72</v>
      </c>
      <c r="Y722" s="51">
        <f t="shared" si="553"/>
        <v>32.280000000057044</v>
      </c>
      <c r="Z722" s="52"/>
      <c r="AA722" s="53">
        <f t="shared" si="554"/>
        <v>674.71999999979516</v>
      </c>
      <c r="AB722" s="54"/>
      <c r="AC722" s="54"/>
      <c r="AD722" s="54"/>
      <c r="AE722" s="54">
        <f t="shared" si="555"/>
        <v>674.71999999979516</v>
      </c>
      <c r="AF722" s="53"/>
      <c r="AG722" s="53">
        <f t="shared" si="533"/>
        <v>812.93000000005122</v>
      </c>
      <c r="AH722" s="54"/>
      <c r="AI722" s="54"/>
      <c r="AJ722" s="54">
        <f>-424.96-9.9</f>
        <v>-434.85999999999996</v>
      </c>
      <c r="AK722" s="54">
        <f t="shared" si="556"/>
        <v>378.07000000005127</v>
      </c>
      <c r="AL722" s="53"/>
      <c r="AM722" s="53">
        <f t="shared" si="540"/>
        <v>0</v>
      </c>
      <c r="AN722" s="54"/>
      <c r="AO722" s="54"/>
      <c r="AP722" s="54"/>
      <c r="AQ722" s="54">
        <f t="shared" si="541"/>
        <v>0</v>
      </c>
      <c r="AR722" s="53"/>
      <c r="AS722" s="50">
        <f t="shared" si="563"/>
        <v>1839227.8900000001</v>
      </c>
      <c r="AT722" s="73">
        <f t="shared" si="560"/>
        <v>686798.12</v>
      </c>
      <c r="AU722" s="50">
        <f t="shared" si="566"/>
        <v>0</v>
      </c>
      <c r="AV722" s="50">
        <f t="shared" si="567"/>
        <v>-3891319.16</v>
      </c>
      <c r="AW722" s="50"/>
      <c r="AX722" s="50">
        <f t="shared" si="542"/>
        <v>-1364480.2199999997</v>
      </c>
      <c r="AY722" s="50">
        <f t="shared" si="543"/>
        <v>9300000</v>
      </c>
      <c r="AZ722" s="50">
        <f t="shared" si="544"/>
        <v>7935519.7800000003</v>
      </c>
      <c r="BA722" s="15"/>
      <c r="BB722" s="15"/>
    </row>
    <row r="723" spans="2:54" s="58" customFormat="1" ht="13.95" customHeight="1" x14ac:dyDescent="0.3">
      <c r="B723" s="99">
        <f t="shared" si="525"/>
        <v>45175</v>
      </c>
      <c r="C723" s="44">
        <f t="shared" si="547"/>
        <v>63008.480000000185</v>
      </c>
      <c r="D723" s="45">
        <v>61167.39</v>
      </c>
      <c r="E723" s="45"/>
      <c r="F723" s="45">
        <v>-53787.95</v>
      </c>
      <c r="G723" s="45">
        <f t="shared" si="524"/>
        <v>70387.920000000187</v>
      </c>
      <c r="H723" s="44">
        <v>4300000</v>
      </c>
      <c r="I723" s="46">
        <f t="shared" si="548"/>
        <v>-1428897.1099999999</v>
      </c>
      <c r="J723" s="47"/>
      <c r="K723" s="47"/>
      <c r="L723" s="47">
        <v>-1087820.52</v>
      </c>
      <c r="M723" s="47">
        <f t="shared" si="549"/>
        <v>-2516717.63</v>
      </c>
      <c r="N723" s="46">
        <v>5000000</v>
      </c>
      <c r="O723" s="48">
        <f t="shared" si="550"/>
        <v>323.34000000010974</v>
      </c>
      <c r="P723" s="55"/>
      <c r="Q723" s="55"/>
      <c r="R723" s="55"/>
      <c r="S723" s="55">
        <f t="shared" si="551"/>
        <v>323.34000000010974</v>
      </c>
      <c r="T723" s="48"/>
      <c r="U723" s="49">
        <f t="shared" si="552"/>
        <v>32.280000000057044</v>
      </c>
      <c r="V723" s="51"/>
      <c r="W723" s="51"/>
      <c r="X723" s="51"/>
      <c r="Y723" s="51">
        <f t="shared" si="553"/>
        <v>32.280000000057044</v>
      </c>
      <c r="Z723" s="52"/>
      <c r="AA723" s="53">
        <f t="shared" si="554"/>
        <v>674.71999999979516</v>
      </c>
      <c r="AB723" s="54"/>
      <c r="AC723" s="54"/>
      <c r="AD723" s="54">
        <v>-336.6</v>
      </c>
      <c r="AE723" s="54">
        <f t="shared" si="555"/>
        <v>338.11999999979514</v>
      </c>
      <c r="AF723" s="53"/>
      <c r="AG723" s="53">
        <f t="shared" si="533"/>
        <v>378.07000000005127</v>
      </c>
      <c r="AH723" s="54"/>
      <c r="AI723" s="54"/>
      <c r="AJ723" s="54"/>
      <c r="AK723" s="54">
        <f t="shared" si="556"/>
        <v>378.07000000005127</v>
      </c>
      <c r="AL723" s="53"/>
      <c r="AM723" s="53">
        <f t="shared" si="540"/>
        <v>0</v>
      </c>
      <c r="AN723" s="54"/>
      <c r="AO723" s="54"/>
      <c r="AP723" s="54"/>
      <c r="AQ723" s="54">
        <f t="shared" si="541"/>
        <v>0</v>
      </c>
      <c r="AR723" s="53"/>
      <c r="AS723" s="50">
        <f t="shared" si="563"/>
        <v>-1364858.2899999998</v>
      </c>
      <c r="AT723" s="73">
        <f t="shared" si="560"/>
        <v>61167.39</v>
      </c>
      <c r="AU723" s="50">
        <f t="shared" si="566"/>
        <v>0</v>
      </c>
      <c r="AV723" s="50">
        <f t="shared" si="567"/>
        <v>-1141945.07</v>
      </c>
      <c r="AW723" s="50"/>
      <c r="AX723" s="50">
        <f t="shared" si="542"/>
        <v>-2445257.8999999994</v>
      </c>
      <c r="AY723" s="50">
        <f t="shared" si="543"/>
        <v>9300000</v>
      </c>
      <c r="AZ723" s="50">
        <f t="shared" si="544"/>
        <v>6854742.1000000006</v>
      </c>
      <c r="BA723" s="15"/>
      <c r="BB723" s="15"/>
    </row>
    <row r="724" spans="2:54" x14ac:dyDescent="0.3">
      <c r="B724" s="99">
        <f t="shared" si="525"/>
        <v>45176</v>
      </c>
      <c r="C724" s="44">
        <f t="shared" si="547"/>
        <v>70387.920000000187</v>
      </c>
      <c r="D724" s="38"/>
      <c r="E724" s="38"/>
      <c r="F724" s="38"/>
      <c r="G724" s="45">
        <f t="shared" si="524"/>
        <v>70387.920000000187</v>
      </c>
      <c r="H724" s="44">
        <v>4300000</v>
      </c>
      <c r="I724" s="46">
        <f t="shared" si="548"/>
        <v>-2516717.63</v>
      </c>
      <c r="J724" s="38"/>
      <c r="K724" s="38"/>
      <c r="L724" s="38"/>
      <c r="M724" s="47">
        <f t="shared" si="549"/>
        <v>-2516717.63</v>
      </c>
      <c r="N724" s="46">
        <v>5000000</v>
      </c>
      <c r="O724" s="48">
        <f t="shared" si="550"/>
        <v>323.34000000010974</v>
      </c>
      <c r="P724" s="38"/>
      <c r="Q724" s="38"/>
      <c r="R724" s="38"/>
      <c r="S724" s="55">
        <f t="shared" si="551"/>
        <v>323.34000000010974</v>
      </c>
      <c r="T724" s="48"/>
      <c r="U724" s="49">
        <f t="shared" si="552"/>
        <v>32.280000000057044</v>
      </c>
      <c r="V724" s="38"/>
      <c r="W724" s="38"/>
      <c r="X724" s="38"/>
      <c r="Y724" s="51">
        <f t="shared" si="553"/>
        <v>32.280000000057044</v>
      </c>
      <c r="Z724" s="52"/>
      <c r="AA724" s="53">
        <f t="shared" si="554"/>
        <v>338.11999999979514</v>
      </c>
      <c r="AB724" s="38"/>
      <c r="AC724" s="38"/>
      <c r="AD724" s="38"/>
      <c r="AE724" s="54">
        <f t="shared" si="555"/>
        <v>338.11999999979514</v>
      </c>
      <c r="AF724" s="53"/>
      <c r="AG724" s="53">
        <f t="shared" si="533"/>
        <v>378.07000000005127</v>
      </c>
      <c r="AH724" s="38"/>
      <c r="AI724" s="38"/>
      <c r="AJ724" s="38"/>
      <c r="AK724" s="54">
        <f t="shared" si="556"/>
        <v>378.07000000005127</v>
      </c>
      <c r="AL724" s="53"/>
      <c r="AM724" s="53">
        <f t="shared" si="540"/>
        <v>0</v>
      </c>
      <c r="AN724" s="38"/>
      <c r="AO724" s="38"/>
      <c r="AP724" s="38"/>
      <c r="AQ724" s="54">
        <f t="shared" si="541"/>
        <v>0</v>
      </c>
      <c r="AR724" s="53"/>
      <c r="AS724" s="29">
        <f t="shared" si="563"/>
        <v>-2445635.9699999993</v>
      </c>
      <c r="AT724" s="29">
        <f t="shared" si="560"/>
        <v>0</v>
      </c>
      <c r="AU724" s="29">
        <f t="shared" si="566"/>
        <v>0</v>
      </c>
      <c r="AV724" s="29">
        <f t="shared" si="567"/>
        <v>0</v>
      </c>
      <c r="AW724" s="29"/>
      <c r="AX724" s="29">
        <f t="shared" si="542"/>
        <v>-2445257.8999999994</v>
      </c>
      <c r="AY724" s="29">
        <f t="shared" si="543"/>
        <v>9300000</v>
      </c>
      <c r="AZ724" s="29">
        <f t="shared" si="544"/>
        <v>6854742.1000000006</v>
      </c>
    </row>
    <row r="725" spans="2:54" x14ac:dyDescent="0.3">
      <c r="B725" s="99">
        <f t="shared" si="525"/>
        <v>45177</v>
      </c>
      <c r="C725" s="44">
        <f t="shared" si="547"/>
        <v>70387.920000000187</v>
      </c>
      <c r="D725" s="38">
        <v>903144.51</v>
      </c>
      <c r="E725" s="38">
        <v>-500000</v>
      </c>
      <c r="F725" s="38"/>
      <c r="G725" s="45">
        <f t="shared" ref="G725:G788" si="572">SUM(C725:F725)</f>
        <v>473532.43000000017</v>
      </c>
      <c r="H725" s="44">
        <v>4300000</v>
      </c>
      <c r="I725" s="46">
        <f t="shared" si="548"/>
        <v>-2516717.63</v>
      </c>
      <c r="J725" s="38">
        <v>54.85</v>
      </c>
      <c r="K725" s="38">
        <v>500000</v>
      </c>
      <c r="L725" s="38">
        <v>-108776.91</v>
      </c>
      <c r="M725" s="47">
        <f t="shared" si="549"/>
        <v>-2125439.69</v>
      </c>
      <c r="N725" s="46">
        <v>5000000</v>
      </c>
      <c r="O725" s="48">
        <f t="shared" si="550"/>
        <v>323.34000000010974</v>
      </c>
      <c r="P725" s="38"/>
      <c r="Q725" s="38"/>
      <c r="R725" s="38"/>
      <c r="S725" s="55">
        <f t="shared" si="551"/>
        <v>323.34000000010974</v>
      </c>
      <c r="T725" s="48"/>
      <c r="U725" s="49">
        <f t="shared" si="552"/>
        <v>32.280000000057044</v>
      </c>
      <c r="V725" s="38"/>
      <c r="W725" s="38"/>
      <c r="X725" s="38"/>
      <c r="Y725" s="51">
        <f t="shared" si="553"/>
        <v>32.280000000057044</v>
      </c>
      <c r="Z725" s="52"/>
      <c r="AA725" s="53">
        <f t="shared" si="554"/>
        <v>338.11999999979514</v>
      </c>
      <c r="AB725" s="38"/>
      <c r="AC725" s="38"/>
      <c r="AD725" s="38"/>
      <c r="AE725" s="54">
        <f t="shared" si="555"/>
        <v>338.11999999979514</v>
      </c>
      <c r="AF725" s="53"/>
      <c r="AG725" s="53">
        <f t="shared" si="533"/>
        <v>378.07000000005127</v>
      </c>
      <c r="AH725" s="38"/>
      <c r="AI725" s="38"/>
      <c r="AJ725" s="38"/>
      <c r="AK725" s="54">
        <f t="shared" si="556"/>
        <v>378.07000000005127</v>
      </c>
      <c r="AL725" s="53"/>
      <c r="AM725" s="53">
        <f t="shared" si="540"/>
        <v>0</v>
      </c>
      <c r="AN725" s="38"/>
      <c r="AO725" s="38"/>
      <c r="AP725" s="38"/>
      <c r="AQ725" s="54">
        <f t="shared" si="541"/>
        <v>0</v>
      </c>
      <c r="AR725" s="53"/>
      <c r="AS725" s="29">
        <f t="shared" si="563"/>
        <v>-2445635.9699999993</v>
      </c>
      <c r="AT725" s="29">
        <f t="shared" si="560"/>
        <v>903199.36</v>
      </c>
      <c r="AU725" s="29">
        <f t="shared" si="566"/>
        <v>0</v>
      </c>
      <c r="AV725" s="29">
        <f t="shared" si="567"/>
        <v>-108776.91</v>
      </c>
      <c r="AW725" s="29"/>
      <c r="AX725" s="29">
        <f t="shared" si="542"/>
        <v>-1650835.4499999997</v>
      </c>
      <c r="AY725" s="29">
        <f t="shared" si="543"/>
        <v>9300000</v>
      </c>
      <c r="AZ725" s="29">
        <f t="shared" si="544"/>
        <v>7649164.5500000007</v>
      </c>
    </row>
    <row r="726" spans="2:54" x14ac:dyDescent="0.3">
      <c r="B726" s="99">
        <f t="shared" ref="B726" si="573">B725+3</f>
        <v>45180</v>
      </c>
      <c r="C726" s="44">
        <f t="shared" si="547"/>
        <v>473532.43000000017</v>
      </c>
      <c r="D726" s="38">
        <v>132472.64000000001</v>
      </c>
      <c r="E726" s="38">
        <v>-500000</v>
      </c>
      <c r="F726" s="38">
        <v>-112.08</v>
      </c>
      <c r="G726" s="45">
        <f t="shared" si="572"/>
        <v>105892.99000000018</v>
      </c>
      <c r="H726" s="44">
        <v>4300000</v>
      </c>
      <c r="I726" s="46">
        <f t="shared" si="548"/>
        <v>-2125439.69</v>
      </c>
      <c r="J726" s="38"/>
      <c r="K726" s="38">
        <v>500000</v>
      </c>
      <c r="L726" s="38">
        <v>-282179.8</v>
      </c>
      <c r="M726" s="47">
        <f t="shared" si="549"/>
        <v>-1907619.49</v>
      </c>
      <c r="N726" s="46">
        <v>5000000</v>
      </c>
      <c r="O726" s="48">
        <f t="shared" si="550"/>
        <v>323.34000000010974</v>
      </c>
      <c r="P726" s="38"/>
      <c r="Q726" s="38"/>
      <c r="R726" s="38"/>
      <c r="S726" s="55">
        <f t="shared" si="551"/>
        <v>323.34000000010974</v>
      </c>
      <c r="T726" s="48"/>
      <c r="U726" s="49">
        <f t="shared" si="552"/>
        <v>32.280000000057044</v>
      </c>
      <c r="V726" s="38"/>
      <c r="W726" s="38"/>
      <c r="X726" s="38"/>
      <c r="Y726" s="51">
        <f t="shared" si="553"/>
        <v>32.280000000057044</v>
      </c>
      <c r="Z726" s="52"/>
      <c r="AA726" s="53">
        <f t="shared" si="554"/>
        <v>338.11999999979514</v>
      </c>
      <c r="AB726" s="38"/>
      <c r="AC726" s="38"/>
      <c r="AD726" s="38"/>
      <c r="AE726" s="54">
        <f t="shared" si="555"/>
        <v>338.11999999979514</v>
      </c>
      <c r="AF726" s="53"/>
      <c r="AG726" s="53">
        <f t="shared" si="533"/>
        <v>378.07000000005127</v>
      </c>
      <c r="AH726" s="38"/>
      <c r="AI726" s="38"/>
      <c r="AJ726" s="38"/>
      <c r="AK726" s="54">
        <f t="shared" si="556"/>
        <v>378.07000000005127</v>
      </c>
      <c r="AL726" s="53"/>
      <c r="AM726" s="53">
        <f t="shared" si="540"/>
        <v>0</v>
      </c>
      <c r="AN726" s="38"/>
      <c r="AO726" s="38"/>
      <c r="AP726" s="38"/>
      <c r="AQ726" s="54">
        <f t="shared" si="541"/>
        <v>0</v>
      </c>
      <c r="AR726" s="53"/>
      <c r="AS726" s="29">
        <f t="shared" si="563"/>
        <v>-1651213.5199999998</v>
      </c>
      <c r="AT726" s="29">
        <f t="shared" si="560"/>
        <v>132472.64000000001</v>
      </c>
      <c r="AU726" s="29">
        <f t="shared" si="566"/>
        <v>0</v>
      </c>
      <c r="AV726" s="29">
        <f t="shared" si="567"/>
        <v>-282291.88</v>
      </c>
      <c r="AW726" s="29"/>
      <c r="AX726" s="29">
        <f t="shared" si="542"/>
        <v>-1800654.6899999997</v>
      </c>
      <c r="AY726" s="29">
        <f t="shared" si="543"/>
        <v>9300000</v>
      </c>
      <c r="AZ726" s="29">
        <f t="shared" si="544"/>
        <v>7499345.3100000005</v>
      </c>
    </row>
    <row r="727" spans="2:54" x14ac:dyDescent="0.3">
      <c r="B727" s="99">
        <f t="shared" ref="B727:B790" si="574">B726+1</f>
        <v>45181</v>
      </c>
      <c r="C727" s="44">
        <f t="shared" si="547"/>
        <v>105892.99000000018</v>
      </c>
      <c r="D727" s="38"/>
      <c r="E727" s="38"/>
      <c r="F727" s="38">
        <v>-11196.71</v>
      </c>
      <c r="G727" s="45">
        <f t="shared" si="572"/>
        <v>94696.280000000173</v>
      </c>
      <c r="H727" s="44">
        <v>4300000</v>
      </c>
      <c r="I727" s="46">
        <f t="shared" si="548"/>
        <v>-1907619.49</v>
      </c>
      <c r="J727" s="38">
        <v>140775</v>
      </c>
      <c r="K727" s="38"/>
      <c r="L727" s="38">
        <v>-629816.44999999995</v>
      </c>
      <c r="M727" s="47">
        <f t="shared" si="549"/>
        <v>-2396660.94</v>
      </c>
      <c r="N727" s="46">
        <v>5000000</v>
      </c>
      <c r="O727" s="48">
        <f t="shared" si="550"/>
        <v>323.34000000010974</v>
      </c>
      <c r="P727" s="38"/>
      <c r="Q727" s="38"/>
      <c r="R727" s="38"/>
      <c r="S727" s="55">
        <f t="shared" si="551"/>
        <v>323.34000000010974</v>
      </c>
      <c r="T727" s="48"/>
      <c r="U727" s="49">
        <f t="shared" si="552"/>
        <v>32.280000000057044</v>
      </c>
      <c r="V727" s="38"/>
      <c r="W727" s="38"/>
      <c r="X727" s="38"/>
      <c r="Y727" s="51">
        <f t="shared" si="553"/>
        <v>32.280000000057044</v>
      </c>
      <c r="Z727" s="52"/>
      <c r="AA727" s="53">
        <f t="shared" si="554"/>
        <v>338.11999999979514</v>
      </c>
      <c r="AB727" s="38"/>
      <c r="AC727" s="38"/>
      <c r="AD727" s="38"/>
      <c r="AE727" s="54">
        <f t="shared" si="555"/>
        <v>338.11999999979514</v>
      </c>
      <c r="AF727" s="53"/>
      <c r="AG727" s="53">
        <f t="shared" si="533"/>
        <v>378.07000000005127</v>
      </c>
      <c r="AH727" s="38"/>
      <c r="AI727" s="38"/>
      <c r="AJ727" s="38"/>
      <c r="AK727" s="54">
        <f t="shared" si="556"/>
        <v>378.07000000005127</v>
      </c>
      <c r="AL727" s="53"/>
      <c r="AM727" s="53">
        <f t="shared" si="540"/>
        <v>0</v>
      </c>
      <c r="AN727" s="38"/>
      <c r="AO727" s="38"/>
      <c r="AP727" s="38"/>
      <c r="AQ727" s="54">
        <f t="shared" si="541"/>
        <v>0</v>
      </c>
      <c r="AR727" s="53"/>
      <c r="AS727" s="29">
        <f t="shared" si="563"/>
        <v>-1801032.7599999998</v>
      </c>
      <c r="AT727" s="29">
        <f t="shared" si="560"/>
        <v>140775</v>
      </c>
      <c r="AU727" s="29">
        <f t="shared" si="566"/>
        <v>0</v>
      </c>
      <c r="AV727" s="29">
        <f t="shared" si="567"/>
        <v>-641013.15999999992</v>
      </c>
      <c r="AW727" s="29"/>
      <c r="AX727" s="29">
        <f t="shared" si="542"/>
        <v>-2300892.8499999996</v>
      </c>
      <c r="AY727" s="29">
        <f t="shared" si="543"/>
        <v>9300000</v>
      </c>
      <c r="AZ727" s="29">
        <f t="shared" si="544"/>
        <v>6999107.1500000004</v>
      </c>
    </row>
    <row r="728" spans="2:54" x14ac:dyDescent="0.3">
      <c r="B728" s="99">
        <f t="shared" si="574"/>
        <v>45182</v>
      </c>
      <c r="C728" s="44">
        <f t="shared" si="547"/>
        <v>94696.280000000173</v>
      </c>
      <c r="D728" s="38"/>
      <c r="E728" s="38"/>
      <c r="F728" s="38">
        <v>-3776.61</v>
      </c>
      <c r="G728" s="45">
        <f t="shared" si="572"/>
        <v>90919.670000000173</v>
      </c>
      <c r="H728" s="44">
        <v>4300000</v>
      </c>
      <c r="I728" s="46">
        <f t="shared" si="548"/>
        <v>-2396660.94</v>
      </c>
      <c r="J728" s="38">
        <v>125755.07</v>
      </c>
      <c r="K728" s="38"/>
      <c r="L728" s="38">
        <v>-127854.93</v>
      </c>
      <c r="M728" s="47">
        <f t="shared" si="549"/>
        <v>-2398760.8000000003</v>
      </c>
      <c r="N728" s="46">
        <v>5000000</v>
      </c>
      <c r="O728" s="48">
        <f t="shared" si="550"/>
        <v>323.34000000010974</v>
      </c>
      <c r="P728" s="38">
        <v>1521.06</v>
      </c>
      <c r="Q728" s="38"/>
      <c r="R728" s="38">
        <v>-52.91</v>
      </c>
      <c r="S728" s="55">
        <f t="shared" si="551"/>
        <v>1791.4900000001096</v>
      </c>
      <c r="T728" s="48"/>
      <c r="U728" s="49">
        <f t="shared" si="552"/>
        <v>32.280000000057044</v>
      </c>
      <c r="V728" s="38"/>
      <c r="W728" s="38"/>
      <c r="X728" s="38"/>
      <c r="Y728" s="51">
        <f t="shared" si="553"/>
        <v>32.280000000057044</v>
      </c>
      <c r="Z728" s="52"/>
      <c r="AA728" s="53">
        <f t="shared" si="554"/>
        <v>338.11999999979514</v>
      </c>
      <c r="AB728" s="38"/>
      <c r="AC728" s="38"/>
      <c r="AD728" s="38"/>
      <c r="AE728" s="54">
        <f t="shared" si="555"/>
        <v>338.11999999979514</v>
      </c>
      <c r="AF728" s="53"/>
      <c r="AG728" s="53">
        <f t="shared" si="533"/>
        <v>378.07000000005127</v>
      </c>
      <c r="AH728" s="38"/>
      <c r="AI728" s="38"/>
      <c r="AJ728" s="38"/>
      <c r="AK728" s="54">
        <f t="shared" si="556"/>
        <v>378.07000000005127</v>
      </c>
      <c r="AL728" s="53"/>
      <c r="AM728" s="53">
        <f t="shared" si="540"/>
        <v>0</v>
      </c>
      <c r="AN728" s="38"/>
      <c r="AO728" s="38"/>
      <c r="AP728" s="38"/>
      <c r="AQ728" s="54">
        <f t="shared" si="541"/>
        <v>0</v>
      </c>
      <c r="AR728" s="53"/>
      <c r="AS728" s="29">
        <f t="shared" si="563"/>
        <v>-2301270.9199999995</v>
      </c>
      <c r="AT728" s="29">
        <f t="shared" si="560"/>
        <v>127276.13</v>
      </c>
      <c r="AU728" s="29">
        <f t="shared" si="566"/>
        <v>0</v>
      </c>
      <c r="AV728" s="29">
        <f t="shared" si="567"/>
        <v>-131684.44999999998</v>
      </c>
      <c r="AW728" s="29"/>
      <c r="AX728" s="29">
        <f t="shared" si="542"/>
        <v>-2305301.17</v>
      </c>
      <c r="AY728" s="29">
        <f t="shared" si="543"/>
        <v>9300000</v>
      </c>
      <c r="AZ728" s="29">
        <f t="shared" si="544"/>
        <v>6994698.8300000001</v>
      </c>
    </row>
    <row r="729" spans="2:54" x14ac:dyDescent="0.3">
      <c r="B729" s="99">
        <f t="shared" si="574"/>
        <v>45183</v>
      </c>
      <c r="C729" s="44">
        <f t="shared" si="547"/>
        <v>90919.670000000173</v>
      </c>
      <c r="D729" s="38">
        <v>23160.720000000001</v>
      </c>
      <c r="E729" s="38"/>
      <c r="F729" s="38"/>
      <c r="G729" s="45">
        <f t="shared" si="572"/>
        <v>114080.39000000017</v>
      </c>
      <c r="H729" s="44">
        <v>4300000</v>
      </c>
      <c r="I729" s="46">
        <f t="shared" si="548"/>
        <v>-2398760.8000000003</v>
      </c>
      <c r="J729" s="38"/>
      <c r="K729" s="38"/>
      <c r="L729" s="38">
        <v>-39880.5</v>
      </c>
      <c r="M729" s="47">
        <f t="shared" si="549"/>
        <v>-2438641.3000000003</v>
      </c>
      <c r="N729" s="46">
        <v>5000000</v>
      </c>
      <c r="O729" s="48">
        <f t="shared" si="550"/>
        <v>1791.4900000001096</v>
      </c>
      <c r="P729" s="38">
        <v>676.16</v>
      </c>
      <c r="Q729" s="38"/>
      <c r="R729" s="38"/>
      <c r="S729" s="55">
        <f t="shared" si="551"/>
        <v>2467.6500000001097</v>
      </c>
      <c r="T729" s="48"/>
      <c r="U729" s="49">
        <f t="shared" si="552"/>
        <v>32.280000000057044</v>
      </c>
      <c r="V729" s="38"/>
      <c r="W729" s="38"/>
      <c r="X729" s="38"/>
      <c r="Y729" s="51">
        <f t="shared" si="553"/>
        <v>32.280000000057044</v>
      </c>
      <c r="Z729" s="52"/>
      <c r="AA729" s="53">
        <f t="shared" si="554"/>
        <v>338.11999999979514</v>
      </c>
      <c r="AB729" s="38"/>
      <c r="AC729" s="38"/>
      <c r="AD729" s="38"/>
      <c r="AE729" s="54">
        <f t="shared" si="555"/>
        <v>338.11999999979514</v>
      </c>
      <c r="AF729" s="53"/>
      <c r="AG729" s="53">
        <f t="shared" si="533"/>
        <v>378.07000000005127</v>
      </c>
      <c r="AH729" s="38"/>
      <c r="AI729" s="38"/>
      <c r="AJ729" s="38"/>
      <c r="AK729" s="54">
        <f t="shared" si="556"/>
        <v>378.07000000005127</v>
      </c>
      <c r="AL729" s="53"/>
      <c r="AM729" s="53">
        <f t="shared" si="540"/>
        <v>0</v>
      </c>
      <c r="AN729" s="38"/>
      <c r="AO729" s="38"/>
      <c r="AP729" s="38"/>
      <c r="AQ729" s="54">
        <f t="shared" si="541"/>
        <v>0</v>
      </c>
      <c r="AR729" s="53"/>
      <c r="AS729" s="29">
        <f t="shared" si="563"/>
        <v>-2305679.2399999998</v>
      </c>
      <c r="AT729" s="29">
        <f t="shared" si="560"/>
        <v>23836.880000000001</v>
      </c>
      <c r="AU729" s="29">
        <f t="shared" si="566"/>
        <v>0</v>
      </c>
      <c r="AV729" s="29">
        <f t="shared" si="567"/>
        <v>-39880.5</v>
      </c>
      <c r="AW729" s="29"/>
      <c r="AX729" s="29">
        <f t="shared" si="542"/>
        <v>-2321344.7900000005</v>
      </c>
      <c r="AY729" s="29">
        <f t="shared" si="543"/>
        <v>9300000</v>
      </c>
      <c r="AZ729" s="29">
        <f t="shared" si="544"/>
        <v>6978655.209999999</v>
      </c>
    </row>
    <row r="730" spans="2:54" x14ac:dyDescent="0.3">
      <c r="B730" s="99">
        <f t="shared" si="574"/>
        <v>45184</v>
      </c>
      <c r="C730" s="44">
        <f t="shared" si="547"/>
        <v>114080.39000000017</v>
      </c>
      <c r="D730" s="38"/>
      <c r="E730" s="38"/>
      <c r="F730" s="38">
        <v>-48728.87</v>
      </c>
      <c r="G730" s="45">
        <f t="shared" si="572"/>
        <v>65351.520000000171</v>
      </c>
      <c r="H730" s="44">
        <v>4300000</v>
      </c>
      <c r="I730" s="46">
        <f t="shared" si="548"/>
        <v>-2438641.3000000003</v>
      </c>
      <c r="J730" s="38"/>
      <c r="K730" s="38"/>
      <c r="L730" s="38">
        <v>-82013.94</v>
      </c>
      <c r="M730" s="47">
        <f t="shared" si="549"/>
        <v>-2520655.2400000002</v>
      </c>
      <c r="N730" s="46">
        <v>5000000</v>
      </c>
      <c r="O730" s="48">
        <f t="shared" si="550"/>
        <v>2467.6500000001097</v>
      </c>
      <c r="P730" s="38"/>
      <c r="Q730" s="38"/>
      <c r="R730" s="38"/>
      <c r="S730" s="55">
        <f t="shared" si="551"/>
        <v>2467.6500000001097</v>
      </c>
      <c r="T730" s="48"/>
      <c r="U730" s="49">
        <f t="shared" si="552"/>
        <v>32.280000000057044</v>
      </c>
      <c r="V730" s="38">
        <v>5616.92</v>
      </c>
      <c r="W730" s="38"/>
      <c r="X730" s="38"/>
      <c r="Y730" s="51">
        <f t="shared" si="553"/>
        <v>5649.2000000000571</v>
      </c>
      <c r="Z730" s="52"/>
      <c r="AA730" s="53">
        <f t="shared" si="554"/>
        <v>338.11999999979514</v>
      </c>
      <c r="AB730" s="38"/>
      <c r="AC730" s="38"/>
      <c r="AD730" s="38"/>
      <c r="AE730" s="54">
        <f t="shared" si="555"/>
        <v>338.11999999979514</v>
      </c>
      <c r="AF730" s="53"/>
      <c r="AG730" s="53">
        <f t="shared" si="533"/>
        <v>378.07000000005127</v>
      </c>
      <c r="AH730" s="38"/>
      <c r="AI730" s="38"/>
      <c r="AJ730" s="38"/>
      <c r="AK730" s="54">
        <f t="shared" si="556"/>
        <v>378.07000000005127</v>
      </c>
      <c r="AL730" s="53"/>
      <c r="AM730" s="53">
        <f t="shared" si="540"/>
        <v>0</v>
      </c>
      <c r="AN730" s="38"/>
      <c r="AO730" s="38"/>
      <c r="AP730" s="38"/>
      <c r="AQ730" s="54">
        <f t="shared" si="541"/>
        <v>0</v>
      </c>
      <c r="AR730" s="53"/>
      <c r="AS730" s="29">
        <f t="shared" si="563"/>
        <v>-2321722.8600000003</v>
      </c>
      <c r="AT730" s="29">
        <f t="shared" si="560"/>
        <v>5616.92</v>
      </c>
      <c r="AU730" s="29">
        <f t="shared" si="566"/>
        <v>0</v>
      </c>
      <c r="AV730" s="29">
        <f t="shared" si="567"/>
        <v>-130742.81</v>
      </c>
      <c r="AW730" s="29"/>
      <c r="AX730" s="29">
        <f t="shared" si="542"/>
        <v>-2446470.6800000006</v>
      </c>
      <c r="AY730" s="29">
        <f t="shared" si="543"/>
        <v>9300000</v>
      </c>
      <c r="AZ730" s="29">
        <f t="shared" si="544"/>
        <v>6853529.3199999994</v>
      </c>
    </row>
    <row r="731" spans="2:54" x14ac:dyDescent="0.3">
      <c r="B731" s="99">
        <f t="shared" ref="B731" si="575">B730+3</f>
        <v>45187</v>
      </c>
      <c r="C731" s="44">
        <f t="shared" si="547"/>
        <v>65351.520000000171</v>
      </c>
      <c r="D731" s="38">
        <v>87615.62</v>
      </c>
      <c r="E731" s="38">
        <v>-50000</v>
      </c>
      <c r="F731" s="38">
        <v>-4037.72</v>
      </c>
      <c r="G731" s="45">
        <f t="shared" si="572"/>
        <v>98929.420000000158</v>
      </c>
      <c r="H731" s="44">
        <v>4300000</v>
      </c>
      <c r="I731" s="46">
        <f t="shared" si="548"/>
        <v>-2520655.2400000002</v>
      </c>
      <c r="J731" s="38"/>
      <c r="K731" s="38">
        <v>50000</v>
      </c>
      <c r="L731" s="38">
        <v>-1926888.76</v>
      </c>
      <c r="M731" s="47">
        <f t="shared" si="549"/>
        <v>-4397544</v>
      </c>
      <c r="N731" s="46">
        <v>5000000</v>
      </c>
      <c r="O731" s="48">
        <f t="shared" si="550"/>
        <v>2467.6500000001097</v>
      </c>
      <c r="P731" s="38"/>
      <c r="Q731" s="38"/>
      <c r="R731" s="38"/>
      <c r="S731" s="55">
        <f t="shared" si="551"/>
        <v>2467.6500000001097</v>
      </c>
      <c r="T731" s="48"/>
      <c r="U731" s="49">
        <f t="shared" si="552"/>
        <v>5649.2000000000571</v>
      </c>
      <c r="V731" s="38"/>
      <c r="W731" s="38"/>
      <c r="X731" s="38"/>
      <c r="Y731" s="51">
        <f t="shared" si="553"/>
        <v>5649.2000000000571</v>
      </c>
      <c r="Z731" s="52"/>
      <c r="AA731" s="53">
        <f t="shared" si="554"/>
        <v>338.11999999979514</v>
      </c>
      <c r="AB731" s="38"/>
      <c r="AC731" s="38"/>
      <c r="AD731" s="38"/>
      <c r="AE731" s="54">
        <f t="shared" si="555"/>
        <v>338.11999999979514</v>
      </c>
      <c r="AF731" s="53"/>
      <c r="AG731" s="53">
        <f t="shared" si="533"/>
        <v>378.07000000005127</v>
      </c>
      <c r="AH731" s="38"/>
      <c r="AI731" s="38"/>
      <c r="AJ731" s="38"/>
      <c r="AK731" s="54">
        <f t="shared" si="556"/>
        <v>378.07000000005127</v>
      </c>
      <c r="AL731" s="53"/>
      <c r="AM731" s="53">
        <f t="shared" si="540"/>
        <v>0</v>
      </c>
      <c r="AN731" s="38"/>
      <c r="AO731" s="38"/>
      <c r="AP731" s="38"/>
      <c r="AQ731" s="54">
        <f t="shared" si="541"/>
        <v>0</v>
      </c>
      <c r="AR731" s="53"/>
      <c r="AS731" s="29">
        <f t="shared" si="563"/>
        <v>-2446848.7500000005</v>
      </c>
      <c r="AT731" s="29">
        <f t="shared" si="560"/>
        <v>87615.62</v>
      </c>
      <c r="AU731" s="29">
        <f t="shared" si="566"/>
        <v>0</v>
      </c>
      <c r="AV731" s="29">
        <f t="shared" si="567"/>
        <v>-1930926.48</v>
      </c>
      <c r="AW731" s="29"/>
      <c r="AX731" s="29">
        <f t="shared" si="542"/>
        <v>-4289781.5399999991</v>
      </c>
      <c r="AY731" s="29">
        <f t="shared" si="543"/>
        <v>9300000</v>
      </c>
      <c r="AZ731" s="29">
        <f t="shared" si="544"/>
        <v>5010218.4600000009</v>
      </c>
    </row>
    <row r="732" spans="2:54" x14ac:dyDescent="0.3">
      <c r="B732" s="99">
        <f t="shared" ref="B732" si="576">B731+1</f>
        <v>45188</v>
      </c>
      <c r="C732" s="44">
        <f t="shared" si="547"/>
        <v>98929.420000000158</v>
      </c>
      <c r="D732" s="38">
        <v>325975.56</v>
      </c>
      <c r="E732" s="38">
        <v>-400000</v>
      </c>
      <c r="F732" s="38"/>
      <c r="G732" s="45">
        <f t="shared" si="572"/>
        <v>24904.980000000156</v>
      </c>
      <c r="H732" s="44">
        <v>4300000</v>
      </c>
      <c r="I732" s="46">
        <f t="shared" si="548"/>
        <v>-4397544</v>
      </c>
      <c r="J732" s="38">
        <v>203875</v>
      </c>
      <c r="K732" s="38">
        <v>441600</v>
      </c>
      <c r="L732" s="38">
        <v>-688985.14</v>
      </c>
      <c r="M732" s="47">
        <f t="shared" si="549"/>
        <v>-4441054.1399999997</v>
      </c>
      <c r="N732" s="46">
        <v>5000000</v>
      </c>
      <c r="O732" s="48">
        <f t="shared" si="550"/>
        <v>2467.6500000001097</v>
      </c>
      <c r="P732" s="38">
        <v>34440.629999999997</v>
      </c>
      <c r="Q732" s="38">
        <f>5600-41600</f>
        <v>-36000</v>
      </c>
      <c r="R732" s="38"/>
      <c r="S732" s="55">
        <f t="shared" si="551"/>
        <v>908.28000000010798</v>
      </c>
      <c r="T732" s="48"/>
      <c r="U732" s="49">
        <f t="shared" si="552"/>
        <v>5649.2000000000571</v>
      </c>
      <c r="V732" s="38"/>
      <c r="W732" s="38">
        <v>-5600</v>
      </c>
      <c r="X732" s="38">
        <v>-1.4</v>
      </c>
      <c r="Y732" s="51">
        <f t="shared" si="553"/>
        <v>47.800000000057118</v>
      </c>
      <c r="Z732" s="52"/>
      <c r="AA732" s="53">
        <f t="shared" si="554"/>
        <v>338.11999999979514</v>
      </c>
      <c r="AB732" s="38"/>
      <c r="AC732" s="38"/>
      <c r="AD732" s="38"/>
      <c r="AE732" s="54">
        <f t="shared" si="555"/>
        <v>338.11999999979514</v>
      </c>
      <c r="AF732" s="53"/>
      <c r="AG732" s="53">
        <f t="shared" si="533"/>
        <v>378.07000000005127</v>
      </c>
      <c r="AH732" s="38"/>
      <c r="AI732" s="38"/>
      <c r="AJ732" s="38"/>
      <c r="AK732" s="54">
        <f t="shared" si="556"/>
        <v>378.07000000005127</v>
      </c>
      <c r="AL732" s="53"/>
      <c r="AM732" s="53">
        <f t="shared" si="540"/>
        <v>0</v>
      </c>
      <c r="AN732" s="38"/>
      <c r="AO732" s="38"/>
      <c r="AP732" s="38"/>
      <c r="AQ732" s="54">
        <f t="shared" si="541"/>
        <v>0</v>
      </c>
      <c r="AR732" s="53"/>
      <c r="AS732" s="29">
        <f t="shared" si="563"/>
        <v>-4290159.6099999994</v>
      </c>
      <c r="AT732" s="29">
        <f t="shared" si="560"/>
        <v>564291.19000000006</v>
      </c>
      <c r="AU732" s="29">
        <f t="shared" si="566"/>
        <v>0</v>
      </c>
      <c r="AV732" s="29">
        <f t="shared" si="567"/>
        <v>-688986.54</v>
      </c>
      <c r="AW732" s="29"/>
      <c r="AX732" s="29">
        <f t="shared" si="542"/>
        <v>-4414476.8899999987</v>
      </c>
      <c r="AY732" s="29">
        <f t="shared" si="543"/>
        <v>9300000</v>
      </c>
      <c r="AZ732" s="29">
        <f t="shared" si="544"/>
        <v>4885523.1100000013</v>
      </c>
    </row>
    <row r="733" spans="2:54" x14ac:dyDescent="0.3">
      <c r="B733" s="99">
        <f t="shared" si="574"/>
        <v>45189</v>
      </c>
      <c r="C733" s="44">
        <f t="shared" si="547"/>
        <v>24904.980000000156</v>
      </c>
      <c r="D733" s="38"/>
      <c r="E733" s="38"/>
      <c r="F733" s="38">
        <v>-5603.26</v>
      </c>
      <c r="G733" s="45">
        <f t="shared" si="572"/>
        <v>19301.720000000154</v>
      </c>
      <c r="H733" s="44">
        <v>4300000</v>
      </c>
      <c r="I733" s="46">
        <f t="shared" si="548"/>
        <v>-4441054.1399999997</v>
      </c>
      <c r="J733" s="38">
        <v>89681.46</v>
      </c>
      <c r="K733" s="38">
        <v>570000</v>
      </c>
      <c r="L733" s="38">
        <v>-56008.09</v>
      </c>
      <c r="M733" s="47">
        <f t="shared" si="549"/>
        <v>-3837380.7699999996</v>
      </c>
      <c r="N733" s="46">
        <v>5000000</v>
      </c>
      <c r="O733" s="48">
        <f t="shared" si="550"/>
        <v>908.28000000010798</v>
      </c>
      <c r="P733" s="38"/>
      <c r="Q733" s="38">
        <f>578200-570000</f>
        <v>8200</v>
      </c>
      <c r="R733" s="38">
        <v>-10</v>
      </c>
      <c r="S733" s="55">
        <f t="shared" si="551"/>
        <v>9098.280000000108</v>
      </c>
      <c r="T733" s="48"/>
      <c r="U733" s="49">
        <f t="shared" si="552"/>
        <v>47.800000000057118</v>
      </c>
      <c r="V733" s="38">
        <v>578193.69999999995</v>
      </c>
      <c r="W733" s="38">
        <v>-578200</v>
      </c>
      <c r="X733" s="38"/>
      <c r="Y733" s="51">
        <f t="shared" si="553"/>
        <v>41.5</v>
      </c>
      <c r="Z733" s="52"/>
      <c r="AA733" s="53">
        <f t="shared" si="554"/>
        <v>338.11999999979514</v>
      </c>
      <c r="AB733" s="38"/>
      <c r="AC733" s="38"/>
      <c r="AD733" s="38"/>
      <c r="AE733" s="54">
        <f t="shared" si="555"/>
        <v>338.11999999979514</v>
      </c>
      <c r="AF733" s="53"/>
      <c r="AG733" s="53">
        <f t="shared" si="533"/>
        <v>378.07000000005127</v>
      </c>
      <c r="AH733" s="38"/>
      <c r="AI733" s="38"/>
      <c r="AJ733" s="38"/>
      <c r="AK733" s="54">
        <f t="shared" si="556"/>
        <v>378.07000000005127</v>
      </c>
      <c r="AL733" s="53"/>
      <c r="AM733" s="53">
        <f t="shared" si="540"/>
        <v>0</v>
      </c>
      <c r="AN733" s="38"/>
      <c r="AO733" s="38"/>
      <c r="AP733" s="38"/>
      <c r="AQ733" s="54">
        <f t="shared" si="541"/>
        <v>0</v>
      </c>
      <c r="AR733" s="53"/>
      <c r="AS733" s="29">
        <f t="shared" si="563"/>
        <v>-4414854.959999999</v>
      </c>
      <c r="AT733" s="29">
        <f t="shared" si="560"/>
        <v>667875.15999999992</v>
      </c>
      <c r="AU733" s="29">
        <f t="shared" si="566"/>
        <v>0</v>
      </c>
      <c r="AV733" s="29">
        <f t="shared" si="567"/>
        <v>-61621.35</v>
      </c>
      <c r="AW733" s="29"/>
      <c r="AX733" s="29">
        <f t="shared" si="542"/>
        <v>-3808223.0799999996</v>
      </c>
      <c r="AY733" s="29">
        <f t="shared" si="543"/>
        <v>9300000</v>
      </c>
      <c r="AZ733" s="29">
        <f t="shared" si="544"/>
        <v>5491776.9199999999</v>
      </c>
    </row>
    <row r="734" spans="2:54" x14ac:dyDescent="0.3">
      <c r="B734" s="99">
        <f t="shared" si="574"/>
        <v>45190</v>
      </c>
      <c r="C734" s="44">
        <f t="shared" si="547"/>
        <v>19301.720000000154</v>
      </c>
      <c r="D734" s="38">
        <v>646194</v>
      </c>
      <c r="E734" s="38">
        <v>-660000</v>
      </c>
      <c r="F734" s="38">
        <v>-1957.57</v>
      </c>
      <c r="G734" s="45">
        <f t="shared" si="572"/>
        <v>3538.1500000002052</v>
      </c>
      <c r="H734" s="44">
        <v>4300000</v>
      </c>
      <c r="I734" s="46">
        <f t="shared" si="548"/>
        <v>-3837380.7699999996</v>
      </c>
      <c r="J734" s="38"/>
      <c r="K734" s="38">
        <v>660000</v>
      </c>
      <c r="L734" s="38">
        <v>-11467.44</v>
      </c>
      <c r="M734" s="47">
        <f t="shared" si="549"/>
        <v>-3188848.2099999995</v>
      </c>
      <c r="N734" s="46">
        <v>5000000</v>
      </c>
      <c r="O734" s="48">
        <f t="shared" si="550"/>
        <v>9098.280000000108</v>
      </c>
      <c r="P734" s="38"/>
      <c r="Q734" s="38"/>
      <c r="R734" s="38">
        <v>-487.12</v>
      </c>
      <c r="S734" s="55">
        <f t="shared" si="551"/>
        <v>8611.1600000001072</v>
      </c>
      <c r="T734" s="48"/>
      <c r="U734" s="49">
        <f t="shared" si="552"/>
        <v>41.5</v>
      </c>
      <c r="V734" s="38">
        <v>167006.15</v>
      </c>
      <c r="W734" s="38"/>
      <c r="X734" s="38"/>
      <c r="Y734" s="51">
        <f t="shared" si="553"/>
        <v>167047.65</v>
      </c>
      <c r="Z734" s="52"/>
      <c r="AA734" s="53">
        <f t="shared" si="554"/>
        <v>338.11999999979514</v>
      </c>
      <c r="AB734" s="38"/>
      <c r="AC734" s="38"/>
      <c r="AD734" s="38"/>
      <c r="AE734" s="54">
        <f t="shared" si="555"/>
        <v>338.11999999979514</v>
      </c>
      <c r="AF734" s="53"/>
      <c r="AG734" s="53">
        <f t="shared" si="533"/>
        <v>378.07000000005127</v>
      </c>
      <c r="AH734" s="38"/>
      <c r="AI734" s="38"/>
      <c r="AJ734" s="38"/>
      <c r="AK734" s="54">
        <f t="shared" si="556"/>
        <v>378.07000000005127</v>
      </c>
      <c r="AL734" s="53"/>
      <c r="AM734" s="53">
        <f t="shared" si="540"/>
        <v>0</v>
      </c>
      <c r="AN734" s="38"/>
      <c r="AO734" s="38"/>
      <c r="AP734" s="38"/>
      <c r="AQ734" s="54">
        <f t="shared" si="541"/>
        <v>0</v>
      </c>
      <c r="AR734" s="53"/>
      <c r="AS734" s="29">
        <f t="shared" si="563"/>
        <v>-3808601.1499999994</v>
      </c>
      <c r="AT734" s="29">
        <f t="shared" si="560"/>
        <v>813200.15</v>
      </c>
      <c r="AU734" s="29">
        <f t="shared" si="566"/>
        <v>0</v>
      </c>
      <c r="AV734" s="29">
        <f t="shared" si="567"/>
        <v>-13912.130000000001</v>
      </c>
      <c r="AW734" s="29"/>
      <c r="AX734" s="29">
        <f t="shared" si="542"/>
        <v>-3008935.0599999996</v>
      </c>
      <c r="AY734" s="29">
        <f t="shared" si="543"/>
        <v>9300000</v>
      </c>
      <c r="AZ734" s="29">
        <f t="shared" si="544"/>
        <v>6291064.9400000004</v>
      </c>
    </row>
    <row r="735" spans="2:54" x14ac:dyDescent="0.3">
      <c r="B735" s="99">
        <f t="shared" si="574"/>
        <v>45191</v>
      </c>
      <c r="C735" s="44">
        <f t="shared" si="547"/>
        <v>3538.1500000002052</v>
      </c>
      <c r="D735" s="38"/>
      <c r="E735" s="38"/>
      <c r="F735" s="38"/>
      <c r="G735" s="45">
        <f t="shared" si="572"/>
        <v>3538.1500000002052</v>
      </c>
      <c r="H735" s="44">
        <v>4300000</v>
      </c>
      <c r="I735" s="46">
        <f t="shared" si="548"/>
        <v>-3188848.2099999995</v>
      </c>
      <c r="J735" s="38">
        <v>217434.93</v>
      </c>
      <c r="K735" s="38">
        <v>315000</v>
      </c>
      <c r="L735" s="38">
        <v>-244028.87</v>
      </c>
      <c r="M735" s="47">
        <f t="shared" si="549"/>
        <v>-2900442.1499999994</v>
      </c>
      <c r="N735" s="46">
        <v>5000000</v>
      </c>
      <c r="O735" s="48">
        <f t="shared" si="550"/>
        <v>8611.1600000001072</v>
      </c>
      <c r="P735" s="38">
        <v>967.34</v>
      </c>
      <c r="Q735" s="38">
        <f>309600-315000</f>
        <v>-5400</v>
      </c>
      <c r="R735" s="38"/>
      <c r="S735" s="55">
        <f t="shared" si="551"/>
        <v>4178.5000000001073</v>
      </c>
      <c r="T735" s="48"/>
      <c r="U735" s="49">
        <f t="shared" si="552"/>
        <v>167047.65</v>
      </c>
      <c r="V735" s="38">
        <v>142639.07999999999</v>
      </c>
      <c r="W735" s="38">
        <v>-309600</v>
      </c>
      <c r="X735" s="38">
        <v>-1.4</v>
      </c>
      <c r="Y735" s="51">
        <f t="shared" si="553"/>
        <v>85.329999999981368</v>
      </c>
      <c r="Z735" s="52"/>
      <c r="AA735" s="53">
        <f t="shared" si="554"/>
        <v>338.11999999979514</v>
      </c>
      <c r="AB735" s="38"/>
      <c r="AC735" s="38"/>
      <c r="AD735" s="38">
        <v>-251.2</v>
      </c>
      <c r="AE735" s="54">
        <f t="shared" si="555"/>
        <v>86.919999999795152</v>
      </c>
      <c r="AF735" s="53"/>
      <c r="AG735" s="53">
        <f t="shared" si="533"/>
        <v>378.07000000005127</v>
      </c>
      <c r="AH735" s="38"/>
      <c r="AI735" s="38"/>
      <c r="AJ735" s="38"/>
      <c r="AK735" s="54">
        <f t="shared" si="556"/>
        <v>378.07000000005127</v>
      </c>
      <c r="AL735" s="53"/>
      <c r="AM735" s="53">
        <f t="shared" si="540"/>
        <v>0</v>
      </c>
      <c r="AN735" s="38"/>
      <c r="AO735" s="38"/>
      <c r="AP735" s="38"/>
      <c r="AQ735" s="54">
        <f t="shared" si="541"/>
        <v>0</v>
      </c>
      <c r="AR735" s="53"/>
      <c r="AS735" s="29">
        <f t="shared" si="563"/>
        <v>-3009313.1299999994</v>
      </c>
      <c r="AT735" s="29">
        <f t="shared" si="560"/>
        <v>361041.35</v>
      </c>
      <c r="AU735" s="29">
        <f t="shared" si="566"/>
        <v>0</v>
      </c>
      <c r="AV735" s="29">
        <f t="shared" si="567"/>
        <v>-244281.47</v>
      </c>
      <c r="AW735" s="29"/>
      <c r="AX735" s="29">
        <f t="shared" si="542"/>
        <v>-2892175.1799999992</v>
      </c>
      <c r="AY735" s="29">
        <f t="shared" si="543"/>
        <v>9300000</v>
      </c>
      <c r="AZ735" s="29">
        <f t="shared" si="544"/>
        <v>6407824.8200000003</v>
      </c>
    </row>
    <row r="736" spans="2:54" x14ac:dyDescent="0.3">
      <c r="B736" s="99">
        <f t="shared" ref="B736" si="577">B735+3</f>
        <v>45194</v>
      </c>
      <c r="C736" s="44">
        <f t="shared" si="547"/>
        <v>3538.1500000002052</v>
      </c>
      <c r="D736" s="38">
        <v>1364063.42</v>
      </c>
      <c r="E736" s="38"/>
      <c r="F736" s="38">
        <v>-64508.61</v>
      </c>
      <c r="G736" s="45">
        <f t="shared" si="572"/>
        <v>1303092.96</v>
      </c>
      <c r="H736" s="44">
        <v>4300000</v>
      </c>
      <c r="I736" s="46">
        <f t="shared" si="548"/>
        <v>-2900442.1499999994</v>
      </c>
      <c r="J736" s="38">
        <v>17289.810000000001</v>
      </c>
      <c r="K736" s="38"/>
      <c r="L736" s="38">
        <v>-112859.85</v>
      </c>
      <c r="M736" s="47">
        <f t="shared" si="549"/>
        <v>-2996012.1899999995</v>
      </c>
      <c r="N736" s="46">
        <v>5000000</v>
      </c>
      <c r="O736" s="48">
        <f t="shared" si="550"/>
        <v>4178.5000000001073</v>
      </c>
      <c r="P736" s="38">
        <v>1119.1400000000001</v>
      </c>
      <c r="Q736" s="38"/>
      <c r="R736" s="38">
        <v>-113</v>
      </c>
      <c r="S736" s="55">
        <f t="shared" si="551"/>
        <v>5184.6400000001076</v>
      </c>
      <c r="T736" s="48"/>
      <c r="U736" s="49">
        <f t="shared" si="552"/>
        <v>85.329999999981368</v>
      </c>
      <c r="V736" s="38"/>
      <c r="W736" s="38"/>
      <c r="X736" s="38"/>
      <c r="Y736" s="51">
        <f t="shared" si="553"/>
        <v>85.329999999981368</v>
      </c>
      <c r="Z736" s="52"/>
      <c r="AA736" s="53">
        <f t="shared" si="554"/>
        <v>86.919999999795152</v>
      </c>
      <c r="AB736" s="38"/>
      <c r="AC736" s="38"/>
      <c r="AD736" s="38"/>
      <c r="AE736" s="54">
        <f t="shared" si="555"/>
        <v>86.919999999795152</v>
      </c>
      <c r="AF736" s="53"/>
      <c r="AG736" s="53">
        <f t="shared" si="533"/>
        <v>378.07000000005127</v>
      </c>
      <c r="AH736" s="38"/>
      <c r="AI736" s="38"/>
      <c r="AJ736" s="38"/>
      <c r="AK736" s="54">
        <f t="shared" si="556"/>
        <v>378.07000000005127</v>
      </c>
      <c r="AL736" s="53"/>
      <c r="AM736" s="53">
        <f t="shared" si="540"/>
        <v>0</v>
      </c>
      <c r="AN736" s="38"/>
      <c r="AO736" s="38"/>
      <c r="AP736" s="38"/>
      <c r="AQ736" s="54">
        <f t="shared" si="541"/>
        <v>0</v>
      </c>
      <c r="AR736" s="53"/>
      <c r="AS736" s="29">
        <f t="shared" si="563"/>
        <v>-2892553.2499999991</v>
      </c>
      <c r="AT736" s="29">
        <f t="shared" si="560"/>
        <v>1382472.3699999999</v>
      </c>
      <c r="AU736" s="29">
        <f t="shared" si="566"/>
        <v>0</v>
      </c>
      <c r="AV736" s="29">
        <f t="shared" si="567"/>
        <v>-177481.46000000002</v>
      </c>
      <c r="AW736" s="29"/>
      <c r="AX736" s="29">
        <f t="shared" si="542"/>
        <v>-1687184.2699999996</v>
      </c>
      <c r="AY736" s="29">
        <f t="shared" si="543"/>
        <v>9300000</v>
      </c>
      <c r="AZ736" s="29">
        <f t="shared" si="544"/>
        <v>7612815.7300000004</v>
      </c>
    </row>
    <row r="737" spans="2:52" x14ac:dyDescent="0.3">
      <c r="B737" s="99">
        <f t="shared" ref="B737" si="578">B736+1</f>
        <v>45195</v>
      </c>
      <c r="C737" s="44">
        <f t="shared" si="547"/>
        <v>1303092.96</v>
      </c>
      <c r="D737" s="38">
        <v>22747.55</v>
      </c>
      <c r="E737" s="38">
        <v>-1290000</v>
      </c>
      <c r="F737" s="38">
        <v>-30182.240000000002</v>
      </c>
      <c r="G737" s="45">
        <f t="shared" si="572"/>
        <v>5658.2700000000077</v>
      </c>
      <c r="H737" s="44">
        <v>4300000</v>
      </c>
      <c r="I737" s="46">
        <f t="shared" si="548"/>
        <v>-2996012.1899999995</v>
      </c>
      <c r="J737" s="38"/>
      <c r="K737" s="38">
        <v>1290000</v>
      </c>
      <c r="L737" s="38">
        <v>-55684.39</v>
      </c>
      <c r="M737" s="47">
        <f t="shared" si="549"/>
        <v>-1761696.5799999994</v>
      </c>
      <c r="N737" s="46">
        <v>5000000</v>
      </c>
      <c r="O737" s="48">
        <f t="shared" si="550"/>
        <v>5184.6400000001076</v>
      </c>
      <c r="P737" s="38"/>
      <c r="Q737" s="38"/>
      <c r="R737" s="38">
        <v>-116.95</v>
      </c>
      <c r="S737" s="55">
        <f t="shared" si="551"/>
        <v>5067.6900000001078</v>
      </c>
      <c r="T737" s="48"/>
      <c r="U737" s="49">
        <f t="shared" si="552"/>
        <v>85.329999999981368</v>
      </c>
      <c r="V737" s="38"/>
      <c r="W737" s="38"/>
      <c r="X737" s="38"/>
      <c r="Y737" s="51">
        <f t="shared" si="553"/>
        <v>85.329999999981368</v>
      </c>
      <c r="Z737" s="52"/>
      <c r="AA737" s="53">
        <f t="shared" si="554"/>
        <v>86.919999999795152</v>
      </c>
      <c r="AB737" s="38"/>
      <c r="AC737" s="38"/>
      <c r="AD737" s="38"/>
      <c r="AE737" s="54">
        <f t="shared" si="555"/>
        <v>86.919999999795152</v>
      </c>
      <c r="AF737" s="53"/>
      <c r="AG737" s="53">
        <f t="shared" si="533"/>
        <v>378.07000000005127</v>
      </c>
      <c r="AH737" s="38"/>
      <c r="AI737" s="38"/>
      <c r="AJ737" s="38">
        <v>-181.25</v>
      </c>
      <c r="AK737" s="54">
        <f t="shared" si="556"/>
        <v>196.82000000005127</v>
      </c>
      <c r="AL737" s="53"/>
      <c r="AM737" s="53">
        <f t="shared" si="540"/>
        <v>0</v>
      </c>
      <c r="AN737" s="38"/>
      <c r="AO737" s="38"/>
      <c r="AP737" s="38"/>
      <c r="AQ737" s="54">
        <f t="shared" si="541"/>
        <v>0</v>
      </c>
      <c r="AR737" s="53"/>
      <c r="AS737" s="29">
        <f t="shared" si="563"/>
        <v>-1687562.3399999996</v>
      </c>
      <c r="AT737" s="29">
        <f t="shared" si="560"/>
        <v>22747.55</v>
      </c>
      <c r="AU737" s="29">
        <f t="shared" si="566"/>
        <v>0</v>
      </c>
      <c r="AV737" s="29">
        <f t="shared" si="567"/>
        <v>-86164.83</v>
      </c>
      <c r="AW737" s="29"/>
      <c r="AX737" s="29">
        <f t="shared" si="542"/>
        <v>-1750601.5499999993</v>
      </c>
      <c r="AY737" s="29">
        <f t="shared" si="543"/>
        <v>9300000</v>
      </c>
      <c r="AZ737" s="29">
        <f t="shared" si="544"/>
        <v>7549398.4500000011</v>
      </c>
    </row>
    <row r="738" spans="2:52" x14ac:dyDescent="0.3">
      <c r="B738" s="99">
        <f t="shared" si="574"/>
        <v>45196</v>
      </c>
      <c r="C738" s="44">
        <f t="shared" si="547"/>
        <v>5658.2700000000077</v>
      </c>
      <c r="D738" s="38">
        <v>814429.73</v>
      </c>
      <c r="E738" s="38">
        <v>-800000</v>
      </c>
      <c r="F738" s="38">
        <v>-2301.21</v>
      </c>
      <c r="G738" s="45">
        <f t="shared" si="572"/>
        <v>17786.79</v>
      </c>
      <c r="H738" s="44">
        <v>4300000</v>
      </c>
      <c r="I738" s="46">
        <f t="shared" si="548"/>
        <v>-1761696.5799999994</v>
      </c>
      <c r="J738" s="38">
        <v>196218.89</v>
      </c>
      <c r="K738" s="38">
        <v>850200</v>
      </c>
      <c r="L738" s="38">
        <v>-434392.76</v>
      </c>
      <c r="M738" s="47">
        <f t="shared" si="549"/>
        <v>-1149670.4499999995</v>
      </c>
      <c r="N738" s="46">
        <v>5000000</v>
      </c>
      <c r="O738" s="48">
        <f t="shared" si="550"/>
        <v>5067.6900000001078</v>
      </c>
      <c r="P738" s="38"/>
      <c r="Q738" s="38"/>
      <c r="R738" s="38">
        <v>-491.19</v>
      </c>
      <c r="S738" s="55">
        <f t="shared" si="551"/>
        <v>4576.5000000001082</v>
      </c>
      <c r="T738" s="48"/>
      <c r="U738" s="49">
        <f t="shared" si="552"/>
        <v>85.329999999981368</v>
      </c>
      <c r="V738" s="38">
        <v>50176.34</v>
      </c>
      <c r="W738" s="38">
        <v>-50200</v>
      </c>
      <c r="X738" s="38">
        <v>-10</v>
      </c>
      <c r="Y738" s="51">
        <f t="shared" si="553"/>
        <v>51.669999999976426</v>
      </c>
      <c r="Z738" s="52"/>
      <c r="AA738" s="53">
        <f t="shared" si="554"/>
        <v>86.919999999795152</v>
      </c>
      <c r="AB738" s="38"/>
      <c r="AC738" s="38"/>
      <c r="AD738" s="38"/>
      <c r="AE738" s="54">
        <f t="shared" si="555"/>
        <v>86.919999999795152</v>
      </c>
      <c r="AF738" s="53"/>
      <c r="AG738" s="53">
        <f t="shared" si="533"/>
        <v>196.82000000005127</v>
      </c>
      <c r="AH738" s="38"/>
      <c r="AI738" s="38"/>
      <c r="AJ738" s="38"/>
      <c r="AK738" s="54">
        <f t="shared" si="556"/>
        <v>196.82000000005127</v>
      </c>
      <c r="AL738" s="53"/>
      <c r="AM738" s="53">
        <f t="shared" si="540"/>
        <v>0</v>
      </c>
      <c r="AN738" s="38"/>
      <c r="AO738" s="38"/>
      <c r="AP738" s="38"/>
      <c r="AQ738" s="54">
        <f t="shared" si="541"/>
        <v>0</v>
      </c>
      <c r="AR738" s="53"/>
      <c r="AS738" s="29">
        <f t="shared" si="563"/>
        <v>-1750798.3699999994</v>
      </c>
      <c r="AT738" s="29">
        <f t="shared" si="560"/>
        <v>1060824.96</v>
      </c>
      <c r="AU738" s="29">
        <f t="shared" si="566"/>
        <v>0</v>
      </c>
      <c r="AV738" s="29">
        <f t="shared" si="567"/>
        <v>-437195.16000000003</v>
      </c>
      <c r="AW738" s="29"/>
      <c r="AX738" s="29">
        <f t="shared" si="542"/>
        <v>-1126971.7499999998</v>
      </c>
      <c r="AY738" s="29">
        <f t="shared" si="543"/>
        <v>9300000</v>
      </c>
      <c r="AZ738" s="29">
        <f t="shared" si="544"/>
        <v>8173028.25</v>
      </c>
    </row>
    <row r="739" spans="2:52" x14ac:dyDescent="0.3">
      <c r="B739" s="99">
        <f t="shared" si="574"/>
        <v>45197</v>
      </c>
      <c r="C739" s="44">
        <f t="shared" si="547"/>
        <v>17786.79</v>
      </c>
      <c r="D739" s="38">
        <v>637769.67000000004</v>
      </c>
      <c r="E739" s="38">
        <v>-600000</v>
      </c>
      <c r="F739" s="38">
        <v>-6283.66</v>
      </c>
      <c r="G739" s="45">
        <f t="shared" si="572"/>
        <v>49272.800000000076</v>
      </c>
      <c r="H739" s="44">
        <v>4300000</v>
      </c>
      <c r="I739" s="46">
        <f t="shared" si="548"/>
        <v>-1149670.4499999995</v>
      </c>
      <c r="J739" s="38"/>
      <c r="K739" s="38">
        <v>1050000</v>
      </c>
      <c r="L739" s="38">
        <v>-44218.49</v>
      </c>
      <c r="M739" s="47">
        <f t="shared" si="549"/>
        <v>-143888.93999999948</v>
      </c>
      <c r="N739" s="46">
        <v>5000000</v>
      </c>
      <c r="O739" s="48">
        <f t="shared" si="550"/>
        <v>4576.5000000001082</v>
      </c>
      <c r="P739" s="38"/>
      <c r="Q739" s="38">
        <v>12156.44</v>
      </c>
      <c r="R739" s="38">
        <v>-1674.4</v>
      </c>
      <c r="S739" s="55">
        <f t="shared" si="551"/>
        <v>15058.540000000108</v>
      </c>
      <c r="T739" s="48"/>
      <c r="U739" s="49">
        <f t="shared" si="552"/>
        <v>51.669999999976426</v>
      </c>
      <c r="V739" s="38">
        <v>12154.77</v>
      </c>
      <c r="W739" s="38">
        <v>-12156.44</v>
      </c>
      <c r="X739" s="38">
        <v>-1.4</v>
      </c>
      <c r="Y739" s="51">
        <f t="shared" si="553"/>
        <v>48.599999999976355</v>
      </c>
      <c r="Z739" s="52"/>
      <c r="AA739" s="53">
        <f t="shared" si="554"/>
        <v>86.919999999795152</v>
      </c>
      <c r="AB739" s="38"/>
      <c r="AC739" s="38"/>
      <c r="AD739" s="38"/>
      <c r="AE739" s="54">
        <f t="shared" si="555"/>
        <v>86.919999999795152</v>
      </c>
      <c r="AF739" s="53"/>
      <c r="AG739" s="53">
        <f t="shared" si="533"/>
        <v>196.82000000005127</v>
      </c>
      <c r="AH739" s="38">
        <v>449859.37</v>
      </c>
      <c r="AI739" s="38">
        <v>-450000</v>
      </c>
      <c r="AJ739" s="38"/>
      <c r="AK739" s="54">
        <f t="shared" si="556"/>
        <v>56.190000000060536</v>
      </c>
      <c r="AL739" s="53"/>
      <c r="AM739" s="53">
        <f t="shared" si="540"/>
        <v>0</v>
      </c>
      <c r="AN739" s="38"/>
      <c r="AO739" s="38"/>
      <c r="AP739" s="38"/>
      <c r="AQ739" s="54">
        <f t="shared" si="541"/>
        <v>0</v>
      </c>
      <c r="AR739" s="53"/>
      <c r="AS739" s="29">
        <f t="shared" ref="AS739:AS770" si="579">SUM(C739,I739,O739,U739,AA739,)</f>
        <v>-1127168.5699999998</v>
      </c>
      <c r="AT739" s="29">
        <f t="shared" si="560"/>
        <v>1099783.81</v>
      </c>
      <c r="AU739" s="29">
        <f t="shared" si="566"/>
        <v>0</v>
      </c>
      <c r="AV739" s="29">
        <f t="shared" si="567"/>
        <v>-52177.95</v>
      </c>
      <c r="AW739" s="29"/>
      <c r="AX739" s="29">
        <f t="shared" si="542"/>
        <v>-79365.889999999461</v>
      </c>
      <c r="AY739" s="29">
        <f t="shared" si="543"/>
        <v>9300000</v>
      </c>
      <c r="AZ739" s="29">
        <f t="shared" si="544"/>
        <v>9220634.1100000013</v>
      </c>
    </row>
    <row r="740" spans="2:52" x14ac:dyDescent="0.3">
      <c r="B740" s="99">
        <f t="shared" si="574"/>
        <v>45198</v>
      </c>
      <c r="C740" s="44">
        <f t="shared" si="547"/>
        <v>49272.800000000076</v>
      </c>
      <c r="D740" s="38">
        <v>867236.68</v>
      </c>
      <c r="E740" s="38"/>
      <c r="F740" s="38">
        <v>-70319.02</v>
      </c>
      <c r="G740" s="45">
        <f t="shared" si="572"/>
        <v>846190.46000000008</v>
      </c>
      <c r="H740" s="44">
        <v>4300000</v>
      </c>
      <c r="I740" s="46">
        <f t="shared" si="548"/>
        <v>-143888.93999999948</v>
      </c>
      <c r="J740" s="38">
        <v>416366.39</v>
      </c>
      <c r="K740" s="38">
        <v>387000</v>
      </c>
      <c r="L740" s="38"/>
      <c r="M740" s="47">
        <f t="shared" si="549"/>
        <v>659477.45000000054</v>
      </c>
      <c r="N740" s="46">
        <v>5000000</v>
      </c>
      <c r="O740" s="48">
        <f t="shared" si="550"/>
        <v>15058.540000000108</v>
      </c>
      <c r="P740" s="38"/>
      <c r="Q740" s="38">
        <f>336300-350000</f>
        <v>-13700</v>
      </c>
      <c r="R740" s="38"/>
      <c r="S740" s="55">
        <f t="shared" si="551"/>
        <v>1358.5400000001082</v>
      </c>
      <c r="T740" s="48"/>
      <c r="U740" s="49">
        <f t="shared" si="552"/>
        <v>48.599999999976355</v>
      </c>
      <c r="V740" s="38">
        <v>336286.75</v>
      </c>
      <c r="W740" s="38">
        <v>-336300</v>
      </c>
      <c r="X740" s="38">
        <v>-1.4</v>
      </c>
      <c r="Y740" s="51">
        <f t="shared" si="553"/>
        <v>33.949999999976718</v>
      </c>
      <c r="Z740" s="52"/>
      <c r="AA740" s="53">
        <f t="shared" si="554"/>
        <v>86.919999999795152</v>
      </c>
      <c r="AB740" s="38"/>
      <c r="AC740" s="38"/>
      <c r="AD740" s="38"/>
      <c r="AE740" s="54">
        <f t="shared" si="555"/>
        <v>86.919999999795152</v>
      </c>
      <c r="AF740" s="53"/>
      <c r="AG740" s="53">
        <f t="shared" si="533"/>
        <v>56.190000000060536</v>
      </c>
      <c r="AH740" s="38">
        <v>37151.870000000003</v>
      </c>
      <c r="AI740" s="38">
        <v>-37000</v>
      </c>
      <c r="AJ740" s="38">
        <f>-9.9-75</f>
        <v>-84.9</v>
      </c>
      <c r="AK740" s="54">
        <f t="shared" si="556"/>
        <v>123.16000000006315</v>
      </c>
      <c r="AL740" s="53"/>
      <c r="AM740" s="53">
        <f t="shared" si="540"/>
        <v>0</v>
      </c>
      <c r="AN740" s="38"/>
      <c r="AO740" s="38"/>
      <c r="AP740" s="38"/>
      <c r="AQ740" s="54">
        <f t="shared" si="541"/>
        <v>0</v>
      </c>
      <c r="AR740" s="53"/>
      <c r="AS740" s="29">
        <f t="shared" si="579"/>
        <v>-79422.079999999522</v>
      </c>
      <c r="AT740" s="29">
        <f t="shared" si="560"/>
        <v>1657041.6900000002</v>
      </c>
      <c r="AU740" s="29">
        <f t="shared" si="566"/>
        <v>0</v>
      </c>
      <c r="AV740" s="29">
        <f t="shared" si="567"/>
        <v>-70405.319999999992</v>
      </c>
      <c r="AW740" s="29"/>
      <c r="AX740" s="29">
        <f t="shared" si="542"/>
        <v>1507270.4800000004</v>
      </c>
      <c r="AY740" s="29">
        <f t="shared" si="543"/>
        <v>9300000</v>
      </c>
      <c r="AZ740" s="29">
        <f t="shared" si="544"/>
        <v>10807270.48</v>
      </c>
    </row>
    <row r="741" spans="2:52" x14ac:dyDescent="0.3">
      <c r="B741" s="99">
        <f t="shared" ref="B741" si="580">B740+3</f>
        <v>45201</v>
      </c>
      <c r="C741" s="44">
        <f t="shared" si="547"/>
        <v>846190.46000000008</v>
      </c>
      <c r="D741" s="38">
        <v>343306.96</v>
      </c>
      <c r="E741" s="38">
        <v>-500000</v>
      </c>
      <c r="F741" s="38">
        <v>-133779.67000000001</v>
      </c>
      <c r="G741" s="45">
        <f t="shared" si="572"/>
        <v>555717.75000000012</v>
      </c>
      <c r="H741" s="44">
        <v>4300000</v>
      </c>
      <c r="I741" s="46">
        <f t="shared" si="548"/>
        <v>659477.45000000054</v>
      </c>
      <c r="J741" s="38">
        <v>129126.21</v>
      </c>
      <c r="K741" s="38">
        <v>1324167.3999999999</v>
      </c>
      <c r="L741" s="38">
        <v>-797475.91</v>
      </c>
      <c r="M741" s="47">
        <f t="shared" si="549"/>
        <v>1315295.1500000004</v>
      </c>
      <c r="N741" s="46">
        <v>5000000</v>
      </c>
      <c r="O741" s="48">
        <f t="shared" si="550"/>
        <v>1358.5400000001082</v>
      </c>
      <c r="P741" s="38">
        <v>742574.93</v>
      </c>
      <c r="Q741" s="38">
        <v>-740000</v>
      </c>
      <c r="R741" s="38">
        <v>-10</v>
      </c>
      <c r="S741" s="55">
        <f t="shared" si="551"/>
        <v>3923.4700000002049</v>
      </c>
      <c r="T741" s="48"/>
      <c r="U741" s="49">
        <f t="shared" si="552"/>
        <v>33.949999999976718</v>
      </c>
      <c r="V741" s="38">
        <v>84183.45</v>
      </c>
      <c r="W741" s="38">
        <v>-84167.4</v>
      </c>
      <c r="X741" s="38"/>
      <c r="Y741" s="51">
        <f t="shared" si="553"/>
        <v>49.999999999985448</v>
      </c>
      <c r="Z741" s="52"/>
      <c r="AA741" s="53">
        <f t="shared" si="554"/>
        <v>86.919999999795152</v>
      </c>
      <c r="AB741" s="38"/>
      <c r="AC741" s="38"/>
      <c r="AD741" s="38"/>
      <c r="AE741" s="54">
        <f t="shared" si="555"/>
        <v>86.919999999795152</v>
      </c>
      <c r="AF741" s="53"/>
      <c r="AG741" s="53">
        <f t="shared" si="533"/>
        <v>123.16000000006315</v>
      </c>
      <c r="AH741" s="38"/>
      <c r="AI741" s="38"/>
      <c r="AJ741" s="38">
        <v>-9.9</v>
      </c>
      <c r="AK741" s="54">
        <f t="shared" si="556"/>
        <v>113.26000000006314</v>
      </c>
      <c r="AL741" s="53"/>
      <c r="AM741" s="53">
        <f t="shared" si="540"/>
        <v>0</v>
      </c>
      <c r="AN741" s="38"/>
      <c r="AO741" s="38"/>
      <c r="AP741" s="38"/>
      <c r="AQ741" s="54">
        <f t="shared" si="541"/>
        <v>0</v>
      </c>
      <c r="AR741" s="53"/>
      <c r="AS741" s="29">
        <f t="shared" si="579"/>
        <v>1507147.3200000003</v>
      </c>
      <c r="AT741" s="29">
        <f t="shared" si="560"/>
        <v>1299191.55</v>
      </c>
      <c r="AU741" s="29">
        <f t="shared" si="566"/>
        <v>0</v>
      </c>
      <c r="AV741" s="29">
        <f t="shared" si="567"/>
        <v>-931275.4800000001</v>
      </c>
      <c r="AW741" s="29"/>
      <c r="AX741" s="29">
        <f t="shared" si="542"/>
        <v>1875186.5500000003</v>
      </c>
      <c r="AY741" s="29">
        <f t="shared" si="543"/>
        <v>9300000</v>
      </c>
      <c r="AZ741" s="29">
        <f t="shared" si="544"/>
        <v>11175186.550000001</v>
      </c>
    </row>
    <row r="742" spans="2:52" x14ac:dyDescent="0.3">
      <c r="B742" s="99">
        <f t="shared" ref="B742" si="581">B741+1</f>
        <v>45202</v>
      </c>
      <c r="C742" s="44">
        <f t="shared" si="547"/>
        <v>555717.75000000012</v>
      </c>
      <c r="D742" s="38"/>
      <c r="E742" s="38"/>
      <c r="F742" s="38">
        <v>-50725.2</v>
      </c>
      <c r="G742" s="45">
        <f t="shared" si="572"/>
        <v>504992.5500000001</v>
      </c>
      <c r="H742" s="44">
        <v>4300000</v>
      </c>
      <c r="I742" s="46">
        <f t="shared" si="548"/>
        <v>1315295.1500000004</v>
      </c>
      <c r="J742" s="38"/>
      <c r="K742" s="38"/>
      <c r="L742" s="38">
        <v>-57783.28</v>
      </c>
      <c r="M742" s="47">
        <f t="shared" si="549"/>
        <v>1257511.8700000003</v>
      </c>
      <c r="N742" s="46">
        <v>5000000</v>
      </c>
      <c r="O742" s="48">
        <f t="shared" si="550"/>
        <v>3923.4700000002049</v>
      </c>
      <c r="P742" s="38"/>
      <c r="Q742" s="38"/>
      <c r="R742" s="38">
        <v>-10</v>
      </c>
      <c r="S742" s="55">
        <f t="shared" si="551"/>
        <v>3913.4700000002049</v>
      </c>
      <c r="T742" s="48"/>
      <c r="U742" s="49">
        <f t="shared" si="552"/>
        <v>49.999999999985448</v>
      </c>
      <c r="V742" s="38"/>
      <c r="W742" s="38"/>
      <c r="X742" s="38">
        <v>-50</v>
      </c>
      <c r="Y742" s="51">
        <f t="shared" si="553"/>
        <v>-1.4551915228366852E-11</v>
      </c>
      <c r="Z742" s="52"/>
      <c r="AA742" s="53">
        <f t="shared" si="554"/>
        <v>86.919999999795152</v>
      </c>
      <c r="AB742" s="38"/>
      <c r="AC742" s="38"/>
      <c r="AD742" s="38"/>
      <c r="AE742" s="54">
        <f t="shared" si="555"/>
        <v>86.919999999795152</v>
      </c>
      <c r="AF742" s="53"/>
      <c r="AG742" s="53">
        <f t="shared" si="533"/>
        <v>113.26000000006314</v>
      </c>
      <c r="AH742" s="38"/>
      <c r="AI742" s="38"/>
      <c r="AJ742" s="38"/>
      <c r="AK742" s="54">
        <f t="shared" si="556"/>
        <v>113.26000000006314</v>
      </c>
      <c r="AL742" s="53"/>
      <c r="AM742" s="53">
        <f t="shared" si="540"/>
        <v>0</v>
      </c>
      <c r="AN742" s="38"/>
      <c r="AO742" s="38"/>
      <c r="AP742" s="38"/>
      <c r="AQ742" s="54">
        <f t="shared" si="541"/>
        <v>0</v>
      </c>
      <c r="AR742" s="53"/>
      <c r="AS742" s="29">
        <f t="shared" si="579"/>
        <v>1875073.2900000003</v>
      </c>
      <c r="AT742" s="29">
        <f t="shared" si="560"/>
        <v>0</v>
      </c>
      <c r="AU742" s="29">
        <f t="shared" si="566"/>
        <v>0</v>
      </c>
      <c r="AV742" s="29">
        <f t="shared" si="567"/>
        <v>-108568.48</v>
      </c>
      <c r="AW742" s="29"/>
      <c r="AX742" s="29">
        <f t="shared" si="542"/>
        <v>1766618.0700000003</v>
      </c>
      <c r="AY742" s="29">
        <f t="shared" si="543"/>
        <v>9300000</v>
      </c>
      <c r="AZ742" s="29">
        <f t="shared" si="544"/>
        <v>11066618.07</v>
      </c>
    </row>
    <row r="743" spans="2:52" x14ac:dyDescent="0.3">
      <c r="B743" s="99">
        <f t="shared" si="574"/>
        <v>45203</v>
      </c>
      <c r="C743" s="44">
        <f t="shared" si="547"/>
        <v>504992.5500000001</v>
      </c>
      <c r="D743" s="38">
        <v>87615.62</v>
      </c>
      <c r="E743" s="38">
        <v>-1700000</v>
      </c>
      <c r="F743" s="38">
        <v>-15095.45</v>
      </c>
      <c r="G743" s="45">
        <f t="shared" si="572"/>
        <v>-1122487.2799999998</v>
      </c>
      <c r="H743" s="44">
        <v>4300000</v>
      </c>
      <c r="I743" s="46">
        <f t="shared" si="548"/>
        <v>1257511.8700000003</v>
      </c>
      <c r="J743" s="38"/>
      <c r="K743" s="38">
        <v>1700000</v>
      </c>
      <c r="L743" s="38">
        <v>-2924260.36</v>
      </c>
      <c r="M743" s="47">
        <f t="shared" si="549"/>
        <v>33251.510000000242</v>
      </c>
      <c r="N743" s="46">
        <v>5000000</v>
      </c>
      <c r="O743" s="48">
        <f t="shared" si="550"/>
        <v>3913.4700000002049</v>
      </c>
      <c r="P743" s="38"/>
      <c r="Q743" s="38">
        <v>-50</v>
      </c>
      <c r="R743" s="38">
        <v>-2970.88</v>
      </c>
      <c r="S743" s="55">
        <f t="shared" si="551"/>
        <v>892.59000000020478</v>
      </c>
      <c r="T743" s="48"/>
      <c r="U743" s="49">
        <f t="shared" si="552"/>
        <v>-1.4551915228366852E-11</v>
      </c>
      <c r="V743" s="38"/>
      <c r="W743" s="38">
        <v>50</v>
      </c>
      <c r="X743" s="38">
        <v>-22.5</v>
      </c>
      <c r="Y743" s="51">
        <f t="shared" si="553"/>
        <v>27.499999999985448</v>
      </c>
      <c r="Z743" s="52"/>
      <c r="AA743" s="53">
        <f t="shared" si="554"/>
        <v>86.919999999795152</v>
      </c>
      <c r="AB743" s="38"/>
      <c r="AC743" s="38"/>
      <c r="AD743" s="38"/>
      <c r="AE743" s="54">
        <f t="shared" si="555"/>
        <v>86.919999999795152</v>
      </c>
      <c r="AF743" s="53"/>
      <c r="AG743" s="53">
        <f t="shared" si="533"/>
        <v>113.26000000006314</v>
      </c>
      <c r="AH743" s="38"/>
      <c r="AI743" s="38"/>
      <c r="AJ743" s="38"/>
      <c r="AK743" s="54">
        <f t="shared" si="556"/>
        <v>113.26000000006314</v>
      </c>
      <c r="AL743" s="53"/>
      <c r="AM743" s="53">
        <f t="shared" si="540"/>
        <v>0</v>
      </c>
      <c r="AN743" s="38"/>
      <c r="AO743" s="38"/>
      <c r="AP743" s="38"/>
      <c r="AQ743" s="54">
        <f t="shared" si="541"/>
        <v>0</v>
      </c>
      <c r="AR743" s="53"/>
      <c r="AS743" s="29">
        <f t="shared" si="579"/>
        <v>1766504.8100000003</v>
      </c>
      <c r="AT743" s="29">
        <f t="shared" si="560"/>
        <v>87615.62</v>
      </c>
      <c r="AU743" s="29">
        <f t="shared" si="566"/>
        <v>0</v>
      </c>
      <c r="AV743" s="29">
        <f t="shared" si="567"/>
        <v>-2942349.19</v>
      </c>
      <c r="AW743" s="29"/>
      <c r="AX743" s="29">
        <f t="shared" si="542"/>
        <v>-1088115.4999999995</v>
      </c>
      <c r="AY743" s="29">
        <f t="shared" si="543"/>
        <v>9300000</v>
      </c>
      <c r="AZ743" s="29">
        <f t="shared" si="544"/>
        <v>8211884.5</v>
      </c>
    </row>
    <row r="744" spans="2:52" x14ac:dyDescent="0.3">
      <c r="B744" s="99">
        <f t="shared" si="574"/>
        <v>45204</v>
      </c>
      <c r="C744" s="44">
        <f t="shared" si="547"/>
        <v>-1122487.2799999998</v>
      </c>
      <c r="D744" s="38"/>
      <c r="E744" s="38">
        <v>-620000</v>
      </c>
      <c r="F744" s="38">
        <v>-22778.9</v>
      </c>
      <c r="G744" s="45">
        <f t="shared" si="572"/>
        <v>-1765266.1799999997</v>
      </c>
      <c r="H744" s="44">
        <v>4300000</v>
      </c>
      <c r="I744" s="46">
        <f t="shared" si="548"/>
        <v>33251.510000000242</v>
      </c>
      <c r="J744" s="38"/>
      <c r="K744" s="38">
        <v>620000</v>
      </c>
      <c r="L744" s="38">
        <v>-682621.71</v>
      </c>
      <c r="M744" s="47">
        <f t="shared" si="549"/>
        <v>-29370.199999999721</v>
      </c>
      <c r="N744" s="46">
        <v>5000000</v>
      </c>
      <c r="O744" s="48">
        <f t="shared" si="550"/>
        <v>892.59000000020478</v>
      </c>
      <c r="P744" s="38"/>
      <c r="Q744" s="38"/>
      <c r="R744" s="38"/>
      <c r="S744" s="55">
        <f t="shared" si="551"/>
        <v>892.59000000020478</v>
      </c>
      <c r="T744" s="48"/>
      <c r="U744" s="49">
        <f t="shared" si="552"/>
        <v>27.499999999985448</v>
      </c>
      <c r="V744" s="38"/>
      <c r="W744" s="38"/>
      <c r="X744" s="38"/>
      <c r="Y744" s="51">
        <f t="shared" si="553"/>
        <v>27.499999999985448</v>
      </c>
      <c r="Z744" s="52"/>
      <c r="AA744" s="53">
        <f t="shared" si="554"/>
        <v>86.919999999795152</v>
      </c>
      <c r="AB744" s="38">
        <v>1437864.27</v>
      </c>
      <c r="AC744" s="38"/>
      <c r="AD744" s="38">
        <v>-418</v>
      </c>
      <c r="AE744" s="54">
        <f t="shared" si="555"/>
        <v>1437533.1899999997</v>
      </c>
      <c r="AF744" s="53"/>
      <c r="AG744" s="53">
        <f t="shared" si="533"/>
        <v>113.26000000006314</v>
      </c>
      <c r="AH744" s="38"/>
      <c r="AI744" s="38"/>
      <c r="AJ744" s="38"/>
      <c r="AK744" s="54">
        <f t="shared" si="556"/>
        <v>113.26000000006314</v>
      </c>
      <c r="AL744" s="53"/>
      <c r="AM744" s="53">
        <f t="shared" si="540"/>
        <v>0</v>
      </c>
      <c r="AN744" s="38"/>
      <c r="AO744" s="38"/>
      <c r="AP744" s="38"/>
      <c r="AQ744" s="54">
        <f t="shared" si="541"/>
        <v>0</v>
      </c>
      <c r="AR744" s="53"/>
      <c r="AS744" s="29">
        <f t="shared" si="579"/>
        <v>-1088228.7599999995</v>
      </c>
      <c r="AT744" s="29">
        <f t="shared" si="560"/>
        <v>1437864.27</v>
      </c>
      <c r="AU744" s="29">
        <f t="shared" si="566"/>
        <v>0</v>
      </c>
      <c r="AV744" s="29">
        <f t="shared" si="567"/>
        <v>-705818.61</v>
      </c>
      <c r="AW744" s="29"/>
      <c r="AX744" s="29">
        <f t="shared" si="542"/>
        <v>-356069.83999999933</v>
      </c>
      <c r="AY744" s="29">
        <f t="shared" si="543"/>
        <v>9300000</v>
      </c>
      <c r="AZ744" s="29">
        <f t="shared" si="544"/>
        <v>8943930.1600000001</v>
      </c>
    </row>
    <row r="745" spans="2:52" x14ac:dyDescent="0.3">
      <c r="B745" s="99">
        <f t="shared" si="574"/>
        <v>45205</v>
      </c>
      <c r="C745" s="44">
        <f t="shared" si="547"/>
        <v>-1765266.1799999997</v>
      </c>
      <c r="D745" s="38"/>
      <c r="E745" s="38">
        <f>1437500-500000</f>
        <v>937500</v>
      </c>
      <c r="F745" s="38">
        <v>-5410.2</v>
      </c>
      <c r="G745" s="45">
        <f t="shared" si="572"/>
        <v>-833176.37999999966</v>
      </c>
      <c r="H745" s="44">
        <v>4300000</v>
      </c>
      <c r="I745" s="46">
        <f t="shared" si="548"/>
        <v>-29370.199999999721</v>
      </c>
      <c r="J745" s="38"/>
      <c r="K745" s="38">
        <v>500000</v>
      </c>
      <c r="L745" s="38">
        <v>-460151.97</v>
      </c>
      <c r="M745" s="47">
        <f t="shared" si="549"/>
        <v>10477.830000000307</v>
      </c>
      <c r="N745" s="46">
        <v>5000000</v>
      </c>
      <c r="O745" s="48">
        <f t="shared" si="550"/>
        <v>892.59000000020478</v>
      </c>
      <c r="P745" s="38"/>
      <c r="Q745" s="38"/>
      <c r="R745" s="38"/>
      <c r="S745" s="55">
        <f t="shared" si="551"/>
        <v>892.59000000020478</v>
      </c>
      <c r="T745" s="48"/>
      <c r="U745" s="49">
        <f t="shared" si="552"/>
        <v>27.499999999985448</v>
      </c>
      <c r="V745" s="38"/>
      <c r="W745" s="38"/>
      <c r="X745" s="38"/>
      <c r="Y745" s="51">
        <f t="shared" si="553"/>
        <v>27.499999999985448</v>
      </c>
      <c r="Z745" s="52"/>
      <c r="AA745" s="53">
        <f t="shared" si="554"/>
        <v>1437533.1899999997</v>
      </c>
      <c r="AB745" s="38"/>
      <c r="AC745" s="38">
        <v>-1437500</v>
      </c>
      <c r="AD745" s="38"/>
      <c r="AE745" s="54">
        <f t="shared" si="555"/>
        <v>33.18999999971129</v>
      </c>
      <c r="AF745" s="53"/>
      <c r="AG745" s="53">
        <f t="shared" ref="AG745:AG808" si="582">AK744</f>
        <v>113.26000000006314</v>
      </c>
      <c r="AH745" s="38"/>
      <c r="AI745" s="38"/>
      <c r="AJ745" s="38"/>
      <c r="AK745" s="54">
        <f t="shared" si="556"/>
        <v>113.26000000006314</v>
      </c>
      <c r="AL745" s="53"/>
      <c r="AM745" s="53">
        <f t="shared" si="540"/>
        <v>0</v>
      </c>
      <c r="AN745" s="38"/>
      <c r="AO745" s="38"/>
      <c r="AP745" s="38"/>
      <c r="AQ745" s="54">
        <f t="shared" si="541"/>
        <v>0</v>
      </c>
      <c r="AR745" s="53"/>
      <c r="AS745" s="29">
        <f t="shared" si="579"/>
        <v>-356183.09999999939</v>
      </c>
      <c r="AT745" s="29">
        <f t="shared" si="560"/>
        <v>0</v>
      </c>
      <c r="AU745" s="29">
        <f t="shared" si="566"/>
        <v>0</v>
      </c>
      <c r="AV745" s="29">
        <f t="shared" si="567"/>
        <v>-465562.17</v>
      </c>
      <c r="AW745" s="29"/>
      <c r="AX745" s="29">
        <f t="shared" si="542"/>
        <v>-821632.00999999943</v>
      </c>
      <c r="AY745" s="29">
        <f t="shared" si="543"/>
        <v>9300000</v>
      </c>
      <c r="AZ745" s="29">
        <f t="shared" si="544"/>
        <v>8478367.9900000002</v>
      </c>
    </row>
    <row r="746" spans="2:52" x14ac:dyDescent="0.3">
      <c r="B746" s="99">
        <f t="shared" ref="B746" si="583">B745+3</f>
        <v>45208</v>
      </c>
      <c r="C746" s="44">
        <f t="shared" si="547"/>
        <v>-833176.37999999966</v>
      </c>
      <c r="D746" s="38">
        <v>577829.06000000006</v>
      </c>
      <c r="E746" s="38"/>
      <c r="F746" s="38">
        <v>-33599.25</v>
      </c>
      <c r="G746" s="45">
        <f t="shared" si="572"/>
        <v>-288946.5699999996</v>
      </c>
      <c r="H746" s="44">
        <v>4300000</v>
      </c>
      <c r="I746" s="46">
        <f t="shared" si="548"/>
        <v>10477.830000000307</v>
      </c>
      <c r="J746" s="38"/>
      <c r="K746" s="38">
        <v>100000</v>
      </c>
      <c r="L746" s="38">
        <v>-106910.73</v>
      </c>
      <c r="M746" s="47">
        <f t="shared" si="549"/>
        <v>3567.1000000003114</v>
      </c>
      <c r="N746" s="46">
        <v>5000000</v>
      </c>
      <c r="O746" s="48">
        <f t="shared" si="550"/>
        <v>892.59000000020478</v>
      </c>
      <c r="P746" s="38">
        <v>396.16</v>
      </c>
      <c r="Q746" s="38"/>
      <c r="R746" s="38"/>
      <c r="S746" s="55">
        <f t="shared" si="551"/>
        <v>1288.7500000002049</v>
      </c>
      <c r="T746" s="48"/>
      <c r="U746" s="49">
        <f t="shared" si="552"/>
        <v>27.499999999985448</v>
      </c>
      <c r="V746" s="38">
        <v>100529.72</v>
      </c>
      <c r="W746" s="38">
        <v>-100000</v>
      </c>
      <c r="X746" s="38"/>
      <c r="Y746" s="51">
        <f t="shared" si="553"/>
        <v>557.21999999998661</v>
      </c>
      <c r="Z746" s="52"/>
      <c r="AA746" s="53">
        <f t="shared" si="554"/>
        <v>33.18999999971129</v>
      </c>
      <c r="AB746" s="38"/>
      <c r="AC746" s="38"/>
      <c r="AD746" s="38"/>
      <c r="AE746" s="54">
        <f t="shared" si="555"/>
        <v>33.18999999971129</v>
      </c>
      <c r="AF746" s="53"/>
      <c r="AG746" s="53">
        <f t="shared" si="582"/>
        <v>113.26000000006314</v>
      </c>
      <c r="AH746" s="38"/>
      <c r="AI746" s="38"/>
      <c r="AJ746" s="38"/>
      <c r="AK746" s="54">
        <f t="shared" si="556"/>
        <v>113.26000000006314</v>
      </c>
      <c r="AL746" s="53"/>
      <c r="AM746" s="53">
        <f t="shared" si="540"/>
        <v>0</v>
      </c>
      <c r="AN746" s="38"/>
      <c r="AO746" s="38"/>
      <c r="AP746" s="38"/>
      <c r="AQ746" s="54">
        <f t="shared" si="541"/>
        <v>0</v>
      </c>
      <c r="AR746" s="53"/>
      <c r="AS746" s="29">
        <f t="shared" si="579"/>
        <v>-821745.26999999944</v>
      </c>
      <c r="AT746" s="29">
        <f t="shared" ref="AT746:AT809" si="584">SUM(D746,J746,P746,V746,AB746,AH746)</f>
        <v>678754.94000000006</v>
      </c>
      <c r="AU746" s="29">
        <f t="shared" ref="AU746:AU809" si="585">SUM(E746,K746,Q746,W746,AC746,AI746)</f>
        <v>0</v>
      </c>
      <c r="AV746" s="29">
        <f t="shared" si="567"/>
        <v>-140509.97999999998</v>
      </c>
      <c r="AW746" s="29"/>
      <c r="AX746" s="29">
        <f t="shared" si="542"/>
        <v>-283387.04999999929</v>
      </c>
      <c r="AY746" s="29">
        <f t="shared" si="543"/>
        <v>9300000</v>
      </c>
      <c r="AZ746" s="29">
        <f t="shared" si="544"/>
        <v>9016612.9500000011</v>
      </c>
    </row>
    <row r="747" spans="2:52" x14ac:dyDescent="0.3">
      <c r="B747" s="99">
        <f t="shared" ref="B747" si="586">B746+1</f>
        <v>45209</v>
      </c>
      <c r="C747" s="44">
        <f t="shared" si="547"/>
        <v>-288946.5699999996</v>
      </c>
      <c r="D747" s="38">
        <v>389770.21</v>
      </c>
      <c r="E747" s="38">
        <v>-350000</v>
      </c>
      <c r="F747" s="38">
        <v>-58.49</v>
      </c>
      <c r="G747" s="45">
        <f t="shared" si="572"/>
        <v>-249234.84999999957</v>
      </c>
      <c r="H747" s="44">
        <v>4300000</v>
      </c>
      <c r="I747" s="46">
        <f t="shared" si="548"/>
        <v>3567.1000000003114</v>
      </c>
      <c r="J747" s="38"/>
      <c r="K747" s="38">
        <v>350000</v>
      </c>
      <c r="L747" s="38">
        <v>-299487</v>
      </c>
      <c r="M747" s="47">
        <f t="shared" si="549"/>
        <v>54080.100000000326</v>
      </c>
      <c r="N747" s="46">
        <v>5000000</v>
      </c>
      <c r="O747" s="48">
        <f t="shared" si="550"/>
        <v>1288.7500000002049</v>
      </c>
      <c r="P747" s="38"/>
      <c r="Q747" s="38"/>
      <c r="R747" s="38"/>
      <c r="S747" s="55">
        <f t="shared" si="551"/>
        <v>1288.7500000002049</v>
      </c>
      <c r="T747" s="48"/>
      <c r="U747" s="49">
        <f t="shared" si="552"/>
        <v>557.21999999998661</v>
      </c>
      <c r="V747" s="38"/>
      <c r="W747" s="38"/>
      <c r="X747" s="38">
        <v>-10</v>
      </c>
      <c r="Y747" s="51">
        <f t="shared" si="553"/>
        <v>547.21999999998661</v>
      </c>
      <c r="Z747" s="52"/>
      <c r="AA747" s="53">
        <f t="shared" si="554"/>
        <v>33.18999999971129</v>
      </c>
      <c r="AB747" s="38"/>
      <c r="AC747" s="38"/>
      <c r="AD747" s="38"/>
      <c r="AE747" s="54">
        <f t="shared" si="555"/>
        <v>33.18999999971129</v>
      </c>
      <c r="AF747" s="53"/>
      <c r="AG747" s="53">
        <f t="shared" si="582"/>
        <v>113.26000000006314</v>
      </c>
      <c r="AH747" s="38"/>
      <c r="AI747" s="38"/>
      <c r="AJ747" s="38"/>
      <c r="AK747" s="54">
        <f t="shared" si="556"/>
        <v>113.26000000006314</v>
      </c>
      <c r="AL747" s="53"/>
      <c r="AM747" s="53">
        <f t="shared" si="540"/>
        <v>0</v>
      </c>
      <c r="AN747" s="38"/>
      <c r="AO747" s="38"/>
      <c r="AP747" s="38"/>
      <c r="AQ747" s="54">
        <f t="shared" si="541"/>
        <v>0</v>
      </c>
      <c r="AR747" s="53"/>
      <c r="AS747" s="29">
        <f t="shared" si="579"/>
        <v>-283500.30999999936</v>
      </c>
      <c r="AT747" s="29">
        <f t="shared" si="584"/>
        <v>389770.21</v>
      </c>
      <c r="AU747" s="29">
        <f t="shared" si="585"/>
        <v>0</v>
      </c>
      <c r="AV747" s="29">
        <f t="shared" si="567"/>
        <v>-299555.49</v>
      </c>
      <c r="AW747" s="29"/>
      <c r="AX747" s="29">
        <f t="shared" si="542"/>
        <v>-193172.32999999926</v>
      </c>
      <c r="AY747" s="29">
        <f t="shared" si="543"/>
        <v>9300000</v>
      </c>
      <c r="AZ747" s="29">
        <f t="shared" si="544"/>
        <v>9106827.6699999999</v>
      </c>
    </row>
    <row r="748" spans="2:52" x14ac:dyDescent="0.3">
      <c r="B748" s="99">
        <f t="shared" si="574"/>
        <v>45210</v>
      </c>
      <c r="C748" s="44">
        <f t="shared" si="547"/>
        <v>-249234.84999999957</v>
      </c>
      <c r="D748" s="38">
        <v>750567.35</v>
      </c>
      <c r="E748" s="38">
        <v>-200000</v>
      </c>
      <c r="F748" s="38">
        <v>-7994.95</v>
      </c>
      <c r="G748" s="45">
        <f t="shared" si="572"/>
        <v>293337.5500000004</v>
      </c>
      <c r="H748" s="44">
        <v>4300000</v>
      </c>
      <c r="I748" s="46">
        <f t="shared" si="548"/>
        <v>54080.100000000326</v>
      </c>
      <c r="J748" s="38"/>
      <c r="K748" s="38">
        <v>200000</v>
      </c>
      <c r="L748" s="38">
        <v>-218696.63</v>
      </c>
      <c r="M748" s="47">
        <f t="shared" si="549"/>
        <v>35383.470000000321</v>
      </c>
      <c r="N748" s="46">
        <v>5000000</v>
      </c>
      <c r="O748" s="48">
        <f t="shared" si="550"/>
        <v>1288.7500000002049</v>
      </c>
      <c r="P748" s="38"/>
      <c r="Q748" s="38"/>
      <c r="R748" s="38"/>
      <c r="S748" s="55">
        <f t="shared" si="551"/>
        <v>1288.7500000002049</v>
      </c>
      <c r="T748" s="48"/>
      <c r="U748" s="49">
        <f t="shared" si="552"/>
        <v>547.21999999998661</v>
      </c>
      <c r="V748" s="38"/>
      <c r="W748" s="38"/>
      <c r="X748" s="38"/>
      <c r="Y748" s="51">
        <f t="shared" si="553"/>
        <v>547.21999999998661</v>
      </c>
      <c r="Z748" s="52"/>
      <c r="AA748" s="53">
        <f t="shared" si="554"/>
        <v>33.18999999971129</v>
      </c>
      <c r="AB748" s="38"/>
      <c r="AC748" s="38"/>
      <c r="AD748" s="38"/>
      <c r="AE748" s="54">
        <f t="shared" si="555"/>
        <v>33.18999999971129</v>
      </c>
      <c r="AF748" s="53"/>
      <c r="AG748" s="53">
        <f t="shared" si="582"/>
        <v>113.26000000006314</v>
      </c>
      <c r="AH748" s="38"/>
      <c r="AI748" s="38"/>
      <c r="AJ748" s="38"/>
      <c r="AK748" s="54">
        <f t="shared" si="556"/>
        <v>113.26000000006314</v>
      </c>
      <c r="AL748" s="53"/>
      <c r="AM748" s="53">
        <f t="shared" si="540"/>
        <v>0</v>
      </c>
      <c r="AN748" s="38"/>
      <c r="AO748" s="38"/>
      <c r="AP748" s="38"/>
      <c r="AQ748" s="54">
        <f t="shared" si="541"/>
        <v>0</v>
      </c>
      <c r="AR748" s="53"/>
      <c r="AS748" s="29">
        <f t="shared" si="579"/>
        <v>-193285.58999999933</v>
      </c>
      <c r="AT748" s="29">
        <f t="shared" si="584"/>
        <v>750567.35</v>
      </c>
      <c r="AU748" s="29">
        <f t="shared" si="585"/>
        <v>0</v>
      </c>
      <c r="AV748" s="29">
        <f t="shared" si="567"/>
        <v>-226691.58000000002</v>
      </c>
      <c r="AW748" s="29"/>
      <c r="AX748" s="29">
        <f t="shared" si="542"/>
        <v>330703.4400000007</v>
      </c>
      <c r="AY748" s="29">
        <f t="shared" si="543"/>
        <v>9300000</v>
      </c>
      <c r="AZ748" s="29">
        <f t="shared" si="544"/>
        <v>9630703.4400000013</v>
      </c>
    </row>
    <row r="749" spans="2:52" x14ac:dyDescent="0.3">
      <c r="B749" s="99">
        <f t="shared" si="574"/>
        <v>45211</v>
      </c>
      <c r="C749" s="44">
        <f t="shared" si="547"/>
        <v>293337.5500000004</v>
      </c>
      <c r="D749" s="38"/>
      <c r="E749" s="38"/>
      <c r="F749" s="38"/>
      <c r="G749" s="45">
        <f t="shared" si="572"/>
        <v>293337.5500000004</v>
      </c>
      <c r="H749" s="44">
        <v>4300000</v>
      </c>
      <c r="I749" s="46">
        <f t="shared" si="548"/>
        <v>35383.470000000321</v>
      </c>
      <c r="J749" s="38"/>
      <c r="K749" s="38"/>
      <c r="L749" s="38"/>
      <c r="M749" s="47">
        <f t="shared" si="549"/>
        <v>35383.470000000321</v>
      </c>
      <c r="N749" s="46">
        <v>5000000</v>
      </c>
      <c r="O749" s="48">
        <f t="shared" si="550"/>
        <v>1288.7500000002049</v>
      </c>
      <c r="P749" s="38"/>
      <c r="Q749" s="38"/>
      <c r="R749" s="38"/>
      <c r="S749" s="55">
        <f t="shared" si="551"/>
        <v>1288.7500000002049</v>
      </c>
      <c r="T749" s="48"/>
      <c r="U749" s="49">
        <f t="shared" si="552"/>
        <v>547.21999999998661</v>
      </c>
      <c r="V749" s="38"/>
      <c r="W749" s="38"/>
      <c r="X749" s="38"/>
      <c r="Y749" s="51">
        <f t="shared" si="553"/>
        <v>547.21999999998661</v>
      </c>
      <c r="Z749" s="52"/>
      <c r="AA749" s="53">
        <f t="shared" si="554"/>
        <v>33.18999999971129</v>
      </c>
      <c r="AB749" s="38"/>
      <c r="AC749" s="38"/>
      <c r="AD749" s="38"/>
      <c r="AE749" s="54">
        <f t="shared" si="555"/>
        <v>33.18999999971129</v>
      </c>
      <c r="AF749" s="53"/>
      <c r="AG749" s="53">
        <f t="shared" si="582"/>
        <v>113.26000000006314</v>
      </c>
      <c r="AH749" s="38"/>
      <c r="AI749" s="38"/>
      <c r="AJ749" s="38"/>
      <c r="AK749" s="54">
        <f t="shared" si="556"/>
        <v>113.26000000006314</v>
      </c>
      <c r="AL749" s="53"/>
      <c r="AM749" s="53">
        <f t="shared" si="540"/>
        <v>0</v>
      </c>
      <c r="AN749" s="38"/>
      <c r="AO749" s="38"/>
      <c r="AP749" s="38"/>
      <c r="AQ749" s="54">
        <f t="shared" si="541"/>
        <v>0</v>
      </c>
      <c r="AR749" s="53"/>
      <c r="AS749" s="29">
        <f t="shared" si="579"/>
        <v>330590.18000000063</v>
      </c>
      <c r="AT749" s="29">
        <f t="shared" si="584"/>
        <v>0</v>
      </c>
      <c r="AU749" s="29">
        <f t="shared" si="585"/>
        <v>0</v>
      </c>
      <c r="AV749" s="29">
        <f t="shared" si="567"/>
        <v>0</v>
      </c>
      <c r="AW749" s="29"/>
      <c r="AX749" s="29">
        <f t="shared" si="542"/>
        <v>330703.4400000007</v>
      </c>
      <c r="AY749" s="29">
        <f t="shared" si="543"/>
        <v>9300000</v>
      </c>
      <c r="AZ749" s="29">
        <f t="shared" si="544"/>
        <v>9630703.4400000013</v>
      </c>
    </row>
    <row r="750" spans="2:52" x14ac:dyDescent="0.3">
      <c r="B750" s="99">
        <f t="shared" si="574"/>
        <v>45212</v>
      </c>
      <c r="C750" s="44">
        <f t="shared" si="547"/>
        <v>293337.5500000004</v>
      </c>
      <c r="D750" s="38">
        <v>388543.31</v>
      </c>
      <c r="E750" s="38">
        <v>-200000</v>
      </c>
      <c r="F750" s="38">
        <v>-13430.95</v>
      </c>
      <c r="G750" s="45">
        <f t="shared" si="572"/>
        <v>468449.91000000032</v>
      </c>
      <c r="H750" s="44">
        <v>4300000</v>
      </c>
      <c r="I750" s="46">
        <f t="shared" si="548"/>
        <v>35383.470000000321</v>
      </c>
      <c r="J750" s="38"/>
      <c r="K750" s="38">
        <v>200000</v>
      </c>
      <c r="L750" s="38">
        <v>-68100.53</v>
      </c>
      <c r="M750" s="47">
        <f t="shared" si="549"/>
        <v>167282.94000000032</v>
      </c>
      <c r="N750" s="46">
        <v>5000000</v>
      </c>
      <c r="O750" s="48">
        <f t="shared" si="550"/>
        <v>1288.7500000002049</v>
      </c>
      <c r="P750" s="38">
        <f>163.84+512.32</f>
        <v>676.16000000000008</v>
      </c>
      <c r="Q750" s="38"/>
      <c r="R750" s="38"/>
      <c r="S750" s="55">
        <f t="shared" si="551"/>
        <v>1964.9100000002049</v>
      </c>
      <c r="T750" s="48"/>
      <c r="U750" s="49">
        <f t="shared" si="552"/>
        <v>547.21999999998661</v>
      </c>
      <c r="V750" s="38"/>
      <c r="W750" s="38"/>
      <c r="X750" s="38"/>
      <c r="Y750" s="51">
        <f t="shared" si="553"/>
        <v>547.21999999998661</v>
      </c>
      <c r="Z750" s="52"/>
      <c r="AA750" s="53">
        <f t="shared" si="554"/>
        <v>33.18999999971129</v>
      </c>
      <c r="AB750" s="38"/>
      <c r="AC750" s="38"/>
      <c r="AD750" s="38"/>
      <c r="AE750" s="54">
        <f t="shared" si="555"/>
        <v>33.18999999971129</v>
      </c>
      <c r="AF750" s="53"/>
      <c r="AG750" s="53">
        <f t="shared" si="582"/>
        <v>113.26000000006314</v>
      </c>
      <c r="AH750" s="38"/>
      <c r="AI750" s="38"/>
      <c r="AJ750" s="38"/>
      <c r="AK750" s="54">
        <f t="shared" si="556"/>
        <v>113.26000000006314</v>
      </c>
      <c r="AL750" s="53"/>
      <c r="AM750" s="53">
        <f t="shared" si="540"/>
        <v>0</v>
      </c>
      <c r="AN750" s="38"/>
      <c r="AO750" s="38"/>
      <c r="AP750" s="38"/>
      <c r="AQ750" s="54">
        <f t="shared" si="541"/>
        <v>0</v>
      </c>
      <c r="AR750" s="53"/>
      <c r="AS750" s="29">
        <f t="shared" si="579"/>
        <v>330590.18000000063</v>
      </c>
      <c r="AT750" s="29">
        <f t="shared" si="584"/>
        <v>389219.47</v>
      </c>
      <c r="AU750" s="29">
        <f t="shared" si="585"/>
        <v>0</v>
      </c>
      <c r="AV750" s="29">
        <f t="shared" si="567"/>
        <v>-81531.48</v>
      </c>
      <c r="AW750" s="29"/>
      <c r="AX750" s="29">
        <f t="shared" si="542"/>
        <v>638391.43000000052</v>
      </c>
      <c r="AY750" s="29">
        <f t="shared" si="543"/>
        <v>9300000</v>
      </c>
      <c r="AZ750" s="29">
        <f t="shared" si="544"/>
        <v>9938391.4299999997</v>
      </c>
    </row>
    <row r="751" spans="2:52" x14ac:dyDescent="0.3">
      <c r="B751" s="99">
        <f t="shared" ref="B751" si="587">B750+3</f>
        <v>45215</v>
      </c>
      <c r="C751" s="44">
        <f t="shared" si="547"/>
        <v>468449.91000000032</v>
      </c>
      <c r="D751" s="38">
        <v>124793.58</v>
      </c>
      <c r="E751" s="38"/>
      <c r="F751" s="38">
        <v>-1779427.48</v>
      </c>
      <c r="G751" s="45">
        <f t="shared" si="572"/>
        <v>-1186183.9899999998</v>
      </c>
      <c r="H751" s="44">
        <v>4300000</v>
      </c>
      <c r="I751" s="46">
        <f t="shared" si="548"/>
        <v>167282.94000000032</v>
      </c>
      <c r="J751" s="38"/>
      <c r="K751" s="38"/>
      <c r="L751" s="38">
        <v>-165977.41</v>
      </c>
      <c r="M751" s="47">
        <f t="shared" si="549"/>
        <v>1305.530000000319</v>
      </c>
      <c r="N751" s="46">
        <v>5000000</v>
      </c>
      <c r="O751" s="48">
        <f t="shared" si="550"/>
        <v>1964.9100000002049</v>
      </c>
      <c r="P751" s="38"/>
      <c r="Q751" s="38"/>
      <c r="R751" s="38"/>
      <c r="S751" s="55">
        <f t="shared" si="551"/>
        <v>1964.9100000002049</v>
      </c>
      <c r="T751" s="48"/>
      <c r="U751" s="49">
        <f t="shared" si="552"/>
        <v>547.21999999998661</v>
      </c>
      <c r="V751" s="38"/>
      <c r="W751" s="38"/>
      <c r="X751" s="38"/>
      <c r="Y751" s="51">
        <f t="shared" si="553"/>
        <v>547.21999999998661</v>
      </c>
      <c r="Z751" s="52"/>
      <c r="AA751" s="53">
        <f t="shared" si="554"/>
        <v>33.18999999971129</v>
      </c>
      <c r="AB751" s="38"/>
      <c r="AC751" s="38"/>
      <c r="AD751" s="38"/>
      <c r="AE751" s="54">
        <f t="shared" si="555"/>
        <v>33.18999999971129</v>
      </c>
      <c r="AF751" s="53"/>
      <c r="AG751" s="53">
        <f t="shared" si="582"/>
        <v>113.26000000006314</v>
      </c>
      <c r="AH751" s="38"/>
      <c r="AI751" s="38"/>
      <c r="AJ751" s="38"/>
      <c r="AK751" s="54">
        <f t="shared" si="556"/>
        <v>113.26000000006314</v>
      </c>
      <c r="AL751" s="53"/>
      <c r="AM751" s="53">
        <f t="shared" si="540"/>
        <v>0</v>
      </c>
      <c r="AN751" s="38"/>
      <c r="AO751" s="38"/>
      <c r="AP751" s="38"/>
      <c r="AQ751" s="54">
        <f t="shared" si="541"/>
        <v>0</v>
      </c>
      <c r="AR751" s="53"/>
      <c r="AS751" s="29">
        <f t="shared" si="579"/>
        <v>638278.17000000051</v>
      </c>
      <c r="AT751" s="29">
        <f t="shared" si="584"/>
        <v>124793.58</v>
      </c>
      <c r="AU751" s="29">
        <f t="shared" si="585"/>
        <v>0</v>
      </c>
      <c r="AV751" s="29">
        <f t="shared" si="567"/>
        <v>-1945404.89</v>
      </c>
      <c r="AW751" s="29"/>
      <c r="AX751" s="29">
        <f t="shared" si="542"/>
        <v>-1182219.8799999997</v>
      </c>
      <c r="AY751" s="29">
        <f t="shared" si="543"/>
        <v>9300000</v>
      </c>
      <c r="AZ751" s="29">
        <f t="shared" si="544"/>
        <v>8117780.1200000001</v>
      </c>
    </row>
    <row r="752" spans="2:52" x14ac:dyDescent="0.3">
      <c r="B752" s="99">
        <f t="shared" ref="B752" si="588">B751+1</f>
        <v>45216</v>
      </c>
      <c r="C752" s="44">
        <f t="shared" si="547"/>
        <v>-1186183.9899999998</v>
      </c>
      <c r="D752" s="38"/>
      <c r="E752" s="38">
        <v>-100000</v>
      </c>
      <c r="F752" s="38">
        <v>-0.2</v>
      </c>
      <c r="G752" s="45">
        <f t="shared" si="572"/>
        <v>-1286184.1899999997</v>
      </c>
      <c r="H752" s="44">
        <v>4300000</v>
      </c>
      <c r="I752" s="46">
        <f t="shared" si="548"/>
        <v>1305.530000000319</v>
      </c>
      <c r="J752" s="38">
        <v>140775</v>
      </c>
      <c r="K752" s="38">
        <v>100000</v>
      </c>
      <c r="L752" s="38">
        <v>-70453.88</v>
      </c>
      <c r="M752" s="47">
        <f t="shared" si="549"/>
        <v>171626.65000000031</v>
      </c>
      <c r="N752" s="46">
        <v>5000000</v>
      </c>
      <c r="O752" s="48">
        <f t="shared" si="550"/>
        <v>1964.9100000002049</v>
      </c>
      <c r="P752" s="38"/>
      <c r="Q752" s="38"/>
      <c r="R752" s="38">
        <v>-380</v>
      </c>
      <c r="S752" s="55">
        <f t="shared" si="551"/>
        <v>1584.9100000002049</v>
      </c>
      <c r="T752" s="48"/>
      <c r="U752" s="49">
        <f t="shared" si="552"/>
        <v>547.21999999998661</v>
      </c>
      <c r="V752" s="38"/>
      <c r="W752" s="38"/>
      <c r="X752" s="38"/>
      <c r="Y752" s="51">
        <f t="shared" si="553"/>
        <v>547.21999999998661</v>
      </c>
      <c r="Z752" s="52"/>
      <c r="AA752" s="53">
        <f t="shared" si="554"/>
        <v>33.18999999971129</v>
      </c>
      <c r="AB752" s="38"/>
      <c r="AC752" s="38"/>
      <c r="AD752" s="38"/>
      <c r="AE752" s="54">
        <f t="shared" si="555"/>
        <v>33.18999999971129</v>
      </c>
      <c r="AF752" s="53"/>
      <c r="AG752" s="53">
        <f t="shared" si="582"/>
        <v>113.26000000006314</v>
      </c>
      <c r="AH752" s="38"/>
      <c r="AI752" s="38"/>
      <c r="AJ752" s="38"/>
      <c r="AK752" s="54">
        <f t="shared" si="556"/>
        <v>113.26000000006314</v>
      </c>
      <c r="AL752" s="53"/>
      <c r="AM752" s="53">
        <f t="shared" si="540"/>
        <v>0</v>
      </c>
      <c r="AN752" s="38"/>
      <c r="AO752" s="38"/>
      <c r="AP752" s="38"/>
      <c r="AQ752" s="54">
        <f t="shared" si="541"/>
        <v>0</v>
      </c>
      <c r="AR752" s="53"/>
      <c r="AS752" s="29">
        <f t="shared" si="579"/>
        <v>-1182333.1399999997</v>
      </c>
      <c r="AT752" s="29">
        <f t="shared" si="584"/>
        <v>140775</v>
      </c>
      <c r="AU752" s="29">
        <f t="shared" si="585"/>
        <v>0</v>
      </c>
      <c r="AV752" s="29">
        <f t="shared" si="567"/>
        <v>-70834.080000000002</v>
      </c>
      <c r="AW752" s="29"/>
      <c r="AX752" s="29">
        <f t="shared" si="542"/>
        <v>-1112278.9599999995</v>
      </c>
      <c r="AY752" s="29">
        <f t="shared" si="543"/>
        <v>9300000</v>
      </c>
      <c r="AZ752" s="29">
        <f t="shared" si="544"/>
        <v>8187721.040000001</v>
      </c>
    </row>
    <row r="753" spans="2:52" x14ac:dyDescent="0.3">
      <c r="B753" s="99">
        <f t="shared" si="574"/>
        <v>45217</v>
      </c>
      <c r="C753" s="44">
        <f t="shared" si="547"/>
        <v>-1286184.1899999997</v>
      </c>
      <c r="D753" s="38">
        <v>395311.14</v>
      </c>
      <c r="E753" s="38"/>
      <c r="F753" s="38">
        <v>-5149.0600000000004</v>
      </c>
      <c r="G753" s="45">
        <f t="shared" si="572"/>
        <v>-896022.10999999975</v>
      </c>
      <c r="H753" s="44">
        <v>4300000</v>
      </c>
      <c r="I753" s="46">
        <f t="shared" si="548"/>
        <v>171626.65000000031</v>
      </c>
      <c r="J753" s="38"/>
      <c r="K753" s="38"/>
      <c r="L753" s="38">
        <v>-107881.94</v>
      </c>
      <c r="M753" s="47">
        <f t="shared" si="549"/>
        <v>63744.710000000312</v>
      </c>
      <c r="N753" s="46">
        <v>5000000</v>
      </c>
      <c r="O753" s="48">
        <f t="shared" si="550"/>
        <v>1584.9100000002049</v>
      </c>
      <c r="P753" s="38"/>
      <c r="Q753" s="38"/>
      <c r="R753" s="38">
        <v>-49</v>
      </c>
      <c r="S753" s="55">
        <f t="shared" si="551"/>
        <v>1535.9100000002049</v>
      </c>
      <c r="T753" s="48"/>
      <c r="U753" s="49">
        <f t="shared" si="552"/>
        <v>547.21999999998661</v>
      </c>
      <c r="V753" s="38"/>
      <c r="W753" s="38"/>
      <c r="X753" s="38"/>
      <c r="Y753" s="51">
        <f t="shared" si="553"/>
        <v>547.21999999998661</v>
      </c>
      <c r="Z753" s="52"/>
      <c r="AA753" s="53">
        <f t="shared" si="554"/>
        <v>33.18999999971129</v>
      </c>
      <c r="AB753" s="38"/>
      <c r="AC753" s="38"/>
      <c r="AD753" s="38"/>
      <c r="AE753" s="54">
        <f t="shared" si="555"/>
        <v>33.18999999971129</v>
      </c>
      <c r="AF753" s="53"/>
      <c r="AG753" s="53">
        <f t="shared" si="582"/>
        <v>113.26000000006314</v>
      </c>
      <c r="AH753" s="38"/>
      <c r="AI753" s="38"/>
      <c r="AJ753" s="38"/>
      <c r="AK753" s="54">
        <f t="shared" si="556"/>
        <v>113.26000000006314</v>
      </c>
      <c r="AL753" s="53"/>
      <c r="AM753" s="53">
        <f t="shared" si="540"/>
        <v>0</v>
      </c>
      <c r="AN753" s="38"/>
      <c r="AO753" s="38"/>
      <c r="AP753" s="38"/>
      <c r="AQ753" s="54">
        <f t="shared" si="541"/>
        <v>0</v>
      </c>
      <c r="AR753" s="53"/>
      <c r="AS753" s="29">
        <f t="shared" si="579"/>
        <v>-1112392.2199999995</v>
      </c>
      <c r="AT753" s="29">
        <f t="shared" si="584"/>
        <v>395311.14</v>
      </c>
      <c r="AU753" s="29">
        <f t="shared" si="585"/>
        <v>0</v>
      </c>
      <c r="AV753" s="29">
        <f t="shared" si="567"/>
        <v>-113080</v>
      </c>
      <c r="AW753" s="29"/>
      <c r="AX753" s="29">
        <f t="shared" si="542"/>
        <v>-830047.8199999996</v>
      </c>
      <c r="AY753" s="29">
        <f t="shared" si="543"/>
        <v>9300000</v>
      </c>
      <c r="AZ753" s="29">
        <f t="shared" si="544"/>
        <v>8469952.1799999997</v>
      </c>
    </row>
    <row r="754" spans="2:52" x14ac:dyDescent="0.3">
      <c r="B754" s="99">
        <f t="shared" si="574"/>
        <v>45218</v>
      </c>
      <c r="C754" s="44">
        <f t="shared" si="547"/>
        <v>-896022.10999999975</v>
      </c>
      <c r="D754" s="38"/>
      <c r="E754" s="38">
        <v>-700000</v>
      </c>
      <c r="F754" s="38">
        <v>-1000.2</v>
      </c>
      <c r="G754" s="45">
        <f t="shared" si="572"/>
        <v>-1597022.3099999998</v>
      </c>
      <c r="H754" s="44">
        <v>4300000</v>
      </c>
      <c r="I754" s="46">
        <f t="shared" si="548"/>
        <v>63744.710000000312</v>
      </c>
      <c r="J754" s="38"/>
      <c r="K754" s="38">
        <v>700000</v>
      </c>
      <c r="L754" s="38">
        <v>-720922.39</v>
      </c>
      <c r="M754" s="47">
        <f t="shared" si="549"/>
        <v>42822.320000000298</v>
      </c>
      <c r="N754" s="46">
        <v>5000000</v>
      </c>
      <c r="O754" s="48">
        <f t="shared" si="550"/>
        <v>1535.9100000002049</v>
      </c>
      <c r="P754" s="38"/>
      <c r="Q754" s="38"/>
      <c r="R754" s="38">
        <v>-500</v>
      </c>
      <c r="S754" s="55">
        <f t="shared" si="551"/>
        <v>1035.9100000002049</v>
      </c>
      <c r="T754" s="48"/>
      <c r="U754" s="49">
        <f t="shared" si="552"/>
        <v>547.21999999998661</v>
      </c>
      <c r="V754" s="38"/>
      <c r="W754" s="38"/>
      <c r="X754" s="38"/>
      <c r="Y754" s="51">
        <f t="shared" si="553"/>
        <v>547.21999999998661</v>
      </c>
      <c r="Z754" s="52"/>
      <c r="AA754" s="53">
        <f t="shared" si="554"/>
        <v>33.18999999971129</v>
      </c>
      <c r="AB754" s="38"/>
      <c r="AC754" s="38"/>
      <c r="AD754" s="38"/>
      <c r="AE754" s="54">
        <f t="shared" si="555"/>
        <v>33.18999999971129</v>
      </c>
      <c r="AF754" s="53"/>
      <c r="AG754" s="53">
        <f t="shared" si="582"/>
        <v>113.26000000006314</v>
      </c>
      <c r="AH754" s="38"/>
      <c r="AI754" s="38"/>
      <c r="AJ754" s="38"/>
      <c r="AK754" s="54">
        <f t="shared" si="556"/>
        <v>113.26000000006314</v>
      </c>
      <c r="AL754" s="53"/>
      <c r="AM754" s="53">
        <f t="shared" si="540"/>
        <v>0</v>
      </c>
      <c r="AN754" s="38"/>
      <c r="AO754" s="38"/>
      <c r="AP754" s="38"/>
      <c r="AQ754" s="54">
        <f t="shared" si="541"/>
        <v>0</v>
      </c>
      <c r="AR754" s="53"/>
      <c r="AS754" s="29">
        <f t="shared" si="579"/>
        <v>-830161.07999999961</v>
      </c>
      <c r="AT754" s="29">
        <f t="shared" si="584"/>
        <v>0</v>
      </c>
      <c r="AU754" s="29">
        <f t="shared" si="585"/>
        <v>0</v>
      </c>
      <c r="AV754" s="29">
        <f t="shared" si="567"/>
        <v>-722422.59</v>
      </c>
      <c r="AW754" s="29"/>
      <c r="AX754" s="29">
        <f t="shared" si="542"/>
        <v>-1552470.4099999997</v>
      </c>
      <c r="AY754" s="29">
        <f t="shared" si="543"/>
        <v>9300000</v>
      </c>
      <c r="AZ754" s="29">
        <f t="shared" si="544"/>
        <v>7747529.5899999999</v>
      </c>
    </row>
    <row r="755" spans="2:52" x14ac:dyDescent="0.3">
      <c r="B755" s="99">
        <f t="shared" si="574"/>
        <v>45219</v>
      </c>
      <c r="C755" s="44">
        <f t="shared" si="547"/>
        <v>-1597022.3099999998</v>
      </c>
      <c r="D755" s="38">
        <f>641910.91+15.77</f>
        <v>641926.68000000005</v>
      </c>
      <c r="E755" s="38"/>
      <c r="F755" s="38"/>
      <c r="G755" s="45">
        <f t="shared" si="572"/>
        <v>-955095.62999999977</v>
      </c>
      <c r="H755" s="44">
        <v>4300000</v>
      </c>
      <c r="I755" s="46">
        <f t="shared" si="548"/>
        <v>42822.320000000298</v>
      </c>
      <c r="J755" s="38">
        <v>723760.84</v>
      </c>
      <c r="K755" s="38"/>
      <c r="L755" s="38">
        <v>-108715.23</v>
      </c>
      <c r="M755" s="47">
        <f t="shared" si="549"/>
        <v>657867.93000000028</v>
      </c>
      <c r="N755" s="46">
        <v>5000000</v>
      </c>
      <c r="O755" s="48">
        <f t="shared" si="550"/>
        <v>1035.9100000002049</v>
      </c>
      <c r="P755" s="38"/>
      <c r="Q755" s="38"/>
      <c r="R755" s="38"/>
      <c r="S755" s="55">
        <f t="shared" si="551"/>
        <v>1035.9100000002049</v>
      </c>
      <c r="T755" s="48"/>
      <c r="U755" s="49">
        <f t="shared" si="552"/>
        <v>547.21999999998661</v>
      </c>
      <c r="V755" s="38">
        <v>177093.3</v>
      </c>
      <c r="W755" s="38"/>
      <c r="X755" s="38"/>
      <c r="Y755" s="51">
        <f t="shared" si="553"/>
        <v>177640.51999999996</v>
      </c>
      <c r="Z755" s="52"/>
      <c r="AA755" s="53">
        <f t="shared" si="554"/>
        <v>33.18999999971129</v>
      </c>
      <c r="AB755" s="38"/>
      <c r="AC755" s="38"/>
      <c r="AD755" s="38"/>
      <c r="AE755" s="54">
        <f t="shared" si="555"/>
        <v>33.18999999971129</v>
      </c>
      <c r="AF755" s="53"/>
      <c r="AG755" s="53">
        <f t="shared" si="582"/>
        <v>113.26000000006314</v>
      </c>
      <c r="AH755" s="38"/>
      <c r="AI755" s="38"/>
      <c r="AJ755" s="38"/>
      <c r="AK755" s="54">
        <f t="shared" si="556"/>
        <v>113.26000000006314</v>
      </c>
      <c r="AL755" s="53"/>
      <c r="AM755" s="53">
        <f t="shared" si="540"/>
        <v>0</v>
      </c>
      <c r="AN755" s="38"/>
      <c r="AO755" s="38"/>
      <c r="AP755" s="38"/>
      <c r="AQ755" s="54">
        <f t="shared" si="541"/>
        <v>0</v>
      </c>
      <c r="AR755" s="53"/>
      <c r="AS755" s="29">
        <f t="shared" si="579"/>
        <v>-1552583.6699999997</v>
      </c>
      <c r="AT755" s="29">
        <f t="shared" si="584"/>
        <v>1542780.82</v>
      </c>
      <c r="AU755" s="29">
        <f t="shared" si="585"/>
        <v>0</v>
      </c>
      <c r="AV755" s="29">
        <f t="shared" si="567"/>
        <v>-108715.23</v>
      </c>
      <c r="AW755" s="29"/>
      <c r="AX755" s="29">
        <f t="shared" si="542"/>
        <v>-118404.81999999954</v>
      </c>
      <c r="AY755" s="29">
        <f t="shared" si="543"/>
        <v>9300000</v>
      </c>
      <c r="AZ755" s="29">
        <f t="shared" si="544"/>
        <v>9181595.1799999997</v>
      </c>
    </row>
    <row r="756" spans="2:52" x14ac:dyDescent="0.3">
      <c r="B756" s="99">
        <f t="shared" ref="B756" si="589">B755+3</f>
        <v>45222</v>
      </c>
      <c r="C756" s="44">
        <f t="shared" si="547"/>
        <v>-955095.62999999977</v>
      </c>
      <c r="D756" s="38">
        <v>162415.54999999999</v>
      </c>
      <c r="E756" s="38">
        <v>640000</v>
      </c>
      <c r="F756" s="38">
        <v>-1000.2</v>
      </c>
      <c r="G756" s="45">
        <f t="shared" si="572"/>
        <v>-153680.27999999985</v>
      </c>
      <c r="H756" s="44">
        <v>4300000</v>
      </c>
      <c r="I756" s="46">
        <f t="shared" si="548"/>
        <v>657867.93000000028</v>
      </c>
      <c r="J756" s="38"/>
      <c r="K756" s="38"/>
      <c r="L756" s="38">
        <v>-228719.27</v>
      </c>
      <c r="M756" s="47">
        <f t="shared" si="549"/>
        <v>429148.66000000027</v>
      </c>
      <c r="N756" s="46">
        <v>5000000</v>
      </c>
      <c r="O756" s="48">
        <f t="shared" si="550"/>
        <v>1035.9100000002049</v>
      </c>
      <c r="P756" s="38">
        <v>19600.650000000001</v>
      </c>
      <c r="Q756" s="38">
        <f>623250-640000</f>
        <v>-16750</v>
      </c>
      <c r="R756" s="38"/>
      <c r="S756" s="55">
        <f t="shared" si="551"/>
        <v>3886.560000000205</v>
      </c>
      <c r="T756" s="48"/>
      <c r="U756" s="49">
        <f t="shared" si="552"/>
        <v>177640.51999999996</v>
      </c>
      <c r="V756" s="38">
        <v>445641.55</v>
      </c>
      <c r="W756" s="38">
        <v>-623250</v>
      </c>
      <c r="X756" s="38"/>
      <c r="Y756" s="51">
        <f t="shared" si="553"/>
        <v>32.069999999948777</v>
      </c>
      <c r="Z756" s="52"/>
      <c r="AA756" s="53">
        <f t="shared" si="554"/>
        <v>33.18999999971129</v>
      </c>
      <c r="AB756" s="38"/>
      <c r="AC756" s="38"/>
      <c r="AD756" s="38"/>
      <c r="AE756" s="54">
        <f t="shared" si="555"/>
        <v>33.18999999971129</v>
      </c>
      <c r="AF756" s="53"/>
      <c r="AG756" s="53">
        <f t="shared" si="582"/>
        <v>113.26000000006314</v>
      </c>
      <c r="AH756" s="38"/>
      <c r="AI756" s="38"/>
      <c r="AJ756" s="38"/>
      <c r="AK756" s="54">
        <f t="shared" si="556"/>
        <v>113.26000000006314</v>
      </c>
      <c r="AL756" s="53"/>
      <c r="AM756" s="53">
        <f t="shared" si="540"/>
        <v>0</v>
      </c>
      <c r="AN756" s="38"/>
      <c r="AO756" s="38"/>
      <c r="AP756" s="38"/>
      <c r="AQ756" s="54">
        <f t="shared" si="541"/>
        <v>0</v>
      </c>
      <c r="AR756" s="53"/>
      <c r="AS756" s="29">
        <f t="shared" si="579"/>
        <v>-118518.07999999961</v>
      </c>
      <c r="AT756" s="29">
        <f t="shared" si="584"/>
        <v>627657.75</v>
      </c>
      <c r="AU756" s="29">
        <f t="shared" si="585"/>
        <v>0</v>
      </c>
      <c r="AV756" s="29">
        <f t="shared" si="567"/>
        <v>-229719.47</v>
      </c>
      <c r="AW756" s="29"/>
      <c r="AX756" s="29">
        <f t="shared" si="542"/>
        <v>279533.46000000037</v>
      </c>
      <c r="AY756" s="29">
        <f t="shared" si="543"/>
        <v>9300000</v>
      </c>
      <c r="AZ756" s="29">
        <f t="shared" si="544"/>
        <v>9579533.4600000009</v>
      </c>
    </row>
    <row r="757" spans="2:52" x14ac:dyDescent="0.3">
      <c r="B757" s="99">
        <f t="shared" ref="B757" si="590">B756+1</f>
        <v>45223</v>
      </c>
      <c r="C757" s="44">
        <f t="shared" si="547"/>
        <v>-153680.27999999985</v>
      </c>
      <c r="D757" s="38">
        <v>387864.11</v>
      </c>
      <c r="E757" s="38"/>
      <c r="F757" s="38"/>
      <c r="G757" s="45">
        <f t="shared" si="572"/>
        <v>234183.83000000013</v>
      </c>
      <c r="H757" s="44">
        <v>4300000</v>
      </c>
      <c r="I757" s="46">
        <f t="shared" si="548"/>
        <v>429148.66000000027</v>
      </c>
      <c r="J757" s="38"/>
      <c r="K757" s="38"/>
      <c r="L757" s="38">
        <v>-9719.7000000000007</v>
      </c>
      <c r="M757" s="47">
        <f t="shared" si="549"/>
        <v>419428.96000000025</v>
      </c>
      <c r="N757" s="46">
        <v>5000000</v>
      </c>
      <c r="O757" s="48">
        <f t="shared" si="550"/>
        <v>3886.560000000205</v>
      </c>
      <c r="P757" s="38"/>
      <c r="Q757" s="38"/>
      <c r="R757" s="38">
        <v>-10</v>
      </c>
      <c r="S757" s="55">
        <f t="shared" si="551"/>
        <v>3876.560000000205</v>
      </c>
      <c r="T757" s="48"/>
      <c r="U757" s="49">
        <f t="shared" si="552"/>
        <v>32.069999999948777</v>
      </c>
      <c r="V757" s="38"/>
      <c r="W757" s="38"/>
      <c r="X757" s="38">
        <v>-1.4</v>
      </c>
      <c r="Y757" s="51">
        <f t="shared" si="553"/>
        <v>30.669999999948779</v>
      </c>
      <c r="Z757" s="52"/>
      <c r="AA757" s="53">
        <f t="shared" si="554"/>
        <v>33.18999999971129</v>
      </c>
      <c r="AB757" s="38"/>
      <c r="AC757" s="38"/>
      <c r="AD757" s="38"/>
      <c r="AE757" s="54">
        <f t="shared" si="555"/>
        <v>33.18999999971129</v>
      </c>
      <c r="AF757" s="53"/>
      <c r="AG757" s="53">
        <f t="shared" si="582"/>
        <v>113.26000000006314</v>
      </c>
      <c r="AH757" s="38"/>
      <c r="AI757" s="38"/>
      <c r="AJ757" s="38"/>
      <c r="AK757" s="54">
        <f t="shared" si="556"/>
        <v>113.26000000006314</v>
      </c>
      <c r="AL757" s="53"/>
      <c r="AM757" s="53">
        <f t="shared" ref="AM757:AM820" si="591">AQ756</f>
        <v>0</v>
      </c>
      <c r="AN757" s="38"/>
      <c r="AO757" s="38"/>
      <c r="AP757" s="38"/>
      <c r="AQ757" s="54">
        <f t="shared" ref="AQ757:AQ820" si="592">SUM(AM757:AP757)</f>
        <v>0</v>
      </c>
      <c r="AR757" s="53"/>
      <c r="AS757" s="29">
        <f t="shared" si="579"/>
        <v>279420.2000000003</v>
      </c>
      <c r="AT757" s="29">
        <f t="shared" si="584"/>
        <v>387864.11</v>
      </c>
      <c r="AU757" s="29">
        <f t="shared" si="585"/>
        <v>0</v>
      </c>
      <c r="AV757" s="29">
        <f t="shared" si="567"/>
        <v>-9731.1</v>
      </c>
      <c r="AW757" s="29"/>
      <c r="AX757" s="29">
        <f t="shared" si="542"/>
        <v>657666.4700000002</v>
      </c>
      <c r="AY757" s="29">
        <f t="shared" si="543"/>
        <v>9300000</v>
      </c>
      <c r="AZ757" s="29">
        <f t="shared" si="544"/>
        <v>9957666.4700000007</v>
      </c>
    </row>
    <row r="758" spans="2:52" x14ac:dyDescent="0.3">
      <c r="B758" s="99">
        <f t="shared" si="574"/>
        <v>45224</v>
      </c>
      <c r="C758" s="44">
        <f t="shared" si="547"/>
        <v>234183.83000000013</v>
      </c>
      <c r="D758" s="38">
        <v>129164.71</v>
      </c>
      <c r="E758" s="38"/>
      <c r="F758" s="38">
        <v>-142527.29</v>
      </c>
      <c r="G758" s="45">
        <f t="shared" si="572"/>
        <v>220821.25000000015</v>
      </c>
      <c r="H758" s="44">
        <v>4300000</v>
      </c>
      <c r="I758" s="46">
        <f t="shared" si="548"/>
        <v>419428.96000000025</v>
      </c>
      <c r="J758" s="38">
        <v>9291.15</v>
      </c>
      <c r="K758" s="38"/>
      <c r="L758" s="38">
        <v>-164215.75</v>
      </c>
      <c r="M758" s="47">
        <f t="shared" si="549"/>
        <v>264504.36000000028</v>
      </c>
      <c r="N758" s="46">
        <v>5000000</v>
      </c>
      <c r="O758" s="48">
        <f t="shared" si="550"/>
        <v>3876.560000000205</v>
      </c>
      <c r="P758" s="38">
        <v>34440.629999999997</v>
      </c>
      <c r="Q758" s="38">
        <v>-50</v>
      </c>
      <c r="R758" s="38">
        <v>-103</v>
      </c>
      <c r="S758" s="55">
        <f t="shared" si="551"/>
        <v>38164.190000000206</v>
      </c>
      <c r="T758" s="48"/>
      <c r="U758" s="49">
        <f t="shared" si="552"/>
        <v>30.669999999948779</v>
      </c>
      <c r="V758" s="38">
        <v>221666.71</v>
      </c>
      <c r="W758" s="38">
        <v>50</v>
      </c>
      <c r="X758" s="38">
        <v>-60.5</v>
      </c>
      <c r="Y758" s="51">
        <f t="shared" si="553"/>
        <v>221686.87999999995</v>
      </c>
      <c r="Z758" s="52"/>
      <c r="AA758" s="53">
        <f t="shared" si="554"/>
        <v>33.18999999971129</v>
      </c>
      <c r="AB758" s="38">
        <v>1548554.96</v>
      </c>
      <c r="AC758" s="38"/>
      <c r="AD758" s="38">
        <f>-313.5+7.24</f>
        <v>-306.26</v>
      </c>
      <c r="AE758" s="54">
        <f t="shared" si="555"/>
        <v>1548281.8899999997</v>
      </c>
      <c r="AF758" s="53"/>
      <c r="AG758" s="53">
        <f t="shared" si="582"/>
        <v>113.26000000006314</v>
      </c>
      <c r="AH758" s="38"/>
      <c r="AI758" s="38"/>
      <c r="AJ758" s="38"/>
      <c r="AK758" s="54">
        <f t="shared" si="556"/>
        <v>113.26000000006314</v>
      </c>
      <c r="AL758" s="53"/>
      <c r="AM758" s="53">
        <f t="shared" si="591"/>
        <v>0</v>
      </c>
      <c r="AN758" s="38"/>
      <c r="AO758" s="38"/>
      <c r="AP758" s="38"/>
      <c r="AQ758" s="54">
        <f t="shared" si="592"/>
        <v>0</v>
      </c>
      <c r="AR758" s="53"/>
      <c r="AS758" s="29">
        <f t="shared" si="579"/>
        <v>657553.2100000002</v>
      </c>
      <c r="AT758" s="29">
        <f t="shared" si="584"/>
        <v>1943118.16</v>
      </c>
      <c r="AU758" s="29">
        <f t="shared" si="585"/>
        <v>0</v>
      </c>
      <c r="AV758" s="29">
        <f t="shared" si="567"/>
        <v>-307212.80000000005</v>
      </c>
      <c r="AW758" s="29"/>
      <c r="AX758" s="29">
        <f t="shared" ref="AX758:AX821" si="593">SUM(G758,M758,S758,Y758,AE758,AK758)</f>
        <v>2293571.8300000005</v>
      </c>
      <c r="AY758" s="29">
        <f t="shared" ref="AY758:AY821" si="594">SUM(H758,N758,T758,Z758,AF758,AL758)</f>
        <v>9300000</v>
      </c>
      <c r="AZ758" s="29">
        <f t="shared" ref="AZ758:AZ821" si="595">AX758+AY758</f>
        <v>11593571.83</v>
      </c>
    </row>
    <row r="759" spans="2:52" x14ac:dyDescent="0.3">
      <c r="B759" s="99">
        <f t="shared" si="574"/>
        <v>45225</v>
      </c>
      <c r="C759" s="44">
        <f t="shared" si="547"/>
        <v>220821.25000000015</v>
      </c>
      <c r="D759" s="38">
        <v>274413.46000000002</v>
      </c>
      <c r="E759" s="38"/>
      <c r="F759" s="38">
        <v>-30000</v>
      </c>
      <c r="G759" s="45">
        <f t="shared" si="572"/>
        <v>465234.7100000002</v>
      </c>
      <c r="H759" s="44">
        <v>4300000</v>
      </c>
      <c r="I759" s="46">
        <f t="shared" si="548"/>
        <v>264504.36000000028</v>
      </c>
      <c r="J759" s="38"/>
      <c r="K759" s="38">
        <v>1804000</v>
      </c>
      <c r="L759" s="38">
        <v>-394812.67</v>
      </c>
      <c r="M759" s="47">
        <f t="shared" si="549"/>
        <v>1673691.6900000004</v>
      </c>
      <c r="N759" s="46">
        <v>5000000</v>
      </c>
      <c r="O759" s="48">
        <f t="shared" si="550"/>
        <v>38164.190000000206</v>
      </c>
      <c r="P759" s="38"/>
      <c r="Q759" s="38">
        <f>221636-259000</f>
        <v>-37364</v>
      </c>
      <c r="R759" s="38"/>
      <c r="S759" s="55">
        <f t="shared" si="551"/>
        <v>800.19000000020606</v>
      </c>
      <c r="T759" s="48"/>
      <c r="U759" s="49">
        <f t="shared" si="552"/>
        <v>221686.87999999995</v>
      </c>
      <c r="V759" s="38"/>
      <c r="W759" s="38">
        <v>-221636</v>
      </c>
      <c r="X759" s="38">
        <v>-1.4</v>
      </c>
      <c r="Y759" s="51">
        <f t="shared" si="553"/>
        <v>49.47999999994645</v>
      </c>
      <c r="Z759" s="52"/>
      <c r="AA759" s="53">
        <f t="shared" si="554"/>
        <v>1548281.8899999997</v>
      </c>
      <c r="AB759" s="38"/>
      <c r="AC759" s="38">
        <v>-1545000</v>
      </c>
      <c r="AD759" s="38"/>
      <c r="AE759" s="54">
        <f t="shared" si="555"/>
        <v>3281.8899999996647</v>
      </c>
      <c r="AF759" s="53"/>
      <c r="AG759" s="53">
        <f t="shared" si="582"/>
        <v>113.26000000006314</v>
      </c>
      <c r="AH759" s="38"/>
      <c r="AI759" s="38"/>
      <c r="AJ759" s="38"/>
      <c r="AK759" s="54">
        <f t="shared" si="556"/>
        <v>113.26000000006314</v>
      </c>
      <c r="AL759" s="53"/>
      <c r="AM759" s="53">
        <f t="shared" si="591"/>
        <v>0</v>
      </c>
      <c r="AN759" s="38"/>
      <c r="AO759" s="38"/>
      <c r="AP759" s="38"/>
      <c r="AQ759" s="54">
        <f t="shared" si="592"/>
        <v>0</v>
      </c>
      <c r="AR759" s="53"/>
      <c r="AS759" s="29">
        <f t="shared" si="579"/>
        <v>2293458.5700000003</v>
      </c>
      <c r="AT759" s="29">
        <f t="shared" si="584"/>
        <v>274413.46000000002</v>
      </c>
      <c r="AU759" s="29">
        <f t="shared" si="585"/>
        <v>0</v>
      </c>
      <c r="AV759" s="29">
        <f t="shared" si="567"/>
        <v>-424814.07</v>
      </c>
      <c r="AW759" s="29"/>
      <c r="AX759" s="29">
        <f t="shared" si="593"/>
        <v>2143171.2200000007</v>
      </c>
      <c r="AY759" s="29">
        <f t="shared" si="594"/>
        <v>9300000</v>
      </c>
      <c r="AZ759" s="29">
        <f t="shared" si="595"/>
        <v>11443171.220000001</v>
      </c>
    </row>
    <row r="760" spans="2:52" x14ac:dyDescent="0.3">
      <c r="B760" s="99">
        <f t="shared" si="574"/>
        <v>45226</v>
      </c>
      <c r="C760" s="44">
        <f t="shared" si="547"/>
        <v>465234.7100000002</v>
      </c>
      <c r="D760" s="38">
        <v>89325.23</v>
      </c>
      <c r="E760" s="38"/>
      <c r="F760" s="38">
        <v>-1340.6</v>
      </c>
      <c r="G760" s="45">
        <f t="shared" si="572"/>
        <v>553219.3400000002</v>
      </c>
      <c r="H760" s="44">
        <v>4300000</v>
      </c>
      <c r="I760" s="46">
        <f t="shared" si="548"/>
        <v>1673691.6900000004</v>
      </c>
      <c r="J760" s="38">
        <v>542514.42000000004</v>
      </c>
      <c r="K760" s="38">
        <f>660000+51000</f>
        <v>711000</v>
      </c>
      <c r="L760" s="38">
        <v>-757502.56</v>
      </c>
      <c r="M760" s="47">
        <f t="shared" si="549"/>
        <v>2169703.5500000003</v>
      </c>
      <c r="N760" s="46">
        <v>5000000</v>
      </c>
      <c r="O760" s="48">
        <f t="shared" si="550"/>
        <v>800.19000000020606</v>
      </c>
      <c r="P760" s="38">
        <v>667426.18000000005</v>
      </c>
      <c r="Q760" s="38">
        <v>-660000</v>
      </c>
      <c r="R760" s="38">
        <v>-663.8</v>
      </c>
      <c r="S760" s="55">
        <f t="shared" si="551"/>
        <v>7562.570000000228</v>
      </c>
      <c r="T760" s="48"/>
      <c r="U760" s="49">
        <f t="shared" si="552"/>
        <v>49.47999999994645</v>
      </c>
      <c r="V760" s="38">
        <v>51043.14</v>
      </c>
      <c r="W760" s="38">
        <v>-51000</v>
      </c>
      <c r="X760" s="38"/>
      <c r="Y760" s="51">
        <f t="shared" si="553"/>
        <v>92.619999999944412</v>
      </c>
      <c r="Z760" s="52"/>
      <c r="AA760" s="53">
        <f t="shared" si="554"/>
        <v>3281.8899999996647</v>
      </c>
      <c r="AB760" s="38"/>
      <c r="AC760" s="38"/>
      <c r="AD760" s="38">
        <v>-468</v>
      </c>
      <c r="AE760" s="54">
        <f t="shared" si="555"/>
        <v>2813.8899999996647</v>
      </c>
      <c r="AF760" s="53"/>
      <c r="AG760" s="53">
        <f t="shared" si="582"/>
        <v>113.26000000006314</v>
      </c>
      <c r="AH760" s="38"/>
      <c r="AI760" s="38"/>
      <c r="AJ760" s="38"/>
      <c r="AK760" s="54">
        <f t="shared" si="556"/>
        <v>113.26000000006314</v>
      </c>
      <c r="AL760" s="53"/>
      <c r="AM760" s="53">
        <f t="shared" si="591"/>
        <v>0</v>
      </c>
      <c r="AN760" s="38"/>
      <c r="AO760" s="38"/>
      <c r="AP760" s="38"/>
      <c r="AQ760" s="54">
        <f t="shared" si="592"/>
        <v>0</v>
      </c>
      <c r="AR760" s="53"/>
      <c r="AS760" s="29">
        <f t="shared" si="579"/>
        <v>2143057.9600000004</v>
      </c>
      <c r="AT760" s="29">
        <f t="shared" si="584"/>
        <v>1350308.97</v>
      </c>
      <c r="AU760" s="29">
        <f t="shared" si="585"/>
        <v>0</v>
      </c>
      <c r="AV760" s="29">
        <f t="shared" si="567"/>
        <v>-759974.96000000008</v>
      </c>
      <c r="AW760" s="29"/>
      <c r="AX760" s="29">
        <f t="shared" si="593"/>
        <v>2733505.2300000009</v>
      </c>
      <c r="AY760" s="29">
        <f t="shared" si="594"/>
        <v>9300000</v>
      </c>
      <c r="AZ760" s="29">
        <f t="shared" si="595"/>
        <v>12033505.23</v>
      </c>
    </row>
    <row r="761" spans="2:52" x14ac:dyDescent="0.3">
      <c r="B761" s="99">
        <f t="shared" ref="B761" si="596">B760+3</f>
        <v>45229</v>
      </c>
      <c r="C761" s="44">
        <f t="shared" si="547"/>
        <v>553219.3400000002</v>
      </c>
      <c r="D761" s="38">
        <v>1032132.74</v>
      </c>
      <c r="E761" s="38">
        <v>430000</v>
      </c>
      <c r="F761" s="38"/>
      <c r="G761" s="45">
        <f t="shared" si="572"/>
        <v>2015352.08</v>
      </c>
      <c r="H761" s="44">
        <v>4300000</v>
      </c>
      <c r="I761" s="46">
        <f t="shared" si="548"/>
        <v>2169703.5500000003</v>
      </c>
      <c r="J761" s="38">
        <v>501717.54</v>
      </c>
      <c r="K761" s="38"/>
      <c r="L761" s="38"/>
      <c r="M761" s="47">
        <f t="shared" si="549"/>
        <v>2671421.0900000003</v>
      </c>
      <c r="N761" s="46">
        <v>5000000</v>
      </c>
      <c r="O761" s="48">
        <f t="shared" si="550"/>
        <v>7562.570000000228</v>
      </c>
      <c r="P761" s="38">
        <v>885858.93</v>
      </c>
      <c r="Q761" s="38"/>
      <c r="R761" s="38">
        <v>-10</v>
      </c>
      <c r="S761" s="55">
        <f t="shared" si="551"/>
        <v>893411.50000000023</v>
      </c>
      <c r="T761" s="48"/>
      <c r="U761" s="49">
        <f t="shared" si="552"/>
        <v>92.619999999944412</v>
      </c>
      <c r="V761" s="38">
        <v>123301.3</v>
      </c>
      <c r="W761" s="38"/>
      <c r="X761" s="38">
        <v>-10</v>
      </c>
      <c r="Y761" s="51">
        <f t="shared" si="553"/>
        <v>123383.91999999995</v>
      </c>
      <c r="Z761" s="52"/>
      <c r="AA761" s="53">
        <f t="shared" si="554"/>
        <v>2813.8899999996647</v>
      </c>
      <c r="AB761" s="38"/>
      <c r="AC761" s="38"/>
      <c r="AD761" s="38"/>
      <c r="AE761" s="54">
        <f t="shared" si="555"/>
        <v>2813.8899999996647</v>
      </c>
      <c r="AF761" s="53"/>
      <c r="AG761" s="53">
        <f t="shared" si="582"/>
        <v>113.26000000006314</v>
      </c>
      <c r="AH761" s="38">
        <v>431763.94</v>
      </c>
      <c r="AI761" s="38">
        <v>-430000</v>
      </c>
      <c r="AJ761" s="38"/>
      <c r="AK761" s="54">
        <f t="shared" si="556"/>
        <v>1877.2000000000698</v>
      </c>
      <c r="AL761" s="53"/>
      <c r="AM761" s="53">
        <f t="shared" si="591"/>
        <v>0</v>
      </c>
      <c r="AN761" s="38"/>
      <c r="AO761" s="38"/>
      <c r="AP761" s="38"/>
      <c r="AQ761" s="54">
        <f t="shared" si="592"/>
        <v>0</v>
      </c>
      <c r="AR761" s="53"/>
      <c r="AS761" s="29">
        <f t="shared" si="579"/>
        <v>2733391.9700000007</v>
      </c>
      <c r="AT761" s="29">
        <f t="shared" si="584"/>
        <v>2974774.4499999997</v>
      </c>
      <c r="AU761" s="29">
        <f t="shared" si="585"/>
        <v>0</v>
      </c>
      <c r="AV761" s="29">
        <f t="shared" si="567"/>
        <v>-20</v>
      </c>
      <c r="AW761" s="29"/>
      <c r="AX761" s="29">
        <f t="shared" si="593"/>
        <v>5708259.6799999997</v>
      </c>
      <c r="AY761" s="29">
        <f t="shared" si="594"/>
        <v>9300000</v>
      </c>
      <c r="AZ761" s="29">
        <f t="shared" si="595"/>
        <v>15008259.68</v>
      </c>
    </row>
    <row r="762" spans="2:52" x14ac:dyDescent="0.3">
      <c r="B762" s="99">
        <f t="shared" ref="B762" si="597">B761+1</f>
        <v>45230</v>
      </c>
      <c r="C762" s="44">
        <f t="shared" si="547"/>
        <v>2015352.08</v>
      </c>
      <c r="D762" s="38">
        <v>241159.81</v>
      </c>
      <c r="E762" s="38"/>
      <c r="F762" s="38">
        <f>-70855.84+13.89</f>
        <v>-70841.95</v>
      </c>
      <c r="G762" s="45">
        <f t="shared" si="572"/>
        <v>2185669.94</v>
      </c>
      <c r="H762" s="44">
        <v>4300000</v>
      </c>
      <c r="I762" s="46">
        <f t="shared" si="548"/>
        <v>2671421.0900000003</v>
      </c>
      <c r="J762" s="38"/>
      <c r="K762" s="38">
        <v>1010000</v>
      </c>
      <c r="L762" s="38">
        <v>-1559.98</v>
      </c>
      <c r="M762" s="47">
        <f t="shared" si="549"/>
        <v>3679861.1100000003</v>
      </c>
      <c r="N762" s="46">
        <v>5000000</v>
      </c>
      <c r="O762" s="48">
        <f t="shared" si="550"/>
        <v>893411.50000000023</v>
      </c>
      <c r="P762" s="38">
        <v>93850</v>
      </c>
      <c r="Q762" s="38">
        <f>123350-1010000</f>
        <v>-886650</v>
      </c>
      <c r="R762" s="38"/>
      <c r="S762" s="55">
        <f t="shared" si="551"/>
        <v>100611.50000000023</v>
      </c>
      <c r="T762" s="48"/>
      <c r="U762" s="49">
        <f t="shared" si="552"/>
        <v>123383.91999999995</v>
      </c>
      <c r="V762" s="38"/>
      <c r="W762" s="38">
        <v>-123350</v>
      </c>
      <c r="X762" s="38">
        <v>-1.4</v>
      </c>
      <c r="Y762" s="51">
        <f t="shared" si="553"/>
        <v>32.519999999954599</v>
      </c>
      <c r="Z762" s="52"/>
      <c r="AA762" s="53">
        <f t="shared" si="554"/>
        <v>2813.8899999996647</v>
      </c>
      <c r="AB762" s="38"/>
      <c r="AC762" s="38"/>
      <c r="AD762" s="38"/>
      <c r="AE762" s="54">
        <f t="shared" si="555"/>
        <v>2813.8899999996647</v>
      </c>
      <c r="AF762" s="53"/>
      <c r="AG762" s="53">
        <f t="shared" si="582"/>
        <v>1877.2000000000698</v>
      </c>
      <c r="AH762" s="38"/>
      <c r="AI762" s="38"/>
      <c r="AJ762" s="38">
        <v>-84.9</v>
      </c>
      <c r="AK762" s="54">
        <f t="shared" si="556"/>
        <v>1792.3000000000698</v>
      </c>
      <c r="AL762" s="53"/>
      <c r="AM762" s="53">
        <f t="shared" si="591"/>
        <v>0</v>
      </c>
      <c r="AN762" s="38"/>
      <c r="AO762" s="38"/>
      <c r="AP762" s="38"/>
      <c r="AQ762" s="54">
        <f t="shared" si="592"/>
        <v>0</v>
      </c>
      <c r="AR762" s="53"/>
      <c r="AS762" s="29">
        <f t="shared" si="579"/>
        <v>5706382.4799999995</v>
      </c>
      <c r="AT762" s="29">
        <f t="shared" si="584"/>
        <v>335009.81</v>
      </c>
      <c r="AU762" s="29">
        <f t="shared" si="585"/>
        <v>0</v>
      </c>
      <c r="AV762" s="29">
        <f t="shared" si="567"/>
        <v>-72488.229999999981</v>
      </c>
      <c r="AW762" s="29"/>
      <c r="AX762" s="29">
        <f t="shared" si="593"/>
        <v>5970781.2599999998</v>
      </c>
      <c r="AY762" s="29">
        <f t="shared" si="594"/>
        <v>9300000</v>
      </c>
      <c r="AZ762" s="29">
        <f t="shared" si="595"/>
        <v>15270781.26</v>
      </c>
    </row>
    <row r="763" spans="2:52" x14ac:dyDescent="0.3">
      <c r="B763" s="99">
        <f t="shared" si="574"/>
        <v>45231</v>
      </c>
      <c r="C763" s="44">
        <f t="shared" ref="C763:C826" si="598">G762</f>
        <v>2185669.94</v>
      </c>
      <c r="D763" s="38"/>
      <c r="E763" s="38"/>
      <c r="F763" s="38">
        <f>-52774.62+13.52</f>
        <v>-52761.100000000006</v>
      </c>
      <c r="G763" s="45">
        <f t="shared" si="572"/>
        <v>2132908.84</v>
      </c>
      <c r="H763" s="44">
        <v>4300000</v>
      </c>
      <c r="I763" s="46">
        <f t="shared" ref="I763:I826" si="599">M762</f>
        <v>3679861.1100000003</v>
      </c>
      <c r="J763" s="38"/>
      <c r="K763" s="38">
        <v>90000</v>
      </c>
      <c r="L763" s="38">
        <v>-167508.26999999999</v>
      </c>
      <c r="M763" s="47">
        <f t="shared" ref="M763:M826" si="600">SUM(I763:L763)</f>
        <v>3602352.8400000003</v>
      </c>
      <c r="N763" s="46">
        <v>5000000</v>
      </c>
      <c r="O763" s="48">
        <f t="shared" ref="O763:O826" si="601">S762</f>
        <v>100611.50000000023</v>
      </c>
      <c r="P763" s="38">
        <v>195.18</v>
      </c>
      <c r="Q763" s="38">
        <v>-90000</v>
      </c>
      <c r="R763" s="38">
        <v>-1824.94</v>
      </c>
      <c r="S763" s="55">
        <f t="shared" ref="S763:S826" si="602">SUM(O763:R763)</f>
        <v>8981.7400000002253</v>
      </c>
      <c r="T763" s="48"/>
      <c r="U763" s="49">
        <f t="shared" ref="U763:U826" si="603">Y762</f>
        <v>32.519999999954599</v>
      </c>
      <c r="V763" s="38">
        <v>73303.61</v>
      </c>
      <c r="W763" s="38"/>
      <c r="X763" s="38"/>
      <c r="Y763" s="51">
        <f t="shared" ref="Y763:Y826" si="604">SUM(U763:X763)</f>
        <v>73336.129999999961</v>
      </c>
      <c r="Z763" s="52"/>
      <c r="AA763" s="53">
        <f t="shared" ref="AA763:AA826" si="605">AE762</f>
        <v>2813.8899999996647</v>
      </c>
      <c r="AB763" s="38"/>
      <c r="AC763" s="38"/>
      <c r="AD763" s="38">
        <v>-1204.48</v>
      </c>
      <c r="AE763" s="54">
        <f t="shared" ref="AE763:AE826" si="606">SUM(AA763:AD763)</f>
        <v>1609.4099999996647</v>
      </c>
      <c r="AF763" s="53"/>
      <c r="AG763" s="53">
        <f t="shared" si="582"/>
        <v>1792.3000000000698</v>
      </c>
      <c r="AH763" s="38"/>
      <c r="AI763" s="38"/>
      <c r="AJ763" s="38"/>
      <c r="AK763" s="54">
        <f t="shared" ref="AK763:AK826" si="607">SUM(AG763:AJ763)</f>
        <v>1792.3000000000698</v>
      </c>
      <c r="AL763" s="53"/>
      <c r="AM763" s="53">
        <f t="shared" si="591"/>
        <v>0</v>
      </c>
      <c r="AN763" s="38"/>
      <c r="AO763" s="38"/>
      <c r="AP763" s="38"/>
      <c r="AQ763" s="54">
        <f t="shared" si="592"/>
        <v>0</v>
      </c>
      <c r="AR763" s="53"/>
      <c r="AS763" s="29">
        <f t="shared" si="579"/>
        <v>5968988.96</v>
      </c>
      <c r="AT763" s="29">
        <f t="shared" si="584"/>
        <v>73498.789999999994</v>
      </c>
      <c r="AU763" s="29">
        <f t="shared" si="585"/>
        <v>0</v>
      </c>
      <c r="AV763" s="29">
        <f t="shared" si="567"/>
        <v>-223298.79</v>
      </c>
      <c r="AW763" s="29"/>
      <c r="AX763" s="29">
        <f t="shared" si="593"/>
        <v>5820981.2599999988</v>
      </c>
      <c r="AY763" s="29">
        <f t="shared" si="594"/>
        <v>9300000</v>
      </c>
      <c r="AZ763" s="29">
        <f t="shared" si="595"/>
        <v>15120981.259999998</v>
      </c>
    </row>
    <row r="764" spans="2:52" x14ac:dyDescent="0.3">
      <c r="B764" s="99">
        <f t="shared" si="574"/>
        <v>45232</v>
      </c>
      <c r="C764" s="44">
        <f t="shared" si="598"/>
        <v>2132908.84</v>
      </c>
      <c r="D764" s="38"/>
      <c r="E764" s="38"/>
      <c r="F764" s="38"/>
      <c r="G764" s="45">
        <f t="shared" si="572"/>
        <v>2132908.84</v>
      </c>
      <c r="H764" s="44">
        <v>4300000</v>
      </c>
      <c r="I764" s="46">
        <f t="shared" si="599"/>
        <v>3602352.8400000003</v>
      </c>
      <c r="J764" s="38"/>
      <c r="K764" s="38"/>
      <c r="L764" s="38"/>
      <c r="M764" s="47">
        <f t="shared" si="600"/>
        <v>3602352.8400000003</v>
      </c>
      <c r="N764" s="46">
        <v>5000000</v>
      </c>
      <c r="O764" s="48">
        <f t="shared" si="601"/>
        <v>8981.7400000002253</v>
      </c>
      <c r="P764" s="38"/>
      <c r="Q764" s="38"/>
      <c r="R764" s="38"/>
      <c r="S764" s="55">
        <f t="shared" si="602"/>
        <v>8981.7400000002253</v>
      </c>
      <c r="T764" s="48"/>
      <c r="U764" s="49">
        <f t="shared" si="603"/>
        <v>73336.129999999961</v>
      </c>
      <c r="V764" s="38"/>
      <c r="W764" s="38"/>
      <c r="X764" s="38"/>
      <c r="Y764" s="51">
        <f t="shared" si="604"/>
        <v>73336.129999999961</v>
      </c>
      <c r="Z764" s="52"/>
      <c r="AA764" s="53">
        <f t="shared" si="605"/>
        <v>1609.4099999996647</v>
      </c>
      <c r="AB764" s="38"/>
      <c r="AC764" s="38"/>
      <c r="AD764" s="38"/>
      <c r="AE764" s="54">
        <f t="shared" si="606"/>
        <v>1609.4099999996647</v>
      </c>
      <c r="AF764" s="53"/>
      <c r="AG764" s="53">
        <f t="shared" si="582"/>
        <v>1792.3000000000698</v>
      </c>
      <c r="AH764" s="38"/>
      <c r="AI764" s="38"/>
      <c r="AJ764" s="38"/>
      <c r="AK764" s="54">
        <f t="shared" si="607"/>
        <v>1792.3000000000698</v>
      </c>
      <c r="AL764" s="53"/>
      <c r="AM764" s="53">
        <f t="shared" si="591"/>
        <v>0</v>
      </c>
      <c r="AN764" s="38"/>
      <c r="AO764" s="38"/>
      <c r="AP764" s="38"/>
      <c r="AQ764" s="54">
        <f t="shared" si="592"/>
        <v>0</v>
      </c>
      <c r="AR764" s="53"/>
      <c r="AS764" s="29">
        <f t="shared" si="579"/>
        <v>5819188.959999999</v>
      </c>
      <c r="AT764" s="29">
        <f t="shared" si="584"/>
        <v>0</v>
      </c>
      <c r="AU764" s="29">
        <f t="shared" si="585"/>
        <v>0</v>
      </c>
      <c r="AV764" s="29">
        <f t="shared" si="567"/>
        <v>0</v>
      </c>
      <c r="AW764" s="29"/>
      <c r="AX764" s="29">
        <f t="shared" si="593"/>
        <v>5820981.2599999988</v>
      </c>
      <c r="AY764" s="29">
        <f t="shared" si="594"/>
        <v>9300000</v>
      </c>
      <c r="AZ764" s="29">
        <f t="shared" si="595"/>
        <v>15120981.259999998</v>
      </c>
    </row>
    <row r="765" spans="2:52" x14ac:dyDescent="0.3">
      <c r="B765" s="99">
        <f t="shared" si="574"/>
        <v>45233</v>
      </c>
      <c r="C765" s="44">
        <f t="shared" si="598"/>
        <v>2132908.84</v>
      </c>
      <c r="D765" s="38"/>
      <c r="E765" s="38"/>
      <c r="F765" s="38">
        <f>-227957.07+19.53</f>
        <v>-227937.54</v>
      </c>
      <c r="G765" s="45">
        <f t="shared" si="572"/>
        <v>1904971.2999999998</v>
      </c>
      <c r="H765" s="44">
        <v>4300000</v>
      </c>
      <c r="I765" s="46">
        <f t="shared" si="599"/>
        <v>3602352.8400000003</v>
      </c>
      <c r="J765" s="38">
        <v>3845.8</v>
      </c>
      <c r="K765" s="38">
        <v>110000</v>
      </c>
      <c r="L765" s="38">
        <v>-2926373.98</v>
      </c>
      <c r="M765" s="47">
        <f t="shared" si="600"/>
        <v>789824.66000000015</v>
      </c>
      <c r="N765" s="46">
        <v>5000000</v>
      </c>
      <c r="O765" s="48">
        <f t="shared" si="601"/>
        <v>8981.7400000002253</v>
      </c>
      <c r="P765" s="38">
        <v>39801.18</v>
      </c>
      <c r="Q765" s="38">
        <f>73300-110000</f>
        <v>-36700</v>
      </c>
      <c r="R765" s="38">
        <v>-4053.79</v>
      </c>
      <c r="S765" s="55">
        <f t="shared" si="602"/>
        <v>8029.1300000002238</v>
      </c>
      <c r="T765" s="48"/>
      <c r="U765" s="49">
        <f t="shared" si="603"/>
        <v>73336.129999999961</v>
      </c>
      <c r="V765" s="38"/>
      <c r="W765" s="38">
        <v>-73300</v>
      </c>
      <c r="X765" s="38">
        <v>-36.130000000000003</v>
      </c>
      <c r="Y765" s="51">
        <f t="shared" si="604"/>
        <v>-3.9001690765871899E-11</v>
      </c>
      <c r="Z765" s="52"/>
      <c r="AA765" s="53">
        <f t="shared" si="605"/>
        <v>1609.4099999996647</v>
      </c>
      <c r="AB765" s="38"/>
      <c r="AC765" s="38"/>
      <c r="AD765" s="38">
        <v>-391.84</v>
      </c>
      <c r="AE765" s="54">
        <f t="shared" si="606"/>
        <v>1217.5699999996648</v>
      </c>
      <c r="AF765" s="53"/>
      <c r="AG765" s="53">
        <f t="shared" si="582"/>
        <v>1792.3000000000698</v>
      </c>
      <c r="AH765" s="38"/>
      <c r="AI765" s="38"/>
      <c r="AJ765" s="38"/>
      <c r="AK765" s="54">
        <f t="shared" si="607"/>
        <v>1792.3000000000698</v>
      </c>
      <c r="AL765" s="53"/>
      <c r="AM765" s="53">
        <f t="shared" si="591"/>
        <v>0</v>
      </c>
      <c r="AN765" s="38"/>
      <c r="AO765" s="38"/>
      <c r="AP765" s="38"/>
      <c r="AQ765" s="54">
        <f t="shared" si="592"/>
        <v>0</v>
      </c>
      <c r="AR765" s="53"/>
      <c r="AS765" s="29">
        <f t="shared" si="579"/>
        <v>5819188.959999999</v>
      </c>
      <c r="AT765" s="29">
        <f t="shared" si="584"/>
        <v>43646.98</v>
      </c>
      <c r="AU765" s="29">
        <f t="shared" si="585"/>
        <v>0</v>
      </c>
      <c r="AV765" s="29">
        <f t="shared" si="567"/>
        <v>-3158793.28</v>
      </c>
      <c r="AW765" s="29"/>
      <c r="AX765" s="29">
        <f t="shared" si="593"/>
        <v>2705834.9600000004</v>
      </c>
      <c r="AY765" s="29">
        <f t="shared" si="594"/>
        <v>9300000</v>
      </c>
      <c r="AZ765" s="29">
        <f t="shared" si="595"/>
        <v>12005834.960000001</v>
      </c>
    </row>
    <row r="766" spans="2:52" x14ac:dyDescent="0.3">
      <c r="B766" s="99">
        <f t="shared" ref="B766" si="608">B765+3</f>
        <v>45236</v>
      </c>
      <c r="C766" s="44">
        <f t="shared" si="598"/>
        <v>1904971.2999999998</v>
      </c>
      <c r="D766" s="38">
        <v>43986.01</v>
      </c>
      <c r="E766" s="38"/>
      <c r="F766" s="38">
        <f>-72900.91+13.65</f>
        <v>-72887.260000000009</v>
      </c>
      <c r="G766" s="45">
        <f t="shared" si="572"/>
        <v>1876070.0499999998</v>
      </c>
      <c r="H766" s="44">
        <v>4300000</v>
      </c>
      <c r="I766" s="46">
        <f t="shared" si="599"/>
        <v>789824.66000000015</v>
      </c>
      <c r="J766" s="38">
        <v>126693.63</v>
      </c>
      <c r="K766" s="38">
        <v>160000</v>
      </c>
      <c r="L766" s="38">
        <v>-751003.6</v>
      </c>
      <c r="M766" s="47">
        <f t="shared" si="600"/>
        <v>325514.69000000006</v>
      </c>
      <c r="N766" s="46">
        <v>5000000</v>
      </c>
      <c r="O766" s="48">
        <f t="shared" si="601"/>
        <v>8029.1300000002238</v>
      </c>
      <c r="P766" s="38"/>
      <c r="Q766" s="38">
        <f>161150-160000-50</f>
        <v>1100</v>
      </c>
      <c r="R766" s="38">
        <v>-2710</v>
      </c>
      <c r="S766" s="55">
        <f t="shared" si="602"/>
        <v>6419.1300000002229</v>
      </c>
      <c r="T766" s="48"/>
      <c r="U766" s="49">
        <f t="shared" si="603"/>
        <v>-3.9001690765871899E-11</v>
      </c>
      <c r="V766" s="38">
        <v>161172.20000000001</v>
      </c>
      <c r="W766" s="38">
        <f>-161150+50</f>
        <v>-161100</v>
      </c>
      <c r="X766" s="38">
        <v>-27.77</v>
      </c>
      <c r="Y766" s="51">
        <f t="shared" si="604"/>
        <v>44.429999999982542</v>
      </c>
      <c r="Z766" s="52"/>
      <c r="AA766" s="53">
        <f t="shared" si="605"/>
        <v>1217.5699999996648</v>
      </c>
      <c r="AB766" s="38"/>
      <c r="AC766" s="38">
        <v>1700</v>
      </c>
      <c r="AD766" s="38">
        <v>-2080</v>
      </c>
      <c r="AE766" s="54">
        <f t="shared" si="606"/>
        <v>837.56999999966501</v>
      </c>
      <c r="AF766" s="53"/>
      <c r="AG766" s="53">
        <f t="shared" si="582"/>
        <v>1792.3000000000698</v>
      </c>
      <c r="AH766" s="38"/>
      <c r="AI766" s="38">
        <v>-1700</v>
      </c>
      <c r="AJ766" s="38"/>
      <c r="AK766" s="54">
        <f t="shared" si="607"/>
        <v>92.300000000069758</v>
      </c>
      <c r="AL766" s="53"/>
      <c r="AM766" s="53">
        <f t="shared" si="591"/>
        <v>0</v>
      </c>
      <c r="AN766" s="38"/>
      <c r="AO766" s="38"/>
      <c r="AP766" s="38"/>
      <c r="AQ766" s="54">
        <f t="shared" si="592"/>
        <v>0</v>
      </c>
      <c r="AR766" s="53"/>
      <c r="AS766" s="29">
        <f t="shared" si="579"/>
        <v>2704042.66</v>
      </c>
      <c r="AT766" s="29">
        <f t="shared" si="584"/>
        <v>331851.84000000003</v>
      </c>
      <c r="AU766" s="29">
        <f t="shared" si="585"/>
        <v>0</v>
      </c>
      <c r="AV766" s="29">
        <f t="shared" si="567"/>
        <v>-828708.63</v>
      </c>
      <c r="AW766" s="29"/>
      <c r="AX766" s="29">
        <f t="shared" si="593"/>
        <v>2208978.1700000004</v>
      </c>
      <c r="AY766" s="29">
        <f t="shared" si="594"/>
        <v>9300000</v>
      </c>
      <c r="AZ766" s="29">
        <f t="shared" si="595"/>
        <v>11508978.17</v>
      </c>
    </row>
    <row r="767" spans="2:52" x14ac:dyDescent="0.3">
      <c r="B767" s="99">
        <f t="shared" ref="B767" si="609">B766+1</f>
        <v>45237</v>
      </c>
      <c r="C767" s="44">
        <f t="shared" si="598"/>
        <v>1876070.0499999998</v>
      </c>
      <c r="D767" s="38">
        <v>1110753.04</v>
      </c>
      <c r="E767" s="38"/>
      <c r="F767" s="38">
        <f>-440212.49+16.28</f>
        <v>-440196.20999999996</v>
      </c>
      <c r="G767" s="45">
        <f t="shared" si="572"/>
        <v>2546626.88</v>
      </c>
      <c r="H767" s="44">
        <v>4300000</v>
      </c>
      <c r="I767" s="46">
        <f t="shared" si="599"/>
        <v>325514.69000000006</v>
      </c>
      <c r="J767" s="38"/>
      <c r="K767" s="38"/>
      <c r="L767" s="38">
        <v>-103162.74</v>
      </c>
      <c r="M767" s="47">
        <f t="shared" si="600"/>
        <v>222351.95000000007</v>
      </c>
      <c r="N767" s="46">
        <v>5000000</v>
      </c>
      <c r="O767" s="48">
        <f t="shared" si="601"/>
        <v>6419.1300000002229</v>
      </c>
      <c r="P767" s="38"/>
      <c r="Q767" s="38"/>
      <c r="R767" s="38">
        <v>-43.92</v>
      </c>
      <c r="S767" s="55">
        <f t="shared" si="602"/>
        <v>6375.2100000002229</v>
      </c>
      <c r="T767" s="48"/>
      <c r="U767" s="49">
        <f t="shared" si="603"/>
        <v>44.429999999982542</v>
      </c>
      <c r="V767" s="38"/>
      <c r="W767" s="38"/>
      <c r="X767" s="38">
        <v>-1.4</v>
      </c>
      <c r="Y767" s="51">
        <f t="shared" si="604"/>
        <v>43.029999999982543</v>
      </c>
      <c r="Z767" s="52"/>
      <c r="AA767" s="53">
        <f t="shared" si="605"/>
        <v>837.56999999966501</v>
      </c>
      <c r="AB767" s="38"/>
      <c r="AC767" s="38"/>
      <c r="AD767" s="38"/>
      <c r="AE767" s="54">
        <f t="shared" si="606"/>
        <v>837.56999999966501</v>
      </c>
      <c r="AF767" s="53"/>
      <c r="AG767" s="53">
        <f t="shared" si="582"/>
        <v>92.300000000069758</v>
      </c>
      <c r="AH767" s="38"/>
      <c r="AI767" s="38"/>
      <c r="AJ767" s="38"/>
      <c r="AK767" s="54">
        <f t="shared" si="607"/>
        <v>92.300000000069758</v>
      </c>
      <c r="AL767" s="53"/>
      <c r="AM767" s="53">
        <f t="shared" si="591"/>
        <v>0</v>
      </c>
      <c r="AN767" s="38"/>
      <c r="AO767" s="38"/>
      <c r="AP767" s="38"/>
      <c r="AQ767" s="54">
        <f t="shared" si="592"/>
        <v>0</v>
      </c>
      <c r="AR767" s="53"/>
      <c r="AS767" s="29">
        <f t="shared" si="579"/>
        <v>2208885.87</v>
      </c>
      <c r="AT767" s="29">
        <f t="shared" si="584"/>
        <v>1110753.04</v>
      </c>
      <c r="AU767" s="29">
        <f t="shared" si="585"/>
        <v>0</v>
      </c>
      <c r="AV767" s="29">
        <f t="shared" si="567"/>
        <v>-543404.27</v>
      </c>
      <c r="AW767" s="29"/>
      <c r="AX767" s="29">
        <f t="shared" si="593"/>
        <v>2776326.9400000004</v>
      </c>
      <c r="AY767" s="29">
        <f t="shared" si="594"/>
        <v>9300000</v>
      </c>
      <c r="AZ767" s="29">
        <f t="shared" si="595"/>
        <v>12076326.940000001</v>
      </c>
    </row>
    <row r="768" spans="2:52" x14ac:dyDescent="0.3">
      <c r="B768" s="99">
        <f t="shared" si="574"/>
        <v>45238</v>
      </c>
      <c r="C768" s="44">
        <f t="shared" si="598"/>
        <v>2546626.88</v>
      </c>
      <c r="D768" s="38">
        <v>187458.55</v>
      </c>
      <c r="E768" s="38"/>
      <c r="F768" s="38">
        <f>-80+20.83</f>
        <v>-59.17</v>
      </c>
      <c r="G768" s="45">
        <f t="shared" si="572"/>
        <v>2734026.26</v>
      </c>
      <c r="H768" s="44">
        <v>4300000</v>
      </c>
      <c r="I768" s="46">
        <f t="shared" si="599"/>
        <v>222351.95000000007</v>
      </c>
      <c r="J768" s="38"/>
      <c r="K768" s="38"/>
      <c r="L768" s="38">
        <v>-69615.649999999994</v>
      </c>
      <c r="M768" s="47">
        <f t="shared" si="600"/>
        <v>152736.30000000008</v>
      </c>
      <c r="N768" s="46">
        <v>5000000</v>
      </c>
      <c r="O768" s="48">
        <f t="shared" si="601"/>
        <v>6375.2100000002229</v>
      </c>
      <c r="P768" s="38"/>
      <c r="Q768" s="38"/>
      <c r="R768" s="38">
        <v>-246.4</v>
      </c>
      <c r="S768" s="55">
        <f t="shared" si="602"/>
        <v>6128.8100000002232</v>
      </c>
      <c r="T768" s="48"/>
      <c r="U768" s="49">
        <f t="shared" si="603"/>
        <v>43.029999999982543</v>
      </c>
      <c r="V768" s="38"/>
      <c r="W768" s="38"/>
      <c r="X768" s="38"/>
      <c r="Y768" s="51">
        <f t="shared" si="604"/>
        <v>43.029999999982543</v>
      </c>
      <c r="Z768" s="52"/>
      <c r="AA768" s="53">
        <f t="shared" si="605"/>
        <v>837.56999999966501</v>
      </c>
      <c r="AB768" s="38"/>
      <c r="AC768" s="38"/>
      <c r="AD768" s="38"/>
      <c r="AE768" s="54">
        <f t="shared" si="606"/>
        <v>837.56999999966501</v>
      </c>
      <c r="AF768" s="53"/>
      <c r="AG768" s="53">
        <f t="shared" si="582"/>
        <v>92.300000000069758</v>
      </c>
      <c r="AH768" s="38"/>
      <c r="AI768" s="38"/>
      <c r="AJ768" s="38"/>
      <c r="AK768" s="54">
        <f t="shared" si="607"/>
        <v>92.300000000069758</v>
      </c>
      <c r="AL768" s="53"/>
      <c r="AM768" s="53">
        <f t="shared" si="591"/>
        <v>0</v>
      </c>
      <c r="AN768" s="38"/>
      <c r="AO768" s="38"/>
      <c r="AP768" s="38"/>
      <c r="AQ768" s="54">
        <f t="shared" si="592"/>
        <v>0</v>
      </c>
      <c r="AR768" s="53"/>
      <c r="AS768" s="29">
        <f t="shared" si="579"/>
        <v>2776234.64</v>
      </c>
      <c r="AT768" s="29">
        <f t="shared" si="584"/>
        <v>187458.55</v>
      </c>
      <c r="AU768" s="29">
        <f t="shared" si="585"/>
        <v>0</v>
      </c>
      <c r="AV768" s="29">
        <f t="shared" si="567"/>
        <v>-69921.219999999987</v>
      </c>
      <c r="AW768" s="29"/>
      <c r="AX768" s="29">
        <f t="shared" si="593"/>
        <v>2893864.27</v>
      </c>
      <c r="AY768" s="29">
        <f t="shared" si="594"/>
        <v>9300000</v>
      </c>
      <c r="AZ768" s="29">
        <f t="shared" si="595"/>
        <v>12193864.27</v>
      </c>
    </row>
    <row r="769" spans="2:52" x14ac:dyDescent="0.3">
      <c r="B769" s="99">
        <f t="shared" si="574"/>
        <v>45239</v>
      </c>
      <c r="C769" s="44">
        <f t="shared" si="598"/>
        <v>2734026.26</v>
      </c>
      <c r="D769" s="38"/>
      <c r="E769" s="38"/>
      <c r="F769" s="38"/>
      <c r="G769" s="45">
        <f t="shared" si="572"/>
        <v>2734026.26</v>
      </c>
      <c r="H769" s="44">
        <v>4300000</v>
      </c>
      <c r="I769" s="46">
        <f t="shared" si="599"/>
        <v>152736.30000000008</v>
      </c>
      <c r="J769" s="38"/>
      <c r="K769" s="38"/>
      <c r="L769" s="38">
        <v>-54981.47</v>
      </c>
      <c r="M769" s="47">
        <f t="shared" si="600"/>
        <v>97754.830000000075</v>
      </c>
      <c r="N769" s="46">
        <v>5000000</v>
      </c>
      <c r="O769" s="48">
        <f t="shared" si="601"/>
        <v>6128.8100000002232</v>
      </c>
      <c r="P769" s="38">
        <v>116596.44</v>
      </c>
      <c r="Q769" s="38"/>
      <c r="R769" s="38"/>
      <c r="S769" s="55">
        <f t="shared" si="602"/>
        <v>122725.25000000023</v>
      </c>
      <c r="T769" s="48"/>
      <c r="U769" s="49">
        <f t="shared" si="603"/>
        <v>43.029999999982543</v>
      </c>
      <c r="V769" s="38"/>
      <c r="W769" s="38"/>
      <c r="X769" s="38"/>
      <c r="Y769" s="51">
        <f t="shared" si="604"/>
        <v>43.029999999982543</v>
      </c>
      <c r="Z769" s="52"/>
      <c r="AA769" s="53">
        <f t="shared" si="605"/>
        <v>837.56999999966501</v>
      </c>
      <c r="AB769" s="38"/>
      <c r="AC769" s="38"/>
      <c r="AD769" s="38"/>
      <c r="AE769" s="54">
        <f t="shared" si="606"/>
        <v>837.56999999966501</v>
      </c>
      <c r="AF769" s="53"/>
      <c r="AG769" s="53">
        <f t="shared" si="582"/>
        <v>92.300000000069758</v>
      </c>
      <c r="AH769" s="38"/>
      <c r="AI769" s="38"/>
      <c r="AJ769" s="38"/>
      <c r="AK769" s="54">
        <f t="shared" si="607"/>
        <v>92.300000000069758</v>
      </c>
      <c r="AL769" s="53"/>
      <c r="AM769" s="53">
        <f t="shared" si="591"/>
        <v>0</v>
      </c>
      <c r="AN769" s="38"/>
      <c r="AO769" s="38"/>
      <c r="AP769" s="38"/>
      <c r="AQ769" s="54">
        <f t="shared" si="592"/>
        <v>0</v>
      </c>
      <c r="AR769" s="53"/>
      <c r="AS769" s="29">
        <f t="shared" si="579"/>
        <v>2893771.9699999997</v>
      </c>
      <c r="AT769" s="29">
        <f t="shared" si="584"/>
        <v>116596.44</v>
      </c>
      <c r="AU769" s="29">
        <f t="shared" si="585"/>
        <v>0</v>
      </c>
      <c r="AV769" s="29">
        <f t="shared" si="567"/>
        <v>-54981.47</v>
      </c>
      <c r="AW769" s="29"/>
      <c r="AX769" s="29">
        <f t="shared" si="593"/>
        <v>2955479.2399999998</v>
      </c>
      <c r="AY769" s="29">
        <f t="shared" si="594"/>
        <v>9300000</v>
      </c>
      <c r="AZ769" s="29">
        <f t="shared" si="595"/>
        <v>12255479.24</v>
      </c>
    </row>
    <row r="770" spans="2:52" x14ac:dyDescent="0.3">
      <c r="B770" s="99">
        <f t="shared" si="574"/>
        <v>45240</v>
      </c>
      <c r="C770" s="44">
        <f t="shared" si="598"/>
        <v>2734026.26</v>
      </c>
      <c r="D770" s="38">
        <f>365808.13+388030.6</f>
        <v>753838.73</v>
      </c>
      <c r="E770" s="38"/>
      <c r="F770" s="38">
        <f>-200377.36+73.62</f>
        <v>-200303.74</v>
      </c>
      <c r="G770" s="45">
        <f t="shared" si="572"/>
        <v>3287561.25</v>
      </c>
      <c r="H770" s="44">
        <v>4300000</v>
      </c>
      <c r="I770" s="46">
        <f t="shared" si="599"/>
        <v>97754.830000000075</v>
      </c>
      <c r="J770" s="38">
        <v>728593.73</v>
      </c>
      <c r="K770" s="38">
        <v>122000</v>
      </c>
      <c r="L770" s="38">
        <v>-149168.07999999999</v>
      </c>
      <c r="M770" s="47">
        <f t="shared" si="600"/>
        <v>799180.4800000001</v>
      </c>
      <c r="N770" s="46">
        <v>5000000</v>
      </c>
      <c r="O770" s="48">
        <f t="shared" si="601"/>
        <v>122725.25000000023</v>
      </c>
      <c r="P770" s="38"/>
      <c r="Q770" s="38">
        <v>-122000</v>
      </c>
      <c r="R770" s="38"/>
      <c r="S770" s="55">
        <f t="shared" si="602"/>
        <v>725.25000000023283</v>
      </c>
      <c r="T770" s="48"/>
      <c r="U770" s="49">
        <f t="shared" si="603"/>
        <v>43.029999999982543</v>
      </c>
      <c r="V770" s="38"/>
      <c r="W770" s="38"/>
      <c r="X770" s="38"/>
      <c r="Y770" s="51">
        <f t="shared" si="604"/>
        <v>43.029999999982543</v>
      </c>
      <c r="Z770" s="52"/>
      <c r="AA770" s="53">
        <f t="shared" si="605"/>
        <v>837.56999999966501</v>
      </c>
      <c r="AB770" s="38"/>
      <c r="AC770" s="38"/>
      <c r="AD770" s="38">
        <v>-418</v>
      </c>
      <c r="AE770" s="54">
        <f t="shared" si="606"/>
        <v>419.56999999966501</v>
      </c>
      <c r="AF770" s="53"/>
      <c r="AG770" s="53">
        <f t="shared" si="582"/>
        <v>92.300000000069758</v>
      </c>
      <c r="AH770" s="38"/>
      <c r="AI770" s="38"/>
      <c r="AJ770" s="38"/>
      <c r="AK770" s="54">
        <f t="shared" si="607"/>
        <v>92.300000000069758</v>
      </c>
      <c r="AL770" s="53"/>
      <c r="AM770" s="53">
        <f t="shared" si="591"/>
        <v>0</v>
      </c>
      <c r="AN770" s="38"/>
      <c r="AO770" s="38"/>
      <c r="AP770" s="38"/>
      <c r="AQ770" s="54">
        <f t="shared" si="592"/>
        <v>0</v>
      </c>
      <c r="AR770" s="53"/>
      <c r="AS770" s="29">
        <f t="shared" si="579"/>
        <v>2955386.9399999995</v>
      </c>
      <c r="AT770" s="29">
        <f t="shared" si="584"/>
        <v>1482432.46</v>
      </c>
      <c r="AU770" s="29">
        <f t="shared" si="585"/>
        <v>0</v>
      </c>
      <c r="AV770" s="29">
        <f t="shared" si="567"/>
        <v>-349889.81999999995</v>
      </c>
      <c r="AW770" s="29"/>
      <c r="AX770" s="29">
        <f t="shared" si="593"/>
        <v>4088021.8800000004</v>
      </c>
      <c r="AY770" s="29">
        <f t="shared" si="594"/>
        <v>9300000</v>
      </c>
      <c r="AZ770" s="29">
        <f t="shared" si="595"/>
        <v>13388021.880000001</v>
      </c>
    </row>
    <row r="771" spans="2:52" x14ac:dyDescent="0.3">
      <c r="B771" s="99">
        <f t="shared" ref="B771" si="610">B770+3</f>
        <v>45243</v>
      </c>
      <c r="C771" s="44">
        <f t="shared" si="598"/>
        <v>3287561.25</v>
      </c>
      <c r="D771" s="38">
        <v>97026.15</v>
      </c>
      <c r="E771" s="38"/>
      <c r="F771" s="38">
        <f>-10006.94+34</f>
        <v>-9972.94</v>
      </c>
      <c r="G771" s="45">
        <f t="shared" si="572"/>
        <v>3374614.46</v>
      </c>
      <c r="H771" s="44">
        <v>4300000</v>
      </c>
      <c r="I771" s="46">
        <f t="shared" si="599"/>
        <v>799180.4800000001</v>
      </c>
      <c r="J771" s="38"/>
      <c r="K771" s="38"/>
      <c r="L771" s="38">
        <v>-178568.73</v>
      </c>
      <c r="M771" s="47">
        <f t="shared" si="600"/>
        <v>620611.75000000012</v>
      </c>
      <c r="N771" s="46">
        <v>5000000</v>
      </c>
      <c r="O771" s="48">
        <f t="shared" si="601"/>
        <v>725.25000000023283</v>
      </c>
      <c r="P771" s="38"/>
      <c r="Q771" s="38"/>
      <c r="R771" s="38">
        <v>-510</v>
      </c>
      <c r="S771" s="55">
        <f t="shared" si="602"/>
        <v>215.25000000023283</v>
      </c>
      <c r="T771" s="48"/>
      <c r="U771" s="49">
        <f t="shared" si="603"/>
        <v>43.029999999982543</v>
      </c>
      <c r="V771" s="38"/>
      <c r="W771" s="38"/>
      <c r="X771" s="38"/>
      <c r="Y771" s="51">
        <f t="shared" si="604"/>
        <v>43.029999999982543</v>
      </c>
      <c r="Z771" s="52"/>
      <c r="AA771" s="53">
        <f t="shared" si="605"/>
        <v>419.56999999966501</v>
      </c>
      <c r="AB771" s="38"/>
      <c r="AC771" s="38"/>
      <c r="AD771" s="38"/>
      <c r="AE771" s="54">
        <f t="shared" si="606"/>
        <v>419.56999999966501</v>
      </c>
      <c r="AF771" s="53"/>
      <c r="AG771" s="53">
        <f t="shared" si="582"/>
        <v>92.300000000069758</v>
      </c>
      <c r="AH771" s="38"/>
      <c r="AI771" s="38"/>
      <c r="AJ771" s="38"/>
      <c r="AK771" s="54">
        <f t="shared" si="607"/>
        <v>92.300000000069758</v>
      </c>
      <c r="AL771" s="53"/>
      <c r="AM771" s="53">
        <f t="shared" si="591"/>
        <v>0</v>
      </c>
      <c r="AN771" s="38"/>
      <c r="AO771" s="38"/>
      <c r="AP771" s="38"/>
      <c r="AQ771" s="54">
        <f t="shared" si="592"/>
        <v>0</v>
      </c>
      <c r="AR771" s="53"/>
      <c r="AS771" s="29">
        <f t="shared" ref="AS771:AS802" si="611">SUM(C771,I771,O771,U771,AA771,)</f>
        <v>4087929.58</v>
      </c>
      <c r="AT771" s="29">
        <f t="shared" si="584"/>
        <v>97026.15</v>
      </c>
      <c r="AU771" s="29">
        <f t="shared" si="585"/>
        <v>0</v>
      </c>
      <c r="AV771" s="29">
        <f t="shared" si="567"/>
        <v>-189051.67</v>
      </c>
      <c r="AW771" s="29"/>
      <c r="AX771" s="29">
        <f t="shared" si="593"/>
        <v>3995996.36</v>
      </c>
      <c r="AY771" s="29">
        <f t="shared" si="594"/>
        <v>9300000</v>
      </c>
      <c r="AZ771" s="29">
        <f t="shared" si="595"/>
        <v>13295996.359999999</v>
      </c>
    </row>
    <row r="772" spans="2:52" x14ac:dyDescent="0.3">
      <c r="B772" s="99">
        <f t="shared" ref="B772" si="612">B771+1</f>
        <v>45244</v>
      </c>
      <c r="C772" s="44">
        <f t="shared" si="598"/>
        <v>3374614.46</v>
      </c>
      <c r="D772" s="38"/>
      <c r="E772" s="38"/>
      <c r="F772" s="38">
        <f>47.47-301426.71</f>
        <v>-301379.24000000005</v>
      </c>
      <c r="G772" s="45">
        <f t="shared" si="572"/>
        <v>3073235.2199999997</v>
      </c>
      <c r="H772" s="44">
        <v>4300000</v>
      </c>
      <c r="I772" s="46">
        <f t="shared" si="599"/>
        <v>620611.75000000012</v>
      </c>
      <c r="J772" s="38"/>
      <c r="K772" s="38"/>
      <c r="L772" s="38">
        <v>-107326.49</v>
      </c>
      <c r="M772" s="47">
        <f t="shared" si="600"/>
        <v>513285.26000000013</v>
      </c>
      <c r="N772" s="46">
        <v>5000000</v>
      </c>
      <c r="O772" s="48">
        <f t="shared" si="601"/>
        <v>215.25000000023283</v>
      </c>
      <c r="P772" s="38"/>
      <c r="Q772" s="38"/>
      <c r="R772" s="38">
        <f>-9.8-124.9</f>
        <v>-134.70000000000002</v>
      </c>
      <c r="S772" s="55">
        <f t="shared" si="602"/>
        <v>80.550000000232814</v>
      </c>
      <c r="T772" s="48"/>
      <c r="U772" s="49">
        <f t="shared" si="603"/>
        <v>43.029999999982543</v>
      </c>
      <c r="V772" s="38"/>
      <c r="W772" s="38"/>
      <c r="X772" s="38"/>
      <c r="Y772" s="51">
        <f t="shared" si="604"/>
        <v>43.029999999982543</v>
      </c>
      <c r="Z772" s="52"/>
      <c r="AA772" s="53">
        <f t="shared" si="605"/>
        <v>419.56999999966501</v>
      </c>
      <c r="AB772" s="38"/>
      <c r="AC772" s="38"/>
      <c r="AD772" s="38"/>
      <c r="AE772" s="54">
        <f t="shared" si="606"/>
        <v>419.56999999966501</v>
      </c>
      <c r="AF772" s="53"/>
      <c r="AG772" s="53">
        <f t="shared" si="582"/>
        <v>92.300000000069758</v>
      </c>
      <c r="AH772" s="38"/>
      <c r="AI772" s="38"/>
      <c r="AJ772" s="38"/>
      <c r="AK772" s="54">
        <f t="shared" si="607"/>
        <v>92.300000000069758</v>
      </c>
      <c r="AL772" s="53"/>
      <c r="AM772" s="53">
        <f t="shared" si="591"/>
        <v>0</v>
      </c>
      <c r="AN772" s="38"/>
      <c r="AO772" s="38"/>
      <c r="AP772" s="38"/>
      <c r="AQ772" s="54">
        <f t="shared" si="592"/>
        <v>0</v>
      </c>
      <c r="AR772" s="53"/>
      <c r="AS772" s="29">
        <f t="shared" si="611"/>
        <v>3995904.0599999996</v>
      </c>
      <c r="AT772" s="29">
        <f t="shared" si="584"/>
        <v>0</v>
      </c>
      <c r="AU772" s="29">
        <f t="shared" si="585"/>
        <v>0</v>
      </c>
      <c r="AV772" s="29">
        <f t="shared" si="567"/>
        <v>-408840.43000000005</v>
      </c>
      <c r="AW772" s="29"/>
      <c r="AX772" s="29">
        <f t="shared" si="593"/>
        <v>3587155.93</v>
      </c>
      <c r="AY772" s="29">
        <f t="shared" si="594"/>
        <v>9300000</v>
      </c>
      <c r="AZ772" s="29">
        <f t="shared" si="595"/>
        <v>12887155.93</v>
      </c>
    </row>
    <row r="773" spans="2:52" x14ac:dyDescent="0.3">
      <c r="B773" s="99">
        <f t="shared" si="574"/>
        <v>45245</v>
      </c>
      <c r="C773" s="44">
        <f t="shared" si="598"/>
        <v>3073235.2199999997</v>
      </c>
      <c r="D773" s="38"/>
      <c r="E773" s="38"/>
      <c r="F773" s="38"/>
      <c r="G773" s="45">
        <f t="shared" si="572"/>
        <v>3073235.2199999997</v>
      </c>
      <c r="H773" s="44">
        <v>4300000</v>
      </c>
      <c r="I773" s="46">
        <f t="shared" si="599"/>
        <v>513285.26000000013</v>
      </c>
      <c r="J773" s="38"/>
      <c r="K773" s="38"/>
      <c r="L773" s="38"/>
      <c r="M773" s="47">
        <f t="shared" si="600"/>
        <v>513285.26000000013</v>
      </c>
      <c r="N773" s="46">
        <v>5000000</v>
      </c>
      <c r="O773" s="48">
        <f t="shared" si="601"/>
        <v>80.550000000232814</v>
      </c>
      <c r="P773" s="38"/>
      <c r="Q773" s="38"/>
      <c r="R773" s="38"/>
      <c r="S773" s="55">
        <f t="shared" si="602"/>
        <v>80.550000000232814</v>
      </c>
      <c r="T773" s="48"/>
      <c r="U773" s="49">
        <f t="shared" si="603"/>
        <v>43.029999999982543</v>
      </c>
      <c r="V773" s="38"/>
      <c r="W773" s="38"/>
      <c r="X773" s="38"/>
      <c r="Y773" s="51">
        <f t="shared" si="604"/>
        <v>43.029999999982543</v>
      </c>
      <c r="Z773" s="52"/>
      <c r="AA773" s="53">
        <f t="shared" si="605"/>
        <v>419.56999999966501</v>
      </c>
      <c r="AB773" s="38"/>
      <c r="AC773" s="38"/>
      <c r="AD773" s="38"/>
      <c r="AE773" s="54">
        <f t="shared" si="606"/>
        <v>419.56999999966501</v>
      </c>
      <c r="AF773" s="53"/>
      <c r="AG773" s="53">
        <f t="shared" si="582"/>
        <v>92.300000000069758</v>
      </c>
      <c r="AH773" s="38"/>
      <c r="AI773" s="38"/>
      <c r="AJ773" s="38"/>
      <c r="AK773" s="54">
        <f t="shared" si="607"/>
        <v>92.300000000069758</v>
      </c>
      <c r="AL773" s="53"/>
      <c r="AM773" s="53">
        <f t="shared" si="591"/>
        <v>0</v>
      </c>
      <c r="AN773" s="38"/>
      <c r="AO773" s="38"/>
      <c r="AP773" s="38"/>
      <c r="AQ773" s="54">
        <f t="shared" si="592"/>
        <v>0</v>
      </c>
      <c r="AR773" s="53"/>
      <c r="AS773" s="29">
        <f t="shared" si="611"/>
        <v>3587063.63</v>
      </c>
      <c r="AT773" s="29">
        <f t="shared" si="584"/>
        <v>0</v>
      </c>
      <c r="AU773" s="29">
        <f t="shared" si="585"/>
        <v>0</v>
      </c>
      <c r="AV773" s="29">
        <f t="shared" si="567"/>
        <v>0</v>
      </c>
      <c r="AW773" s="29"/>
      <c r="AX773" s="29">
        <f t="shared" si="593"/>
        <v>3587155.93</v>
      </c>
      <c r="AY773" s="29">
        <f t="shared" si="594"/>
        <v>9300000</v>
      </c>
      <c r="AZ773" s="29">
        <f t="shared" si="595"/>
        <v>12887155.93</v>
      </c>
    </row>
    <row r="774" spans="2:52" x14ac:dyDescent="0.3">
      <c r="B774" s="99">
        <f t="shared" si="574"/>
        <v>45246</v>
      </c>
      <c r="C774" s="44">
        <f t="shared" si="598"/>
        <v>3073235.2199999997</v>
      </c>
      <c r="D774" s="38">
        <v>6352.86</v>
      </c>
      <c r="E774" s="38"/>
      <c r="F774" s="38">
        <f>9.74-1824425.91</f>
        <v>-1824416.17</v>
      </c>
      <c r="G774" s="45">
        <f t="shared" si="572"/>
        <v>1255171.9099999997</v>
      </c>
      <c r="H774" s="44">
        <v>4300000</v>
      </c>
      <c r="I774" s="46">
        <f t="shared" si="599"/>
        <v>513285.26000000013</v>
      </c>
      <c r="J774" s="38"/>
      <c r="K774" s="38"/>
      <c r="L774" s="38">
        <v>-67288.23</v>
      </c>
      <c r="M774" s="47">
        <f t="shared" si="600"/>
        <v>445997.03000000014</v>
      </c>
      <c r="N774" s="46">
        <v>5000000</v>
      </c>
      <c r="O774" s="48">
        <f t="shared" si="601"/>
        <v>80.550000000232814</v>
      </c>
      <c r="P774" s="38"/>
      <c r="Q774" s="38"/>
      <c r="R774" s="38"/>
      <c r="S774" s="55">
        <f t="shared" si="602"/>
        <v>80.550000000232814</v>
      </c>
      <c r="T774" s="48"/>
      <c r="U774" s="49">
        <f t="shared" si="603"/>
        <v>43.029999999982543</v>
      </c>
      <c r="V774" s="38"/>
      <c r="W774" s="38"/>
      <c r="X774" s="38"/>
      <c r="Y774" s="51">
        <f t="shared" si="604"/>
        <v>43.029999999982543</v>
      </c>
      <c r="Z774" s="52"/>
      <c r="AA774" s="53">
        <f t="shared" si="605"/>
        <v>419.56999999966501</v>
      </c>
      <c r="AB774" s="38"/>
      <c r="AC774" s="38"/>
      <c r="AD774" s="38"/>
      <c r="AE774" s="54">
        <f t="shared" si="606"/>
        <v>419.56999999966501</v>
      </c>
      <c r="AF774" s="53"/>
      <c r="AG774" s="53">
        <f t="shared" si="582"/>
        <v>92.300000000069758</v>
      </c>
      <c r="AH774" s="38"/>
      <c r="AI774" s="38"/>
      <c r="AJ774" s="38"/>
      <c r="AK774" s="54">
        <f t="shared" si="607"/>
        <v>92.300000000069758</v>
      </c>
      <c r="AL774" s="53"/>
      <c r="AM774" s="53">
        <f t="shared" si="591"/>
        <v>0</v>
      </c>
      <c r="AN774" s="38"/>
      <c r="AO774" s="38"/>
      <c r="AP774" s="38"/>
      <c r="AQ774" s="54">
        <f t="shared" si="592"/>
        <v>0</v>
      </c>
      <c r="AR774" s="53"/>
      <c r="AS774" s="29">
        <f t="shared" si="611"/>
        <v>3587063.63</v>
      </c>
      <c r="AT774" s="29">
        <f t="shared" si="584"/>
        <v>6352.86</v>
      </c>
      <c r="AU774" s="29">
        <f t="shared" si="585"/>
        <v>0</v>
      </c>
      <c r="AV774" s="29">
        <f t="shared" si="567"/>
        <v>-1891704.4</v>
      </c>
      <c r="AW774" s="29"/>
      <c r="AX774" s="29">
        <f t="shared" si="593"/>
        <v>1701804.39</v>
      </c>
      <c r="AY774" s="29">
        <f t="shared" si="594"/>
        <v>9300000</v>
      </c>
      <c r="AZ774" s="29">
        <f t="shared" si="595"/>
        <v>11001804.390000001</v>
      </c>
    </row>
    <row r="775" spans="2:52" x14ac:dyDescent="0.3">
      <c r="B775" s="99">
        <f t="shared" si="574"/>
        <v>45247</v>
      </c>
      <c r="C775" s="44">
        <f t="shared" si="598"/>
        <v>1255171.9099999997</v>
      </c>
      <c r="D775" s="38"/>
      <c r="E775" s="38">
        <v>-500000</v>
      </c>
      <c r="F775" s="38">
        <f>9.5-32137.85</f>
        <v>-32128.35</v>
      </c>
      <c r="G775" s="45">
        <f t="shared" si="572"/>
        <v>723043.55999999971</v>
      </c>
      <c r="H775" s="44">
        <v>4300000</v>
      </c>
      <c r="I775" s="46">
        <f t="shared" si="599"/>
        <v>445997.03000000014</v>
      </c>
      <c r="J775" s="38"/>
      <c r="K775" s="38">
        <v>500000</v>
      </c>
      <c r="L775" s="38">
        <v>-774064.89</v>
      </c>
      <c r="M775" s="47">
        <f t="shared" si="600"/>
        <v>171932.14000000013</v>
      </c>
      <c r="N775" s="46">
        <v>5000000</v>
      </c>
      <c r="O775" s="48">
        <f t="shared" si="601"/>
        <v>80.550000000232814</v>
      </c>
      <c r="P775" s="38"/>
      <c r="Q775" s="38"/>
      <c r="R775" s="38"/>
      <c r="S775" s="55">
        <f t="shared" si="602"/>
        <v>80.550000000232814</v>
      </c>
      <c r="T775" s="48"/>
      <c r="U775" s="49">
        <f t="shared" si="603"/>
        <v>43.029999999982543</v>
      </c>
      <c r="V775" s="38"/>
      <c r="W775" s="38"/>
      <c r="X775" s="38"/>
      <c r="Y775" s="51">
        <f t="shared" si="604"/>
        <v>43.029999999982543</v>
      </c>
      <c r="Z775" s="52"/>
      <c r="AA775" s="53">
        <f t="shared" si="605"/>
        <v>419.56999999966501</v>
      </c>
      <c r="AB775" s="38"/>
      <c r="AC775" s="38"/>
      <c r="AD775" s="38"/>
      <c r="AE775" s="54">
        <f t="shared" si="606"/>
        <v>419.56999999966501</v>
      </c>
      <c r="AF775" s="53"/>
      <c r="AG775" s="53">
        <f t="shared" si="582"/>
        <v>92.300000000069758</v>
      </c>
      <c r="AH775" s="38"/>
      <c r="AI775" s="38"/>
      <c r="AJ775" s="38"/>
      <c r="AK775" s="54">
        <f t="shared" si="607"/>
        <v>92.300000000069758</v>
      </c>
      <c r="AL775" s="53"/>
      <c r="AM775" s="53">
        <f t="shared" si="591"/>
        <v>0</v>
      </c>
      <c r="AN775" s="38"/>
      <c r="AO775" s="38"/>
      <c r="AP775" s="38"/>
      <c r="AQ775" s="54">
        <f t="shared" si="592"/>
        <v>0</v>
      </c>
      <c r="AR775" s="53"/>
      <c r="AS775" s="29">
        <f t="shared" si="611"/>
        <v>1701712.0899999999</v>
      </c>
      <c r="AT775" s="29">
        <f t="shared" si="584"/>
        <v>0</v>
      </c>
      <c r="AU775" s="29">
        <f t="shared" si="585"/>
        <v>0</v>
      </c>
      <c r="AV775" s="29">
        <f t="shared" si="567"/>
        <v>-806193.24</v>
      </c>
      <c r="AW775" s="29"/>
      <c r="AX775" s="29">
        <f t="shared" si="593"/>
        <v>895611.14999999991</v>
      </c>
      <c r="AY775" s="29">
        <f t="shared" si="594"/>
        <v>9300000</v>
      </c>
      <c r="AZ775" s="29">
        <f t="shared" si="595"/>
        <v>10195611.15</v>
      </c>
    </row>
    <row r="776" spans="2:52" x14ac:dyDescent="0.3">
      <c r="B776" s="99">
        <f t="shared" ref="B776" si="613">B775+3</f>
        <v>45250</v>
      </c>
      <c r="C776" s="44">
        <f t="shared" si="598"/>
        <v>723043.55999999971</v>
      </c>
      <c r="D776" s="38">
        <v>417759.3</v>
      </c>
      <c r="E776" s="38"/>
      <c r="F776" s="38">
        <f>7.72-791513.98-139308.75</f>
        <v>-930815.01</v>
      </c>
      <c r="G776" s="45">
        <f t="shared" si="572"/>
        <v>209987.84999999963</v>
      </c>
      <c r="H776" s="44">
        <v>4300000</v>
      </c>
      <c r="I776" s="46">
        <f t="shared" si="599"/>
        <v>171932.14000000013</v>
      </c>
      <c r="J776" s="38"/>
      <c r="K776" s="38"/>
      <c r="L776" s="38">
        <v>-102655.9</v>
      </c>
      <c r="M776" s="47">
        <f t="shared" si="600"/>
        <v>69276.240000000136</v>
      </c>
      <c r="N776" s="46">
        <v>5000000</v>
      </c>
      <c r="O776" s="48">
        <f t="shared" si="601"/>
        <v>80.550000000232814</v>
      </c>
      <c r="P776" s="38">
        <v>15856.27</v>
      </c>
      <c r="Q776" s="38"/>
      <c r="R776" s="38"/>
      <c r="S776" s="55">
        <f t="shared" si="602"/>
        <v>15936.820000000233</v>
      </c>
      <c r="T776" s="48"/>
      <c r="U776" s="49">
        <f t="shared" si="603"/>
        <v>43.029999999982543</v>
      </c>
      <c r="V776" s="38"/>
      <c r="W776" s="38"/>
      <c r="X776" s="38"/>
      <c r="Y776" s="51">
        <f t="shared" si="604"/>
        <v>43.029999999982543</v>
      </c>
      <c r="Z776" s="52"/>
      <c r="AA776" s="53">
        <f t="shared" si="605"/>
        <v>419.56999999966501</v>
      </c>
      <c r="AB776" s="38">
        <v>1430646</v>
      </c>
      <c r="AC776" s="38"/>
      <c r="AD776" s="38"/>
      <c r="AE776" s="54">
        <f t="shared" si="606"/>
        <v>1431065.5699999996</v>
      </c>
      <c r="AF776" s="53"/>
      <c r="AG776" s="53">
        <f t="shared" si="582"/>
        <v>92.300000000069758</v>
      </c>
      <c r="AH776" s="38"/>
      <c r="AI776" s="38"/>
      <c r="AJ776" s="38"/>
      <c r="AK776" s="54">
        <f t="shared" si="607"/>
        <v>92.300000000069758</v>
      </c>
      <c r="AL776" s="53"/>
      <c r="AM776" s="53">
        <f t="shared" si="591"/>
        <v>0</v>
      </c>
      <c r="AN776" s="38"/>
      <c r="AO776" s="38"/>
      <c r="AP776" s="38"/>
      <c r="AQ776" s="54">
        <f t="shared" si="592"/>
        <v>0</v>
      </c>
      <c r="AR776" s="53"/>
      <c r="AS776" s="29">
        <f t="shared" si="611"/>
        <v>895518.84999999986</v>
      </c>
      <c r="AT776" s="29">
        <f t="shared" si="584"/>
        <v>1864261.57</v>
      </c>
      <c r="AU776" s="29">
        <f t="shared" si="585"/>
        <v>0</v>
      </c>
      <c r="AV776" s="29">
        <f t="shared" si="567"/>
        <v>-1033470.91</v>
      </c>
      <c r="AW776" s="29"/>
      <c r="AX776" s="29">
        <f t="shared" si="593"/>
        <v>1726401.8099999996</v>
      </c>
      <c r="AY776" s="29">
        <f t="shared" si="594"/>
        <v>9300000</v>
      </c>
      <c r="AZ776" s="29">
        <f t="shared" si="595"/>
        <v>11026401.809999999</v>
      </c>
    </row>
    <row r="777" spans="2:52" x14ac:dyDescent="0.3">
      <c r="B777" s="99">
        <f t="shared" ref="B777" si="614">B776+1</f>
        <v>45251</v>
      </c>
      <c r="C777" s="44">
        <f t="shared" si="598"/>
        <v>209987.84999999963</v>
      </c>
      <c r="D777" s="38"/>
      <c r="E777" s="38"/>
      <c r="F777" s="38">
        <f>-0.2-9935.09-3.25</f>
        <v>-9938.5400000000009</v>
      </c>
      <c r="G777" s="45">
        <f t="shared" si="572"/>
        <v>200049.30999999962</v>
      </c>
      <c r="H777" s="44">
        <v>4300000</v>
      </c>
      <c r="I777" s="46">
        <f t="shared" si="599"/>
        <v>69276.240000000136</v>
      </c>
      <c r="J777" s="38">
        <v>21210.1</v>
      </c>
      <c r="K777" s="38">
        <v>1530000</v>
      </c>
      <c r="L777" s="38">
        <v>-275312.44</v>
      </c>
      <c r="M777" s="47">
        <f t="shared" si="600"/>
        <v>1345173.9000000001</v>
      </c>
      <c r="N777" s="46">
        <v>5000000</v>
      </c>
      <c r="O777" s="48">
        <f t="shared" si="601"/>
        <v>15936.820000000233</v>
      </c>
      <c r="P777" s="38"/>
      <c r="Q777" s="38">
        <f>91000-100000</f>
        <v>-9000</v>
      </c>
      <c r="R777" s="38">
        <v>-330.79</v>
      </c>
      <c r="S777" s="55">
        <f t="shared" si="602"/>
        <v>6606.0300000002326</v>
      </c>
      <c r="T777" s="48"/>
      <c r="U777" s="49">
        <f t="shared" si="603"/>
        <v>43.029999999982543</v>
      </c>
      <c r="V777" s="38">
        <v>91008.98</v>
      </c>
      <c r="W777" s="38">
        <v>-91000</v>
      </c>
      <c r="X777" s="38">
        <v>-1.4</v>
      </c>
      <c r="Y777" s="51">
        <f t="shared" si="604"/>
        <v>50.609999999980211</v>
      </c>
      <c r="Z777" s="52"/>
      <c r="AA777" s="53">
        <f t="shared" si="605"/>
        <v>1431065.5699999996</v>
      </c>
      <c r="AB777" s="38"/>
      <c r="AC777" s="38">
        <v>-1430000</v>
      </c>
      <c r="AD777" s="38"/>
      <c r="AE777" s="54">
        <f t="shared" si="606"/>
        <v>1065.5699999995995</v>
      </c>
      <c r="AF777" s="53"/>
      <c r="AG777" s="53">
        <f t="shared" si="582"/>
        <v>92.300000000069758</v>
      </c>
      <c r="AH777" s="38"/>
      <c r="AI777" s="38"/>
      <c r="AJ777" s="38"/>
      <c r="AK777" s="54">
        <f t="shared" si="607"/>
        <v>92.300000000069758</v>
      </c>
      <c r="AL777" s="53"/>
      <c r="AM777" s="53">
        <f t="shared" si="591"/>
        <v>0</v>
      </c>
      <c r="AN777" s="38"/>
      <c r="AO777" s="38"/>
      <c r="AP777" s="38"/>
      <c r="AQ777" s="54">
        <f t="shared" si="592"/>
        <v>0</v>
      </c>
      <c r="AR777" s="53"/>
      <c r="AS777" s="29">
        <f t="shared" si="611"/>
        <v>1726309.5099999995</v>
      </c>
      <c r="AT777" s="29">
        <f t="shared" si="584"/>
        <v>112219.07999999999</v>
      </c>
      <c r="AU777" s="29">
        <f t="shared" si="585"/>
        <v>0</v>
      </c>
      <c r="AV777" s="29">
        <f t="shared" si="567"/>
        <v>-285583.17</v>
      </c>
      <c r="AW777" s="29"/>
      <c r="AX777" s="29">
        <f t="shared" si="593"/>
        <v>1553037.7199999995</v>
      </c>
      <c r="AY777" s="29">
        <f t="shared" si="594"/>
        <v>9300000</v>
      </c>
      <c r="AZ777" s="29">
        <f t="shared" si="595"/>
        <v>10853037.719999999</v>
      </c>
    </row>
    <row r="778" spans="2:52" x14ac:dyDescent="0.3">
      <c r="B778" s="99">
        <f t="shared" si="574"/>
        <v>45252</v>
      </c>
      <c r="C778" s="44">
        <f t="shared" si="598"/>
        <v>200049.30999999962</v>
      </c>
      <c r="D778" s="38">
        <f>94369.2+2.41</f>
        <v>94371.61</v>
      </c>
      <c r="E778" s="38"/>
      <c r="F778" s="38"/>
      <c r="G778" s="45">
        <f t="shared" si="572"/>
        <v>294420.91999999963</v>
      </c>
      <c r="H778" s="44">
        <v>4300000</v>
      </c>
      <c r="I778" s="46">
        <f t="shared" si="599"/>
        <v>1345173.9000000001</v>
      </c>
      <c r="J778" s="38">
        <v>9291.15</v>
      </c>
      <c r="K778" s="38"/>
      <c r="L778" s="38">
        <v>-55076.51</v>
      </c>
      <c r="M778" s="47">
        <f t="shared" si="600"/>
        <v>1299388.54</v>
      </c>
      <c r="N778" s="46">
        <v>5000000</v>
      </c>
      <c r="O778" s="48">
        <f t="shared" si="601"/>
        <v>6606.0300000002326</v>
      </c>
      <c r="P778" s="38">
        <v>144109.43</v>
      </c>
      <c r="Q778" s="38"/>
      <c r="R778" s="38">
        <v>-10</v>
      </c>
      <c r="S778" s="55">
        <f t="shared" si="602"/>
        <v>150705.46000000022</v>
      </c>
      <c r="T778" s="48"/>
      <c r="U778" s="49">
        <f t="shared" si="603"/>
        <v>50.609999999980211</v>
      </c>
      <c r="V778" s="38">
        <v>345767.87</v>
      </c>
      <c r="W778" s="38"/>
      <c r="X778" s="38"/>
      <c r="Y778" s="51">
        <f t="shared" si="604"/>
        <v>345818.48</v>
      </c>
      <c r="Z778" s="52"/>
      <c r="AA778" s="53">
        <f t="shared" si="605"/>
        <v>1065.5699999995995</v>
      </c>
      <c r="AB778" s="38"/>
      <c r="AC778" s="38"/>
      <c r="AD778" s="38"/>
      <c r="AE778" s="54">
        <f t="shared" si="606"/>
        <v>1065.5699999995995</v>
      </c>
      <c r="AF778" s="53"/>
      <c r="AG778" s="53">
        <f t="shared" si="582"/>
        <v>92.300000000069758</v>
      </c>
      <c r="AH778" s="38"/>
      <c r="AI778" s="38"/>
      <c r="AJ778" s="38"/>
      <c r="AK778" s="54">
        <f t="shared" si="607"/>
        <v>92.300000000069758</v>
      </c>
      <c r="AL778" s="53"/>
      <c r="AM778" s="53">
        <f t="shared" si="591"/>
        <v>0</v>
      </c>
      <c r="AN778" s="38"/>
      <c r="AO778" s="38"/>
      <c r="AP778" s="38"/>
      <c r="AQ778" s="54">
        <f t="shared" si="592"/>
        <v>0</v>
      </c>
      <c r="AR778" s="53"/>
      <c r="AS778" s="29">
        <f t="shared" si="611"/>
        <v>1552945.4199999995</v>
      </c>
      <c r="AT778" s="29">
        <f t="shared" si="584"/>
        <v>593540.06000000006</v>
      </c>
      <c r="AU778" s="29">
        <f t="shared" si="585"/>
        <v>0</v>
      </c>
      <c r="AV778" s="29">
        <f t="shared" ref="AV778:AV841" si="615">SUM(F778,L778,R778,X778,AD778,AJ778)</f>
        <v>-55086.51</v>
      </c>
      <c r="AW778" s="29"/>
      <c r="AX778" s="29">
        <f t="shared" si="593"/>
        <v>2091491.2699999996</v>
      </c>
      <c r="AY778" s="29">
        <f t="shared" si="594"/>
        <v>9300000</v>
      </c>
      <c r="AZ778" s="29">
        <f t="shared" si="595"/>
        <v>11391491.27</v>
      </c>
    </row>
    <row r="779" spans="2:52" x14ac:dyDescent="0.3">
      <c r="B779" s="99">
        <f t="shared" si="574"/>
        <v>45253</v>
      </c>
      <c r="C779" s="44">
        <f t="shared" si="598"/>
        <v>294420.91999999963</v>
      </c>
      <c r="D779" s="38">
        <v>1451986.81</v>
      </c>
      <c r="E779" s="38"/>
      <c r="F779" s="38"/>
      <c r="G779" s="45">
        <f t="shared" si="572"/>
        <v>1746407.7299999997</v>
      </c>
      <c r="H779" s="44">
        <v>4300000</v>
      </c>
      <c r="I779" s="46">
        <f t="shared" si="599"/>
        <v>1299388.54</v>
      </c>
      <c r="J779" s="38"/>
      <c r="K779" s="38"/>
      <c r="L779" s="38">
        <v>-22252.93</v>
      </c>
      <c r="M779" s="47">
        <f t="shared" si="600"/>
        <v>1277135.6100000001</v>
      </c>
      <c r="N779" s="46">
        <v>5000000</v>
      </c>
      <c r="O779" s="48">
        <f t="shared" si="601"/>
        <v>150705.46000000022</v>
      </c>
      <c r="P779" s="38"/>
      <c r="Q779" s="38"/>
      <c r="R779" s="38"/>
      <c r="S779" s="55">
        <f t="shared" si="602"/>
        <v>150705.46000000022</v>
      </c>
      <c r="T779" s="48"/>
      <c r="U779" s="49">
        <f t="shared" si="603"/>
        <v>345818.48</v>
      </c>
      <c r="V779" s="38">
        <v>145647.54</v>
      </c>
      <c r="W779" s="38"/>
      <c r="X779" s="38"/>
      <c r="Y779" s="51">
        <f t="shared" si="604"/>
        <v>491466.02</v>
      </c>
      <c r="Z779" s="52"/>
      <c r="AA779" s="53">
        <f t="shared" si="605"/>
        <v>1065.5699999995995</v>
      </c>
      <c r="AB779" s="38"/>
      <c r="AC779" s="38"/>
      <c r="AD779" s="38"/>
      <c r="AE779" s="54">
        <f t="shared" si="606"/>
        <v>1065.5699999995995</v>
      </c>
      <c r="AF779" s="53"/>
      <c r="AG779" s="53">
        <f t="shared" si="582"/>
        <v>92.300000000069758</v>
      </c>
      <c r="AH779" s="38"/>
      <c r="AI779" s="38"/>
      <c r="AJ779" s="38"/>
      <c r="AK779" s="54">
        <f t="shared" si="607"/>
        <v>92.300000000069758</v>
      </c>
      <c r="AL779" s="53"/>
      <c r="AM779" s="53">
        <f t="shared" si="591"/>
        <v>0</v>
      </c>
      <c r="AN779" s="38"/>
      <c r="AO779" s="38"/>
      <c r="AP779" s="38"/>
      <c r="AQ779" s="54">
        <f t="shared" si="592"/>
        <v>0</v>
      </c>
      <c r="AR779" s="53"/>
      <c r="AS779" s="29">
        <f t="shared" si="611"/>
        <v>2091398.9699999995</v>
      </c>
      <c r="AT779" s="29">
        <f t="shared" si="584"/>
        <v>1597634.35</v>
      </c>
      <c r="AU779" s="29">
        <f t="shared" si="585"/>
        <v>0</v>
      </c>
      <c r="AV779" s="29">
        <f t="shared" si="615"/>
        <v>-22252.93</v>
      </c>
      <c r="AW779" s="29"/>
      <c r="AX779" s="29">
        <f t="shared" si="593"/>
        <v>3666872.69</v>
      </c>
      <c r="AY779" s="29">
        <f t="shared" si="594"/>
        <v>9300000</v>
      </c>
      <c r="AZ779" s="29">
        <f t="shared" si="595"/>
        <v>12966872.689999999</v>
      </c>
    </row>
    <row r="780" spans="2:52" x14ac:dyDescent="0.3">
      <c r="B780" s="99">
        <f t="shared" si="574"/>
        <v>45254</v>
      </c>
      <c r="C780" s="44">
        <f t="shared" si="598"/>
        <v>1746407.7299999997</v>
      </c>
      <c r="D780" s="38"/>
      <c r="E780" s="38"/>
      <c r="F780" s="38"/>
      <c r="G780" s="45">
        <f t="shared" si="572"/>
        <v>1746407.7299999997</v>
      </c>
      <c r="H780" s="44">
        <v>4300000</v>
      </c>
      <c r="I780" s="46">
        <f t="shared" si="599"/>
        <v>1277135.6100000001</v>
      </c>
      <c r="J780" s="38"/>
      <c r="K780" s="38">
        <v>650000</v>
      </c>
      <c r="L780" s="38">
        <v>-2580.33</v>
      </c>
      <c r="M780" s="47">
        <f t="shared" si="600"/>
        <v>1924555.28</v>
      </c>
      <c r="N780" s="46">
        <v>5000000</v>
      </c>
      <c r="O780" s="48">
        <f t="shared" si="601"/>
        <v>150705.46000000022</v>
      </c>
      <c r="P780" s="38"/>
      <c r="Q780" s="38">
        <f>491400+17100-650000</f>
        <v>-141500</v>
      </c>
      <c r="R780" s="38">
        <v>-507.81</v>
      </c>
      <c r="S780" s="55">
        <f t="shared" si="602"/>
        <v>8697.6500000002252</v>
      </c>
      <c r="T780" s="48"/>
      <c r="U780" s="49">
        <f t="shared" si="603"/>
        <v>491466.02</v>
      </c>
      <c r="V780" s="38">
        <v>17107.73</v>
      </c>
      <c r="W780" s="38">
        <f>-491400-17100</f>
        <v>-508500</v>
      </c>
      <c r="X780" s="38">
        <v>-2.8</v>
      </c>
      <c r="Y780" s="51">
        <f t="shared" si="604"/>
        <v>70.95</v>
      </c>
      <c r="Z780" s="52"/>
      <c r="AA780" s="53">
        <f t="shared" si="605"/>
        <v>1065.5699999995995</v>
      </c>
      <c r="AB780" s="38"/>
      <c r="AC780" s="38"/>
      <c r="AD780" s="38"/>
      <c r="AE780" s="54">
        <f t="shared" si="606"/>
        <v>1065.5699999995995</v>
      </c>
      <c r="AF780" s="53"/>
      <c r="AG780" s="53">
        <f t="shared" si="582"/>
        <v>92.300000000069758</v>
      </c>
      <c r="AH780" s="38"/>
      <c r="AI780" s="38"/>
      <c r="AJ780" s="38"/>
      <c r="AK780" s="54">
        <f t="shared" si="607"/>
        <v>92.300000000069758</v>
      </c>
      <c r="AL780" s="53"/>
      <c r="AM780" s="53">
        <f t="shared" si="591"/>
        <v>0</v>
      </c>
      <c r="AN780" s="38"/>
      <c r="AO780" s="38"/>
      <c r="AP780" s="38"/>
      <c r="AQ780" s="54">
        <f t="shared" si="592"/>
        <v>0</v>
      </c>
      <c r="AR780" s="53"/>
      <c r="AS780" s="29">
        <f t="shared" si="611"/>
        <v>3666780.3899999997</v>
      </c>
      <c r="AT780" s="29">
        <f t="shared" si="584"/>
        <v>17107.73</v>
      </c>
      <c r="AU780" s="29">
        <f t="shared" si="585"/>
        <v>0</v>
      </c>
      <c r="AV780" s="29">
        <f t="shared" si="615"/>
        <v>-3090.94</v>
      </c>
      <c r="AW780" s="29"/>
      <c r="AX780" s="29">
        <f t="shared" si="593"/>
        <v>3680889.48</v>
      </c>
      <c r="AY780" s="29">
        <f t="shared" si="594"/>
        <v>9300000</v>
      </c>
      <c r="AZ780" s="29">
        <f t="shared" si="595"/>
        <v>12980889.48</v>
      </c>
    </row>
    <row r="781" spans="2:52" x14ac:dyDescent="0.3">
      <c r="B781" s="99">
        <f t="shared" ref="B781" si="616">B780+3</f>
        <v>45257</v>
      </c>
      <c r="C781" s="44">
        <f t="shared" si="598"/>
        <v>1746407.7299999997</v>
      </c>
      <c r="D781" s="38">
        <v>494646.05</v>
      </c>
      <c r="E781" s="38"/>
      <c r="F781" s="38">
        <v>-144960.67000000001</v>
      </c>
      <c r="G781" s="45">
        <f t="shared" si="572"/>
        <v>2096093.1099999999</v>
      </c>
      <c r="H781" s="44">
        <v>4300000</v>
      </c>
      <c r="I781" s="46">
        <f t="shared" si="599"/>
        <v>1924555.28</v>
      </c>
      <c r="J781" s="38"/>
      <c r="K781" s="38">
        <v>37000</v>
      </c>
      <c r="L781" s="38">
        <v>-329668.37</v>
      </c>
      <c r="M781" s="47">
        <f t="shared" si="600"/>
        <v>1631886.9100000001</v>
      </c>
      <c r="N781" s="46">
        <v>5000000</v>
      </c>
      <c r="O781" s="48">
        <f t="shared" si="601"/>
        <v>8697.6500000002252</v>
      </c>
      <c r="P781" s="38"/>
      <c r="Q781" s="38"/>
      <c r="R781" s="38">
        <v>-113</v>
      </c>
      <c r="S781" s="55">
        <f t="shared" si="602"/>
        <v>8584.6500000002252</v>
      </c>
      <c r="T781" s="48"/>
      <c r="U781" s="49">
        <f t="shared" si="603"/>
        <v>70.95</v>
      </c>
      <c r="V781" s="38">
        <v>53325.98</v>
      </c>
      <c r="W781" s="38"/>
      <c r="X781" s="38"/>
      <c r="Y781" s="51">
        <f t="shared" si="604"/>
        <v>53396.93</v>
      </c>
      <c r="Z781" s="52"/>
      <c r="AA781" s="53">
        <f t="shared" si="605"/>
        <v>1065.5699999995995</v>
      </c>
      <c r="AB781" s="38"/>
      <c r="AC781" s="38"/>
      <c r="AD781" s="38"/>
      <c r="AE781" s="54">
        <f t="shared" si="606"/>
        <v>1065.5699999995995</v>
      </c>
      <c r="AF781" s="53"/>
      <c r="AG781" s="53">
        <f t="shared" si="582"/>
        <v>92.300000000069758</v>
      </c>
      <c r="AH781" s="38">
        <v>37151.870000000003</v>
      </c>
      <c r="AI781" s="38">
        <v>-37000</v>
      </c>
      <c r="AJ781" s="38"/>
      <c r="AK781" s="54">
        <f t="shared" si="607"/>
        <v>244.17000000007101</v>
      </c>
      <c r="AL781" s="53"/>
      <c r="AM781" s="53">
        <f t="shared" si="591"/>
        <v>0</v>
      </c>
      <c r="AN781" s="38"/>
      <c r="AO781" s="38"/>
      <c r="AP781" s="38"/>
      <c r="AQ781" s="54">
        <f t="shared" si="592"/>
        <v>0</v>
      </c>
      <c r="AR781" s="53"/>
      <c r="AS781" s="29">
        <f t="shared" si="611"/>
        <v>3680797.1799999997</v>
      </c>
      <c r="AT781" s="29">
        <f t="shared" si="584"/>
        <v>585123.9</v>
      </c>
      <c r="AU781" s="29">
        <f t="shared" si="585"/>
        <v>0</v>
      </c>
      <c r="AV781" s="29">
        <f t="shared" si="615"/>
        <v>-474742.04000000004</v>
      </c>
      <c r="AW781" s="29"/>
      <c r="AX781" s="29">
        <f t="shared" si="593"/>
        <v>3791271.34</v>
      </c>
      <c r="AY781" s="29">
        <f t="shared" si="594"/>
        <v>9300000</v>
      </c>
      <c r="AZ781" s="29">
        <f t="shared" si="595"/>
        <v>13091271.34</v>
      </c>
    </row>
    <row r="782" spans="2:52" x14ac:dyDescent="0.3">
      <c r="B782" s="99">
        <f t="shared" ref="B782" si="617">B781+1</f>
        <v>45258</v>
      </c>
      <c r="C782" s="44">
        <f t="shared" si="598"/>
        <v>2096093.1099999999</v>
      </c>
      <c r="D782" s="38">
        <v>348412.57</v>
      </c>
      <c r="E782" s="38"/>
      <c r="F782" s="38">
        <f>11.56-27925.87</f>
        <v>-27914.309999999998</v>
      </c>
      <c r="G782" s="45">
        <f t="shared" si="572"/>
        <v>2416591.3699999996</v>
      </c>
      <c r="H782" s="44">
        <v>4300000</v>
      </c>
      <c r="I782" s="46">
        <f t="shared" si="599"/>
        <v>1631886.9100000001</v>
      </c>
      <c r="J782" s="38">
        <v>591294.75</v>
      </c>
      <c r="K782" s="38">
        <v>53350</v>
      </c>
      <c r="L782" s="38">
        <v>-976746.76</v>
      </c>
      <c r="M782" s="47">
        <f t="shared" si="600"/>
        <v>1299784.9000000001</v>
      </c>
      <c r="N782" s="46">
        <v>5000000</v>
      </c>
      <c r="O782" s="48">
        <f t="shared" si="601"/>
        <v>8584.6500000002252</v>
      </c>
      <c r="P782" s="38"/>
      <c r="Q782" s="38"/>
      <c r="R782" s="38">
        <v>-666.4</v>
      </c>
      <c r="S782" s="55">
        <f t="shared" si="602"/>
        <v>7918.2500000002256</v>
      </c>
      <c r="T782" s="48"/>
      <c r="U782" s="49">
        <f t="shared" si="603"/>
        <v>53396.93</v>
      </c>
      <c r="V782" s="38"/>
      <c r="W782" s="38">
        <v>-53350</v>
      </c>
      <c r="X782" s="38"/>
      <c r="Y782" s="51">
        <f t="shared" si="604"/>
        <v>46.930000000000291</v>
      </c>
      <c r="Z782" s="52"/>
      <c r="AA782" s="53">
        <f t="shared" si="605"/>
        <v>1065.5699999995995</v>
      </c>
      <c r="AB782" s="38"/>
      <c r="AC782" s="38"/>
      <c r="AD782" s="38">
        <v>-468</v>
      </c>
      <c r="AE782" s="54">
        <f t="shared" si="606"/>
        <v>597.56999999959953</v>
      </c>
      <c r="AF782" s="53"/>
      <c r="AG782" s="53">
        <f t="shared" si="582"/>
        <v>244.17000000007101</v>
      </c>
      <c r="AH782" s="38"/>
      <c r="AI782" s="38"/>
      <c r="AJ782" s="38">
        <v>-9.9</v>
      </c>
      <c r="AK782" s="54">
        <f t="shared" si="607"/>
        <v>234.27000000007101</v>
      </c>
      <c r="AL782" s="53"/>
      <c r="AM782" s="53">
        <f t="shared" si="591"/>
        <v>0</v>
      </c>
      <c r="AN782" s="38"/>
      <c r="AO782" s="38"/>
      <c r="AP782" s="38"/>
      <c r="AQ782" s="54">
        <f t="shared" si="592"/>
        <v>0</v>
      </c>
      <c r="AR782" s="53"/>
      <c r="AS782" s="29">
        <f t="shared" si="611"/>
        <v>3791027.17</v>
      </c>
      <c r="AT782" s="29">
        <f t="shared" si="584"/>
        <v>939707.32000000007</v>
      </c>
      <c r="AU782" s="29">
        <f t="shared" si="585"/>
        <v>0</v>
      </c>
      <c r="AV782" s="29">
        <f t="shared" si="615"/>
        <v>-1005805.3700000001</v>
      </c>
      <c r="AW782" s="29"/>
      <c r="AX782" s="29">
        <f t="shared" si="593"/>
        <v>3725173.2899999996</v>
      </c>
      <c r="AY782" s="29">
        <f t="shared" si="594"/>
        <v>9300000</v>
      </c>
      <c r="AZ782" s="29">
        <f t="shared" si="595"/>
        <v>13025173.289999999</v>
      </c>
    </row>
    <row r="783" spans="2:52" x14ac:dyDescent="0.3">
      <c r="B783" s="99">
        <f t="shared" si="574"/>
        <v>45259</v>
      </c>
      <c r="C783" s="44">
        <f t="shared" si="598"/>
        <v>2416591.3699999996</v>
      </c>
      <c r="D783" s="38">
        <v>245287.8</v>
      </c>
      <c r="E783" s="38"/>
      <c r="F783" s="38">
        <f>16.09-1594.97</f>
        <v>-1578.88</v>
      </c>
      <c r="G783" s="45">
        <f t="shared" si="572"/>
        <v>2660300.2899999996</v>
      </c>
      <c r="H783" s="44">
        <v>4300000</v>
      </c>
      <c r="I783" s="46">
        <f t="shared" si="599"/>
        <v>1299784.9000000001</v>
      </c>
      <c r="J783" s="38"/>
      <c r="K783" s="38">
        <f>840000+405000</f>
        <v>1245000</v>
      </c>
      <c r="L783" s="38">
        <v>-1480808.08</v>
      </c>
      <c r="M783" s="47">
        <f t="shared" si="600"/>
        <v>1063976.8200000003</v>
      </c>
      <c r="N783" s="46">
        <v>5000000</v>
      </c>
      <c r="O783" s="48">
        <f t="shared" si="601"/>
        <v>7918.2500000002256</v>
      </c>
      <c r="P783" s="38">
        <v>841659.25</v>
      </c>
      <c r="Q783" s="38">
        <v>-840000</v>
      </c>
      <c r="R783" s="38">
        <v>-1084.1400000000001</v>
      </c>
      <c r="S783" s="55">
        <f t="shared" si="602"/>
        <v>8493.3600000002334</v>
      </c>
      <c r="T783" s="48"/>
      <c r="U783" s="49">
        <f t="shared" si="603"/>
        <v>46.930000000000291</v>
      </c>
      <c r="V783" s="38"/>
      <c r="W783" s="38"/>
      <c r="X783" s="38">
        <v>-10</v>
      </c>
      <c r="Y783" s="51">
        <f t="shared" si="604"/>
        <v>36.930000000000291</v>
      </c>
      <c r="Z783" s="52"/>
      <c r="AA783" s="53">
        <f t="shared" si="605"/>
        <v>597.56999999959953</v>
      </c>
      <c r="AB783" s="38"/>
      <c r="AC783" s="38"/>
      <c r="AD783" s="38"/>
      <c r="AE783" s="54">
        <f t="shared" si="606"/>
        <v>597.56999999959953</v>
      </c>
      <c r="AF783" s="53"/>
      <c r="AG783" s="53">
        <f t="shared" si="582"/>
        <v>234.27000000007101</v>
      </c>
      <c r="AH783" s="38">
        <v>405899.99</v>
      </c>
      <c r="AI783" s="38">
        <v>-405000</v>
      </c>
      <c r="AJ783" s="38">
        <v>-75</v>
      </c>
      <c r="AK783" s="54">
        <f t="shared" si="607"/>
        <v>1059.2600000000675</v>
      </c>
      <c r="AL783" s="53"/>
      <c r="AM783" s="53">
        <f t="shared" si="591"/>
        <v>0</v>
      </c>
      <c r="AN783" s="38"/>
      <c r="AO783" s="38"/>
      <c r="AP783" s="38"/>
      <c r="AQ783" s="54">
        <f t="shared" si="592"/>
        <v>0</v>
      </c>
      <c r="AR783" s="53"/>
      <c r="AS783" s="29">
        <f t="shared" si="611"/>
        <v>3724939.0199999996</v>
      </c>
      <c r="AT783" s="29">
        <f t="shared" si="584"/>
        <v>1492847.04</v>
      </c>
      <c r="AU783" s="29">
        <f t="shared" si="585"/>
        <v>0</v>
      </c>
      <c r="AV783" s="29">
        <f t="shared" si="615"/>
        <v>-1483556.0999999999</v>
      </c>
      <c r="AW783" s="29"/>
      <c r="AX783" s="29">
        <f t="shared" si="593"/>
        <v>3734464.23</v>
      </c>
      <c r="AY783" s="29">
        <f t="shared" si="594"/>
        <v>9300000</v>
      </c>
      <c r="AZ783" s="29">
        <f t="shared" si="595"/>
        <v>13034464.23</v>
      </c>
    </row>
    <row r="784" spans="2:52" x14ac:dyDescent="0.3">
      <c r="B784" s="99">
        <f t="shared" si="574"/>
        <v>45260</v>
      </c>
      <c r="C784" s="44">
        <f t="shared" si="598"/>
        <v>2660300.2899999996</v>
      </c>
      <c r="D784" s="38">
        <v>81891.039999999994</v>
      </c>
      <c r="E784" s="38"/>
      <c r="F784" s="38">
        <f>18.14-78105.27</f>
        <v>-78087.13</v>
      </c>
      <c r="G784" s="45">
        <f t="shared" si="572"/>
        <v>2664104.1999999997</v>
      </c>
      <c r="H784" s="44">
        <v>4300000</v>
      </c>
      <c r="I784" s="46">
        <f t="shared" si="599"/>
        <v>1063976.8200000003</v>
      </c>
      <c r="J784" s="38">
        <v>203875</v>
      </c>
      <c r="K784" s="38"/>
      <c r="L784" s="38">
        <v>-986</v>
      </c>
      <c r="M784" s="47">
        <f t="shared" si="600"/>
        <v>1266865.8200000003</v>
      </c>
      <c r="N784" s="46">
        <v>5000000</v>
      </c>
      <c r="O784" s="48">
        <f t="shared" si="601"/>
        <v>8493.3600000002334</v>
      </c>
      <c r="P784" s="38">
        <v>1073969.8999999999</v>
      </c>
      <c r="Q784" s="38"/>
      <c r="R784" s="38">
        <v>-10</v>
      </c>
      <c r="S784" s="55">
        <f t="shared" si="602"/>
        <v>1082453.2600000002</v>
      </c>
      <c r="T784" s="48"/>
      <c r="U784" s="49">
        <f t="shared" si="603"/>
        <v>36.930000000000291</v>
      </c>
      <c r="V784" s="38">
        <v>102484.2</v>
      </c>
      <c r="W784" s="38"/>
      <c r="X784" s="38"/>
      <c r="Y784" s="51">
        <f t="shared" si="604"/>
        <v>102521.13</v>
      </c>
      <c r="Z784" s="52"/>
      <c r="AA784" s="53">
        <f t="shared" si="605"/>
        <v>597.56999999959953</v>
      </c>
      <c r="AB784" s="38"/>
      <c r="AC784" s="38"/>
      <c r="AD784" s="38"/>
      <c r="AE784" s="54">
        <f t="shared" si="606"/>
        <v>597.56999999959953</v>
      </c>
      <c r="AF784" s="53"/>
      <c r="AG784" s="53">
        <f t="shared" si="582"/>
        <v>1059.2600000000675</v>
      </c>
      <c r="AH784" s="38"/>
      <c r="AI784" s="38"/>
      <c r="AJ784" s="38">
        <v>-9.9</v>
      </c>
      <c r="AK784" s="54">
        <f t="shared" si="607"/>
        <v>1049.3600000000674</v>
      </c>
      <c r="AL784" s="53"/>
      <c r="AM784" s="53">
        <f t="shared" si="591"/>
        <v>0</v>
      </c>
      <c r="AN784" s="38"/>
      <c r="AO784" s="38"/>
      <c r="AP784" s="38"/>
      <c r="AQ784" s="54">
        <f t="shared" si="592"/>
        <v>0</v>
      </c>
      <c r="AR784" s="53"/>
      <c r="AS784" s="29">
        <f t="shared" si="611"/>
        <v>3733404.9699999997</v>
      </c>
      <c r="AT784" s="29">
        <f t="shared" si="584"/>
        <v>1462220.14</v>
      </c>
      <c r="AU784" s="29">
        <f t="shared" si="585"/>
        <v>0</v>
      </c>
      <c r="AV784" s="29">
        <f t="shared" si="615"/>
        <v>-79093.03</v>
      </c>
      <c r="AW784" s="29"/>
      <c r="AX784" s="29">
        <f t="shared" si="593"/>
        <v>5117591.34</v>
      </c>
      <c r="AY784" s="29">
        <f t="shared" si="594"/>
        <v>9300000</v>
      </c>
      <c r="AZ784" s="29">
        <f t="shared" si="595"/>
        <v>14417591.34</v>
      </c>
    </row>
    <row r="785" spans="2:52" x14ac:dyDescent="0.3">
      <c r="B785" s="99">
        <f t="shared" si="574"/>
        <v>45261</v>
      </c>
      <c r="C785" s="44">
        <f t="shared" si="598"/>
        <v>2664104.1999999997</v>
      </c>
      <c r="D785" s="38">
        <v>5029.4799999999996</v>
      </c>
      <c r="E785" s="38"/>
      <c r="F785" s="38">
        <f>40.97-45393.54</f>
        <v>-45352.57</v>
      </c>
      <c r="G785" s="45">
        <f t="shared" si="572"/>
        <v>2623781.11</v>
      </c>
      <c r="H785" s="44">
        <v>4300000</v>
      </c>
      <c r="I785" s="46">
        <f t="shared" si="599"/>
        <v>1266865.8200000003</v>
      </c>
      <c r="J785" s="38">
        <v>507050.31</v>
      </c>
      <c r="K785" s="38">
        <f>1182000+1402000</f>
        <v>2584000</v>
      </c>
      <c r="L785" s="38">
        <v>-88658.19</v>
      </c>
      <c r="M785" s="47">
        <f t="shared" si="600"/>
        <v>4269257.9400000004</v>
      </c>
      <c r="N785" s="46">
        <v>5000000</v>
      </c>
      <c r="O785" s="48">
        <f t="shared" si="601"/>
        <v>1082453.2600000002</v>
      </c>
      <c r="P785" s="38"/>
      <c r="Q785" s="38">
        <f>102500-1182000</f>
        <v>-1079500</v>
      </c>
      <c r="R785" s="38"/>
      <c r="S785" s="55">
        <f t="shared" si="602"/>
        <v>2953.2600000002421</v>
      </c>
      <c r="T785" s="48"/>
      <c r="U785" s="49">
        <f t="shared" si="603"/>
        <v>102521.13</v>
      </c>
      <c r="V785" s="38"/>
      <c r="W785" s="38">
        <v>-102500</v>
      </c>
      <c r="X785" s="38"/>
      <c r="Y785" s="51">
        <f t="shared" si="604"/>
        <v>21.130000000004657</v>
      </c>
      <c r="Z785" s="52"/>
      <c r="AA785" s="53">
        <f t="shared" si="605"/>
        <v>597.56999999959953</v>
      </c>
      <c r="AB785" s="38">
        <v>1403462.56</v>
      </c>
      <c r="AC785" s="38">
        <v>-1402000</v>
      </c>
      <c r="AD785" s="38"/>
      <c r="AE785" s="54">
        <f t="shared" si="606"/>
        <v>2060.1299999996554</v>
      </c>
      <c r="AF785" s="53"/>
      <c r="AG785" s="53">
        <f t="shared" si="582"/>
        <v>1049.3600000000674</v>
      </c>
      <c r="AH785" s="38"/>
      <c r="AI785" s="38"/>
      <c r="AJ785" s="38"/>
      <c r="AK785" s="54">
        <f t="shared" si="607"/>
        <v>1049.3600000000674</v>
      </c>
      <c r="AL785" s="53"/>
      <c r="AM785" s="53">
        <f t="shared" si="591"/>
        <v>0</v>
      </c>
      <c r="AN785" s="38"/>
      <c r="AO785" s="38"/>
      <c r="AP785" s="38"/>
      <c r="AQ785" s="54">
        <f t="shared" si="592"/>
        <v>0</v>
      </c>
      <c r="AR785" s="53"/>
      <c r="AS785" s="29">
        <f t="shared" si="611"/>
        <v>5116541.9799999995</v>
      </c>
      <c r="AT785" s="29">
        <f t="shared" si="584"/>
        <v>1915542.35</v>
      </c>
      <c r="AU785" s="29">
        <f t="shared" si="585"/>
        <v>0</v>
      </c>
      <c r="AV785" s="29">
        <f t="shared" si="615"/>
        <v>-134010.76</v>
      </c>
      <c r="AW785" s="29"/>
      <c r="AX785" s="29">
        <f t="shared" si="593"/>
        <v>6899122.9300000006</v>
      </c>
      <c r="AY785" s="29">
        <f t="shared" si="594"/>
        <v>9300000</v>
      </c>
      <c r="AZ785" s="29">
        <f t="shared" si="595"/>
        <v>16199122.93</v>
      </c>
    </row>
    <row r="786" spans="2:52" x14ac:dyDescent="0.3">
      <c r="B786" s="99">
        <f t="shared" ref="B786" si="618">B785+3</f>
        <v>45264</v>
      </c>
      <c r="C786" s="44">
        <f t="shared" si="598"/>
        <v>2623781.11</v>
      </c>
      <c r="D786" s="38">
        <v>389435.61</v>
      </c>
      <c r="E786" s="38"/>
      <c r="F786" s="38">
        <f>26.82-1301806.5</f>
        <v>-1301779.68</v>
      </c>
      <c r="G786" s="45">
        <f t="shared" si="572"/>
        <v>1711437.0399999998</v>
      </c>
      <c r="H786" s="44">
        <v>4300000</v>
      </c>
      <c r="I786" s="46">
        <f t="shared" si="599"/>
        <v>4269257.9400000004</v>
      </c>
      <c r="J786" s="38">
        <v>3845.8</v>
      </c>
      <c r="K786" s="38"/>
      <c r="L786" s="38">
        <v>-3089321.35</v>
      </c>
      <c r="M786" s="47">
        <f t="shared" si="600"/>
        <v>1183782.3900000001</v>
      </c>
      <c r="N786" s="46">
        <v>5000000</v>
      </c>
      <c r="O786" s="48">
        <f t="shared" si="601"/>
        <v>2953.2600000002421</v>
      </c>
      <c r="P786" s="38"/>
      <c r="Q786" s="38"/>
      <c r="R786" s="38">
        <v>-2643.4</v>
      </c>
      <c r="S786" s="55">
        <f t="shared" si="602"/>
        <v>309.86000000024205</v>
      </c>
      <c r="T786" s="48"/>
      <c r="U786" s="49">
        <f t="shared" si="603"/>
        <v>21.130000000004657</v>
      </c>
      <c r="V786" s="38">
        <v>50893.58</v>
      </c>
      <c r="W786" s="38"/>
      <c r="X786" s="38">
        <v>-66.7</v>
      </c>
      <c r="Y786" s="51">
        <f t="shared" si="604"/>
        <v>50848.010000000009</v>
      </c>
      <c r="Z786" s="52"/>
      <c r="AA786" s="53">
        <f t="shared" si="605"/>
        <v>2060.1299999996554</v>
      </c>
      <c r="AB786" s="38"/>
      <c r="AC786" s="38"/>
      <c r="AD786" s="38"/>
      <c r="AE786" s="54">
        <f t="shared" si="606"/>
        <v>2060.1299999996554</v>
      </c>
      <c r="AF786" s="53"/>
      <c r="AG786" s="53">
        <f t="shared" si="582"/>
        <v>1049.3600000000674</v>
      </c>
      <c r="AH786" s="38"/>
      <c r="AI786" s="38"/>
      <c r="AJ786" s="38"/>
      <c r="AK786" s="54">
        <f t="shared" si="607"/>
        <v>1049.3600000000674</v>
      </c>
      <c r="AL786" s="53"/>
      <c r="AM786" s="53">
        <f t="shared" si="591"/>
        <v>0</v>
      </c>
      <c r="AN786" s="38"/>
      <c r="AO786" s="38"/>
      <c r="AP786" s="38"/>
      <c r="AQ786" s="54">
        <f t="shared" si="592"/>
        <v>0</v>
      </c>
      <c r="AR786" s="53"/>
      <c r="AS786" s="29">
        <f t="shared" si="611"/>
        <v>6898073.5700000003</v>
      </c>
      <c r="AT786" s="29">
        <f t="shared" si="584"/>
        <v>444174.99</v>
      </c>
      <c r="AU786" s="29">
        <f t="shared" si="585"/>
        <v>0</v>
      </c>
      <c r="AV786" s="29">
        <f t="shared" si="615"/>
        <v>-4393811.1300000008</v>
      </c>
      <c r="AW786" s="29"/>
      <c r="AX786" s="29">
        <f t="shared" si="593"/>
        <v>2949486.7899999996</v>
      </c>
      <c r="AY786" s="29">
        <f t="shared" si="594"/>
        <v>9300000</v>
      </c>
      <c r="AZ786" s="29">
        <f t="shared" si="595"/>
        <v>12249486.789999999</v>
      </c>
    </row>
    <row r="787" spans="2:52" x14ac:dyDescent="0.3">
      <c r="B787" s="99">
        <f t="shared" ref="B787" si="619">B786+1</f>
        <v>45265</v>
      </c>
      <c r="C787" s="44">
        <f t="shared" si="598"/>
        <v>1711437.0399999998</v>
      </c>
      <c r="D787" s="38"/>
      <c r="E787" s="38"/>
      <c r="F787" s="38">
        <f>5.56-53084.71</f>
        <v>-53079.15</v>
      </c>
      <c r="G787" s="45">
        <f t="shared" si="572"/>
        <v>1658357.89</v>
      </c>
      <c r="H787" s="44">
        <v>4300000</v>
      </c>
      <c r="I787" s="46">
        <f t="shared" si="599"/>
        <v>1183782.3900000001</v>
      </c>
      <c r="J787" s="38">
        <v>469921.27</v>
      </c>
      <c r="K787" s="38">
        <v>49350</v>
      </c>
      <c r="L787" s="38">
        <v>-679386.57</v>
      </c>
      <c r="M787" s="47">
        <f t="shared" si="600"/>
        <v>1023667.0900000002</v>
      </c>
      <c r="N787" s="46">
        <v>5000000</v>
      </c>
      <c r="O787" s="48">
        <f t="shared" si="601"/>
        <v>309.86000000024205</v>
      </c>
      <c r="P787" s="38"/>
      <c r="Q787" s="38"/>
      <c r="R787" s="38"/>
      <c r="S787" s="55">
        <f t="shared" si="602"/>
        <v>309.86000000024205</v>
      </c>
      <c r="T787" s="48"/>
      <c r="U787" s="49">
        <f t="shared" si="603"/>
        <v>50848.010000000009</v>
      </c>
      <c r="V787" s="38"/>
      <c r="W787" s="38">
        <v>-49350</v>
      </c>
      <c r="X787" s="38">
        <v>-1445.29</v>
      </c>
      <c r="Y787" s="51">
        <f t="shared" si="604"/>
        <v>52.72000000000935</v>
      </c>
      <c r="Z787" s="52"/>
      <c r="AA787" s="53">
        <f t="shared" si="605"/>
        <v>2060.1299999996554</v>
      </c>
      <c r="AB787" s="38"/>
      <c r="AC787" s="38"/>
      <c r="AD787" s="38">
        <v>-391.84</v>
      </c>
      <c r="AE787" s="54">
        <f t="shared" si="606"/>
        <v>1668.2899999996555</v>
      </c>
      <c r="AF787" s="53"/>
      <c r="AG787" s="53">
        <f t="shared" si="582"/>
        <v>1049.3600000000674</v>
      </c>
      <c r="AH787" s="38"/>
      <c r="AI787" s="38"/>
      <c r="AJ787" s="38"/>
      <c r="AK787" s="54">
        <f t="shared" si="607"/>
        <v>1049.3600000000674</v>
      </c>
      <c r="AL787" s="53"/>
      <c r="AM787" s="53">
        <f t="shared" si="591"/>
        <v>0</v>
      </c>
      <c r="AN787" s="38"/>
      <c r="AO787" s="38"/>
      <c r="AP787" s="38"/>
      <c r="AQ787" s="54">
        <f t="shared" si="592"/>
        <v>0</v>
      </c>
      <c r="AR787" s="53"/>
      <c r="AS787" s="29">
        <f t="shared" si="611"/>
        <v>2948437.4299999997</v>
      </c>
      <c r="AT787" s="29">
        <f t="shared" si="584"/>
        <v>469921.27</v>
      </c>
      <c r="AU787" s="29">
        <f t="shared" si="585"/>
        <v>0</v>
      </c>
      <c r="AV787" s="29">
        <f t="shared" si="615"/>
        <v>-734302.85</v>
      </c>
      <c r="AW787" s="29"/>
      <c r="AX787" s="29">
        <f t="shared" si="593"/>
        <v>2685105.21</v>
      </c>
      <c r="AY787" s="29">
        <f t="shared" si="594"/>
        <v>9300000</v>
      </c>
      <c r="AZ787" s="29">
        <f t="shared" si="595"/>
        <v>11985105.210000001</v>
      </c>
    </row>
    <row r="788" spans="2:52" x14ac:dyDescent="0.3">
      <c r="B788" s="99">
        <f t="shared" si="574"/>
        <v>45266</v>
      </c>
      <c r="C788" s="44">
        <f t="shared" si="598"/>
        <v>1658357.89</v>
      </c>
      <c r="D788" s="38"/>
      <c r="E788" s="38"/>
      <c r="F788" s="38">
        <f>17.21-8042.74</f>
        <v>-8025.53</v>
      </c>
      <c r="G788" s="45">
        <f t="shared" si="572"/>
        <v>1650332.3599999999</v>
      </c>
      <c r="H788" s="44">
        <v>4300000</v>
      </c>
      <c r="I788" s="46">
        <f t="shared" si="599"/>
        <v>1023667.0900000002</v>
      </c>
      <c r="J788" s="38"/>
      <c r="K788" s="38"/>
      <c r="L788" s="38">
        <v>-191250.28</v>
      </c>
      <c r="M788" s="47">
        <f t="shared" si="600"/>
        <v>832416.81000000017</v>
      </c>
      <c r="N788" s="46">
        <v>5000000</v>
      </c>
      <c r="O788" s="48">
        <f t="shared" si="601"/>
        <v>309.86000000024205</v>
      </c>
      <c r="P788" s="38"/>
      <c r="Q788" s="38"/>
      <c r="R788" s="38"/>
      <c r="S788" s="55">
        <f t="shared" si="602"/>
        <v>309.86000000024205</v>
      </c>
      <c r="T788" s="48"/>
      <c r="U788" s="49">
        <f t="shared" si="603"/>
        <v>52.72000000000935</v>
      </c>
      <c r="V788" s="38"/>
      <c r="W788" s="38"/>
      <c r="X788" s="38">
        <v>-10</v>
      </c>
      <c r="Y788" s="51">
        <f t="shared" si="604"/>
        <v>42.72000000000935</v>
      </c>
      <c r="Z788" s="52"/>
      <c r="AA788" s="53">
        <f t="shared" si="605"/>
        <v>1668.2899999996555</v>
      </c>
      <c r="AB788" s="38"/>
      <c r="AC788" s="38">
        <v>1000</v>
      </c>
      <c r="AD788" s="38">
        <v>-1920</v>
      </c>
      <c r="AE788" s="54">
        <f t="shared" si="606"/>
        <v>748.28999999965527</v>
      </c>
      <c r="AF788" s="53"/>
      <c r="AG788" s="53">
        <f t="shared" si="582"/>
        <v>1049.3600000000674</v>
      </c>
      <c r="AH788" s="38"/>
      <c r="AI788" s="38">
        <v>-1000</v>
      </c>
      <c r="AJ788" s="38"/>
      <c r="AK788" s="54">
        <f t="shared" si="607"/>
        <v>49.36000000006743</v>
      </c>
      <c r="AL788" s="53"/>
      <c r="AM788" s="53">
        <f t="shared" si="591"/>
        <v>0</v>
      </c>
      <c r="AN788" s="38"/>
      <c r="AO788" s="38"/>
      <c r="AP788" s="38"/>
      <c r="AQ788" s="54">
        <f t="shared" si="592"/>
        <v>0</v>
      </c>
      <c r="AR788" s="53"/>
      <c r="AS788" s="29">
        <f t="shared" si="611"/>
        <v>2684055.85</v>
      </c>
      <c r="AT788" s="29">
        <f t="shared" si="584"/>
        <v>0</v>
      </c>
      <c r="AU788" s="29">
        <f t="shared" si="585"/>
        <v>0</v>
      </c>
      <c r="AV788" s="29">
        <f t="shared" si="615"/>
        <v>-201205.81</v>
      </c>
      <c r="AW788" s="29"/>
      <c r="AX788" s="29">
        <f t="shared" si="593"/>
        <v>2483899.4</v>
      </c>
      <c r="AY788" s="29">
        <f t="shared" si="594"/>
        <v>9300000</v>
      </c>
      <c r="AZ788" s="29">
        <f t="shared" si="595"/>
        <v>11783899.4</v>
      </c>
    </row>
    <row r="789" spans="2:52" x14ac:dyDescent="0.3">
      <c r="B789" s="99">
        <f t="shared" si="574"/>
        <v>45267</v>
      </c>
      <c r="C789" s="44">
        <f t="shared" si="598"/>
        <v>1650332.3599999999</v>
      </c>
      <c r="D789" s="38">
        <v>2863.44</v>
      </c>
      <c r="E789" s="38"/>
      <c r="F789" s="38">
        <f>34.94-614766.28</f>
        <v>-614731.34000000008</v>
      </c>
      <c r="G789" s="45">
        <f t="shared" ref="G789:G852" si="620">SUM(C789:F789)</f>
        <v>1038464.4599999997</v>
      </c>
      <c r="H789" s="44">
        <v>4300000</v>
      </c>
      <c r="I789" s="46">
        <f t="shared" si="599"/>
        <v>832416.81000000017</v>
      </c>
      <c r="J789" s="38"/>
      <c r="K789" s="38"/>
      <c r="L789" s="38">
        <v>-136246.18</v>
      </c>
      <c r="M789" s="47">
        <f t="shared" si="600"/>
        <v>696170.63000000012</v>
      </c>
      <c r="N789" s="46">
        <v>5000000</v>
      </c>
      <c r="O789" s="48">
        <f t="shared" si="601"/>
        <v>309.86000000024205</v>
      </c>
      <c r="P789" s="38"/>
      <c r="Q789" s="38"/>
      <c r="R789" s="38"/>
      <c r="S789" s="55">
        <f t="shared" si="602"/>
        <v>309.86000000024205</v>
      </c>
      <c r="T789" s="48"/>
      <c r="U789" s="49">
        <f t="shared" si="603"/>
        <v>42.72000000000935</v>
      </c>
      <c r="V789" s="38"/>
      <c r="W789" s="38"/>
      <c r="X789" s="38"/>
      <c r="Y789" s="51">
        <f t="shared" si="604"/>
        <v>42.72000000000935</v>
      </c>
      <c r="Z789" s="52"/>
      <c r="AA789" s="53">
        <f t="shared" si="605"/>
        <v>748.28999999965527</v>
      </c>
      <c r="AB789" s="38"/>
      <c r="AC789" s="38"/>
      <c r="AD789" s="38"/>
      <c r="AE789" s="54">
        <f t="shared" si="606"/>
        <v>748.28999999965527</v>
      </c>
      <c r="AF789" s="53"/>
      <c r="AG789" s="53">
        <f t="shared" si="582"/>
        <v>49.36000000006743</v>
      </c>
      <c r="AH789" s="38"/>
      <c r="AI789" s="38"/>
      <c r="AJ789" s="38"/>
      <c r="AK789" s="54">
        <f t="shared" si="607"/>
        <v>49.36000000006743</v>
      </c>
      <c r="AL789" s="53"/>
      <c r="AM789" s="53">
        <f t="shared" si="591"/>
        <v>0</v>
      </c>
      <c r="AN789" s="38"/>
      <c r="AO789" s="38"/>
      <c r="AP789" s="38"/>
      <c r="AQ789" s="54">
        <f t="shared" si="592"/>
        <v>0</v>
      </c>
      <c r="AR789" s="53"/>
      <c r="AS789" s="29">
        <f t="shared" si="611"/>
        <v>2483850.04</v>
      </c>
      <c r="AT789" s="29">
        <f t="shared" si="584"/>
        <v>2863.44</v>
      </c>
      <c r="AU789" s="29">
        <f t="shared" si="585"/>
        <v>0</v>
      </c>
      <c r="AV789" s="29">
        <f t="shared" si="615"/>
        <v>-750977.52</v>
      </c>
      <c r="AW789" s="29"/>
      <c r="AX789" s="29">
        <f t="shared" si="593"/>
        <v>1735785.3199999998</v>
      </c>
      <c r="AY789" s="29">
        <f t="shared" si="594"/>
        <v>9300000</v>
      </c>
      <c r="AZ789" s="29">
        <f t="shared" si="595"/>
        <v>11035785.32</v>
      </c>
    </row>
    <row r="790" spans="2:52" ht="15" customHeight="1" x14ac:dyDescent="0.3">
      <c r="B790" s="99">
        <f t="shared" si="574"/>
        <v>45268</v>
      </c>
      <c r="C790" s="44">
        <f t="shared" si="598"/>
        <v>1038464.4599999997</v>
      </c>
      <c r="D790" s="38"/>
      <c r="E790" s="38"/>
      <c r="F790" s="38"/>
      <c r="G790" s="45">
        <f t="shared" si="620"/>
        <v>1038464.4599999997</v>
      </c>
      <c r="H790" s="44">
        <v>4300000</v>
      </c>
      <c r="I790" s="46">
        <f t="shared" si="599"/>
        <v>696170.63000000012</v>
      </c>
      <c r="J790" s="38"/>
      <c r="K790" s="38"/>
      <c r="L790" s="38"/>
      <c r="M790" s="47">
        <f t="shared" si="600"/>
        <v>696170.63000000012</v>
      </c>
      <c r="N790" s="46">
        <v>5000000</v>
      </c>
      <c r="O790" s="48">
        <f t="shared" si="601"/>
        <v>309.86000000024205</v>
      </c>
      <c r="P790" s="38">
        <v>783.36</v>
      </c>
      <c r="Q790" s="38"/>
      <c r="R790" s="38"/>
      <c r="S790" s="55">
        <f t="shared" si="602"/>
        <v>1093.2200000002422</v>
      </c>
      <c r="T790" s="48"/>
      <c r="U790" s="49">
        <f t="shared" si="603"/>
        <v>42.72000000000935</v>
      </c>
      <c r="V790" s="38"/>
      <c r="W790" s="38"/>
      <c r="X790" s="38"/>
      <c r="Y790" s="51">
        <f t="shared" si="604"/>
        <v>42.72000000000935</v>
      </c>
      <c r="Z790" s="52"/>
      <c r="AA790" s="53">
        <f t="shared" si="605"/>
        <v>748.28999999965527</v>
      </c>
      <c r="AB790" s="38"/>
      <c r="AC790" s="38"/>
      <c r="AD790" s="38"/>
      <c r="AE790" s="54">
        <f t="shared" si="606"/>
        <v>748.28999999965527</v>
      </c>
      <c r="AF790" s="53"/>
      <c r="AG790" s="53">
        <f t="shared" si="582"/>
        <v>49.36000000006743</v>
      </c>
      <c r="AH790" s="38"/>
      <c r="AI790" s="38"/>
      <c r="AJ790" s="38"/>
      <c r="AK790" s="54">
        <f t="shared" si="607"/>
        <v>49.36000000006743</v>
      </c>
      <c r="AL790" s="53"/>
      <c r="AM790" s="53">
        <f t="shared" si="591"/>
        <v>0</v>
      </c>
      <c r="AN790" s="38"/>
      <c r="AO790" s="38"/>
      <c r="AP790" s="38"/>
      <c r="AQ790" s="54">
        <f t="shared" si="592"/>
        <v>0</v>
      </c>
      <c r="AR790" s="53"/>
      <c r="AS790" s="29">
        <f t="shared" si="611"/>
        <v>1735735.9599999997</v>
      </c>
      <c r="AT790" s="29">
        <f t="shared" si="584"/>
        <v>783.36</v>
      </c>
      <c r="AU790" s="29">
        <f t="shared" si="585"/>
        <v>0</v>
      </c>
      <c r="AV790" s="29">
        <f t="shared" si="615"/>
        <v>0</v>
      </c>
      <c r="AW790" s="29"/>
      <c r="AX790" s="29">
        <f t="shared" si="593"/>
        <v>1736568.6799999997</v>
      </c>
      <c r="AY790" s="29">
        <f t="shared" si="594"/>
        <v>9300000</v>
      </c>
      <c r="AZ790" s="29">
        <f t="shared" si="595"/>
        <v>11036568.68</v>
      </c>
    </row>
    <row r="791" spans="2:52" ht="15" customHeight="1" x14ac:dyDescent="0.3">
      <c r="B791" s="99">
        <f t="shared" ref="B791" si="621">B790+3</f>
        <v>45271</v>
      </c>
      <c r="C791" s="44">
        <f t="shared" si="598"/>
        <v>1038464.4599999997</v>
      </c>
      <c r="D791" s="38">
        <v>475414.53</v>
      </c>
      <c r="E791" s="38"/>
      <c r="F791" s="38">
        <f>14.81-754581.9</f>
        <v>-754567.09</v>
      </c>
      <c r="G791" s="45">
        <f t="shared" si="620"/>
        <v>759311.89999999979</v>
      </c>
      <c r="H791" s="44">
        <v>4300000</v>
      </c>
      <c r="I791" s="46">
        <f t="shared" si="599"/>
        <v>696170.63000000012</v>
      </c>
      <c r="J791" s="38"/>
      <c r="K791" s="38"/>
      <c r="L791" s="38">
        <v>-322121.44</v>
      </c>
      <c r="M791" s="47">
        <f t="shared" si="600"/>
        <v>374049.19000000012</v>
      </c>
      <c r="N791" s="46">
        <v>5000000</v>
      </c>
      <c r="O791" s="48">
        <f t="shared" si="601"/>
        <v>1093.2200000002422</v>
      </c>
      <c r="P791" s="38"/>
      <c r="Q791" s="38"/>
      <c r="R791" s="38"/>
      <c r="S791" s="55">
        <f t="shared" si="602"/>
        <v>1093.2200000002422</v>
      </c>
      <c r="T791" s="48"/>
      <c r="U791" s="49">
        <f t="shared" si="603"/>
        <v>42.72000000000935</v>
      </c>
      <c r="V791" s="38">
        <v>23949.919999999998</v>
      </c>
      <c r="W791" s="38"/>
      <c r="X791" s="38"/>
      <c r="Y791" s="51">
        <f t="shared" si="604"/>
        <v>23992.640000000007</v>
      </c>
      <c r="Z791" s="52"/>
      <c r="AA791" s="53">
        <f t="shared" si="605"/>
        <v>748.28999999965527</v>
      </c>
      <c r="AB791" s="38"/>
      <c r="AC791" s="38"/>
      <c r="AD791" s="38">
        <v>-418</v>
      </c>
      <c r="AE791" s="54">
        <f t="shared" si="606"/>
        <v>330.28999999965527</v>
      </c>
      <c r="AF791" s="53"/>
      <c r="AG791" s="53">
        <f t="shared" si="582"/>
        <v>49.36000000006743</v>
      </c>
      <c r="AH791" s="38"/>
      <c r="AI791" s="38"/>
      <c r="AJ791" s="38"/>
      <c r="AK791" s="54">
        <f t="shared" si="607"/>
        <v>49.36000000006743</v>
      </c>
      <c r="AL791" s="53"/>
      <c r="AM791" s="53">
        <f t="shared" si="591"/>
        <v>0</v>
      </c>
      <c r="AN791" s="38"/>
      <c r="AO791" s="38"/>
      <c r="AP791" s="38"/>
      <c r="AQ791" s="54">
        <f t="shared" si="592"/>
        <v>0</v>
      </c>
      <c r="AR791" s="53"/>
      <c r="AS791" s="29">
        <f t="shared" si="611"/>
        <v>1736519.3199999996</v>
      </c>
      <c r="AT791" s="29">
        <f t="shared" si="584"/>
        <v>499364.45</v>
      </c>
      <c r="AU791" s="29">
        <f t="shared" si="585"/>
        <v>0</v>
      </c>
      <c r="AV791" s="29">
        <f t="shared" si="615"/>
        <v>-1077106.53</v>
      </c>
      <c r="AW791" s="29"/>
      <c r="AX791" s="29">
        <f t="shared" si="593"/>
        <v>1158826.5999999996</v>
      </c>
      <c r="AY791" s="29">
        <f t="shared" si="594"/>
        <v>9300000</v>
      </c>
      <c r="AZ791" s="29">
        <f t="shared" si="595"/>
        <v>10458826.6</v>
      </c>
    </row>
    <row r="792" spans="2:52" ht="15" customHeight="1" x14ac:dyDescent="0.3">
      <c r="B792" s="99">
        <f t="shared" ref="B792:B858" si="622">B791+1</f>
        <v>45272</v>
      </c>
      <c r="C792" s="44">
        <f t="shared" si="598"/>
        <v>759311.89999999979</v>
      </c>
      <c r="D792" s="38"/>
      <c r="E792" s="38"/>
      <c r="F792" s="38">
        <f>-14888.97-38.77</f>
        <v>-14927.74</v>
      </c>
      <c r="G792" s="45">
        <f t="shared" si="620"/>
        <v>744384.1599999998</v>
      </c>
      <c r="H792" s="44">
        <v>4300000</v>
      </c>
      <c r="I792" s="46">
        <f t="shared" si="599"/>
        <v>374049.19000000012</v>
      </c>
      <c r="J792" s="38"/>
      <c r="K792" s="38"/>
      <c r="L792" s="38">
        <v>-59236.63</v>
      </c>
      <c r="M792" s="47">
        <f t="shared" si="600"/>
        <v>314812.56000000011</v>
      </c>
      <c r="N792" s="46">
        <v>5000000</v>
      </c>
      <c r="O792" s="48">
        <f t="shared" si="601"/>
        <v>1093.2200000002422</v>
      </c>
      <c r="P792" s="38"/>
      <c r="Q792" s="38"/>
      <c r="R792" s="38"/>
      <c r="S792" s="55">
        <f t="shared" si="602"/>
        <v>1093.2200000002422</v>
      </c>
      <c r="T792" s="48"/>
      <c r="U792" s="49">
        <f t="shared" si="603"/>
        <v>23992.640000000007</v>
      </c>
      <c r="V792" s="38"/>
      <c r="W792" s="38"/>
      <c r="X792" s="38"/>
      <c r="Y792" s="51">
        <f t="shared" si="604"/>
        <v>23992.640000000007</v>
      </c>
      <c r="Z792" s="52"/>
      <c r="AA792" s="53">
        <f t="shared" si="605"/>
        <v>330.28999999965527</v>
      </c>
      <c r="AB792" s="38"/>
      <c r="AC792" s="38"/>
      <c r="AD792" s="38"/>
      <c r="AE792" s="54">
        <f t="shared" si="606"/>
        <v>330.28999999965527</v>
      </c>
      <c r="AF792" s="53"/>
      <c r="AG792" s="53">
        <f t="shared" si="582"/>
        <v>49.36000000006743</v>
      </c>
      <c r="AH792" s="38"/>
      <c r="AI792" s="38"/>
      <c r="AJ792" s="38"/>
      <c r="AK792" s="54">
        <f t="shared" si="607"/>
        <v>49.36000000006743</v>
      </c>
      <c r="AL792" s="53"/>
      <c r="AM792" s="53">
        <f t="shared" si="591"/>
        <v>0</v>
      </c>
      <c r="AN792" s="38"/>
      <c r="AO792" s="38"/>
      <c r="AP792" s="38"/>
      <c r="AQ792" s="54">
        <f t="shared" si="592"/>
        <v>0</v>
      </c>
      <c r="AR792" s="53"/>
      <c r="AS792" s="29">
        <f t="shared" si="611"/>
        <v>1158777.2399999995</v>
      </c>
      <c r="AT792" s="29">
        <f t="shared" si="584"/>
        <v>0</v>
      </c>
      <c r="AU792" s="29">
        <f t="shared" si="585"/>
        <v>0</v>
      </c>
      <c r="AV792" s="29">
        <f t="shared" si="615"/>
        <v>-74164.37</v>
      </c>
      <c r="AW792" s="29"/>
      <c r="AX792" s="29">
        <f t="shared" si="593"/>
        <v>1084662.2299999997</v>
      </c>
      <c r="AY792" s="29">
        <f t="shared" si="594"/>
        <v>9300000</v>
      </c>
      <c r="AZ792" s="29">
        <f t="shared" si="595"/>
        <v>10384662.23</v>
      </c>
    </row>
    <row r="793" spans="2:52" ht="15" customHeight="1" x14ac:dyDescent="0.3">
      <c r="B793" s="99">
        <f t="shared" si="622"/>
        <v>45273</v>
      </c>
      <c r="C793" s="44">
        <f t="shared" si="598"/>
        <v>744384.1599999998</v>
      </c>
      <c r="D793" s="38">
        <v>147902.07</v>
      </c>
      <c r="E793" s="38"/>
      <c r="F793" s="38">
        <f>12-35377.57</f>
        <v>-35365.57</v>
      </c>
      <c r="G793" s="45">
        <f t="shared" si="620"/>
        <v>856920.6599999998</v>
      </c>
      <c r="H793" s="44">
        <v>4300000</v>
      </c>
      <c r="I793" s="46">
        <f t="shared" si="599"/>
        <v>314812.56000000011</v>
      </c>
      <c r="J793" s="38">
        <v>203875</v>
      </c>
      <c r="K793" s="38"/>
      <c r="L793" s="38">
        <v>-104830.66</v>
      </c>
      <c r="M793" s="47">
        <f t="shared" si="600"/>
        <v>413856.90000000014</v>
      </c>
      <c r="N793" s="46">
        <v>5000000</v>
      </c>
      <c r="O793" s="48">
        <f t="shared" si="601"/>
        <v>1093.2200000002422</v>
      </c>
      <c r="P793" s="38"/>
      <c r="Q793" s="38"/>
      <c r="R793" s="38"/>
      <c r="S793" s="55">
        <f t="shared" si="602"/>
        <v>1093.2200000002422</v>
      </c>
      <c r="T793" s="48"/>
      <c r="U793" s="49">
        <f t="shared" si="603"/>
        <v>23992.640000000007</v>
      </c>
      <c r="V793" s="38"/>
      <c r="W793" s="38"/>
      <c r="X793" s="38"/>
      <c r="Y793" s="51">
        <f t="shared" si="604"/>
        <v>23992.640000000007</v>
      </c>
      <c r="Z793" s="52"/>
      <c r="AA793" s="53">
        <f t="shared" si="605"/>
        <v>330.28999999965527</v>
      </c>
      <c r="AB793" s="38"/>
      <c r="AC793" s="38"/>
      <c r="AD793" s="38"/>
      <c r="AE793" s="54">
        <f t="shared" si="606"/>
        <v>330.28999999965527</v>
      </c>
      <c r="AF793" s="53"/>
      <c r="AG793" s="53">
        <f t="shared" si="582"/>
        <v>49.36000000006743</v>
      </c>
      <c r="AH793" s="38"/>
      <c r="AI793" s="38"/>
      <c r="AJ793" s="38"/>
      <c r="AK793" s="54">
        <f t="shared" si="607"/>
        <v>49.36000000006743</v>
      </c>
      <c r="AL793" s="53"/>
      <c r="AM793" s="53">
        <f t="shared" si="591"/>
        <v>0</v>
      </c>
      <c r="AN793" s="38"/>
      <c r="AO793" s="38"/>
      <c r="AP793" s="38"/>
      <c r="AQ793" s="54">
        <f t="shared" si="592"/>
        <v>0</v>
      </c>
      <c r="AR793" s="53"/>
      <c r="AS793" s="29">
        <f t="shared" si="611"/>
        <v>1084612.8699999996</v>
      </c>
      <c r="AT793" s="29">
        <f t="shared" si="584"/>
        <v>351777.07</v>
      </c>
      <c r="AU793" s="29">
        <f t="shared" si="585"/>
        <v>0</v>
      </c>
      <c r="AV793" s="29">
        <f t="shared" si="615"/>
        <v>-140196.23000000001</v>
      </c>
      <c r="AW793" s="29"/>
      <c r="AX793" s="29">
        <f t="shared" si="593"/>
        <v>1296243.0699999998</v>
      </c>
      <c r="AY793" s="29">
        <f t="shared" si="594"/>
        <v>9300000</v>
      </c>
      <c r="AZ793" s="29">
        <f t="shared" si="595"/>
        <v>10596243.07</v>
      </c>
    </row>
    <row r="794" spans="2:52" ht="15" customHeight="1" x14ac:dyDescent="0.3">
      <c r="B794" s="99">
        <f t="shared" si="622"/>
        <v>45274</v>
      </c>
      <c r="C794" s="44">
        <f t="shared" si="598"/>
        <v>856920.6599999998</v>
      </c>
      <c r="D794" s="38">
        <v>6507.73</v>
      </c>
      <c r="E794" s="38"/>
      <c r="F794" s="38">
        <f>12.52-2571.11</f>
        <v>-2558.59</v>
      </c>
      <c r="G794" s="45">
        <f t="shared" si="620"/>
        <v>860869.79999999981</v>
      </c>
      <c r="H794" s="44">
        <v>4300000</v>
      </c>
      <c r="I794" s="46">
        <f t="shared" si="599"/>
        <v>413856.90000000014</v>
      </c>
      <c r="J794" s="38"/>
      <c r="K794" s="38"/>
      <c r="L794" s="38">
        <v>-43176.25</v>
      </c>
      <c r="M794" s="47">
        <f t="shared" si="600"/>
        <v>370680.65000000014</v>
      </c>
      <c r="N794" s="46">
        <v>5000000</v>
      </c>
      <c r="O794" s="48">
        <f t="shared" si="601"/>
        <v>1093.2200000002422</v>
      </c>
      <c r="P794" s="38">
        <v>34440.629999999997</v>
      </c>
      <c r="Q794" s="38"/>
      <c r="R794" s="38"/>
      <c r="S794" s="55">
        <f t="shared" si="602"/>
        <v>35533.850000000239</v>
      </c>
      <c r="T794" s="48"/>
      <c r="U794" s="49">
        <f t="shared" si="603"/>
        <v>23992.640000000007</v>
      </c>
      <c r="V794" s="38">
        <v>465587.92</v>
      </c>
      <c r="W794" s="38"/>
      <c r="X794" s="38"/>
      <c r="Y794" s="51">
        <f t="shared" si="604"/>
        <v>489580.56</v>
      </c>
      <c r="Z794" s="52"/>
      <c r="AA794" s="53">
        <f t="shared" si="605"/>
        <v>330.28999999965527</v>
      </c>
      <c r="AB794" s="38"/>
      <c r="AC794" s="38"/>
      <c r="AD794" s="38"/>
      <c r="AE794" s="54">
        <f t="shared" si="606"/>
        <v>330.28999999965527</v>
      </c>
      <c r="AF794" s="53"/>
      <c r="AG794" s="53">
        <f t="shared" si="582"/>
        <v>49.36000000006743</v>
      </c>
      <c r="AH794" s="38"/>
      <c r="AI794" s="38"/>
      <c r="AJ794" s="38"/>
      <c r="AK794" s="54">
        <f t="shared" si="607"/>
        <v>49.36000000006743</v>
      </c>
      <c r="AL794" s="53"/>
      <c r="AM794" s="53">
        <f t="shared" si="591"/>
        <v>0</v>
      </c>
      <c r="AN794" s="38"/>
      <c r="AO794" s="38"/>
      <c r="AP794" s="38"/>
      <c r="AQ794" s="54">
        <f t="shared" si="592"/>
        <v>0</v>
      </c>
      <c r="AR794" s="53"/>
      <c r="AS794" s="29">
        <f t="shared" si="611"/>
        <v>1296193.7099999997</v>
      </c>
      <c r="AT794" s="29">
        <f t="shared" si="584"/>
        <v>506536.27999999997</v>
      </c>
      <c r="AU794" s="29">
        <f t="shared" si="585"/>
        <v>0</v>
      </c>
      <c r="AV794" s="29">
        <f t="shared" si="615"/>
        <v>-45734.84</v>
      </c>
      <c r="AW794" s="29"/>
      <c r="AX794" s="29">
        <f t="shared" si="593"/>
        <v>1757044.51</v>
      </c>
      <c r="AY794" s="29">
        <f t="shared" si="594"/>
        <v>9300000</v>
      </c>
      <c r="AZ794" s="29">
        <f t="shared" si="595"/>
        <v>11057044.51</v>
      </c>
    </row>
    <row r="795" spans="2:52" ht="15" customHeight="1" x14ac:dyDescent="0.3">
      <c r="B795" s="99">
        <f t="shared" si="622"/>
        <v>45275</v>
      </c>
      <c r="C795" s="44">
        <f t="shared" si="598"/>
        <v>860869.79999999981</v>
      </c>
      <c r="D795" s="38"/>
      <c r="E795" s="38"/>
      <c r="F795" s="38">
        <v>-38942.719999999899</v>
      </c>
      <c r="G795" s="45">
        <f t="shared" si="620"/>
        <v>821927.08</v>
      </c>
      <c r="H795" s="44">
        <v>4300000</v>
      </c>
      <c r="I795" s="46">
        <f t="shared" si="599"/>
        <v>370680.65000000014</v>
      </c>
      <c r="J795" s="38">
        <f>109621.3+207668.38+377.07</f>
        <v>317666.75</v>
      </c>
      <c r="K795" s="38">
        <v>520000</v>
      </c>
      <c r="L795" s="38">
        <v>-572664</v>
      </c>
      <c r="M795" s="47">
        <f t="shared" si="600"/>
        <v>635683.40000000014</v>
      </c>
      <c r="N795" s="46">
        <v>5000000</v>
      </c>
      <c r="O795" s="48">
        <f t="shared" si="601"/>
        <v>35533.850000000239</v>
      </c>
      <c r="P795" s="38"/>
      <c r="Q795" s="38">
        <f>489550-520000</f>
        <v>-30450</v>
      </c>
      <c r="R795" s="38"/>
      <c r="S795" s="55">
        <f t="shared" si="602"/>
        <v>5083.8500000002387</v>
      </c>
      <c r="T795" s="48"/>
      <c r="U795" s="49">
        <f t="shared" si="603"/>
        <v>489580.56</v>
      </c>
      <c r="V795" s="38">
        <v>88650</v>
      </c>
      <c r="W795" s="38">
        <v>-489550</v>
      </c>
      <c r="X795" s="38">
        <v>-1.5</v>
      </c>
      <c r="Y795" s="51">
        <f t="shared" si="604"/>
        <v>88679.060000000056</v>
      </c>
      <c r="Z795" s="52"/>
      <c r="AA795" s="53">
        <f t="shared" si="605"/>
        <v>330.28999999965527</v>
      </c>
      <c r="AB795" s="38"/>
      <c r="AC795" s="38"/>
      <c r="AD795" s="38"/>
      <c r="AE795" s="54">
        <f t="shared" si="606"/>
        <v>330.28999999965527</v>
      </c>
      <c r="AF795" s="53"/>
      <c r="AG795" s="53">
        <f t="shared" si="582"/>
        <v>49.36000000006743</v>
      </c>
      <c r="AH795" s="38"/>
      <c r="AI795" s="38"/>
      <c r="AJ795" s="38"/>
      <c r="AK795" s="54">
        <f t="shared" si="607"/>
        <v>49.36000000006743</v>
      </c>
      <c r="AL795" s="53"/>
      <c r="AM795" s="53">
        <f t="shared" si="591"/>
        <v>0</v>
      </c>
      <c r="AN795" s="38"/>
      <c r="AO795" s="38"/>
      <c r="AP795" s="38"/>
      <c r="AQ795" s="54">
        <f t="shared" si="592"/>
        <v>0</v>
      </c>
      <c r="AR795" s="53"/>
      <c r="AS795" s="29">
        <f t="shared" si="611"/>
        <v>1756995.15</v>
      </c>
      <c r="AT795" s="29">
        <f t="shared" si="584"/>
        <v>406316.75</v>
      </c>
      <c r="AU795" s="29">
        <f t="shared" si="585"/>
        <v>0</v>
      </c>
      <c r="AV795" s="29">
        <f t="shared" si="615"/>
        <v>-611608.21999999986</v>
      </c>
      <c r="AW795" s="29"/>
      <c r="AX795" s="29">
        <f t="shared" si="593"/>
        <v>1551753.04</v>
      </c>
      <c r="AY795" s="29">
        <f t="shared" si="594"/>
        <v>9300000</v>
      </c>
      <c r="AZ795" s="29">
        <f t="shared" si="595"/>
        <v>10851753.039999999</v>
      </c>
    </row>
    <row r="796" spans="2:52" ht="15" customHeight="1" x14ac:dyDescent="0.3">
      <c r="B796" s="99">
        <f t="shared" ref="B796" si="623">B795+3</f>
        <v>45278</v>
      </c>
      <c r="C796" s="44">
        <f t="shared" si="598"/>
        <v>821927.08</v>
      </c>
      <c r="D796" s="38">
        <v>484835.81</v>
      </c>
      <c r="E796" s="38"/>
      <c r="F796" s="38">
        <f>14.73-9433.22</f>
        <v>-9418.49</v>
      </c>
      <c r="G796" s="45">
        <f t="shared" si="620"/>
        <v>1297344.3999999999</v>
      </c>
      <c r="H796" s="44">
        <v>4300000</v>
      </c>
      <c r="I796" s="46">
        <f t="shared" si="599"/>
        <v>635683.40000000014</v>
      </c>
      <c r="J796" s="38">
        <v>76145.08</v>
      </c>
      <c r="K796" s="38">
        <v>1740000</v>
      </c>
      <c r="L796" s="38">
        <v>-42708.44</v>
      </c>
      <c r="M796" s="47">
        <f t="shared" si="600"/>
        <v>2409120.04</v>
      </c>
      <c r="N796" s="46">
        <v>5000000</v>
      </c>
      <c r="O796" s="48">
        <f t="shared" si="601"/>
        <v>5083.8500000002387</v>
      </c>
      <c r="P796" s="38"/>
      <c r="Q796" s="38">
        <f>1741250-1740000</f>
        <v>1250</v>
      </c>
      <c r="R796" s="38">
        <v>-10</v>
      </c>
      <c r="S796" s="55">
        <f t="shared" si="602"/>
        <v>6323.8500000002387</v>
      </c>
      <c r="T796" s="48"/>
      <c r="U796" s="49">
        <f t="shared" si="603"/>
        <v>88679.060000000056</v>
      </c>
      <c r="V796" s="38">
        <v>1652602.28</v>
      </c>
      <c r="W796" s="38">
        <v>-1741250</v>
      </c>
      <c r="X796" s="38"/>
      <c r="Y796" s="51">
        <f t="shared" si="604"/>
        <v>31.340000000083819</v>
      </c>
      <c r="Z796" s="52"/>
      <c r="AA796" s="53">
        <f t="shared" si="605"/>
        <v>330.28999999965527</v>
      </c>
      <c r="AB796" s="38"/>
      <c r="AC796" s="38"/>
      <c r="AD796" s="38"/>
      <c r="AE796" s="54">
        <f t="shared" si="606"/>
        <v>330.28999999965527</v>
      </c>
      <c r="AF796" s="53"/>
      <c r="AG796" s="53">
        <f t="shared" si="582"/>
        <v>49.36000000006743</v>
      </c>
      <c r="AH796" s="38"/>
      <c r="AI796" s="38"/>
      <c r="AJ796" s="38"/>
      <c r="AK796" s="54">
        <f t="shared" si="607"/>
        <v>49.36000000006743</v>
      </c>
      <c r="AL796" s="53"/>
      <c r="AM796" s="53">
        <f t="shared" si="591"/>
        <v>0</v>
      </c>
      <c r="AN796" s="38"/>
      <c r="AO796" s="38"/>
      <c r="AP796" s="38"/>
      <c r="AQ796" s="54">
        <f t="shared" si="592"/>
        <v>0</v>
      </c>
      <c r="AR796" s="53"/>
      <c r="AS796" s="29">
        <f t="shared" si="611"/>
        <v>1551703.68</v>
      </c>
      <c r="AT796" s="29">
        <f t="shared" si="584"/>
        <v>2213583.17</v>
      </c>
      <c r="AU796" s="29">
        <f t="shared" si="585"/>
        <v>0</v>
      </c>
      <c r="AV796" s="29">
        <f t="shared" si="615"/>
        <v>-52136.93</v>
      </c>
      <c r="AW796" s="29"/>
      <c r="AX796" s="29">
        <f t="shared" si="593"/>
        <v>3713199.2799999993</v>
      </c>
      <c r="AY796" s="29">
        <f t="shared" si="594"/>
        <v>9300000</v>
      </c>
      <c r="AZ796" s="29">
        <f t="shared" si="595"/>
        <v>13013199.279999999</v>
      </c>
    </row>
    <row r="797" spans="2:52" ht="15" customHeight="1" x14ac:dyDescent="0.3">
      <c r="B797" s="99">
        <f t="shared" ref="B797" si="624">B796+1</f>
        <v>45279</v>
      </c>
      <c r="C797" s="44">
        <f t="shared" si="598"/>
        <v>1297344.3999999999</v>
      </c>
      <c r="D797" s="38">
        <v>819353.09</v>
      </c>
      <c r="E797" s="38"/>
      <c r="F797" s="38">
        <f>17.24-4160.64</f>
        <v>-4143.4000000000005</v>
      </c>
      <c r="G797" s="45">
        <f t="shared" si="620"/>
        <v>2112554.09</v>
      </c>
      <c r="H797" s="44">
        <v>4300000</v>
      </c>
      <c r="I797" s="46">
        <f t="shared" si="599"/>
        <v>2409120.04</v>
      </c>
      <c r="J797" s="38">
        <v>656648.11</v>
      </c>
      <c r="K797" s="38">
        <v>70000</v>
      </c>
      <c r="L797" s="38">
        <v>-1334627.97</v>
      </c>
      <c r="M797" s="47">
        <f t="shared" si="600"/>
        <v>1801140.18</v>
      </c>
      <c r="N797" s="46">
        <v>5000000</v>
      </c>
      <c r="O797" s="48">
        <f t="shared" si="601"/>
        <v>6323.8500000002387</v>
      </c>
      <c r="P797" s="38">
        <v>70213.8</v>
      </c>
      <c r="Q797" s="38">
        <v>-70000</v>
      </c>
      <c r="R797" s="38">
        <v>-1947.39</v>
      </c>
      <c r="S797" s="55">
        <f t="shared" si="602"/>
        <v>4590.2600000002412</v>
      </c>
      <c r="T797" s="48"/>
      <c r="U797" s="49">
        <f t="shared" si="603"/>
        <v>31.340000000083819</v>
      </c>
      <c r="V797" s="38">
        <v>33119.300000000003</v>
      </c>
      <c r="W797" s="38"/>
      <c r="X797" s="38">
        <v>-1.5</v>
      </c>
      <c r="Y797" s="51">
        <f t="shared" si="604"/>
        <v>33149.140000000087</v>
      </c>
      <c r="Z797" s="52"/>
      <c r="AA797" s="53">
        <f t="shared" si="605"/>
        <v>330.28999999965527</v>
      </c>
      <c r="AB797" s="38">
        <v>2084928.91</v>
      </c>
      <c r="AC797" s="38"/>
      <c r="AD797" s="38"/>
      <c r="AE797" s="54">
        <f t="shared" si="606"/>
        <v>2085259.1999999995</v>
      </c>
      <c r="AF797" s="53"/>
      <c r="AG797" s="53">
        <f t="shared" si="582"/>
        <v>49.36000000006743</v>
      </c>
      <c r="AH797" s="38"/>
      <c r="AI797" s="38"/>
      <c r="AJ797" s="38"/>
      <c r="AK797" s="54">
        <f t="shared" si="607"/>
        <v>49.36000000006743</v>
      </c>
      <c r="AL797" s="53"/>
      <c r="AM797" s="53">
        <f t="shared" si="591"/>
        <v>0</v>
      </c>
      <c r="AN797" s="38"/>
      <c r="AO797" s="38"/>
      <c r="AP797" s="38"/>
      <c r="AQ797" s="54">
        <f t="shared" si="592"/>
        <v>0</v>
      </c>
      <c r="AR797" s="53"/>
      <c r="AS797" s="29">
        <f t="shared" si="611"/>
        <v>3713149.9199999995</v>
      </c>
      <c r="AT797" s="29">
        <f t="shared" si="584"/>
        <v>3664263.21</v>
      </c>
      <c r="AU797" s="29">
        <f t="shared" si="585"/>
        <v>0</v>
      </c>
      <c r="AV797" s="29">
        <f t="shared" si="615"/>
        <v>-1340720.2599999998</v>
      </c>
      <c r="AW797" s="29"/>
      <c r="AX797" s="29">
        <f t="shared" si="593"/>
        <v>6036742.2299999995</v>
      </c>
      <c r="AY797" s="29">
        <f t="shared" si="594"/>
        <v>9300000</v>
      </c>
      <c r="AZ797" s="29">
        <f t="shared" si="595"/>
        <v>15336742.23</v>
      </c>
    </row>
    <row r="798" spans="2:52" ht="15" customHeight="1" x14ac:dyDescent="0.3">
      <c r="B798" s="99">
        <f t="shared" si="622"/>
        <v>45280</v>
      </c>
      <c r="C798" s="44">
        <f t="shared" si="598"/>
        <v>2112554.09</v>
      </c>
      <c r="D798" s="38">
        <v>301935.81</v>
      </c>
      <c r="E798" s="38"/>
      <c r="F798" s="38">
        <f>19.29-70409.73</f>
        <v>-70390.44</v>
      </c>
      <c r="G798" s="45">
        <f t="shared" si="620"/>
        <v>2344099.46</v>
      </c>
      <c r="H798" s="44">
        <v>4300000</v>
      </c>
      <c r="I798" s="46">
        <f t="shared" si="599"/>
        <v>1801140.18</v>
      </c>
      <c r="J798" s="38">
        <v>337420.46</v>
      </c>
      <c r="K798" s="38">
        <f>620000+33100+2080000</f>
        <v>2733100</v>
      </c>
      <c r="L798" s="38">
        <v>-948816.91</v>
      </c>
      <c r="M798" s="47">
        <f t="shared" si="600"/>
        <v>3922843.7300000004</v>
      </c>
      <c r="N798" s="46">
        <v>5000000</v>
      </c>
      <c r="O798" s="48">
        <f t="shared" si="601"/>
        <v>4590.2600000002412</v>
      </c>
      <c r="P798" s="38">
        <v>621508.27</v>
      </c>
      <c r="Q798" s="38">
        <v>-620000</v>
      </c>
      <c r="R798" s="38">
        <v>-5010</v>
      </c>
      <c r="S798" s="55">
        <f t="shared" si="602"/>
        <v>1088.5300000002608</v>
      </c>
      <c r="T798" s="48"/>
      <c r="U798" s="49">
        <f t="shared" si="603"/>
        <v>33149.140000000087</v>
      </c>
      <c r="V798" s="38"/>
      <c r="W798" s="38">
        <v>-33100</v>
      </c>
      <c r="X798" s="38"/>
      <c r="Y798" s="51">
        <f t="shared" si="604"/>
        <v>49.140000000086729</v>
      </c>
      <c r="Z798" s="52"/>
      <c r="AA798" s="53">
        <f t="shared" si="605"/>
        <v>2085259.1999999995</v>
      </c>
      <c r="AB798" s="38"/>
      <c r="AC798" s="38">
        <v>-2080000</v>
      </c>
      <c r="AD798" s="38"/>
      <c r="AE798" s="54">
        <f t="shared" si="606"/>
        <v>5259.1999999994878</v>
      </c>
      <c r="AF798" s="53"/>
      <c r="AG798" s="53">
        <f t="shared" si="582"/>
        <v>49.36000000006743</v>
      </c>
      <c r="AH798" s="38"/>
      <c r="AI798" s="38"/>
      <c r="AJ798" s="38"/>
      <c r="AK798" s="54">
        <f t="shared" si="607"/>
        <v>49.36000000006743</v>
      </c>
      <c r="AL798" s="53"/>
      <c r="AM798" s="53">
        <f t="shared" si="591"/>
        <v>0</v>
      </c>
      <c r="AN798" s="38"/>
      <c r="AO798" s="38"/>
      <c r="AP798" s="38"/>
      <c r="AQ798" s="54">
        <f t="shared" si="592"/>
        <v>0</v>
      </c>
      <c r="AR798" s="53"/>
      <c r="AS798" s="29">
        <f t="shared" si="611"/>
        <v>6036692.8699999992</v>
      </c>
      <c r="AT798" s="29">
        <f t="shared" si="584"/>
        <v>1260864.54</v>
      </c>
      <c r="AU798" s="29">
        <f t="shared" si="585"/>
        <v>0</v>
      </c>
      <c r="AV798" s="29">
        <f t="shared" si="615"/>
        <v>-1024217.3500000001</v>
      </c>
      <c r="AW798" s="29"/>
      <c r="AX798" s="29">
        <f t="shared" si="593"/>
        <v>6273389.4199999999</v>
      </c>
      <c r="AY798" s="29">
        <f t="shared" si="594"/>
        <v>9300000</v>
      </c>
      <c r="AZ798" s="29">
        <f t="shared" si="595"/>
        <v>15573389.42</v>
      </c>
    </row>
    <row r="799" spans="2:52" ht="15" customHeight="1" x14ac:dyDescent="0.3">
      <c r="B799" s="99">
        <f t="shared" si="622"/>
        <v>45281</v>
      </c>
      <c r="C799" s="44">
        <f t="shared" si="598"/>
        <v>2344099.46</v>
      </c>
      <c r="D799" s="38">
        <v>21.83</v>
      </c>
      <c r="E799" s="38"/>
      <c r="F799" s="38"/>
      <c r="G799" s="45">
        <f t="shared" si="620"/>
        <v>2344121.29</v>
      </c>
      <c r="H799" s="44">
        <v>4300000</v>
      </c>
      <c r="I799" s="46">
        <f t="shared" si="599"/>
        <v>3922843.7300000004</v>
      </c>
      <c r="J799" s="38">
        <v>125460.25</v>
      </c>
      <c r="K799" s="38">
        <v>350000</v>
      </c>
      <c r="L799" s="38">
        <v>-423914.96</v>
      </c>
      <c r="M799" s="47">
        <f t="shared" si="600"/>
        <v>3974389.0200000005</v>
      </c>
      <c r="N799" s="46">
        <v>5000000</v>
      </c>
      <c r="O799" s="48">
        <f t="shared" si="601"/>
        <v>1088.5300000002608</v>
      </c>
      <c r="P799" s="38">
        <v>315350.7</v>
      </c>
      <c r="Q799" s="38">
        <f>35530-350000</f>
        <v>-314470</v>
      </c>
      <c r="R799" s="38">
        <v>-10</v>
      </c>
      <c r="S799" s="55">
        <f t="shared" si="602"/>
        <v>1959.2300000002724</v>
      </c>
      <c r="T799" s="48"/>
      <c r="U799" s="49">
        <f t="shared" si="603"/>
        <v>49.140000000086729</v>
      </c>
      <c r="V799" s="38">
        <v>35482.81</v>
      </c>
      <c r="W799" s="38">
        <v>-35530</v>
      </c>
      <c r="X799" s="38">
        <v>-1.95</v>
      </c>
      <c r="Y799" s="51">
        <f t="shared" si="604"/>
        <v>8.4401152733448725E-11</v>
      </c>
      <c r="Z799" s="52"/>
      <c r="AA799" s="53">
        <f t="shared" si="605"/>
        <v>5259.1999999994878</v>
      </c>
      <c r="AB799" s="38"/>
      <c r="AC799" s="38"/>
      <c r="AD799" s="38"/>
      <c r="AE799" s="54">
        <f t="shared" si="606"/>
        <v>5259.1999999994878</v>
      </c>
      <c r="AF799" s="53"/>
      <c r="AG799" s="53">
        <f t="shared" si="582"/>
        <v>49.36000000006743</v>
      </c>
      <c r="AH799" s="38"/>
      <c r="AI799" s="38"/>
      <c r="AJ799" s="38"/>
      <c r="AK799" s="54">
        <f t="shared" si="607"/>
        <v>49.36000000006743</v>
      </c>
      <c r="AL799" s="53"/>
      <c r="AM799" s="53">
        <f t="shared" si="591"/>
        <v>0</v>
      </c>
      <c r="AN799" s="38"/>
      <c r="AO799" s="38"/>
      <c r="AP799" s="38"/>
      <c r="AQ799" s="54">
        <f t="shared" si="592"/>
        <v>0</v>
      </c>
      <c r="AR799" s="53"/>
      <c r="AS799" s="29">
        <f t="shared" si="611"/>
        <v>6273340.0599999996</v>
      </c>
      <c r="AT799" s="29">
        <f t="shared" si="584"/>
        <v>476315.59</v>
      </c>
      <c r="AU799" s="29">
        <f t="shared" si="585"/>
        <v>0</v>
      </c>
      <c r="AV799" s="29">
        <f t="shared" si="615"/>
        <v>-423926.91000000003</v>
      </c>
      <c r="AW799" s="29"/>
      <c r="AX799" s="29">
        <f t="shared" si="593"/>
        <v>6325778.1000000006</v>
      </c>
      <c r="AY799" s="29">
        <f t="shared" si="594"/>
        <v>9300000</v>
      </c>
      <c r="AZ799" s="29">
        <f t="shared" si="595"/>
        <v>15625778.100000001</v>
      </c>
    </row>
    <row r="800" spans="2:52" ht="15" customHeight="1" x14ac:dyDescent="0.3">
      <c r="B800" s="99">
        <f t="shared" si="622"/>
        <v>45282</v>
      </c>
      <c r="C800" s="44">
        <f t="shared" si="598"/>
        <v>2344121.29</v>
      </c>
      <c r="D800" s="38">
        <v>40858.32</v>
      </c>
      <c r="E800" s="38"/>
      <c r="F800" s="38">
        <v>-31021.63</v>
      </c>
      <c r="G800" s="45">
        <f t="shared" si="620"/>
        <v>2353957.98</v>
      </c>
      <c r="H800" s="44">
        <v>4300000</v>
      </c>
      <c r="I800" s="46">
        <f t="shared" si="599"/>
        <v>3974389.0200000005</v>
      </c>
      <c r="J800" s="38"/>
      <c r="K800" s="38"/>
      <c r="L800" s="38">
        <v>-8166.07</v>
      </c>
      <c r="M800" s="47">
        <f t="shared" si="600"/>
        <v>3966222.9500000007</v>
      </c>
      <c r="N800" s="46">
        <v>5000000</v>
      </c>
      <c r="O800" s="48">
        <f t="shared" si="601"/>
        <v>1959.2300000002724</v>
      </c>
      <c r="P800" s="38"/>
      <c r="Q800" s="38">
        <v>-50</v>
      </c>
      <c r="R800" s="38">
        <v>-10</v>
      </c>
      <c r="S800" s="55">
        <f t="shared" si="602"/>
        <v>1899.2300000002724</v>
      </c>
      <c r="T800" s="48"/>
      <c r="U800" s="49">
        <f t="shared" si="603"/>
        <v>8.4401152733448725E-11</v>
      </c>
      <c r="V800" s="38">
        <v>33226.5</v>
      </c>
      <c r="W800" s="38">
        <v>50</v>
      </c>
      <c r="X800" s="38">
        <v>-9.5500000000000007</v>
      </c>
      <c r="Y800" s="51">
        <f t="shared" si="604"/>
        <v>33266.950000000084</v>
      </c>
      <c r="Z800" s="52"/>
      <c r="AA800" s="53">
        <f t="shared" si="605"/>
        <v>5259.1999999994878</v>
      </c>
      <c r="AB800" s="38"/>
      <c r="AC800" s="38"/>
      <c r="AD800" s="38"/>
      <c r="AE800" s="54">
        <f t="shared" si="606"/>
        <v>5259.1999999994878</v>
      </c>
      <c r="AF800" s="53"/>
      <c r="AG800" s="53">
        <f t="shared" si="582"/>
        <v>49.36000000006743</v>
      </c>
      <c r="AH800" s="38"/>
      <c r="AI800" s="38"/>
      <c r="AJ800" s="38"/>
      <c r="AK800" s="54">
        <f t="shared" si="607"/>
        <v>49.36000000006743</v>
      </c>
      <c r="AL800" s="53"/>
      <c r="AM800" s="53">
        <f t="shared" si="591"/>
        <v>0</v>
      </c>
      <c r="AN800" s="38"/>
      <c r="AO800" s="38"/>
      <c r="AP800" s="38"/>
      <c r="AQ800" s="54">
        <f t="shared" si="592"/>
        <v>0</v>
      </c>
      <c r="AR800" s="53"/>
      <c r="AS800" s="29">
        <f t="shared" si="611"/>
        <v>6325728.7400000002</v>
      </c>
      <c r="AT800" s="29">
        <f t="shared" si="584"/>
        <v>74084.820000000007</v>
      </c>
      <c r="AU800" s="29">
        <f t="shared" si="585"/>
        <v>0</v>
      </c>
      <c r="AV800" s="29">
        <f t="shared" si="615"/>
        <v>-39207.25</v>
      </c>
      <c r="AW800" s="29"/>
      <c r="AX800" s="29">
        <f t="shared" si="593"/>
        <v>6360655.6700000009</v>
      </c>
      <c r="AY800" s="29">
        <f t="shared" si="594"/>
        <v>9300000</v>
      </c>
      <c r="AZ800" s="29">
        <f t="shared" si="595"/>
        <v>15660655.670000002</v>
      </c>
    </row>
    <row r="801" spans="2:52" x14ac:dyDescent="0.3">
      <c r="B801" s="99">
        <f t="shared" ref="B801" si="625">B800+3</f>
        <v>45285</v>
      </c>
      <c r="C801" s="44">
        <f t="shared" si="598"/>
        <v>2353957.98</v>
      </c>
      <c r="D801" s="38"/>
      <c r="E801" s="38"/>
      <c r="F801" s="38"/>
      <c r="G801" s="45">
        <f t="shared" si="620"/>
        <v>2353957.98</v>
      </c>
      <c r="H801" s="44">
        <v>4300000</v>
      </c>
      <c r="I801" s="46">
        <f t="shared" si="599"/>
        <v>3966222.9500000007</v>
      </c>
      <c r="J801" s="38"/>
      <c r="K801" s="38"/>
      <c r="L801" s="38"/>
      <c r="M801" s="47">
        <f t="shared" si="600"/>
        <v>3966222.9500000007</v>
      </c>
      <c r="N801" s="46">
        <v>5000000</v>
      </c>
      <c r="O801" s="48">
        <f t="shared" si="601"/>
        <v>1899.2300000002724</v>
      </c>
      <c r="P801" s="38"/>
      <c r="Q801" s="38"/>
      <c r="R801" s="38"/>
      <c r="S801" s="55">
        <f t="shared" si="602"/>
        <v>1899.2300000002724</v>
      </c>
      <c r="T801" s="48"/>
      <c r="U801" s="49">
        <f t="shared" si="603"/>
        <v>33266.950000000084</v>
      </c>
      <c r="V801" s="38"/>
      <c r="W801" s="38"/>
      <c r="X801" s="38"/>
      <c r="Y801" s="51">
        <f t="shared" si="604"/>
        <v>33266.950000000084</v>
      </c>
      <c r="Z801" s="52"/>
      <c r="AA801" s="53">
        <f t="shared" si="605"/>
        <v>5259.1999999994878</v>
      </c>
      <c r="AB801" s="38"/>
      <c r="AC801" s="38"/>
      <c r="AD801" s="38"/>
      <c r="AE801" s="54">
        <f t="shared" si="606"/>
        <v>5259.1999999994878</v>
      </c>
      <c r="AF801" s="53"/>
      <c r="AG801" s="53">
        <f t="shared" si="582"/>
        <v>49.36000000006743</v>
      </c>
      <c r="AH801" s="38"/>
      <c r="AI801" s="38"/>
      <c r="AJ801" s="38"/>
      <c r="AK801" s="54">
        <f t="shared" si="607"/>
        <v>49.36000000006743</v>
      </c>
      <c r="AL801" s="53"/>
      <c r="AM801" s="53">
        <f t="shared" si="591"/>
        <v>0</v>
      </c>
      <c r="AN801" s="38"/>
      <c r="AO801" s="38"/>
      <c r="AP801" s="38"/>
      <c r="AQ801" s="54">
        <f t="shared" si="592"/>
        <v>0</v>
      </c>
      <c r="AR801" s="53"/>
      <c r="AS801" s="29">
        <f t="shared" si="611"/>
        <v>6360606.3100000005</v>
      </c>
      <c r="AT801" s="29">
        <f t="shared" si="584"/>
        <v>0</v>
      </c>
      <c r="AU801" s="29">
        <f t="shared" si="585"/>
        <v>0</v>
      </c>
      <c r="AV801" s="29">
        <f t="shared" si="615"/>
        <v>0</v>
      </c>
      <c r="AW801" s="29"/>
      <c r="AX801" s="29">
        <f t="shared" si="593"/>
        <v>6360655.6700000009</v>
      </c>
      <c r="AY801" s="29">
        <f t="shared" si="594"/>
        <v>9300000</v>
      </c>
      <c r="AZ801" s="29">
        <f t="shared" si="595"/>
        <v>15660655.670000002</v>
      </c>
    </row>
    <row r="802" spans="2:52" x14ac:dyDescent="0.3">
      <c r="B802" s="99">
        <f t="shared" ref="B802" si="626">B801+1</f>
        <v>45286</v>
      </c>
      <c r="C802" s="44">
        <f t="shared" si="598"/>
        <v>2353957.98</v>
      </c>
      <c r="D802" s="38">
        <v>1275257.8400000001</v>
      </c>
      <c r="E802" s="38"/>
      <c r="F802" s="38">
        <v>-374692.65</v>
      </c>
      <c r="G802" s="45">
        <f t="shared" si="620"/>
        <v>3254523.1700000004</v>
      </c>
      <c r="H802" s="44">
        <v>4300000</v>
      </c>
      <c r="I802" s="46">
        <f t="shared" si="599"/>
        <v>3966222.9500000007</v>
      </c>
      <c r="J802" s="38">
        <v>126591.21</v>
      </c>
      <c r="K802" s="38">
        <v>33200</v>
      </c>
      <c r="L802" s="38">
        <v>-505296.78</v>
      </c>
      <c r="M802" s="47">
        <f t="shared" si="600"/>
        <v>3620717.3800000008</v>
      </c>
      <c r="N802" s="46">
        <v>5000000</v>
      </c>
      <c r="O802" s="48">
        <f t="shared" si="601"/>
        <v>1899.2300000002724</v>
      </c>
      <c r="P802" s="38"/>
      <c r="Q802" s="38"/>
      <c r="R802" s="38">
        <v>-343.8</v>
      </c>
      <c r="S802" s="55">
        <f t="shared" si="602"/>
        <v>1555.4300000002725</v>
      </c>
      <c r="T802" s="48"/>
      <c r="U802" s="49">
        <f t="shared" si="603"/>
        <v>33266.950000000084</v>
      </c>
      <c r="V802" s="38"/>
      <c r="W802" s="38">
        <v>-33200</v>
      </c>
      <c r="X802" s="38"/>
      <c r="Y802" s="51">
        <f t="shared" si="604"/>
        <v>66.950000000084401</v>
      </c>
      <c r="Z802" s="52"/>
      <c r="AA802" s="53">
        <f t="shared" si="605"/>
        <v>5259.1999999994878</v>
      </c>
      <c r="AB802" s="38"/>
      <c r="AC802" s="38"/>
      <c r="AD802" s="38"/>
      <c r="AE802" s="54">
        <f t="shared" si="606"/>
        <v>5259.1999999994878</v>
      </c>
      <c r="AF802" s="53"/>
      <c r="AG802" s="53">
        <f t="shared" si="582"/>
        <v>49.36000000006743</v>
      </c>
      <c r="AH802" s="38">
        <v>37025.26</v>
      </c>
      <c r="AI802" s="38"/>
      <c r="AJ802" s="38"/>
      <c r="AK802" s="54">
        <f t="shared" si="607"/>
        <v>37074.620000000068</v>
      </c>
      <c r="AL802" s="53"/>
      <c r="AM802" s="53">
        <f t="shared" si="591"/>
        <v>0</v>
      </c>
      <c r="AN802" s="38"/>
      <c r="AO802" s="38"/>
      <c r="AP802" s="38"/>
      <c r="AQ802" s="54">
        <f t="shared" si="592"/>
        <v>0</v>
      </c>
      <c r="AR802" s="53"/>
      <c r="AS802" s="29">
        <f t="shared" si="611"/>
        <v>6360606.3100000005</v>
      </c>
      <c r="AT802" s="29">
        <f t="shared" si="584"/>
        <v>1438874.31</v>
      </c>
      <c r="AU802" s="29">
        <f t="shared" si="585"/>
        <v>0</v>
      </c>
      <c r="AV802" s="29">
        <f t="shared" si="615"/>
        <v>-880333.2300000001</v>
      </c>
      <c r="AW802" s="29"/>
      <c r="AX802" s="29">
        <f t="shared" si="593"/>
        <v>6919196.7500000009</v>
      </c>
      <c r="AY802" s="29">
        <f t="shared" si="594"/>
        <v>9300000</v>
      </c>
      <c r="AZ802" s="29">
        <f t="shared" si="595"/>
        <v>16219196.75</v>
      </c>
    </row>
    <row r="803" spans="2:52" x14ac:dyDescent="0.3">
      <c r="B803" s="99">
        <f t="shared" si="622"/>
        <v>45287</v>
      </c>
      <c r="C803" s="44">
        <f t="shared" si="598"/>
        <v>3254523.1700000004</v>
      </c>
      <c r="D803" s="38">
        <f>363541.74+34.01</f>
        <v>363575.75</v>
      </c>
      <c r="E803" s="38"/>
      <c r="F803" s="38"/>
      <c r="G803" s="45">
        <f t="shared" si="620"/>
        <v>3618098.9200000004</v>
      </c>
      <c r="H803" s="44">
        <v>4300000</v>
      </c>
      <c r="I803" s="46">
        <f t="shared" si="599"/>
        <v>3620717.3800000008</v>
      </c>
      <c r="J803" s="38"/>
      <c r="K803" s="38">
        <v>660000</v>
      </c>
      <c r="L803" s="38">
        <v>-201702.25</v>
      </c>
      <c r="M803" s="47">
        <f t="shared" si="600"/>
        <v>4079015.1300000008</v>
      </c>
      <c r="N803" s="46">
        <v>5000000</v>
      </c>
      <c r="O803" s="48">
        <f t="shared" si="601"/>
        <v>1555.4300000002725</v>
      </c>
      <c r="P803" s="38"/>
      <c r="Q803" s="38"/>
      <c r="R803" s="38"/>
      <c r="S803" s="55">
        <f t="shared" si="602"/>
        <v>1555.4300000002725</v>
      </c>
      <c r="T803" s="48"/>
      <c r="U803" s="49">
        <f t="shared" si="603"/>
        <v>66.950000000084401</v>
      </c>
      <c r="V803" s="38"/>
      <c r="W803" s="38"/>
      <c r="X803" s="38">
        <v>-10</v>
      </c>
      <c r="Y803" s="51">
        <f t="shared" si="604"/>
        <v>56.950000000084401</v>
      </c>
      <c r="Z803" s="52"/>
      <c r="AA803" s="53">
        <f t="shared" si="605"/>
        <v>5259.1999999994878</v>
      </c>
      <c r="AB803" s="38"/>
      <c r="AC803" s="38"/>
      <c r="AD803" s="38"/>
      <c r="AE803" s="54">
        <f t="shared" si="606"/>
        <v>5259.1999999994878</v>
      </c>
      <c r="AF803" s="53"/>
      <c r="AG803" s="53">
        <f t="shared" si="582"/>
        <v>37074.620000000068</v>
      </c>
      <c r="AH803" s="38">
        <v>623447.82999999996</v>
      </c>
      <c r="AI803" s="38">
        <v>-660000</v>
      </c>
      <c r="AJ803" s="38"/>
      <c r="AK803" s="54">
        <f t="shared" si="607"/>
        <v>522.45000000006985</v>
      </c>
      <c r="AL803" s="53"/>
      <c r="AM803" s="53">
        <f t="shared" si="591"/>
        <v>0</v>
      </c>
      <c r="AN803" s="38"/>
      <c r="AO803" s="38"/>
      <c r="AP803" s="38"/>
      <c r="AQ803" s="54">
        <f t="shared" si="592"/>
        <v>0</v>
      </c>
      <c r="AR803" s="53"/>
      <c r="AS803" s="29">
        <f t="shared" ref="AS803:AS834" si="627">SUM(C803,I803,O803,U803,AA803,)</f>
        <v>6882122.1300000008</v>
      </c>
      <c r="AT803" s="29">
        <f t="shared" si="584"/>
        <v>987023.58</v>
      </c>
      <c r="AU803" s="29">
        <f t="shared" si="585"/>
        <v>0</v>
      </c>
      <c r="AV803" s="29">
        <f t="shared" si="615"/>
        <v>-201712.25</v>
      </c>
      <c r="AW803" s="29"/>
      <c r="AX803" s="29">
        <f t="shared" si="593"/>
        <v>7704508.080000001</v>
      </c>
      <c r="AY803" s="29">
        <f t="shared" si="594"/>
        <v>9300000</v>
      </c>
      <c r="AZ803" s="29">
        <f t="shared" si="595"/>
        <v>17004508.080000002</v>
      </c>
    </row>
    <row r="804" spans="2:52" x14ac:dyDescent="0.3">
      <c r="B804" s="99">
        <f t="shared" si="622"/>
        <v>45288</v>
      </c>
      <c r="C804" s="44">
        <f t="shared" si="598"/>
        <v>3618098.9200000004</v>
      </c>
      <c r="D804" s="38">
        <v>512105.9</v>
      </c>
      <c r="E804" s="38"/>
      <c r="F804" s="38">
        <v>-70319.759999999995</v>
      </c>
      <c r="G804" s="45">
        <f t="shared" si="620"/>
        <v>4059885.0600000005</v>
      </c>
      <c r="H804" s="44">
        <v>4300000</v>
      </c>
      <c r="I804" s="46">
        <f t="shared" si="599"/>
        <v>4079015.1300000008</v>
      </c>
      <c r="J804" s="38">
        <v>397819.87</v>
      </c>
      <c r="K804" s="38">
        <v>220000</v>
      </c>
      <c r="L804" s="38">
        <v>-281550</v>
      </c>
      <c r="M804" s="47">
        <f t="shared" si="600"/>
        <v>4415285.0000000009</v>
      </c>
      <c r="N804" s="46">
        <v>5000000</v>
      </c>
      <c r="O804" s="48">
        <f t="shared" si="601"/>
        <v>1555.4300000002725</v>
      </c>
      <c r="P804" s="38">
        <v>128289.2</v>
      </c>
      <c r="Q804" s="38">
        <f>93950-220000</f>
        <v>-126050</v>
      </c>
      <c r="R804" s="38"/>
      <c r="S804" s="55">
        <f t="shared" si="602"/>
        <v>3794.6300000002666</v>
      </c>
      <c r="T804" s="48"/>
      <c r="U804" s="49">
        <f t="shared" si="603"/>
        <v>56.950000000084401</v>
      </c>
      <c r="V804" s="38">
        <v>93943.85</v>
      </c>
      <c r="W804" s="38">
        <v>-93950</v>
      </c>
      <c r="X804" s="38">
        <v>-1.5</v>
      </c>
      <c r="Y804" s="51">
        <f t="shared" si="604"/>
        <v>49.300000000090222</v>
      </c>
      <c r="Z804" s="52"/>
      <c r="AA804" s="53">
        <f t="shared" si="605"/>
        <v>5259.1999999994878</v>
      </c>
      <c r="AB804" s="38"/>
      <c r="AC804" s="38"/>
      <c r="AD804" s="38"/>
      <c r="AE804" s="54">
        <f t="shared" si="606"/>
        <v>5259.1999999994878</v>
      </c>
      <c r="AF804" s="53"/>
      <c r="AG804" s="53">
        <f t="shared" si="582"/>
        <v>522.45000000006985</v>
      </c>
      <c r="AH804" s="38"/>
      <c r="AI804" s="38"/>
      <c r="AJ804" s="38">
        <v>-9.9</v>
      </c>
      <c r="AK804" s="54">
        <f t="shared" si="607"/>
        <v>512.55000000006987</v>
      </c>
      <c r="AL804" s="53"/>
      <c r="AM804" s="53">
        <f t="shared" si="591"/>
        <v>0</v>
      </c>
      <c r="AN804" s="38"/>
      <c r="AO804" s="38"/>
      <c r="AP804" s="38"/>
      <c r="AQ804" s="54">
        <f t="shared" si="592"/>
        <v>0</v>
      </c>
      <c r="AR804" s="53"/>
      <c r="AS804" s="29">
        <f t="shared" si="627"/>
        <v>7703985.6300000008</v>
      </c>
      <c r="AT804" s="29">
        <f t="shared" si="584"/>
        <v>1132158.82</v>
      </c>
      <c r="AU804" s="29">
        <f t="shared" si="585"/>
        <v>0</v>
      </c>
      <c r="AV804" s="29">
        <f t="shared" si="615"/>
        <v>-351881.16000000003</v>
      </c>
      <c r="AW804" s="29"/>
      <c r="AX804" s="29">
        <f t="shared" si="593"/>
        <v>8484785.7400000039</v>
      </c>
      <c r="AY804" s="29">
        <f t="shared" si="594"/>
        <v>9300000</v>
      </c>
      <c r="AZ804" s="29">
        <f t="shared" si="595"/>
        <v>17784785.740000002</v>
      </c>
    </row>
    <row r="805" spans="2:52" x14ac:dyDescent="0.3">
      <c r="B805" s="99">
        <f t="shared" si="622"/>
        <v>45289</v>
      </c>
      <c r="C805" s="44">
        <f t="shared" si="598"/>
        <v>4059885.0600000005</v>
      </c>
      <c r="D805" s="38">
        <v>67.930000000000007</v>
      </c>
      <c r="E805" s="38"/>
      <c r="F805" s="38"/>
      <c r="G805" s="45">
        <f t="shared" si="620"/>
        <v>4059952.9900000007</v>
      </c>
      <c r="H805" s="44">
        <v>4300000</v>
      </c>
      <c r="I805" s="46">
        <f t="shared" si="599"/>
        <v>4415285.0000000009</v>
      </c>
      <c r="J805" s="38"/>
      <c r="K805" s="38"/>
      <c r="L805" s="38"/>
      <c r="M805" s="47">
        <f t="shared" si="600"/>
        <v>4415285.0000000009</v>
      </c>
      <c r="N805" s="46">
        <v>5000000</v>
      </c>
      <c r="O805" s="48">
        <f t="shared" si="601"/>
        <v>3794.6300000002666</v>
      </c>
      <c r="P805" s="38"/>
      <c r="Q805" s="38"/>
      <c r="R805" s="38">
        <v>-10</v>
      </c>
      <c r="S805" s="55">
        <f t="shared" si="602"/>
        <v>3784.6300000002666</v>
      </c>
      <c r="T805" s="48"/>
      <c r="U805" s="49">
        <f t="shared" si="603"/>
        <v>49.300000000090222</v>
      </c>
      <c r="V805" s="38"/>
      <c r="W805" s="38"/>
      <c r="X805" s="38"/>
      <c r="Y805" s="51">
        <f t="shared" si="604"/>
        <v>49.300000000090222</v>
      </c>
      <c r="Z805" s="52"/>
      <c r="AA805" s="53">
        <f t="shared" si="605"/>
        <v>5259.1999999994878</v>
      </c>
      <c r="AB805" s="38"/>
      <c r="AC805" s="38"/>
      <c r="AD805" s="38"/>
      <c r="AE805" s="54">
        <f t="shared" si="606"/>
        <v>5259.1999999994878</v>
      </c>
      <c r="AF805" s="53"/>
      <c r="AG805" s="53">
        <f t="shared" si="582"/>
        <v>512.55000000006987</v>
      </c>
      <c r="AH805" s="38"/>
      <c r="AI805" s="38"/>
      <c r="AJ805" s="38">
        <v>-75</v>
      </c>
      <c r="AK805" s="54">
        <f t="shared" si="607"/>
        <v>437.55000000006987</v>
      </c>
      <c r="AL805" s="53"/>
      <c r="AM805" s="53">
        <f t="shared" si="591"/>
        <v>0</v>
      </c>
      <c r="AN805" s="38"/>
      <c r="AO805" s="38"/>
      <c r="AP805" s="38"/>
      <c r="AQ805" s="54">
        <f t="shared" si="592"/>
        <v>0</v>
      </c>
      <c r="AR805" s="53"/>
      <c r="AS805" s="29">
        <f t="shared" si="627"/>
        <v>8484273.1900000032</v>
      </c>
      <c r="AT805" s="29">
        <f t="shared" si="584"/>
        <v>67.930000000000007</v>
      </c>
      <c r="AU805" s="29">
        <f t="shared" si="585"/>
        <v>0</v>
      </c>
      <c r="AV805" s="29">
        <f t="shared" si="615"/>
        <v>-85</v>
      </c>
      <c r="AW805" s="29"/>
      <c r="AX805" s="29">
        <f t="shared" si="593"/>
        <v>8484768.6700000037</v>
      </c>
      <c r="AY805" s="29">
        <f t="shared" si="594"/>
        <v>9300000</v>
      </c>
      <c r="AZ805" s="29">
        <f t="shared" si="595"/>
        <v>17784768.670000002</v>
      </c>
    </row>
    <row r="806" spans="2:52" x14ac:dyDescent="0.3">
      <c r="B806" s="99">
        <f t="shared" ref="B806" si="628">B805+3</f>
        <v>45292</v>
      </c>
      <c r="C806" s="44">
        <f t="shared" si="598"/>
        <v>4059952.9900000007</v>
      </c>
      <c r="D806" s="38"/>
      <c r="E806" s="38"/>
      <c r="F806" s="38"/>
      <c r="G806" s="45">
        <f t="shared" si="620"/>
        <v>4059952.9900000007</v>
      </c>
      <c r="H806" s="44">
        <v>4300000</v>
      </c>
      <c r="I806" s="46">
        <f t="shared" si="599"/>
        <v>4415285.0000000009</v>
      </c>
      <c r="J806" s="38"/>
      <c r="K806" s="38"/>
      <c r="L806" s="38"/>
      <c r="M806" s="47">
        <f t="shared" si="600"/>
        <v>4415285.0000000009</v>
      </c>
      <c r="N806" s="46">
        <v>5000000</v>
      </c>
      <c r="O806" s="48">
        <f t="shared" si="601"/>
        <v>3784.6300000002666</v>
      </c>
      <c r="P806" s="38"/>
      <c r="Q806" s="38"/>
      <c r="R806" s="38"/>
      <c r="S806" s="55">
        <f t="shared" si="602"/>
        <v>3784.6300000002666</v>
      </c>
      <c r="T806" s="48"/>
      <c r="U806" s="49">
        <f t="shared" si="603"/>
        <v>49.300000000090222</v>
      </c>
      <c r="V806" s="38"/>
      <c r="W806" s="38"/>
      <c r="X806" s="38"/>
      <c r="Y806" s="51">
        <f t="shared" si="604"/>
        <v>49.300000000090222</v>
      </c>
      <c r="Z806" s="52"/>
      <c r="AA806" s="53">
        <f t="shared" si="605"/>
        <v>5259.1999999994878</v>
      </c>
      <c r="AB806" s="38"/>
      <c r="AC806" s="38"/>
      <c r="AD806" s="38"/>
      <c r="AE806" s="54">
        <f t="shared" si="606"/>
        <v>5259.1999999994878</v>
      </c>
      <c r="AF806" s="53"/>
      <c r="AG806" s="53">
        <f t="shared" si="582"/>
        <v>437.55000000006987</v>
      </c>
      <c r="AH806" s="38"/>
      <c r="AI806" s="38"/>
      <c r="AJ806" s="38"/>
      <c r="AK806" s="54">
        <f t="shared" si="607"/>
        <v>437.55000000006987</v>
      </c>
      <c r="AL806" s="53"/>
      <c r="AM806" s="53">
        <f t="shared" si="591"/>
        <v>0</v>
      </c>
      <c r="AN806" s="38"/>
      <c r="AO806" s="38"/>
      <c r="AP806" s="38"/>
      <c r="AQ806" s="54">
        <f t="shared" si="592"/>
        <v>0</v>
      </c>
      <c r="AR806" s="53"/>
      <c r="AS806" s="29">
        <f t="shared" si="627"/>
        <v>8484331.1200000029</v>
      </c>
      <c r="AT806" s="29">
        <f t="shared" si="584"/>
        <v>0</v>
      </c>
      <c r="AU806" s="29">
        <f t="shared" si="585"/>
        <v>0</v>
      </c>
      <c r="AV806" s="29">
        <f t="shared" si="615"/>
        <v>0</v>
      </c>
      <c r="AW806" s="29"/>
      <c r="AX806" s="29">
        <f t="shared" si="593"/>
        <v>8484768.6700000037</v>
      </c>
      <c r="AY806" s="29">
        <f t="shared" si="594"/>
        <v>9300000</v>
      </c>
      <c r="AZ806" s="29">
        <f t="shared" si="595"/>
        <v>17784768.670000002</v>
      </c>
    </row>
    <row r="807" spans="2:52" x14ac:dyDescent="0.3">
      <c r="B807" s="99">
        <f t="shared" ref="B807" si="629">B806+1</f>
        <v>45293</v>
      </c>
      <c r="C807" s="44">
        <f t="shared" si="598"/>
        <v>4059952.9900000007</v>
      </c>
      <c r="D807" s="38">
        <v>57250.13</v>
      </c>
      <c r="E807" s="38"/>
      <c r="F807" s="38">
        <f>45.41-159494.37</f>
        <v>-159448.95999999999</v>
      </c>
      <c r="G807" s="45">
        <f t="shared" si="620"/>
        <v>3957754.1600000006</v>
      </c>
      <c r="H807" s="44">
        <v>4300000</v>
      </c>
      <c r="I807" s="46">
        <f t="shared" si="599"/>
        <v>4415285.0000000009</v>
      </c>
      <c r="J807" s="38"/>
      <c r="K807" s="38"/>
      <c r="L807" s="38">
        <v>-157560.26999999999</v>
      </c>
      <c r="M807" s="47">
        <f t="shared" si="600"/>
        <v>4257724.7300000014</v>
      </c>
      <c r="N807" s="46">
        <v>5000000</v>
      </c>
      <c r="O807" s="48">
        <f t="shared" si="601"/>
        <v>3784.6300000002666</v>
      </c>
      <c r="P807" s="38">
        <v>648036.4</v>
      </c>
      <c r="Q807" s="38"/>
      <c r="R807" s="38">
        <v>-2700</v>
      </c>
      <c r="S807" s="55">
        <f t="shared" si="602"/>
        <v>649121.03000000026</v>
      </c>
      <c r="T807" s="48"/>
      <c r="U807" s="49">
        <f t="shared" si="603"/>
        <v>49.300000000090222</v>
      </c>
      <c r="V807" s="38"/>
      <c r="W807" s="38"/>
      <c r="X807" s="38"/>
      <c r="Y807" s="51">
        <f t="shared" si="604"/>
        <v>49.300000000090222</v>
      </c>
      <c r="Z807" s="52"/>
      <c r="AA807" s="53">
        <f t="shared" si="605"/>
        <v>5259.1999999994878</v>
      </c>
      <c r="AB807" s="38"/>
      <c r="AC807" s="38"/>
      <c r="AD807" s="38">
        <v>-1040</v>
      </c>
      <c r="AE807" s="54">
        <f t="shared" si="606"/>
        <v>4219.1999999994878</v>
      </c>
      <c r="AF807" s="53"/>
      <c r="AG807" s="53">
        <f t="shared" si="582"/>
        <v>437.55000000006987</v>
      </c>
      <c r="AH807" s="38"/>
      <c r="AI807" s="38"/>
      <c r="AJ807" s="38"/>
      <c r="AK807" s="54">
        <f t="shared" si="607"/>
        <v>437.55000000006987</v>
      </c>
      <c r="AL807" s="53"/>
      <c r="AM807" s="53">
        <f t="shared" si="591"/>
        <v>0</v>
      </c>
      <c r="AN807" s="38"/>
      <c r="AO807" s="38"/>
      <c r="AP807" s="38"/>
      <c r="AQ807" s="54">
        <f t="shared" si="592"/>
        <v>0</v>
      </c>
      <c r="AR807" s="53"/>
      <c r="AS807" s="29">
        <f t="shared" si="627"/>
        <v>8484331.1200000029</v>
      </c>
      <c r="AT807" s="29">
        <f t="shared" si="584"/>
        <v>705286.53</v>
      </c>
      <c r="AU807" s="29">
        <f t="shared" si="585"/>
        <v>0</v>
      </c>
      <c r="AV807" s="29">
        <f t="shared" si="615"/>
        <v>-320749.23</v>
      </c>
      <c r="AW807" s="29"/>
      <c r="AX807" s="29">
        <f t="shared" si="593"/>
        <v>8869305.9700000025</v>
      </c>
      <c r="AY807" s="29">
        <f t="shared" si="594"/>
        <v>9300000</v>
      </c>
      <c r="AZ807" s="29">
        <f t="shared" si="595"/>
        <v>18169305.970000003</v>
      </c>
    </row>
    <row r="808" spans="2:52" x14ac:dyDescent="0.3">
      <c r="B808" s="99">
        <f t="shared" si="622"/>
        <v>45294</v>
      </c>
      <c r="C808" s="44">
        <f t="shared" si="598"/>
        <v>3957754.1600000006</v>
      </c>
      <c r="D808" s="38">
        <v>212130.17</v>
      </c>
      <c r="E808" s="38"/>
      <c r="F808" s="38">
        <f>44.4-667.5</f>
        <v>-623.1</v>
      </c>
      <c r="G808" s="45">
        <f t="shared" si="620"/>
        <v>4169261.2300000004</v>
      </c>
      <c r="H808" s="44">
        <v>4300000</v>
      </c>
      <c r="I808" s="46">
        <f t="shared" si="599"/>
        <v>4257724.7300000014</v>
      </c>
      <c r="J808" s="38"/>
      <c r="K808" s="38">
        <v>600000</v>
      </c>
      <c r="L808" s="38">
        <v>-139239.29</v>
      </c>
      <c r="M808" s="47">
        <f t="shared" si="600"/>
        <v>4718485.4400000013</v>
      </c>
      <c r="N808" s="46">
        <v>5000000</v>
      </c>
      <c r="O808" s="48">
        <f t="shared" si="601"/>
        <v>649121.03000000026</v>
      </c>
      <c r="P808" s="38"/>
      <c r="Q808" s="38">
        <v>-600000</v>
      </c>
      <c r="R808" s="38">
        <v>-3712.38</v>
      </c>
      <c r="S808" s="55">
        <f t="shared" si="602"/>
        <v>45408.650000000263</v>
      </c>
      <c r="T808" s="48"/>
      <c r="U808" s="49">
        <f t="shared" si="603"/>
        <v>49.300000000090222</v>
      </c>
      <c r="V808" s="38"/>
      <c r="W808" s="38"/>
      <c r="X808" s="38">
        <v>-49.3</v>
      </c>
      <c r="Y808" s="51">
        <f t="shared" si="604"/>
        <v>9.0224716586817522E-11</v>
      </c>
      <c r="Z808" s="52"/>
      <c r="AA808" s="53">
        <f t="shared" si="605"/>
        <v>4219.1999999994878</v>
      </c>
      <c r="AB808" s="38"/>
      <c r="AC808" s="38"/>
      <c r="AD808" s="38"/>
      <c r="AE808" s="54">
        <f t="shared" si="606"/>
        <v>4219.1999999994878</v>
      </c>
      <c r="AF808" s="53"/>
      <c r="AG808" s="53">
        <f t="shared" si="582"/>
        <v>437.55000000006987</v>
      </c>
      <c r="AH808" s="38"/>
      <c r="AI808" s="38"/>
      <c r="AJ808" s="38"/>
      <c r="AK808" s="54">
        <f t="shared" si="607"/>
        <v>437.55000000006987</v>
      </c>
      <c r="AL808" s="53"/>
      <c r="AM808" s="53">
        <f t="shared" si="591"/>
        <v>0</v>
      </c>
      <c r="AN808" s="38"/>
      <c r="AO808" s="38"/>
      <c r="AP808" s="38"/>
      <c r="AQ808" s="54">
        <f t="shared" si="592"/>
        <v>0</v>
      </c>
      <c r="AR808" s="53"/>
      <c r="AS808" s="29">
        <f t="shared" si="627"/>
        <v>8868868.4200000018</v>
      </c>
      <c r="AT808" s="29">
        <f t="shared" si="584"/>
        <v>212130.17</v>
      </c>
      <c r="AU808" s="29">
        <f t="shared" si="585"/>
        <v>0</v>
      </c>
      <c r="AV808" s="29">
        <f t="shared" si="615"/>
        <v>-143624.07</v>
      </c>
      <c r="AW808" s="29"/>
      <c r="AX808" s="29">
        <f t="shared" si="593"/>
        <v>8937812.0700000022</v>
      </c>
      <c r="AY808" s="29">
        <f t="shared" si="594"/>
        <v>9300000</v>
      </c>
      <c r="AZ808" s="29">
        <f t="shared" si="595"/>
        <v>18237812.07</v>
      </c>
    </row>
    <row r="809" spans="2:52" x14ac:dyDescent="0.3">
      <c r="B809" s="99">
        <f t="shared" si="622"/>
        <v>45295</v>
      </c>
      <c r="C809" s="44">
        <f t="shared" si="598"/>
        <v>4169261.2300000004</v>
      </c>
      <c r="D809" s="38"/>
      <c r="E809" s="38"/>
      <c r="F809" s="38">
        <f>51.65-8809.99</f>
        <v>-8758.34</v>
      </c>
      <c r="G809" s="45">
        <f t="shared" si="620"/>
        <v>4160502.8900000006</v>
      </c>
      <c r="H809" s="44">
        <v>4300000</v>
      </c>
      <c r="I809" s="46">
        <f t="shared" si="599"/>
        <v>4718485.4400000013</v>
      </c>
      <c r="J809" s="38"/>
      <c r="K809" s="38"/>
      <c r="L809" s="38">
        <v>-2697603.04</v>
      </c>
      <c r="M809" s="47">
        <f t="shared" si="600"/>
        <v>2020882.4000000013</v>
      </c>
      <c r="N809" s="46">
        <v>5000000</v>
      </c>
      <c r="O809" s="48">
        <f t="shared" si="601"/>
        <v>45408.650000000263</v>
      </c>
      <c r="P809" s="38"/>
      <c r="Q809" s="38">
        <v>-50</v>
      </c>
      <c r="R809" s="38">
        <v>-4061.43</v>
      </c>
      <c r="S809" s="55">
        <f t="shared" si="602"/>
        <v>41297.220000000263</v>
      </c>
      <c r="T809" s="48"/>
      <c r="U809" s="49">
        <f t="shared" si="603"/>
        <v>9.0224716586817522E-11</v>
      </c>
      <c r="V809" s="38"/>
      <c r="W809" s="38">
        <v>50</v>
      </c>
      <c r="X809" s="38">
        <v>-16</v>
      </c>
      <c r="Y809" s="51">
        <f t="shared" si="604"/>
        <v>34.000000000090225</v>
      </c>
      <c r="Z809" s="52"/>
      <c r="AA809" s="53">
        <f t="shared" si="605"/>
        <v>4219.1999999994878</v>
      </c>
      <c r="AB809" s="38"/>
      <c r="AC809" s="38"/>
      <c r="AD809" s="38">
        <v>-391.84</v>
      </c>
      <c r="AE809" s="54">
        <f t="shared" si="606"/>
        <v>3827.3599999994876</v>
      </c>
      <c r="AF809" s="53"/>
      <c r="AG809" s="53">
        <f t="shared" ref="AG809:AG856" si="630">AK808</f>
        <v>437.55000000006987</v>
      </c>
      <c r="AH809" s="38"/>
      <c r="AI809" s="38"/>
      <c r="AJ809" s="38"/>
      <c r="AK809" s="54">
        <f t="shared" si="607"/>
        <v>437.55000000006987</v>
      </c>
      <c r="AL809" s="53"/>
      <c r="AM809" s="53">
        <f t="shared" si="591"/>
        <v>0</v>
      </c>
      <c r="AN809" s="38"/>
      <c r="AO809" s="38"/>
      <c r="AP809" s="38"/>
      <c r="AQ809" s="54">
        <f t="shared" si="592"/>
        <v>0</v>
      </c>
      <c r="AR809" s="53"/>
      <c r="AS809" s="29">
        <f t="shared" si="627"/>
        <v>8937374.5200000014</v>
      </c>
      <c r="AT809" s="29">
        <f t="shared" si="584"/>
        <v>0</v>
      </c>
      <c r="AU809" s="29">
        <f t="shared" si="585"/>
        <v>0</v>
      </c>
      <c r="AV809" s="29">
        <f t="shared" si="615"/>
        <v>-2710830.65</v>
      </c>
      <c r="AW809" s="29"/>
      <c r="AX809" s="29">
        <f t="shared" si="593"/>
        <v>6226981.4200000018</v>
      </c>
      <c r="AY809" s="29">
        <f t="shared" si="594"/>
        <v>9300000</v>
      </c>
      <c r="AZ809" s="29">
        <f t="shared" si="595"/>
        <v>15526981.420000002</v>
      </c>
    </row>
    <row r="810" spans="2:52" x14ac:dyDescent="0.3">
      <c r="B810" s="99">
        <f t="shared" si="622"/>
        <v>45296</v>
      </c>
      <c r="C810" s="44">
        <f t="shared" si="598"/>
        <v>4160502.8900000006</v>
      </c>
      <c r="D810" s="38"/>
      <c r="E810" s="38"/>
      <c r="F810" s="38">
        <f>79.8-637468.73</f>
        <v>-637388.92999999993</v>
      </c>
      <c r="G810" s="45">
        <f t="shared" si="620"/>
        <v>3523113.9600000009</v>
      </c>
      <c r="H810" s="44">
        <v>4300000</v>
      </c>
      <c r="I810" s="46">
        <f t="shared" si="599"/>
        <v>2020882.4000000013</v>
      </c>
      <c r="J810" s="38"/>
      <c r="K810" s="38"/>
      <c r="L810" s="38">
        <v>-554712.91</v>
      </c>
      <c r="M810" s="47">
        <f t="shared" si="600"/>
        <v>1466169.4900000012</v>
      </c>
      <c r="N810" s="46">
        <v>5000000</v>
      </c>
      <c r="O810" s="48">
        <f t="shared" si="601"/>
        <v>41297.220000000263</v>
      </c>
      <c r="P810" s="38"/>
      <c r="Q810" s="38"/>
      <c r="R810" s="38">
        <v>-27800.560000000001</v>
      </c>
      <c r="S810" s="55">
        <f t="shared" si="602"/>
        <v>13496.660000000262</v>
      </c>
      <c r="T810" s="48"/>
      <c r="U810" s="49">
        <f t="shared" si="603"/>
        <v>34.000000000090225</v>
      </c>
      <c r="V810" s="38"/>
      <c r="W810" s="38"/>
      <c r="X810" s="38"/>
      <c r="Y810" s="51">
        <f t="shared" si="604"/>
        <v>34.000000000090225</v>
      </c>
      <c r="Z810" s="52"/>
      <c r="AA810" s="53">
        <f t="shared" si="605"/>
        <v>3827.3599999994876</v>
      </c>
      <c r="AB810" s="38"/>
      <c r="AC810" s="38"/>
      <c r="AD810" s="38"/>
      <c r="AE810" s="54">
        <f t="shared" si="606"/>
        <v>3827.3599999994876</v>
      </c>
      <c r="AF810" s="53"/>
      <c r="AG810" s="53">
        <f t="shared" si="630"/>
        <v>437.55000000006987</v>
      </c>
      <c r="AH810" s="38"/>
      <c r="AI810" s="38"/>
      <c r="AJ810" s="38"/>
      <c r="AK810" s="54">
        <f t="shared" si="607"/>
        <v>437.55000000006987</v>
      </c>
      <c r="AL810" s="53"/>
      <c r="AM810" s="53">
        <f t="shared" si="591"/>
        <v>0</v>
      </c>
      <c r="AN810" s="38"/>
      <c r="AO810" s="38"/>
      <c r="AP810" s="38"/>
      <c r="AQ810" s="54">
        <f t="shared" si="592"/>
        <v>0</v>
      </c>
      <c r="AR810" s="53"/>
      <c r="AS810" s="29">
        <f t="shared" si="627"/>
        <v>6226543.870000002</v>
      </c>
      <c r="AT810" s="29">
        <f t="shared" ref="AT810:AT856" si="631">SUM(D810,J810,P810,V810,AB810,AH810)</f>
        <v>0</v>
      </c>
      <c r="AU810" s="29">
        <f t="shared" ref="AU810:AU856" si="632">SUM(E810,K810,Q810,W810,AC810,AI810)</f>
        <v>0</v>
      </c>
      <c r="AV810" s="29">
        <f t="shared" si="615"/>
        <v>-1219902.3999999999</v>
      </c>
      <c r="AW810" s="29"/>
      <c r="AX810" s="29">
        <f t="shared" si="593"/>
        <v>5007079.0200000014</v>
      </c>
      <c r="AY810" s="29">
        <f t="shared" si="594"/>
        <v>9300000</v>
      </c>
      <c r="AZ810" s="29">
        <f t="shared" si="595"/>
        <v>14307079.020000001</v>
      </c>
    </row>
    <row r="811" spans="2:52" x14ac:dyDescent="0.3">
      <c r="B811" s="99">
        <f t="shared" ref="B811" si="633">B810+3</f>
        <v>45299</v>
      </c>
      <c r="C811" s="44">
        <f t="shared" si="598"/>
        <v>3523113.9600000009</v>
      </c>
      <c r="D811" s="38">
        <v>1126.2</v>
      </c>
      <c r="E811" s="38"/>
      <c r="F811" s="38">
        <f>51.27-400</f>
        <v>-348.73</v>
      </c>
      <c r="G811" s="45">
        <f t="shared" si="620"/>
        <v>3523891.4300000011</v>
      </c>
      <c r="H811" s="44">
        <v>4300000</v>
      </c>
      <c r="I811" s="46">
        <f t="shared" si="599"/>
        <v>1466169.4900000012</v>
      </c>
      <c r="J811" s="38"/>
      <c r="K811" s="38"/>
      <c r="L811" s="38">
        <v>-103877.79</v>
      </c>
      <c r="M811" s="47">
        <f t="shared" si="600"/>
        <v>1362291.7000000011</v>
      </c>
      <c r="N811" s="46">
        <v>5000000</v>
      </c>
      <c r="O811" s="48">
        <f t="shared" si="601"/>
        <v>13496.660000000262</v>
      </c>
      <c r="P811" s="38"/>
      <c r="Q811" s="38"/>
      <c r="R811" s="38">
        <v>-120</v>
      </c>
      <c r="S811" s="55">
        <f t="shared" si="602"/>
        <v>13376.660000000262</v>
      </c>
      <c r="T811" s="48"/>
      <c r="U811" s="49">
        <f t="shared" si="603"/>
        <v>34.000000000090225</v>
      </c>
      <c r="V811" s="38"/>
      <c r="W811" s="38"/>
      <c r="X811" s="38"/>
      <c r="Y811" s="51">
        <f t="shared" si="604"/>
        <v>34.000000000090225</v>
      </c>
      <c r="Z811" s="52"/>
      <c r="AA811" s="53">
        <f t="shared" si="605"/>
        <v>3827.3599999994876</v>
      </c>
      <c r="AB811" s="38"/>
      <c r="AC811" s="38"/>
      <c r="AD811" s="38">
        <v>-800</v>
      </c>
      <c r="AE811" s="54">
        <f t="shared" si="606"/>
        <v>3027.3599999994876</v>
      </c>
      <c r="AF811" s="53"/>
      <c r="AG811" s="53">
        <f t="shared" si="630"/>
        <v>437.55000000006987</v>
      </c>
      <c r="AH811" s="38"/>
      <c r="AI811" s="38"/>
      <c r="AJ811" s="38"/>
      <c r="AK811" s="54">
        <f t="shared" si="607"/>
        <v>437.55000000006987</v>
      </c>
      <c r="AL811" s="53"/>
      <c r="AM811" s="53">
        <f t="shared" si="591"/>
        <v>0</v>
      </c>
      <c r="AN811" s="38"/>
      <c r="AO811" s="38"/>
      <c r="AP811" s="38"/>
      <c r="AQ811" s="54">
        <f t="shared" si="592"/>
        <v>0</v>
      </c>
      <c r="AR811" s="53"/>
      <c r="AS811" s="29">
        <f t="shared" si="627"/>
        <v>5006641.4700000016</v>
      </c>
      <c r="AT811" s="29">
        <f>SUM(D811,J811,P811,V811,AB811,AH811)</f>
        <v>1126.2</v>
      </c>
      <c r="AU811" s="29">
        <f>SUM(E811,K811,Q811,W811,AC811,AI811)</f>
        <v>0</v>
      </c>
      <c r="AV811" s="29">
        <f t="shared" si="615"/>
        <v>-105146.51999999999</v>
      </c>
      <c r="AW811" s="29"/>
      <c r="AX811" s="29">
        <f t="shared" si="593"/>
        <v>4903058.700000002</v>
      </c>
      <c r="AY811" s="29">
        <f t="shared" si="594"/>
        <v>9300000</v>
      </c>
      <c r="AZ811" s="29">
        <f t="shared" si="595"/>
        <v>14203058.700000003</v>
      </c>
    </row>
    <row r="812" spans="2:52" x14ac:dyDescent="0.3">
      <c r="B812" s="99">
        <f t="shared" ref="B812" si="634">B811+1</f>
        <v>45300</v>
      </c>
      <c r="C812" s="44">
        <f t="shared" si="598"/>
        <v>3523891.4300000011</v>
      </c>
      <c r="D812" s="38"/>
      <c r="E812" s="38"/>
      <c r="F812" s="38">
        <f>39.29-802444.15</f>
        <v>-802404.86</v>
      </c>
      <c r="G812" s="45">
        <f t="shared" si="620"/>
        <v>2721486.5700000012</v>
      </c>
      <c r="H812" s="44">
        <v>4300000</v>
      </c>
      <c r="I812" s="46">
        <f t="shared" si="599"/>
        <v>1362291.7000000011</v>
      </c>
      <c r="J812" s="38"/>
      <c r="K812" s="38"/>
      <c r="L812" s="38">
        <v>-120131.83</v>
      </c>
      <c r="M812" s="47">
        <f t="shared" si="600"/>
        <v>1242159.870000001</v>
      </c>
      <c r="N812" s="46">
        <v>5000000</v>
      </c>
      <c r="O812" s="48">
        <f t="shared" si="601"/>
        <v>13376.660000000262</v>
      </c>
      <c r="P812" s="38"/>
      <c r="Q812" s="38"/>
      <c r="R812" s="38"/>
      <c r="S812" s="55">
        <f t="shared" si="602"/>
        <v>13376.660000000262</v>
      </c>
      <c r="T812" s="48"/>
      <c r="U812" s="49">
        <f t="shared" si="603"/>
        <v>34.000000000090225</v>
      </c>
      <c r="V812" s="38"/>
      <c r="W812" s="38"/>
      <c r="X812" s="38"/>
      <c r="Y812" s="51">
        <f t="shared" si="604"/>
        <v>34.000000000090225</v>
      </c>
      <c r="Z812" s="52"/>
      <c r="AA812" s="53">
        <f t="shared" si="605"/>
        <v>3027.3599999994876</v>
      </c>
      <c r="AB812" s="38"/>
      <c r="AC812" s="38"/>
      <c r="AD812" s="38"/>
      <c r="AE812" s="54">
        <f t="shared" si="606"/>
        <v>3027.3599999994876</v>
      </c>
      <c r="AF812" s="53"/>
      <c r="AG812" s="53">
        <f t="shared" si="630"/>
        <v>437.55000000006987</v>
      </c>
      <c r="AH812" s="38"/>
      <c r="AI812" s="38"/>
      <c r="AJ812" s="38"/>
      <c r="AK812" s="54">
        <f t="shared" si="607"/>
        <v>437.55000000006987</v>
      </c>
      <c r="AL812" s="53"/>
      <c r="AM812" s="53">
        <f t="shared" si="591"/>
        <v>0</v>
      </c>
      <c r="AN812" s="38"/>
      <c r="AO812" s="38"/>
      <c r="AP812" s="38"/>
      <c r="AQ812" s="54">
        <f t="shared" si="592"/>
        <v>0</v>
      </c>
      <c r="AR812" s="53"/>
      <c r="AS812" s="29">
        <f t="shared" si="627"/>
        <v>4902621.1500000022</v>
      </c>
      <c r="AT812" s="29">
        <f t="shared" si="631"/>
        <v>0</v>
      </c>
      <c r="AU812" s="29">
        <f t="shared" si="632"/>
        <v>0</v>
      </c>
      <c r="AV812" s="29">
        <f t="shared" si="615"/>
        <v>-922536.69</v>
      </c>
      <c r="AW812" s="29"/>
      <c r="AX812" s="29">
        <f t="shared" si="593"/>
        <v>3980522.0100000021</v>
      </c>
      <c r="AY812" s="29">
        <f t="shared" si="594"/>
        <v>9300000</v>
      </c>
      <c r="AZ812" s="29">
        <f t="shared" si="595"/>
        <v>13280522.010000002</v>
      </c>
    </row>
    <row r="813" spans="2:52" x14ac:dyDescent="0.3">
      <c r="B813" s="99">
        <f t="shared" si="622"/>
        <v>45301</v>
      </c>
      <c r="C813" s="44">
        <f t="shared" si="598"/>
        <v>2721486.5700000012</v>
      </c>
      <c r="D813" s="38">
        <v>805018.63</v>
      </c>
      <c r="E813" s="38"/>
      <c r="F813" s="38">
        <f>42.79-165316.81</f>
        <v>-165274.01999999999</v>
      </c>
      <c r="G813" s="45">
        <f t="shared" si="620"/>
        <v>3361231.1800000011</v>
      </c>
      <c r="H813" s="44">
        <v>4300000</v>
      </c>
      <c r="I813" s="46">
        <f t="shared" si="599"/>
        <v>1242159.870000001</v>
      </c>
      <c r="J813" s="38"/>
      <c r="K813" s="38"/>
      <c r="L813" s="38">
        <v>-205331.98</v>
      </c>
      <c r="M813" s="47">
        <f t="shared" si="600"/>
        <v>1036827.8900000011</v>
      </c>
      <c r="N813" s="46">
        <v>5000000</v>
      </c>
      <c r="O813" s="48">
        <f t="shared" si="601"/>
        <v>13376.660000000262</v>
      </c>
      <c r="P813" s="38">
        <v>303256.18</v>
      </c>
      <c r="Q813" s="38"/>
      <c r="R813" s="38">
        <v>-9023.2999999999993</v>
      </c>
      <c r="S813" s="55">
        <f t="shared" si="602"/>
        <v>307609.54000000027</v>
      </c>
      <c r="T813" s="48"/>
      <c r="U813" s="49">
        <f t="shared" si="603"/>
        <v>34.000000000090225</v>
      </c>
      <c r="V813" s="38"/>
      <c r="W813" s="38"/>
      <c r="X813" s="38"/>
      <c r="Y813" s="51">
        <f t="shared" si="604"/>
        <v>34.000000000090225</v>
      </c>
      <c r="Z813" s="52"/>
      <c r="AA813" s="53">
        <f t="shared" si="605"/>
        <v>3027.3599999994876</v>
      </c>
      <c r="AB813" s="38"/>
      <c r="AC813" s="38"/>
      <c r="AD813" s="38">
        <v>-418</v>
      </c>
      <c r="AE813" s="54">
        <f t="shared" si="606"/>
        <v>2609.3599999994876</v>
      </c>
      <c r="AF813" s="53"/>
      <c r="AG813" s="53">
        <f t="shared" si="630"/>
        <v>437.55000000006987</v>
      </c>
      <c r="AH813" s="38"/>
      <c r="AI813" s="38"/>
      <c r="AJ813" s="38"/>
      <c r="AK813" s="54">
        <f t="shared" si="607"/>
        <v>437.55000000006987</v>
      </c>
      <c r="AL813" s="53"/>
      <c r="AM813" s="53">
        <f t="shared" si="591"/>
        <v>0</v>
      </c>
      <c r="AN813" s="38"/>
      <c r="AO813" s="38"/>
      <c r="AP813" s="38"/>
      <c r="AQ813" s="54">
        <f t="shared" si="592"/>
        <v>0</v>
      </c>
      <c r="AR813" s="53"/>
      <c r="AS813" s="29">
        <f t="shared" si="627"/>
        <v>3980084.4600000018</v>
      </c>
      <c r="AT813" s="29">
        <f t="shared" si="631"/>
        <v>1108274.81</v>
      </c>
      <c r="AU813" s="29">
        <f t="shared" si="632"/>
        <v>0</v>
      </c>
      <c r="AV813" s="29">
        <f t="shared" si="615"/>
        <v>-380047.3</v>
      </c>
      <c r="AW813" s="29"/>
      <c r="AX813" s="29">
        <f t="shared" si="593"/>
        <v>4708749.5200000014</v>
      </c>
      <c r="AY813" s="29">
        <f t="shared" si="594"/>
        <v>9300000</v>
      </c>
      <c r="AZ813" s="29">
        <f t="shared" si="595"/>
        <v>14008749.520000001</v>
      </c>
    </row>
    <row r="814" spans="2:52" x14ac:dyDescent="0.3">
      <c r="B814" s="99">
        <f t="shared" si="622"/>
        <v>45302</v>
      </c>
      <c r="C814" s="44">
        <f t="shared" si="598"/>
        <v>3361231.1800000011</v>
      </c>
      <c r="D814" s="38"/>
      <c r="E814" s="38"/>
      <c r="F814" s="38">
        <v>-7794.28</v>
      </c>
      <c r="G814" s="45">
        <f t="shared" si="620"/>
        <v>3353436.9000000013</v>
      </c>
      <c r="H814" s="44">
        <v>4300000</v>
      </c>
      <c r="I814" s="46">
        <f t="shared" si="599"/>
        <v>1036827.8900000011</v>
      </c>
      <c r="J814" s="38"/>
      <c r="K814" s="38"/>
      <c r="L814" s="38">
        <v>-62000.76</v>
      </c>
      <c r="M814" s="47">
        <f t="shared" si="600"/>
        <v>974827.13000000105</v>
      </c>
      <c r="N814" s="46">
        <v>5000000</v>
      </c>
      <c r="O814" s="48">
        <f t="shared" si="601"/>
        <v>307609.54000000027</v>
      </c>
      <c r="P814" s="38"/>
      <c r="Q814" s="38"/>
      <c r="R814" s="38"/>
      <c r="S814" s="55">
        <f t="shared" si="602"/>
        <v>307609.54000000027</v>
      </c>
      <c r="T814" s="48"/>
      <c r="U814" s="49">
        <f t="shared" si="603"/>
        <v>34.000000000090225</v>
      </c>
      <c r="V814" s="38">
        <v>109013.91</v>
      </c>
      <c r="W814" s="38"/>
      <c r="X814" s="38"/>
      <c r="Y814" s="51">
        <f t="shared" si="604"/>
        <v>109047.91000000009</v>
      </c>
      <c r="Z814" s="52"/>
      <c r="AA814" s="53">
        <f t="shared" si="605"/>
        <v>2609.3599999994876</v>
      </c>
      <c r="AB814" s="38"/>
      <c r="AC814" s="38"/>
      <c r="AD814" s="38"/>
      <c r="AE814" s="54">
        <f t="shared" si="606"/>
        <v>2609.3599999994876</v>
      </c>
      <c r="AF814" s="53"/>
      <c r="AG814" s="53">
        <f t="shared" si="630"/>
        <v>437.55000000006987</v>
      </c>
      <c r="AH814" s="38"/>
      <c r="AI814" s="38"/>
      <c r="AJ814" s="38"/>
      <c r="AK814" s="54">
        <f t="shared" si="607"/>
        <v>437.55000000006987</v>
      </c>
      <c r="AL814" s="53"/>
      <c r="AM814" s="53">
        <f t="shared" si="591"/>
        <v>0</v>
      </c>
      <c r="AN814" s="38"/>
      <c r="AO814" s="38"/>
      <c r="AP814" s="38"/>
      <c r="AQ814" s="54">
        <f t="shared" si="592"/>
        <v>0</v>
      </c>
      <c r="AR814" s="53"/>
      <c r="AS814" s="29">
        <f t="shared" si="627"/>
        <v>4708311.9700000016</v>
      </c>
      <c r="AT814" s="29">
        <f t="shared" si="631"/>
        <v>109013.91</v>
      </c>
      <c r="AU814" s="29">
        <f t="shared" si="632"/>
        <v>0</v>
      </c>
      <c r="AV814" s="29">
        <f t="shared" si="615"/>
        <v>-69795.040000000008</v>
      </c>
      <c r="AW814" s="29"/>
      <c r="AX814" s="29">
        <f t="shared" si="593"/>
        <v>4747968.3900000015</v>
      </c>
      <c r="AY814" s="29">
        <f t="shared" si="594"/>
        <v>9300000</v>
      </c>
      <c r="AZ814" s="29">
        <f t="shared" si="595"/>
        <v>14047968.390000001</v>
      </c>
    </row>
    <row r="815" spans="2:52" x14ac:dyDescent="0.3">
      <c r="B815" s="99">
        <f t="shared" si="622"/>
        <v>45303</v>
      </c>
      <c r="C815" s="44">
        <f t="shared" si="598"/>
        <v>3353436.9000000013</v>
      </c>
      <c r="D815" s="38"/>
      <c r="E815" s="38"/>
      <c r="F815" s="38">
        <f>92.25-2149.86</f>
        <v>-2057.61</v>
      </c>
      <c r="G815" s="45">
        <f t="shared" si="620"/>
        <v>3351379.2900000014</v>
      </c>
      <c r="H815" s="44">
        <v>4300000</v>
      </c>
      <c r="I815" s="46">
        <f t="shared" si="599"/>
        <v>974827.13000000105</v>
      </c>
      <c r="J815" s="38"/>
      <c r="K815" s="38">
        <v>410000</v>
      </c>
      <c r="L815" s="38">
        <v>-28845.33</v>
      </c>
      <c r="M815" s="47">
        <f t="shared" si="600"/>
        <v>1355981.800000001</v>
      </c>
      <c r="N815" s="46">
        <v>5000000</v>
      </c>
      <c r="O815" s="48">
        <f t="shared" si="601"/>
        <v>307609.54000000027</v>
      </c>
      <c r="P815" s="38"/>
      <c r="Q815" s="38">
        <f>109000-410000</f>
        <v>-301000</v>
      </c>
      <c r="R815" s="38"/>
      <c r="S815" s="55">
        <f t="shared" si="602"/>
        <v>6609.5400000002701</v>
      </c>
      <c r="T815" s="48"/>
      <c r="U815" s="49">
        <f t="shared" si="603"/>
        <v>109047.91000000009</v>
      </c>
      <c r="V815" s="38"/>
      <c r="W815" s="38">
        <v>-109000</v>
      </c>
      <c r="X815" s="38">
        <v>-1.5</v>
      </c>
      <c r="Y815" s="51">
        <f t="shared" si="604"/>
        <v>46.410000000090804</v>
      </c>
      <c r="Z815" s="52"/>
      <c r="AA815" s="53">
        <f t="shared" si="605"/>
        <v>2609.3599999994876</v>
      </c>
      <c r="AB815" s="38"/>
      <c r="AC815" s="38"/>
      <c r="AD815" s="38"/>
      <c r="AE815" s="54">
        <f t="shared" si="606"/>
        <v>2609.3599999994876</v>
      </c>
      <c r="AF815" s="53"/>
      <c r="AG815" s="53">
        <f t="shared" si="630"/>
        <v>437.55000000006987</v>
      </c>
      <c r="AH815" s="38"/>
      <c r="AI815" s="38"/>
      <c r="AJ815" s="38"/>
      <c r="AK815" s="54">
        <f t="shared" si="607"/>
        <v>437.55000000006987</v>
      </c>
      <c r="AL815" s="53"/>
      <c r="AM815" s="53">
        <f t="shared" si="591"/>
        <v>0</v>
      </c>
      <c r="AN815" s="38"/>
      <c r="AO815" s="38"/>
      <c r="AP815" s="38"/>
      <c r="AQ815" s="54">
        <f t="shared" si="592"/>
        <v>0</v>
      </c>
      <c r="AR815" s="53"/>
      <c r="AS815" s="29">
        <f t="shared" si="627"/>
        <v>4747530.8400000017</v>
      </c>
      <c r="AT815" s="29">
        <f t="shared" si="631"/>
        <v>0</v>
      </c>
      <c r="AU815" s="29">
        <f t="shared" si="632"/>
        <v>0</v>
      </c>
      <c r="AV815" s="29">
        <f t="shared" si="615"/>
        <v>-30904.440000000002</v>
      </c>
      <c r="AW815" s="29"/>
      <c r="AX815" s="29">
        <f t="shared" si="593"/>
        <v>4717063.950000002</v>
      </c>
      <c r="AY815" s="29">
        <f t="shared" si="594"/>
        <v>9300000</v>
      </c>
      <c r="AZ815" s="29">
        <f t="shared" si="595"/>
        <v>14017063.950000003</v>
      </c>
    </row>
    <row r="816" spans="2:52" ht="13.95" customHeight="1" x14ac:dyDescent="0.3">
      <c r="B816" s="99">
        <f t="shared" ref="B816" si="635">B815+3</f>
        <v>45306</v>
      </c>
      <c r="C816" s="44">
        <f t="shared" si="598"/>
        <v>3351379.2900000014</v>
      </c>
      <c r="D816" s="38"/>
      <c r="E816" s="38"/>
      <c r="F816" s="38">
        <f>56.16-59272.28</f>
        <v>-59216.119999999995</v>
      </c>
      <c r="G816" s="45">
        <f t="shared" si="620"/>
        <v>3292163.1700000013</v>
      </c>
      <c r="H816" s="44">
        <v>4300000</v>
      </c>
      <c r="I816" s="46">
        <f t="shared" si="599"/>
        <v>1355981.800000001</v>
      </c>
      <c r="J816" s="38"/>
      <c r="K816" s="38"/>
      <c r="L816" s="38">
        <v>-76015.75</v>
      </c>
      <c r="M816" s="47">
        <f t="shared" si="600"/>
        <v>1279966.050000001</v>
      </c>
      <c r="N816" s="46">
        <v>5000000</v>
      </c>
      <c r="O816" s="48">
        <f t="shared" si="601"/>
        <v>6609.5400000002701</v>
      </c>
      <c r="P816" s="38"/>
      <c r="Q816" s="38"/>
      <c r="R816" s="38">
        <v>-10</v>
      </c>
      <c r="S816" s="55">
        <f t="shared" si="602"/>
        <v>6599.5400000002701</v>
      </c>
      <c r="T816" s="48"/>
      <c r="U816" s="49">
        <f t="shared" si="603"/>
        <v>46.410000000090804</v>
      </c>
      <c r="V816" s="38"/>
      <c r="W816" s="38"/>
      <c r="X816" s="38"/>
      <c r="Y816" s="51">
        <f t="shared" si="604"/>
        <v>46.410000000090804</v>
      </c>
      <c r="Z816" s="52"/>
      <c r="AA816" s="53">
        <f t="shared" si="605"/>
        <v>2609.3599999994876</v>
      </c>
      <c r="AB816" s="38"/>
      <c r="AC816" s="38"/>
      <c r="AD816" s="38"/>
      <c r="AE816" s="54">
        <f t="shared" si="606"/>
        <v>2609.3599999994876</v>
      </c>
      <c r="AF816" s="53"/>
      <c r="AG816" s="53">
        <f t="shared" si="630"/>
        <v>437.55000000006987</v>
      </c>
      <c r="AH816" s="38"/>
      <c r="AI816" s="38"/>
      <c r="AJ816" s="38"/>
      <c r="AK816" s="54">
        <f t="shared" si="607"/>
        <v>437.55000000006987</v>
      </c>
      <c r="AL816" s="53"/>
      <c r="AM816" s="53">
        <f t="shared" si="591"/>
        <v>0</v>
      </c>
      <c r="AN816" s="38"/>
      <c r="AO816" s="38"/>
      <c r="AP816" s="38"/>
      <c r="AQ816" s="54">
        <f t="shared" si="592"/>
        <v>0</v>
      </c>
      <c r="AR816" s="53"/>
      <c r="AS816" s="29">
        <f t="shared" si="627"/>
        <v>4716626.4000000022</v>
      </c>
      <c r="AT816" s="29">
        <f t="shared" si="631"/>
        <v>0</v>
      </c>
      <c r="AU816" s="29">
        <f t="shared" si="632"/>
        <v>0</v>
      </c>
      <c r="AV816" s="29">
        <f t="shared" si="615"/>
        <v>-135241.87</v>
      </c>
      <c r="AW816" s="29"/>
      <c r="AX816" s="29">
        <f t="shared" si="593"/>
        <v>4581822.0800000019</v>
      </c>
      <c r="AY816" s="29">
        <f t="shared" si="594"/>
        <v>9300000</v>
      </c>
      <c r="AZ816" s="29">
        <f t="shared" si="595"/>
        <v>13881822.080000002</v>
      </c>
    </row>
    <row r="817" spans="2:52" x14ac:dyDescent="0.3">
      <c r="B817" s="99">
        <f t="shared" ref="B817" si="636">B816+1</f>
        <v>45307</v>
      </c>
      <c r="C817" s="44">
        <f t="shared" si="598"/>
        <v>3292163.1700000013</v>
      </c>
      <c r="D817" s="38"/>
      <c r="E817" s="38"/>
      <c r="F817" s="38"/>
      <c r="G817" s="45">
        <f t="shared" si="620"/>
        <v>3292163.1700000013</v>
      </c>
      <c r="H817" s="44">
        <v>4300000</v>
      </c>
      <c r="I817" s="46">
        <f t="shared" si="599"/>
        <v>1279966.050000001</v>
      </c>
      <c r="J817" s="38"/>
      <c r="K817" s="38"/>
      <c r="L817" s="38">
        <v>-58346.86</v>
      </c>
      <c r="M817" s="47">
        <f t="shared" si="600"/>
        <v>1221619.1900000009</v>
      </c>
      <c r="N817" s="46">
        <v>5000000</v>
      </c>
      <c r="O817" s="48">
        <f t="shared" si="601"/>
        <v>6599.5400000002701</v>
      </c>
      <c r="P817" s="38"/>
      <c r="Q817" s="38"/>
      <c r="R817" s="38"/>
      <c r="S817" s="55">
        <f t="shared" si="602"/>
        <v>6599.5400000002701</v>
      </c>
      <c r="T817" s="48"/>
      <c r="U817" s="49">
        <f t="shared" si="603"/>
        <v>46.410000000090804</v>
      </c>
      <c r="V817" s="38"/>
      <c r="W817" s="38"/>
      <c r="X817" s="38"/>
      <c r="Y817" s="51">
        <f t="shared" si="604"/>
        <v>46.410000000090804</v>
      </c>
      <c r="Z817" s="52"/>
      <c r="AA817" s="53">
        <f t="shared" si="605"/>
        <v>2609.3599999994876</v>
      </c>
      <c r="AB817" s="38"/>
      <c r="AC817" s="38"/>
      <c r="AD817" s="38"/>
      <c r="AE817" s="54">
        <f t="shared" si="606"/>
        <v>2609.3599999994876</v>
      </c>
      <c r="AF817" s="53"/>
      <c r="AG817" s="53">
        <f t="shared" si="630"/>
        <v>437.55000000006987</v>
      </c>
      <c r="AH817" s="38"/>
      <c r="AI817" s="38"/>
      <c r="AJ817" s="38"/>
      <c r="AK817" s="54">
        <f t="shared" si="607"/>
        <v>437.55000000006987</v>
      </c>
      <c r="AL817" s="53"/>
      <c r="AM817" s="53">
        <f t="shared" si="591"/>
        <v>0</v>
      </c>
      <c r="AN817" s="38"/>
      <c r="AO817" s="38"/>
      <c r="AP817" s="38"/>
      <c r="AQ817" s="54">
        <f t="shared" si="592"/>
        <v>0</v>
      </c>
      <c r="AR817" s="53"/>
      <c r="AS817" s="29">
        <f t="shared" si="627"/>
        <v>4581384.5300000021</v>
      </c>
      <c r="AT817" s="29">
        <f t="shared" si="631"/>
        <v>0</v>
      </c>
      <c r="AU817" s="29">
        <f t="shared" si="632"/>
        <v>0</v>
      </c>
      <c r="AV817" s="29">
        <f t="shared" si="615"/>
        <v>-58346.86</v>
      </c>
      <c r="AW817" s="29"/>
      <c r="AX817" s="29">
        <f t="shared" si="593"/>
        <v>4523475.2200000016</v>
      </c>
      <c r="AY817" s="29">
        <f t="shared" si="594"/>
        <v>9300000</v>
      </c>
      <c r="AZ817" s="29">
        <f t="shared" si="595"/>
        <v>13823475.220000003</v>
      </c>
    </row>
    <row r="818" spans="2:52" x14ac:dyDescent="0.3">
      <c r="B818" s="99">
        <f t="shared" si="622"/>
        <v>45308</v>
      </c>
      <c r="C818" s="44">
        <f t="shared" si="598"/>
        <v>3292163.1700000013</v>
      </c>
      <c r="D818" s="38"/>
      <c r="E818" s="38"/>
      <c r="F818" s="38">
        <f>122.69-9214.36</f>
        <v>-9091.67</v>
      </c>
      <c r="G818" s="45">
        <f t="shared" si="620"/>
        <v>3283071.5000000014</v>
      </c>
      <c r="H818" s="44">
        <v>4300000</v>
      </c>
      <c r="I818" s="46">
        <f t="shared" si="599"/>
        <v>1221619.1900000009</v>
      </c>
      <c r="J818" s="38"/>
      <c r="K818" s="38"/>
      <c r="L818" s="38">
        <v>-37922.86</v>
      </c>
      <c r="M818" s="47">
        <f t="shared" si="600"/>
        <v>1183696.3300000008</v>
      </c>
      <c r="N818" s="46">
        <v>5000000</v>
      </c>
      <c r="O818" s="48">
        <f t="shared" si="601"/>
        <v>6599.5400000002701</v>
      </c>
      <c r="P818" s="38"/>
      <c r="Q818" s="38"/>
      <c r="R818" s="38">
        <v>-2723.03</v>
      </c>
      <c r="S818" s="55">
        <f t="shared" si="602"/>
        <v>3876.5100000002699</v>
      </c>
      <c r="T818" s="48"/>
      <c r="U818" s="49">
        <f t="shared" si="603"/>
        <v>46.410000000090804</v>
      </c>
      <c r="V818" s="38"/>
      <c r="W818" s="38"/>
      <c r="X818" s="38"/>
      <c r="Y818" s="51">
        <f t="shared" si="604"/>
        <v>46.410000000090804</v>
      </c>
      <c r="Z818" s="52"/>
      <c r="AA818" s="53">
        <f t="shared" si="605"/>
        <v>2609.3599999994876</v>
      </c>
      <c r="AB818" s="38"/>
      <c r="AC818" s="38"/>
      <c r="AD818" s="38"/>
      <c r="AE818" s="54">
        <f t="shared" si="606"/>
        <v>2609.3599999994876</v>
      </c>
      <c r="AF818" s="53"/>
      <c r="AG818" s="53">
        <f t="shared" si="630"/>
        <v>437.55000000006987</v>
      </c>
      <c r="AH818" s="38"/>
      <c r="AI818" s="38"/>
      <c r="AJ818" s="38"/>
      <c r="AK818" s="54">
        <f t="shared" si="607"/>
        <v>437.55000000006987</v>
      </c>
      <c r="AL818" s="53"/>
      <c r="AM818" s="53">
        <f t="shared" si="591"/>
        <v>0</v>
      </c>
      <c r="AN818" s="38"/>
      <c r="AO818" s="38"/>
      <c r="AP818" s="38"/>
      <c r="AQ818" s="54">
        <f t="shared" si="592"/>
        <v>0</v>
      </c>
      <c r="AR818" s="53"/>
      <c r="AS818" s="29">
        <f t="shared" si="627"/>
        <v>4523037.6700000018</v>
      </c>
      <c r="AT818" s="29">
        <f t="shared" si="631"/>
        <v>0</v>
      </c>
      <c r="AU818" s="29">
        <f t="shared" si="632"/>
        <v>0</v>
      </c>
      <c r="AV818" s="29">
        <f t="shared" si="615"/>
        <v>-49737.56</v>
      </c>
      <c r="AW818" s="29"/>
      <c r="AX818" s="29">
        <f t="shared" si="593"/>
        <v>4473737.660000002</v>
      </c>
      <c r="AY818" s="29">
        <f t="shared" si="594"/>
        <v>9300000</v>
      </c>
      <c r="AZ818" s="29">
        <f t="shared" si="595"/>
        <v>13773737.660000002</v>
      </c>
    </row>
    <row r="819" spans="2:52" x14ac:dyDescent="0.3">
      <c r="B819" s="99">
        <f t="shared" si="622"/>
        <v>45309</v>
      </c>
      <c r="C819" s="44">
        <f t="shared" si="598"/>
        <v>3283071.5000000014</v>
      </c>
      <c r="D819" s="38">
        <v>417759.3</v>
      </c>
      <c r="E819" s="38"/>
      <c r="F819" s="38"/>
      <c r="G819" s="45">
        <f t="shared" si="620"/>
        <v>3700830.8000000012</v>
      </c>
      <c r="H819" s="44">
        <v>4300000</v>
      </c>
      <c r="I819" s="46">
        <f t="shared" si="599"/>
        <v>1183696.3300000008</v>
      </c>
      <c r="J819" s="38">
        <v>140775.01</v>
      </c>
      <c r="K819" s="38"/>
      <c r="L819" s="38">
        <v>-503411.41</v>
      </c>
      <c r="M819" s="47">
        <f t="shared" si="600"/>
        <v>821059.93000000087</v>
      </c>
      <c r="N819" s="46">
        <v>5000000</v>
      </c>
      <c r="O819" s="48">
        <f t="shared" si="601"/>
        <v>3876.5100000002699</v>
      </c>
      <c r="P819" s="38"/>
      <c r="Q819" s="38"/>
      <c r="R819" s="38"/>
      <c r="S819" s="55">
        <f t="shared" si="602"/>
        <v>3876.5100000002699</v>
      </c>
      <c r="T819" s="48"/>
      <c r="U819" s="49">
        <f t="shared" si="603"/>
        <v>46.410000000090804</v>
      </c>
      <c r="V819" s="38"/>
      <c r="W819" s="38"/>
      <c r="X819" s="38"/>
      <c r="Y819" s="51">
        <f t="shared" si="604"/>
        <v>46.410000000090804</v>
      </c>
      <c r="Z819" s="52"/>
      <c r="AA819" s="53">
        <f t="shared" si="605"/>
        <v>2609.3599999994876</v>
      </c>
      <c r="AB819" s="38"/>
      <c r="AC819" s="38"/>
      <c r="AD819" s="38"/>
      <c r="AE819" s="54">
        <f t="shared" si="606"/>
        <v>2609.3599999994876</v>
      </c>
      <c r="AF819" s="53"/>
      <c r="AG819" s="53">
        <f t="shared" si="630"/>
        <v>437.55000000006987</v>
      </c>
      <c r="AH819" s="38"/>
      <c r="AI819" s="38"/>
      <c r="AJ819" s="38"/>
      <c r="AK819" s="54">
        <f t="shared" si="607"/>
        <v>437.55000000006987</v>
      </c>
      <c r="AL819" s="53"/>
      <c r="AM819" s="53">
        <f t="shared" si="591"/>
        <v>0</v>
      </c>
      <c r="AN819" s="38"/>
      <c r="AO819" s="38"/>
      <c r="AP819" s="38"/>
      <c r="AQ819" s="54">
        <f t="shared" si="592"/>
        <v>0</v>
      </c>
      <c r="AR819" s="53"/>
      <c r="AS819" s="29">
        <f t="shared" si="627"/>
        <v>4473300.1100000022</v>
      </c>
      <c r="AT819" s="29">
        <f t="shared" si="631"/>
        <v>558534.31000000006</v>
      </c>
      <c r="AU819" s="29">
        <f t="shared" si="632"/>
        <v>0</v>
      </c>
      <c r="AV819" s="29">
        <f t="shared" si="615"/>
        <v>-503411.41</v>
      </c>
      <c r="AW819" s="29"/>
      <c r="AX819" s="29">
        <f t="shared" si="593"/>
        <v>4528860.5600000024</v>
      </c>
      <c r="AY819" s="29">
        <f t="shared" si="594"/>
        <v>9300000</v>
      </c>
      <c r="AZ819" s="29">
        <f t="shared" si="595"/>
        <v>13828860.560000002</v>
      </c>
    </row>
    <row r="820" spans="2:52" x14ac:dyDescent="0.3">
      <c r="B820" s="99">
        <f t="shared" si="622"/>
        <v>45310</v>
      </c>
      <c r="C820" s="44">
        <f t="shared" si="598"/>
        <v>3700830.8000000012</v>
      </c>
      <c r="D820" s="38">
        <v>125821.23</v>
      </c>
      <c r="E820" s="38"/>
      <c r="F820" s="38">
        <f>89.08-2319991.35</f>
        <v>-2319902.27</v>
      </c>
      <c r="G820" s="45">
        <f t="shared" si="620"/>
        <v>1506749.7600000012</v>
      </c>
      <c r="H820" s="44">
        <v>4300000</v>
      </c>
      <c r="I820" s="46">
        <f t="shared" si="599"/>
        <v>821059.93000000087</v>
      </c>
      <c r="J820" s="38">
        <v>46186.93</v>
      </c>
      <c r="K820" s="38"/>
      <c r="L820" s="38">
        <v>-39843.99</v>
      </c>
      <c r="M820" s="47">
        <f t="shared" si="600"/>
        <v>827402.87000000093</v>
      </c>
      <c r="N820" s="46">
        <v>5000000</v>
      </c>
      <c r="O820" s="48">
        <f t="shared" si="601"/>
        <v>3876.5100000002699</v>
      </c>
      <c r="P820" s="38"/>
      <c r="Q820" s="38"/>
      <c r="R820" s="38"/>
      <c r="S820" s="55">
        <f t="shared" si="602"/>
        <v>3876.5100000002699</v>
      </c>
      <c r="T820" s="48"/>
      <c r="U820" s="49">
        <f t="shared" si="603"/>
        <v>46.410000000090804</v>
      </c>
      <c r="V820" s="38"/>
      <c r="W820" s="38"/>
      <c r="X820" s="38"/>
      <c r="Y820" s="51">
        <f t="shared" si="604"/>
        <v>46.410000000090804</v>
      </c>
      <c r="Z820" s="52"/>
      <c r="AA820" s="53">
        <f t="shared" si="605"/>
        <v>2609.3599999994876</v>
      </c>
      <c r="AB820" s="38"/>
      <c r="AC820" s="38"/>
      <c r="AD820" s="38"/>
      <c r="AE820" s="54">
        <f t="shared" si="606"/>
        <v>2609.3599999994876</v>
      </c>
      <c r="AF820" s="53"/>
      <c r="AG820" s="53">
        <f t="shared" si="630"/>
        <v>437.55000000006987</v>
      </c>
      <c r="AH820" s="38"/>
      <c r="AI820" s="38"/>
      <c r="AJ820" s="38"/>
      <c r="AK820" s="54">
        <f t="shared" si="607"/>
        <v>437.55000000006987</v>
      </c>
      <c r="AL820" s="53"/>
      <c r="AM820" s="53">
        <f t="shared" si="591"/>
        <v>0</v>
      </c>
      <c r="AN820" s="38"/>
      <c r="AO820" s="38"/>
      <c r="AP820" s="38"/>
      <c r="AQ820" s="54">
        <f t="shared" si="592"/>
        <v>0</v>
      </c>
      <c r="AR820" s="53"/>
      <c r="AS820" s="29">
        <f t="shared" si="627"/>
        <v>4528423.0100000026</v>
      </c>
      <c r="AT820" s="29">
        <f t="shared" si="631"/>
        <v>172008.16</v>
      </c>
      <c r="AU820" s="29">
        <f t="shared" si="632"/>
        <v>0</v>
      </c>
      <c r="AV820" s="29">
        <f t="shared" si="615"/>
        <v>-2359746.2600000002</v>
      </c>
      <c r="AW820" s="29"/>
      <c r="AX820" s="29">
        <f t="shared" si="593"/>
        <v>2341122.4600000023</v>
      </c>
      <c r="AY820" s="29">
        <f t="shared" si="594"/>
        <v>9300000</v>
      </c>
      <c r="AZ820" s="29">
        <f t="shared" si="595"/>
        <v>11641122.460000003</v>
      </c>
    </row>
    <row r="821" spans="2:52" x14ac:dyDescent="0.3">
      <c r="B821" s="99">
        <f t="shared" ref="B821" si="637">B820+3</f>
        <v>45313</v>
      </c>
      <c r="C821" s="44">
        <f t="shared" si="598"/>
        <v>1506749.7600000012</v>
      </c>
      <c r="D821" s="38">
        <v>73410.27</v>
      </c>
      <c r="E821" s="38"/>
      <c r="F821" s="38">
        <f>20.16-3172.46</f>
        <v>-3152.3</v>
      </c>
      <c r="G821" s="45">
        <f t="shared" si="620"/>
        <v>1577007.7300000011</v>
      </c>
      <c r="H821" s="44">
        <v>4300000</v>
      </c>
      <c r="I821" s="46">
        <f t="shared" si="599"/>
        <v>827402.87000000093</v>
      </c>
      <c r="J821" s="38"/>
      <c r="K821" s="38"/>
      <c r="L821" s="38">
        <v>-331499.56</v>
      </c>
      <c r="M821" s="47">
        <f t="shared" si="600"/>
        <v>495903.31000000093</v>
      </c>
      <c r="N821" s="46">
        <v>5000000</v>
      </c>
      <c r="O821" s="48">
        <f t="shared" si="601"/>
        <v>3876.5100000002699</v>
      </c>
      <c r="P821" s="38"/>
      <c r="Q821" s="38"/>
      <c r="R821" s="38"/>
      <c r="S821" s="55">
        <f t="shared" si="602"/>
        <v>3876.5100000002699</v>
      </c>
      <c r="T821" s="48"/>
      <c r="U821" s="49">
        <f t="shared" si="603"/>
        <v>46.410000000090804</v>
      </c>
      <c r="V821" s="38"/>
      <c r="W821" s="38"/>
      <c r="X821" s="38"/>
      <c r="Y821" s="51">
        <f t="shared" si="604"/>
        <v>46.410000000090804</v>
      </c>
      <c r="Z821" s="52"/>
      <c r="AA821" s="53">
        <f t="shared" si="605"/>
        <v>2609.3599999994876</v>
      </c>
      <c r="AB821" s="38"/>
      <c r="AC821" s="38"/>
      <c r="AD821" s="38"/>
      <c r="AE821" s="54">
        <f t="shared" si="606"/>
        <v>2609.3599999994876</v>
      </c>
      <c r="AF821" s="53"/>
      <c r="AG821" s="53">
        <f t="shared" si="630"/>
        <v>437.55000000006987</v>
      </c>
      <c r="AH821" s="38"/>
      <c r="AI821" s="38"/>
      <c r="AJ821" s="38"/>
      <c r="AK821" s="54">
        <f t="shared" si="607"/>
        <v>437.55000000006987</v>
      </c>
      <c r="AL821" s="53"/>
      <c r="AM821" s="53">
        <f t="shared" ref="AM821:AM884" si="638">AQ820</f>
        <v>0</v>
      </c>
      <c r="AN821" s="38"/>
      <c r="AO821" s="38"/>
      <c r="AP821" s="38"/>
      <c r="AQ821" s="54">
        <f t="shared" ref="AQ821:AQ884" si="639">SUM(AM821:AP821)</f>
        <v>0</v>
      </c>
      <c r="AR821" s="53"/>
      <c r="AS821" s="29">
        <f t="shared" si="627"/>
        <v>2340684.910000002</v>
      </c>
      <c r="AT821" s="29">
        <f t="shared" si="631"/>
        <v>73410.27</v>
      </c>
      <c r="AU821" s="29">
        <f t="shared" si="632"/>
        <v>0</v>
      </c>
      <c r="AV821" s="29">
        <f t="shared" si="615"/>
        <v>-334651.86</v>
      </c>
      <c r="AW821" s="29"/>
      <c r="AX821" s="29">
        <f t="shared" si="593"/>
        <v>2079880.870000002</v>
      </c>
      <c r="AY821" s="29">
        <f t="shared" si="594"/>
        <v>9300000</v>
      </c>
      <c r="AZ821" s="29">
        <f t="shared" si="595"/>
        <v>11379880.870000001</v>
      </c>
    </row>
    <row r="822" spans="2:52" x14ac:dyDescent="0.3">
      <c r="B822" s="99">
        <f t="shared" ref="B822" si="640">B821+1</f>
        <v>45314</v>
      </c>
      <c r="C822" s="44">
        <f t="shared" si="598"/>
        <v>1577007.7300000011</v>
      </c>
      <c r="D822" s="38"/>
      <c r="E822" s="38"/>
      <c r="F822" s="38"/>
      <c r="G822" s="45">
        <f t="shared" si="620"/>
        <v>1577007.7300000011</v>
      </c>
      <c r="H822" s="44">
        <v>4300000</v>
      </c>
      <c r="I822" s="46">
        <f t="shared" si="599"/>
        <v>495903.31000000093</v>
      </c>
      <c r="J822" s="38"/>
      <c r="K822" s="38"/>
      <c r="L822" s="38">
        <v>-12535.95</v>
      </c>
      <c r="M822" s="47">
        <f t="shared" si="600"/>
        <v>483367.36000000092</v>
      </c>
      <c r="N822" s="46">
        <v>5000000</v>
      </c>
      <c r="O822" s="48">
        <f t="shared" si="601"/>
        <v>3876.5100000002699</v>
      </c>
      <c r="P822" s="38"/>
      <c r="Q822" s="38"/>
      <c r="R822" s="38"/>
      <c r="S822" s="55">
        <f t="shared" si="602"/>
        <v>3876.5100000002699</v>
      </c>
      <c r="T822" s="48"/>
      <c r="U822" s="49">
        <f t="shared" si="603"/>
        <v>46.410000000090804</v>
      </c>
      <c r="V822" s="38"/>
      <c r="W822" s="38"/>
      <c r="X822" s="38"/>
      <c r="Y822" s="51">
        <f t="shared" si="604"/>
        <v>46.410000000090804</v>
      </c>
      <c r="Z822" s="52"/>
      <c r="AA822" s="53">
        <f t="shared" si="605"/>
        <v>2609.3599999994876</v>
      </c>
      <c r="AB822" s="38"/>
      <c r="AC822" s="38"/>
      <c r="AD822" s="38"/>
      <c r="AE822" s="54">
        <f t="shared" si="606"/>
        <v>2609.3599999994876</v>
      </c>
      <c r="AF822" s="53"/>
      <c r="AG822" s="53">
        <f t="shared" si="630"/>
        <v>437.55000000006987</v>
      </c>
      <c r="AH822" s="38"/>
      <c r="AI822" s="38"/>
      <c r="AJ822" s="38"/>
      <c r="AK822" s="54">
        <f t="shared" si="607"/>
        <v>437.55000000006987</v>
      </c>
      <c r="AL822" s="53"/>
      <c r="AM822" s="53">
        <f t="shared" si="638"/>
        <v>0</v>
      </c>
      <c r="AN822" s="38"/>
      <c r="AO822" s="38"/>
      <c r="AP822" s="38"/>
      <c r="AQ822" s="54">
        <f t="shared" si="639"/>
        <v>0</v>
      </c>
      <c r="AR822" s="53"/>
      <c r="AS822" s="29">
        <f t="shared" si="627"/>
        <v>2079443.3200000019</v>
      </c>
      <c r="AT822" s="29">
        <f t="shared" si="631"/>
        <v>0</v>
      </c>
      <c r="AU822" s="29">
        <f t="shared" si="632"/>
        <v>0</v>
      </c>
      <c r="AV822" s="29">
        <f t="shared" si="615"/>
        <v>-12535.95</v>
      </c>
      <c r="AW822" s="29"/>
      <c r="AX822" s="29">
        <f t="shared" ref="AX822:AX856" si="641">SUM(G822,M822,S822,Y822,AE822,AK822)</f>
        <v>2067344.920000002</v>
      </c>
      <c r="AY822" s="29">
        <f t="shared" ref="AY822:AY856" si="642">SUM(H822,N822,T822,Z822,AF822,AL822)</f>
        <v>9300000</v>
      </c>
      <c r="AZ822" s="29">
        <f t="shared" ref="AZ822:AZ856" si="643">AX822+AY822</f>
        <v>11367344.920000002</v>
      </c>
    </row>
    <row r="823" spans="2:52" x14ac:dyDescent="0.3">
      <c r="B823" s="99">
        <f t="shared" si="622"/>
        <v>45315</v>
      </c>
      <c r="C823" s="44">
        <f t="shared" si="598"/>
        <v>1577007.7300000011</v>
      </c>
      <c r="D823" s="38">
        <v>242757.65</v>
      </c>
      <c r="E823" s="38"/>
      <c r="F823" s="38"/>
      <c r="G823" s="45">
        <f t="shared" si="620"/>
        <v>1819765.3800000011</v>
      </c>
      <c r="H823" s="44">
        <v>4300000</v>
      </c>
      <c r="I823" s="46">
        <f t="shared" si="599"/>
        <v>483367.36000000092</v>
      </c>
      <c r="J823" s="38">
        <v>9291.15</v>
      </c>
      <c r="K823" s="38"/>
      <c r="L823" s="38">
        <v>-20369.939999999999</v>
      </c>
      <c r="M823" s="47">
        <f t="shared" si="600"/>
        <v>472288.57000000094</v>
      </c>
      <c r="N823" s="46">
        <v>5000000</v>
      </c>
      <c r="O823" s="48">
        <f t="shared" si="601"/>
        <v>3876.5100000002699</v>
      </c>
      <c r="P823" s="38"/>
      <c r="Q823" s="38"/>
      <c r="R823" s="38"/>
      <c r="S823" s="55">
        <f t="shared" si="602"/>
        <v>3876.5100000002699</v>
      </c>
      <c r="T823" s="48"/>
      <c r="U823" s="49">
        <f t="shared" si="603"/>
        <v>46.410000000090804</v>
      </c>
      <c r="V823" s="38"/>
      <c r="W823" s="38"/>
      <c r="X823" s="38"/>
      <c r="Y823" s="51">
        <f t="shared" si="604"/>
        <v>46.410000000090804</v>
      </c>
      <c r="Z823" s="52"/>
      <c r="AA823" s="53">
        <f t="shared" si="605"/>
        <v>2609.3599999994876</v>
      </c>
      <c r="AB823" s="38"/>
      <c r="AC823" s="38"/>
      <c r="AD823" s="38"/>
      <c r="AE823" s="54">
        <f t="shared" si="606"/>
        <v>2609.3599999994876</v>
      </c>
      <c r="AF823" s="53"/>
      <c r="AG823" s="53">
        <f t="shared" si="630"/>
        <v>437.55000000006987</v>
      </c>
      <c r="AH823" s="38"/>
      <c r="AI823" s="38"/>
      <c r="AJ823" s="38"/>
      <c r="AK823" s="54">
        <f t="shared" si="607"/>
        <v>437.55000000006987</v>
      </c>
      <c r="AL823" s="53"/>
      <c r="AM823" s="53">
        <f t="shared" si="638"/>
        <v>0</v>
      </c>
      <c r="AN823" s="38"/>
      <c r="AO823" s="38"/>
      <c r="AP823" s="38"/>
      <c r="AQ823" s="54">
        <f t="shared" si="639"/>
        <v>0</v>
      </c>
      <c r="AR823" s="53"/>
      <c r="AS823" s="29">
        <f t="shared" si="627"/>
        <v>2066907.370000002</v>
      </c>
      <c r="AT823" s="29">
        <f t="shared" si="631"/>
        <v>252048.8</v>
      </c>
      <c r="AU823" s="29">
        <f t="shared" si="632"/>
        <v>0</v>
      </c>
      <c r="AV823" s="29">
        <f t="shared" si="615"/>
        <v>-20369.939999999999</v>
      </c>
      <c r="AW823" s="29"/>
      <c r="AX823" s="29">
        <f t="shared" si="641"/>
        <v>2299023.7800000021</v>
      </c>
      <c r="AY823" s="29">
        <f t="shared" si="642"/>
        <v>9300000</v>
      </c>
      <c r="AZ823" s="29">
        <f t="shared" si="643"/>
        <v>11599023.780000001</v>
      </c>
    </row>
    <row r="824" spans="2:52" x14ac:dyDescent="0.3">
      <c r="B824" s="99">
        <f t="shared" si="622"/>
        <v>45316</v>
      </c>
      <c r="C824" s="44">
        <f t="shared" si="598"/>
        <v>1819765.3800000011</v>
      </c>
      <c r="D824" s="38">
        <v>249745.21</v>
      </c>
      <c r="E824" s="38"/>
      <c r="F824" s="38">
        <v>-1177650.57</v>
      </c>
      <c r="G824" s="45">
        <f t="shared" si="620"/>
        <v>891860.02000000095</v>
      </c>
      <c r="H824" s="44">
        <v>4300000</v>
      </c>
      <c r="I824" s="46">
        <f t="shared" si="599"/>
        <v>472288.57000000094</v>
      </c>
      <c r="J824" s="38"/>
      <c r="K824" s="38"/>
      <c r="L824" s="38">
        <v>-30691.72</v>
      </c>
      <c r="M824" s="47">
        <f t="shared" si="600"/>
        <v>441596.85000000091</v>
      </c>
      <c r="N824" s="46">
        <v>5000000</v>
      </c>
      <c r="O824" s="48">
        <f t="shared" si="601"/>
        <v>3876.5100000002699</v>
      </c>
      <c r="P824" s="38"/>
      <c r="Q824" s="38"/>
      <c r="R824" s="38">
        <v>-115</v>
      </c>
      <c r="S824" s="55">
        <f t="shared" si="602"/>
        <v>3761.5100000002699</v>
      </c>
      <c r="T824" s="48"/>
      <c r="U824" s="49">
        <f t="shared" si="603"/>
        <v>46.410000000090804</v>
      </c>
      <c r="V824" s="38"/>
      <c r="W824" s="38"/>
      <c r="X824" s="38"/>
      <c r="Y824" s="51">
        <f t="shared" si="604"/>
        <v>46.410000000090804</v>
      </c>
      <c r="Z824" s="52"/>
      <c r="AA824" s="53">
        <f t="shared" si="605"/>
        <v>2609.3599999994876</v>
      </c>
      <c r="AB824" s="38"/>
      <c r="AC824" s="38"/>
      <c r="AD824" s="38"/>
      <c r="AE824" s="54">
        <f t="shared" si="606"/>
        <v>2609.3599999994876</v>
      </c>
      <c r="AF824" s="53"/>
      <c r="AG824" s="53">
        <f t="shared" si="630"/>
        <v>437.55000000006987</v>
      </c>
      <c r="AH824" s="38"/>
      <c r="AI824" s="38"/>
      <c r="AJ824" s="38"/>
      <c r="AK824" s="54">
        <f t="shared" si="607"/>
        <v>437.55000000006987</v>
      </c>
      <c r="AL824" s="53"/>
      <c r="AM824" s="53">
        <f t="shared" si="638"/>
        <v>0</v>
      </c>
      <c r="AN824" s="38"/>
      <c r="AO824" s="38"/>
      <c r="AP824" s="38"/>
      <c r="AQ824" s="54">
        <f t="shared" si="639"/>
        <v>0</v>
      </c>
      <c r="AR824" s="53"/>
      <c r="AS824" s="29">
        <f t="shared" si="627"/>
        <v>2298586.2300000018</v>
      </c>
      <c r="AT824" s="29">
        <f t="shared" si="631"/>
        <v>249745.21</v>
      </c>
      <c r="AU824" s="29">
        <f t="shared" si="632"/>
        <v>0</v>
      </c>
      <c r="AV824" s="29">
        <f t="shared" si="615"/>
        <v>-1208457.29</v>
      </c>
      <c r="AW824" s="29"/>
      <c r="AX824" s="29">
        <f t="shared" si="641"/>
        <v>1340311.7000000018</v>
      </c>
      <c r="AY824" s="29">
        <f t="shared" si="642"/>
        <v>9300000</v>
      </c>
      <c r="AZ824" s="29">
        <f t="shared" si="643"/>
        <v>10640311.700000001</v>
      </c>
    </row>
    <row r="825" spans="2:52" x14ac:dyDescent="0.3">
      <c r="B825" s="99">
        <f t="shared" si="622"/>
        <v>45317</v>
      </c>
      <c r="C825" s="44">
        <f t="shared" si="598"/>
        <v>891860.02000000095</v>
      </c>
      <c r="D825" s="38">
        <v>620117.18000000005</v>
      </c>
      <c r="E825" s="38"/>
      <c r="F825" s="38">
        <v>-310</v>
      </c>
      <c r="G825" s="45">
        <f t="shared" si="620"/>
        <v>1511667.2000000011</v>
      </c>
      <c r="H825" s="44">
        <v>4300000</v>
      </c>
      <c r="I825" s="46">
        <f t="shared" si="599"/>
        <v>441596.85000000091</v>
      </c>
      <c r="J825" s="38">
        <v>42949.14</v>
      </c>
      <c r="K825" s="38"/>
      <c r="L825" s="38">
        <v>-40639.629999999997</v>
      </c>
      <c r="M825" s="47">
        <f t="shared" si="600"/>
        <v>443906.36000000092</v>
      </c>
      <c r="N825" s="46">
        <v>5000000</v>
      </c>
      <c r="O825" s="48">
        <f t="shared" si="601"/>
        <v>3761.5100000002699</v>
      </c>
      <c r="P825" s="38"/>
      <c r="Q825" s="38"/>
      <c r="R825" s="38"/>
      <c r="S825" s="55">
        <f t="shared" si="602"/>
        <v>3761.5100000002699</v>
      </c>
      <c r="T825" s="48"/>
      <c r="U825" s="49">
        <f t="shared" si="603"/>
        <v>46.410000000090804</v>
      </c>
      <c r="V825" s="38"/>
      <c r="W825" s="38"/>
      <c r="X825" s="38"/>
      <c r="Y825" s="51">
        <f t="shared" si="604"/>
        <v>46.410000000090804</v>
      </c>
      <c r="Z825" s="52"/>
      <c r="AA825" s="53">
        <f t="shared" si="605"/>
        <v>2609.3599999994876</v>
      </c>
      <c r="AB825" s="38"/>
      <c r="AC825" s="38"/>
      <c r="AD825" s="38"/>
      <c r="AE825" s="54">
        <f t="shared" si="606"/>
        <v>2609.3599999994876</v>
      </c>
      <c r="AF825" s="53"/>
      <c r="AG825" s="53">
        <f t="shared" si="630"/>
        <v>437.55000000006987</v>
      </c>
      <c r="AH825" s="38"/>
      <c r="AI825" s="38"/>
      <c r="AJ825" s="38"/>
      <c r="AK825" s="54">
        <f t="shared" si="607"/>
        <v>437.55000000006987</v>
      </c>
      <c r="AL825" s="53"/>
      <c r="AM825" s="53">
        <f t="shared" si="638"/>
        <v>0</v>
      </c>
      <c r="AN825" s="38"/>
      <c r="AO825" s="38"/>
      <c r="AP825" s="38"/>
      <c r="AQ825" s="54">
        <f t="shared" si="639"/>
        <v>0</v>
      </c>
      <c r="AR825" s="53"/>
      <c r="AS825" s="29">
        <f t="shared" si="627"/>
        <v>1339874.1500000018</v>
      </c>
      <c r="AT825" s="29">
        <f t="shared" si="631"/>
        <v>663066.32000000007</v>
      </c>
      <c r="AU825" s="29">
        <f t="shared" si="632"/>
        <v>0</v>
      </c>
      <c r="AV825" s="29">
        <f t="shared" si="615"/>
        <v>-40949.629999999997</v>
      </c>
      <c r="AW825" s="29"/>
      <c r="AX825" s="29">
        <f t="shared" si="641"/>
        <v>1962428.3900000018</v>
      </c>
      <c r="AY825" s="29">
        <f t="shared" si="642"/>
        <v>9300000</v>
      </c>
      <c r="AZ825" s="29">
        <f t="shared" si="643"/>
        <v>11262428.390000002</v>
      </c>
    </row>
    <row r="826" spans="2:52" x14ac:dyDescent="0.3">
      <c r="B826" s="99">
        <f t="shared" ref="B826" si="644">B825+3</f>
        <v>45320</v>
      </c>
      <c r="C826" s="44">
        <f t="shared" si="598"/>
        <v>1511667.2000000011</v>
      </c>
      <c r="D826" s="38">
        <v>211543</v>
      </c>
      <c r="E826" s="38"/>
      <c r="F826" s="38">
        <v>-246655.65</v>
      </c>
      <c r="G826" s="45">
        <f t="shared" si="620"/>
        <v>1476554.5500000012</v>
      </c>
      <c r="H826" s="44">
        <v>4300000</v>
      </c>
      <c r="I826" s="46">
        <f t="shared" si="599"/>
        <v>443906.36000000092</v>
      </c>
      <c r="J826" s="38">
        <v>935388.56</v>
      </c>
      <c r="K826" s="38"/>
      <c r="L826" s="38">
        <v>-96106.72</v>
      </c>
      <c r="M826" s="47">
        <f t="shared" si="600"/>
        <v>1283188.2000000009</v>
      </c>
      <c r="N826" s="46">
        <v>5000000</v>
      </c>
      <c r="O826" s="48">
        <f t="shared" si="601"/>
        <v>3761.5100000002699</v>
      </c>
      <c r="P826" s="38">
        <v>22181.7</v>
      </c>
      <c r="Q826" s="38"/>
      <c r="R826" s="38"/>
      <c r="S826" s="55">
        <f t="shared" si="602"/>
        <v>25943.210000000272</v>
      </c>
      <c r="T826" s="48"/>
      <c r="U826" s="49">
        <f t="shared" si="603"/>
        <v>46.410000000090804</v>
      </c>
      <c r="V826" s="38">
        <v>25446.79</v>
      </c>
      <c r="W826" s="38"/>
      <c r="X826" s="38"/>
      <c r="Y826" s="51">
        <f t="shared" si="604"/>
        <v>25493.200000000092</v>
      </c>
      <c r="Z826" s="52"/>
      <c r="AA826" s="53">
        <f t="shared" si="605"/>
        <v>2609.3599999994876</v>
      </c>
      <c r="AB826" s="38"/>
      <c r="AC826" s="38"/>
      <c r="AD826" s="38"/>
      <c r="AE826" s="54">
        <f t="shared" si="606"/>
        <v>2609.3599999994876</v>
      </c>
      <c r="AF826" s="53"/>
      <c r="AG826" s="53">
        <f t="shared" si="630"/>
        <v>437.55000000006987</v>
      </c>
      <c r="AH826" s="38"/>
      <c r="AI826" s="38"/>
      <c r="AJ826" s="38"/>
      <c r="AK826" s="54">
        <f t="shared" si="607"/>
        <v>437.55000000006987</v>
      </c>
      <c r="AL826" s="53"/>
      <c r="AM826" s="53">
        <f t="shared" si="638"/>
        <v>0</v>
      </c>
      <c r="AN826" s="38"/>
      <c r="AO826" s="38"/>
      <c r="AP826" s="38"/>
      <c r="AQ826" s="54">
        <f t="shared" si="639"/>
        <v>0</v>
      </c>
      <c r="AR826" s="53"/>
      <c r="AS826" s="29">
        <f t="shared" si="627"/>
        <v>1961990.8400000017</v>
      </c>
      <c r="AT826" s="29">
        <f t="shared" si="631"/>
        <v>1194560.05</v>
      </c>
      <c r="AU826" s="29">
        <f t="shared" si="632"/>
        <v>0</v>
      </c>
      <c r="AV826" s="29">
        <f t="shared" si="615"/>
        <v>-342762.37</v>
      </c>
      <c r="AW826" s="29"/>
      <c r="AX826" s="29">
        <f t="shared" si="641"/>
        <v>2814226.0700000022</v>
      </c>
      <c r="AY826" s="29">
        <f t="shared" si="642"/>
        <v>9300000</v>
      </c>
      <c r="AZ826" s="29">
        <f t="shared" si="643"/>
        <v>12114226.070000002</v>
      </c>
    </row>
    <row r="827" spans="2:52" x14ac:dyDescent="0.3">
      <c r="B827" s="99">
        <f t="shared" ref="B827" si="645">B826+1</f>
        <v>45321</v>
      </c>
      <c r="C827" s="44">
        <f t="shared" ref="C827:C890" si="646">G826</f>
        <v>1476554.5500000012</v>
      </c>
      <c r="D827" s="38">
        <v>47712</v>
      </c>
      <c r="E827" s="38"/>
      <c r="F827" s="38"/>
      <c r="G827" s="45">
        <f t="shared" si="620"/>
        <v>1524266.5500000012</v>
      </c>
      <c r="H827" s="44">
        <v>4300000</v>
      </c>
      <c r="I827" s="46">
        <f t="shared" ref="I827:I890" si="647">M826</f>
        <v>1283188.2000000009</v>
      </c>
      <c r="J827" s="38">
        <v>60000</v>
      </c>
      <c r="K827" s="38"/>
      <c r="L827" s="38"/>
      <c r="M827" s="47">
        <f t="shared" ref="M827:M890" si="648">SUM(I827:L827)</f>
        <v>1343188.2000000009</v>
      </c>
      <c r="N827" s="46">
        <v>5000000</v>
      </c>
      <c r="O827" s="48">
        <f t="shared" ref="O827:O890" si="649">S826</f>
        <v>25943.210000000272</v>
      </c>
      <c r="P827" s="38">
        <v>859573.27</v>
      </c>
      <c r="Q827" s="38"/>
      <c r="R827" s="38"/>
      <c r="S827" s="55">
        <f t="shared" ref="S827:S890" si="650">SUM(O827:R827)</f>
        <v>885516.48000000033</v>
      </c>
      <c r="T827" s="48"/>
      <c r="U827" s="49">
        <f t="shared" ref="U827:U890" si="651">Y826</f>
        <v>25493.200000000092</v>
      </c>
      <c r="V827" s="38">
        <v>97604</v>
      </c>
      <c r="W827" s="38"/>
      <c r="X827" s="38"/>
      <c r="Y827" s="51">
        <f t="shared" ref="Y827:Y890" si="652">SUM(U827:X827)</f>
        <v>123097.2000000001</v>
      </c>
      <c r="Z827" s="52"/>
      <c r="AA827" s="53">
        <f t="shared" ref="AA827:AA890" si="653">AE826</f>
        <v>2609.3599999994876</v>
      </c>
      <c r="AB827" s="38"/>
      <c r="AC827" s="38"/>
      <c r="AD827" s="38"/>
      <c r="AE827" s="54">
        <f t="shared" ref="AE827:AE890" si="654">SUM(AA827:AD827)</f>
        <v>2609.3599999994876</v>
      </c>
      <c r="AF827" s="53"/>
      <c r="AG827" s="53">
        <f t="shared" si="630"/>
        <v>437.55000000006987</v>
      </c>
      <c r="AH827" s="38"/>
      <c r="AI827" s="38"/>
      <c r="AJ827" s="38"/>
      <c r="AK827" s="54">
        <f t="shared" ref="AK827:AK856" si="655">SUM(AG827:AJ827)</f>
        <v>437.55000000006987</v>
      </c>
      <c r="AL827" s="53"/>
      <c r="AM827" s="53">
        <f t="shared" si="638"/>
        <v>0</v>
      </c>
      <c r="AN827" s="38"/>
      <c r="AO827" s="38"/>
      <c r="AP827" s="38"/>
      <c r="AQ827" s="54">
        <f t="shared" si="639"/>
        <v>0</v>
      </c>
      <c r="AR827" s="53"/>
      <c r="AS827" s="29">
        <f t="shared" si="627"/>
        <v>2813788.5200000019</v>
      </c>
      <c r="AT827" s="29">
        <f t="shared" si="631"/>
        <v>1064889.27</v>
      </c>
      <c r="AU827" s="29">
        <f t="shared" si="632"/>
        <v>0</v>
      </c>
      <c r="AV827" s="29">
        <f t="shared" si="615"/>
        <v>0</v>
      </c>
      <c r="AW827" s="29"/>
      <c r="AX827" s="29">
        <f t="shared" si="641"/>
        <v>3879115.3400000022</v>
      </c>
      <c r="AY827" s="29">
        <f t="shared" si="642"/>
        <v>9300000</v>
      </c>
      <c r="AZ827" s="29">
        <f t="shared" si="643"/>
        <v>13179115.340000002</v>
      </c>
    </row>
    <row r="828" spans="2:52" x14ac:dyDescent="0.3">
      <c r="B828" s="99">
        <f t="shared" si="622"/>
        <v>45322</v>
      </c>
      <c r="C828" s="44">
        <f t="shared" si="646"/>
        <v>1524266.5500000012</v>
      </c>
      <c r="D828" s="38">
        <v>382146.2</v>
      </c>
      <c r="E828" s="38"/>
      <c r="F828" s="38">
        <v>-65372.959999999999</v>
      </c>
      <c r="G828" s="45">
        <f t="shared" si="620"/>
        <v>1841039.7900000012</v>
      </c>
      <c r="H828" s="44">
        <v>4300000</v>
      </c>
      <c r="I828" s="46">
        <f t="shared" si="647"/>
        <v>1343188.2000000009</v>
      </c>
      <c r="J828" s="38">
        <v>1794.42</v>
      </c>
      <c r="K828" s="38">
        <v>1000000</v>
      </c>
      <c r="L828" s="38"/>
      <c r="M828" s="47">
        <f t="shared" si="648"/>
        <v>2344982.620000001</v>
      </c>
      <c r="N828" s="46">
        <v>5000000</v>
      </c>
      <c r="O828" s="48">
        <f t="shared" si="649"/>
        <v>885516.48000000033</v>
      </c>
      <c r="P828" s="38"/>
      <c r="Q828" s="38">
        <f>123050-1000000</f>
        <v>-876950</v>
      </c>
      <c r="R828" s="38"/>
      <c r="S828" s="55">
        <f t="shared" si="650"/>
        <v>8566.4800000003306</v>
      </c>
      <c r="T828" s="48"/>
      <c r="U828" s="49">
        <f t="shared" si="651"/>
        <v>123097.2000000001</v>
      </c>
      <c r="V828" s="38"/>
      <c r="W828" s="38">
        <v>-123050</v>
      </c>
      <c r="X828" s="38">
        <v>-1.5</v>
      </c>
      <c r="Y828" s="51">
        <f t="shared" si="652"/>
        <v>45.700000000098953</v>
      </c>
      <c r="Z828" s="52"/>
      <c r="AA828" s="53">
        <f t="shared" si="653"/>
        <v>2609.3599999994876</v>
      </c>
      <c r="AB828" s="38"/>
      <c r="AC828" s="38"/>
      <c r="AD828" s="38"/>
      <c r="AE828" s="54">
        <f t="shared" si="654"/>
        <v>2609.3599999994876</v>
      </c>
      <c r="AF828" s="53"/>
      <c r="AG828" s="53">
        <f t="shared" si="630"/>
        <v>437.55000000006987</v>
      </c>
      <c r="AH828" s="38"/>
      <c r="AI828" s="38"/>
      <c r="AJ828" s="38">
        <v>-75</v>
      </c>
      <c r="AK828" s="54">
        <f t="shared" si="655"/>
        <v>362.55000000006987</v>
      </c>
      <c r="AL828" s="53"/>
      <c r="AM828" s="53">
        <f t="shared" si="638"/>
        <v>0</v>
      </c>
      <c r="AN828" s="38"/>
      <c r="AO828" s="38"/>
      <c r="AP828" s="38"/>
      <c r="AQ828" s="54">
        <f t="shared" si="639"/>
        <v>0</v>
      </c>
      <c r="AR828" s="53"/>
      <c r="AS828" s="29">
        <f t="shared" si="627"/>
        <v>3878677.7900000019</v>
      </c>
      <c r="AT828" s="29">
        <f t="shared" si="631"/>
        <v>383940.62</v>
      </c>
      <c r="AU828" s="29">
        <f t="shared" si="632"/>
        <v>0</v>
      </c>
      <c r="AV828" s="29">
        <f t="shared" si="615"/>
        <v>-65449.46</v>
      </c>
      <c r="AW828" s="29"/>
      <c r="AX828" s="29">
        <f t="shared" si="641"/>
        <v>4197606.5000000019</v>
      </c>
      <c r="AY828" s="29">
        <f t="shared" si="642"/>
        <v>9300000</v>
      </c>
      <c r="AZ828" s="29">
        <f t="shared" si="643"/>
        <v>13497606.500000002</v>
      </c>
    </row>
    <row r="829" spans="2:52" x14ac:dyDescent="0.3">
      <c r="B829" s="99">
        <f t="shared" si="622"/>
        <v>45323</v>
      </c>
      <c r="C829" s="44">
        <f t="shared" si="646"/>
        <v>1841039.7900000012</v>
      </c>
      <c r="D829" s="38">
        <v>124793.58</v>
      </c>
      <c r="E829" s="38"/>
      <c r="F829" s="38">
        <v>-14087.07</v>
      </c>
      <c r="G829" s="45">
        <f t="shared" si="620"/>
        <v>1951746.3000000012</v>
      </c>
      <c r="H829" s="44">
        <v>4300000</v>
      </c>
      <c r="I829" s="46">
        <f t="shared" si="647"/>
        <v>2344982.620000001</v>
      </c>
      <c r="J829" s="38"/>
      <c r="K829" s="38"/>
      <c r="L829" s="38">
        <v>-15600.75</v>
      </c>
      <c r="M829" s="47">
        <f t="shared" si="648"/>
        <v>2329381.870000001</v>
      </c>
      <c r="N829" s="46">
        <v>5000000</v>
      </c>
      <c r="O829" s="48">
        <f t="shared" si="649"/>
        <v>8566.4800000003306</v>
      </c>
      <c r="P829" s="38"/>
      <c r="Q829" s="38"/>
      <c r="R829" s="38">
        <v>-10</v>
      </c>
      <c r="S829" s="55">
        <f t="shared" si="650"/>
        <v>8556.4800000003306</v>
      </c>
      <c r="T829" s="48"/>
      <c r="U829" s="49">
        <f t="shared" si="651"/>
        <v>45.700000000098953</v>
      </c>
      <c r="V829" s="38"/>
      <c r="W829" s="38"/>
      <c r="X829" s="38"/>
      <c r="Y829" s="51">
        <f t="shared" si="652"/>
        <v>45.700000000098953</v>
      </c>
      <c r="Z829" s="52"/>
      <c r="AA829" s="53">
        <f t="shared" si="653"/>
        <v>2609.3599999994876</v>
      </c>
      <c r="AB829" s="38"/>
      <c r="AC829" s="38"/>
      <c r="AD829" s="38">
        <v>-514.35</v>
      </c>
      <c r="AE829" s="54">
        <f t="shared" si="654"/>
        <v>2095.0099999994877</v>
      </c>
      <c r="AF829" s="53"/>
      <c r="AG829" s="53">
        <f t="shared" si="630"/>
        <v>362.55000000006987</v>
      </c>
      <c r="AH829" s="38"/>
      <c r="AI829" s="38"/>
      <c r="AJ829" s="38"/>
      <c r="AK829" s="54">
        <f t="shared" si="655"/>
        <v>362.55000000006987</v>
      </c>
      <c r="AL829" s="53"/>
      <c r="AM829" s="53">
        <f t="shared" si="638"/>
        <v>0</v>
      </c>
      <c r="AN829" s="38"/>
      <c r="AO829" s="38"/>
      <c r="AP829" s="38"/>
      <c r="AQ829" s="54">
        <f t="shared" si="639"/>
        <v>0</v>
      </c>
      <c r="AR829" s="53"/>
      <c r="AS829" s="29">
        <f t="shared" si="627"/>
        <v>4197243.950000002</v>
      </c>
      <c r="AT829" s="29">
        <f t="shared" si="631"/>
        <v>124793.58</v>
      </c>
      <c r="AU829" s="29">
        <f t="shared" si="632"/>
        <v>0</v>
      </c>
      <c r="AV829" s="29">
        <f t="shared" si="615"/>
        <v>-30212.17</v>
      </c>
      <c r="AW829" s="29"/>
      <c r="AX829" s="29">
        <f t="shared" si="641"/>
        <v>4292187.910000002</v>
      </c>
      <c r="AY829" s="29">
        <f t="shared" si="642"/>
        <v>9300000</v>
      </c>
      <c r="AZ829" s="29">
        <f t="shared" si="643"/>
        <v>13592187.910000002</v>
      </c>
    </row>
    <row r="830" spans="2:52" x14ac:dyDescent="0.3">
      <c r="B830" s="99">
        <f t="shared" si="622"/>
        <v>45324</v>
      </c>
      <c r="C830" s="44">
        <f t="shared" si="646"/>
        <v>1951746.3000000012</v>
      </c>
      <c r="D830" s="38">
        <v>73407.59</v>
      </c>
      <c r="E830" s="38">
        <v>-500000</v>
      </c>
      <c r="F830" s="38">
        <v>-1091198.26</v>
      </c>
      <c r="G830" s="45">
        <f t="shared" si="620"/>
        <v>433955.63000000129</v>
      </c>
      <c r="H830" s="44">
        <v>4300000</v>
      </c>
      <c r="I830" s="46">
        <f t="shared" si="647"/>
        <v>2329381.870000001</v>
      </c>
      <c r="J830" s="38"/>
      <c r="K830" s="38">
        <v>500000</v>
      </c>
      <c r="L830" s="38">
        <v>-2707166.3</v>
      </c>
      <c r="M830" s="47">
        <f t="shared" si="648"/>
        <v>122215.57000000123</v>
      </c>
      <c r="N830" s="46">
        <v>5000000</v>
      </c>
      <c r="O830" s="48">
        <f t="shared" si="649"/>
        <v>8556.4800000003306</v>
      </c>
      <c r="P830" s="38"/>
      <c r="Q830" s="38"/>
      <c r="R830" s="38">
        <v>-4810.33</v>
      </c>
      <c r="S830" s="55">
        <f t="shared" si="650"/>
        <v>3746.1500000003307</v>
      </c>
      <c r="T830" s="48"/>
      <c r="U830" s="49">
        <f t="shared" si="651"/>
        <v>45.700000000098953</v>
      </c>
      <c r="V830" s="38"/>
      <c r="W830" s="38"/>
      <c r="X830" s="38">
        <v>-45.7</v>
      </c>
      <c r="Y830" s="51">
        <f t="shared" si="652"/>
        <v>9.8950181381951552E-11</v>
      </c>
      <c r="Z830" s="52"/>
      <c r="AA830" s="53">
        <f t="shared" si="653"/>
        <v>2095.0099999994877</v>
      </c>
      <c r="AB830" s="38"/>
      <c r="AC830" s="38"/>
      <c r="AD830" s="38">
        <v>-1114.56</v>
      </c>
      <c r="AE830" s="54">
        <f t="shared" si="654"/>
        <v>980.44999999948777</v>
      </c>
      <c r="AF830" s="53"/>
      <c r="AG830" s="53">
        <f t="shared" si="630"/>
        <v>362.55000000006987</v>
      </c>
      <c r="AH830" s="38"/>
      <c r="AI830" s="38"/>
      <c r="AJ830" s="38"/>
      <c r="AK830" s="54">
        <f t="shared" si="655"/>
        <v>362.55000000006987</v>
      </c>
      <c r="AL830" s="53"/>
      <c r="AM830" s="53">
        <f t="shared" si="638"/>
        <v>0</v>
      </c>
      <c r="AN830" s="38"/>
      <c r="AO830" s="38"/>
      <c r="AP830" s="38"/>
      <c r="AQ830" s="54">
        <f t="shared" si="639"/>
        <v>0</v>
      </c>
      <c r="AR830" s="53"/>
      <c r="AS830" s="29">
        <f t="shared" si="627"/>
        <v>4291825.3600000022</v>
      </c>
      <c r="AT830" s="29">
        <f t="shared" si="631"/>
        <v>73407.59</v>
      </c>
      <c r="AU830" s="29">
        <f t="shared" si="632"/>
        <v>0</v>
      </c>
      <c r="AV830" s="29">
        <f t="shared" si="615"/>
        <v>-3804335.15</v>
      </c>
      <c r="AW830" s="29"/>
      <c r="AX830" s="29">
        <f t="shared" si="641"/>
        <v>561260.35000000254</v>
      </c>
      <c r="AY830" s="29">
        <f t="shared" si="642"/>
        <v>9300000</v>
      </c>
      <c r="AZ830" s="29">
        <f t="shared" si="643"/>
        <v>9861260.3500000034</v>
      </c>
    </row>
    <row r="831" spans="2:52" x14ac:dyDescent="0.3">
      <c r="B831" s="99">
        <f t="shared" ref="B831" si="656">B830+3</f>
        <v>45327</v>
      </c>
      <c r="C831" s="44">
        <f t="shared" si="646"/>
        <v>433955.63000000129</v>
      </c>
      <c r="D831" s="38">
        <v>277829.7</v>
      </c>
      <c r="E831" s="38">
        <v>-1450000</v>
      </c>
      <c r="F831" s="38">
        <v>-113486.55</v>
      </c>
      <c r="G831" s="45">
        <f t="shared" si="620"/>
        <v>-851701.21999999881</v>
      </c>
      <c r="H831" s="44">
        <v>4300000</v>
      </c>
      <c r="I831" s="46">
        <f t="shared" si="647"/>
        <v>122215.57000000123</v>
      </c>
      <c r="J831" s="38"/>
      <c r="K831" s="38">
        <v>1450000</v>
      </c>
      <c r="L831" s="38">
        <v>-1534995.56</v>
      </c>
      <c r="M831" s="47">
        <f t="shared" si="648"/>
        <v>37220.010000001173</v>
      </c>
      <c r="N831" s="46">
        <v>5000000</v>
      </c>
      <c r="O831" s="48">
        <f t="shared" si="649"/>
        <v>3746.1500000003307</v>
      </c>
      <c r="P831" s="38"/>
      <c r="Q831" s="38"/>
      <c r="R831" s="38"/>
      <c r="S831" s="55">
        <f t="shared" si="650"/>
        <v>3746.1500000003307</v>
      </c>
      <c r="T831" s="48"/>
      <c r="U831" s="49">
        <f t="shared" si="651"/>
        <v>9.8950181381951552E-11</v>
      </c>
      <c r="V831" s="38"/>
      <c r="W831" s="38"/>
      <c r="X831" s="38"/>
      <c r="Y831" s="51">
        <f t="shared" si="652"/>
        <v>9.8950181381951552E-11</v>
      </c>
      <c r="Z831" s="52"/>
      <c r="AA831" s="53">
        <f t="shared" si="653"/>
        <v>980.44999999948777</v>
      </c>
      <c r="AB831" s="38"/>
      <c r="AC831" s="38"/>
      <c r="AD831" s="38"/>
      <c r="AE831" s="54">
        <f t="shared" si="654"/>
        <v>980.44999999948777</v>
      </c>
      <c r="AF831" s="53"/>
      <c r="AG831" s="53">
        <f t="shared" si="630"/>
        <v>362.55000000006987</v>
      </c>
      <c r="AH831" s="38"/>
      <c r="AI831" s="38"/>
      <c r="AJ831" s="38"/>
      <c r="AK831" s="54">
        <f t="shared" si="655"/>
        <v>362.55000000006987</v>
      </c>
      <c r="AL831" s="53"/>
      <c r="AM831" s="53">
        <f t="shared" si="638"/>
        <v>0</v>
      </c>
      <c r="AN831" s="38"/>
      <c r="AO831" s="38"/>
      <c r="AP831" s="38"/>
      <c r="AQ831" s="54">
        <f t="shared" si="639"/>
        <v>0</v>
      </c>
      <c r="AR831" s="53"/>
      <c r="AS831" s="29">
        <f t="shared" si="627"/>
        <v>560897.80000000249</v>
      </c>
      <c r="AT831" s="29">
        <f t="shared" si="631"/>
        <v>277829.7</v>
      </c>
      <c r="AU831" s="29">
        <f t="shared" si="632"/>
        <v>0</v>
      </c>
      <c r="AV831" s="29">
        <f t="shared" si="615"/>
        <v>-1648482.11</v>
      </c>
      <c r="AW831" s="29"/>
      <c r="AX831" s="29">
        <f t="shared" si="641"/>
        <v>-809392.05999999761</v>
      </c>
      <c r="AY831" s="29">
        <f t="shared" si="642"/>
        <v>9300000</v>
      </c>
      <c r="AZ831" s="29">
        <f t="shared" si="643"/>
        <v>8490607.9400000032</v>
      </c>
    </row>
    <row r="832" spans="2:52" x14ac:dyDescent="0.3">
      <c r="B832" s="99">
        <f t="shared" ref="B832" si="657">B831+1</f>
        <v>45328</v>
      </c>
      <c r="C832" s="44">
        <f t="shared" si="646"/>
        <v>-851701.21999999881</v>
      </c>
      <c r="D832" s="38"/>
      <c r="E832" s="38"/>
      <c r="F832" s="38">
        <v>-3306.71</v>
      </c>
      <c r="G832" s="45">
        <f t="shared" si="620"/>
        <v>-855007.92999999877</v>
      </c>
      <c r="H832" s="44">
        <v>4300000</v>
      </c>
      <c r="I832" s="46">
        <f t="shared" si="647"/>
        <v>37220.010000001173</v>
      </c>
      <c r="J832" s="38">
        <v>385128.86</v>
      </c>
      <c r="K832" s="38"/>
      <c r="L832" s="38">
        <v>-83170.95</v>
      </c>
      <c r="M832" s="47">
        <f t="shared" si="648"/>
        <v>339177.92000000115</v>
      </c>
      <c r="N832" s="46">
        <v>5000000</v>
      </c>
      <c r="O832" s="48">
        <f t="shared" si="649"/>
        <v>3746.1500000003307</v>
      </c>
      <c r="P832" s="38"/>
      <c r="Q832" s="38">
        <v>-50</v>
      </c>
      <c r="R832" s="38">
        <v>-2700</v>
      </c>
      <c r="S832" s="55">
        <f t="shared" si="650"/>
        <v>996.15000000033069</v>
      </c>
      <c r="T832" s="48"/>
      <c r="U832" s="49">
        <f t="shared" si="651"/>
        <v>9.8950181381951552E-11</v>
      </c>
      <c r="V832" s="38"/>
      <c r="W832" s="38">
        <v>50</v>
      </c>
      <c r="X832" s="38">
        <v>-19.600000000000001</v>
      </c>
      <c r="Y832" s="51">
        <f t="shared" si="652"/>
        <v>30.400000000098949</v>
      </c>
      <c r="Z832" s="52"/>
      <c r="AA832" s="53">
        <f t="shared" si="653"/>
        <v>980.44999999948777</v>
      </c>
      <c r="AB832" s="38"/>
      <c r="AC832" s="38"/>
      <c r="AD832" s="38"/>
      <c r="AE832" s="54">
        <f t="shared" si="654"/>
        <v>980.44999999948777</v>
      </c>
      <c r="AF832" s="53"/>
      <c r="AG832" s="53">
        <f t="shared" si="630"/>
        <v>362.55000000006987</v>
      </c>
      <c r="AH832" s="38"/>
      <c r="AI832" s="38"/>
      <c r="AJ832" s="38"/>
      <c r="AK832" s="54">
        <f t="shared" si="655"/>
        <v>362.55000000006987</v>
      </c>
      <c r="AL832" s="53"/>
      <c r="AM832" s="53">
        <f t="shared" si="638"/>
        <v>0</v>
      </c>
      <c r="AN832" s="38"/>
      <c r="AO832" s="38"/>
      <c r="AP832" s="38"/>
      <c r="AQ832" s="54">
        <f t="shared" si="639"/>
        <v>0</v>
      </c>
      <c r="AR832" s="53"/>
      <c r="AS832" s="29">
        <f t="shared" si="627"/>
        <v>-809754.60999999766</v>
      </c>
      <c r="AT832" s="29">
        <f t="shared" si="631"/>
        <v>385128.86</v>
      </c>
      <c r="AU832" s="29">
        <f t="shared" si="632"/>
        <v>0</v>
      </c>
      <c r="AV832" s="29">
        <f t="shared" si="615"/>
        <v>-89197.260000000009</v>
      </c>
      <c r="AW832" s="29"/>
      <c r="AX832" s="29">
        <f t="shared" si="641"/>
        <v>-513460.45999999769</v>
      </c>
      <c r="AY832" s="29">
        <f t="shared" si="642"/>
        <v>9300000</v>
      </c>
      <c r="AZ832" s="29">
        <f t="shared" si="643"/>
        <v>8786539.5400000028</v>
      </c>
    </row>
    <row r="833" spans="2:52" x14ac:dyDescent="0.3">
      <c r="B833" s="99">
        <f t="shared" si="622"/>
        <v>45329</v>
      </c>
      <c r="C833" s="44">
        <f t="shared" si="646"/>
        <v>-855007.92999999877</v>
      </c>
      <c r="D833" s="38"/>
      <c r="E833" s="38"/>
      <c r="F833" s="38">
        <v>-402809.32</v>
      </c>
      <c r="G833" s="45">
        <f t="shared" si="620"/>
        <v>-1257817.2499999988</v>
      </c>
      <c r="H833" s="44">
        <v>4300000</v>
      </c>
      <c r="I833" s="46">
        <f t="shared" si="647"/>
        <v>339177.92000000115</v>
      </c>
      <c r="J833" s="38"/>
      <c r="K833" s="38"/>
      <c r="L833" s="38">
        <v>-254568.59</v>
      </c>
      <c r="M833" s="47">
        <f t="shared" si="648"/>
        <v>84609.330000001151</v>
      </c>
      <c r="N833" s="46">
        <v>5000000</v>
      </c>
      <c r="O833" s="48">
        <f t="shared" si="649"/>
        <v>996.15000000033069</v>
      </c>
      <c r="P833" s="38"/>
      <c r="Q833" s="38"/>
      <c r="R833" s="38"/>
      <c r="S833" s="55">
        <f t="shared" si="650"/>
        <v>996.15000000033069</v>
      </c>
      <c r="T833" s="48"/>
      <c r="U833" s="49">
        <f t="shared" si="651"/>
        <v>30.400000000098949</v>
      </c>
      <c r="V833" s="38"/>
      <c r="W833" s="38"/>
      <c r="X833" s="38"/>
      <c r="Y833" s="51">
        <f t="shared" si="652"/>
        <v>30.400000000098949</v>
      </c>
      <c r="Z833" s="52"/>
      <c r="AA833" s="53">
        <f t="shared" si="653"/>
        <v>980.44999999948777</v>
      </c>
      <c r="AB833" s="38"/>
      <c r="AC833" s="38"/>
      <c r="AD833" s="38"/>
      <c r="AE833" s="54">
        <f t="shared" si="654"/>
        <v>980.44999999948777</v>
      </c>
      <c r="AF833" s="53"/>
      <c r="AG833" s="53">
        <f t="shared" si="630"/>
        <v>362.55000000006987</v>
      </c>
      <c r="AH833" s="38"/>
      <c r="AI833" s="38"/>
      <c r="AJ833" s="38"/>
      <c r="AK833" s="54">
        <f t="shared" si="655"/>
        <v>362.55000000006987</v>
      </c>
      <c r="AL833" s="53"/>
      <c r="AM833" s="53">
        <f t="shared" si="638"/>
        <v>0</v>
      </c>
      <c r="AN833" s="38"/>
      <c r="AO833" s="38"/>
      <c r="AP833" s="38"/>
      <c r="AQ833" s="54">
        <f t="shared" si="639"/>
        <v>0</v>
      </c>
      <c r="AR833" s="53"/>
      <c r="AS833" s="29">
        <f t="shared" si="627"/>
        <v>-513823.00999999774</v>
      </c>
      <c r="AT833" s="29">
        <f t="shared" si="631"/>
        <v>0</v>
      </c>
      <c r="AU833" s="29">
        <f t="shared" si="632"/>
        <v>0</v>
      </c>
      <c r="AV833" s="29">
        <f t="shared" si="615"/>
        <v>-657377.91</v>
      </c>
      <c r="AW833" s="29"/>
      <c r="AX833" s="29">
        <f t="shared" si="641"/>
        <v>-1170838.3699999976</v>
      </c>
      <c r="AY833" s="29">
        <f t="shared" si="642"/>
        <v>9300000</v>
      </c>
      <c r="AZ833" s="29">
        <f t="shared" si="643"/>
        <v>8129161.6300000027</v>
      </c>
    </row>
    <row r="834" spans="2:52" x14ac:dyDescent="0.3">
      <c r="B834" s="99">
        <f t="shared" si="622"/>
        <v>45330</v>
      </c>
      <c r="C834" s="44">
        <f t="shared" si="646"/>
        <v>-1257817.2499999988</v>
      </c>
      <c r="D834" s="38">
        <v>1126.2</v>
      </c>
      <c r="E834" s="38">
        <v>-60000</v>
      </c>
      <c r="F834" s="38">
        <v>-8013.12</v>
      </c>
      <c r="G834" s="45">
        <f t="shared" si="620"/>
        <v>-1324704.169999999</v>
      </c>
      <c r="H834" s="44">
        <v>4300000</v>
      </c>
      <c r="I834" s="46">
        <f t="shared" si="647"/>
        <v>84609.330000001151</v>
      </c>
      <c r="J834" s="38"/>
      <c r="K834" s="38">
        <v>60000</v>
      </c>
      <c r="L834" s="38">
        <v>-133068.78</v>
      </c>
      <c r="M834" s="47">
        <f t="shared" si="648"/>
        <v>11540.550000001153</v>
      </c>
      <c r="N834" s="46">
        <v>5000000</v>
      </c>
      <c r="O834" s="48">
        <f t="shared" si="649"/>
        <v>996.15000000033069</v>
      </c>
      <c r="P834" s="38"/>
      <c r="Q834" s="38"/>
      <c r="R834" s="38"/>
      <c r="S834" s="55">
        <f t="shared" si="650"/>
        <v>996.15000000033069</v>
      </c>
      <c r="T834" s="48"/>
      <c r="U834" s="49">
        <f t="shared" si="651"/>
        <v>30.400000000098949</v>
      </c>
      <c r="V834" s="38"/>
      <c r="W834" s="38"/>
      <c r="X834" s="38"/>
      <c r="Y834" s="51">
        <f t="shared" si="652"/>
        <v>30.400000000098949</v>
      </c>
      <c r="Z834" s="52"/>
      <c r="AA834" s="53">
        <f t="shared" si="653"/>
        <v>980.44999999948777</v>
      </c>
      <c r="AB834" s="38"/>
      <c r="AC834" s="38"/>
      <c r="AD834" s="38"/>
      <c r="AE834" s="54">
        <f t="shared" si="654"/>
        <v>980.44999999948777</v>
      </c>
      <c r="AF834" s="53"/>
      <c r="AG834" s="53">
        <f t="shared" si="630"/>
        <v>362.55000000006987</v>
      </c>
      <c r="AH834" s="38"/>
      <c r="AI834" s="38"/>
      <c r="AJ834" s="38"/>
      <c r="AK834" s="54">
        <f t="shared" si="655"/>
        <v>362.55000000006987</v>
      </c>
      <c r="AL834" s="53"/>
      <c r="AM834" s="53">
        <f t="shared" si="638"/>
        <v>0</v>
      </c>
      <c r="AN834" s="38"/>
      <c r="AO834" s="38"/>
      <c r="AP834" s="38"/>
      <c r="AQ834" s="54">
        <f t="shared" si="639"/>
        <v>0</v>
      </c>
      <c r="AR834" s="53"/>
      <c r="AS834" s="29">
        <f t="shared" si="627"/>
        <v>-1171200.9199999976</v>
      </c>
      <c r="AT834" s="29">
        <f t="shared" si="631"/>
        <v>1126.2</v>
      </c>
      <c r="AU834" s="29">
        <f t="shared" si="632"/>
        <v>0</v>
      </c>
      <c r="AV834" s="29">
        <f t="shared" si="615"/>
        <v>-141081.9</v>
      </c>
      <c r="AW834" s="29"/>
      <c r="AX834" s="29">
        <f t="shared" si="641"/>
        <v>-1310794.0699999977</v>
      </c>
      <c r="AY834" s="29">
        <f t="shared" si="642"/>
        <v>9300000</v>
      </c>
      <c r="AZ834" s="29">
        <f t="shared" si="643"/>
        <v>7989205.9300000025</v>
      </c>
    </row>
    <row r="835" spans="2:52" x14ac:dyDescent="0.3">
      <c r="B835" s="99">
        <f t="shared" si="622"/>
        <v>45331</v>
      </c>
      <c r="C835" s="44">
        <f t="shared" si="646"/>
        <v>-1324704.169999999</v>
      </c>
      <c r="D835" s="38"/>
      <c r="E835" s="38">
        <v>-160000</v>
      </c>
      <c r="F835" s="38">
        <v>-30517.34</v>
      </c>
      <c r="G835" s="45">
        <f t="shared" si="620"/>
        <v>-1515221.5099999991</v>
      </c>
      <c r="H835" s="44">
        <v>4300000</v>
      </c>
      <c r="I835" s="46">
        <f t="shared" si="647"/>
        <v>11540.550000001153</v>
      </c>
      <c r="J835" s="38"/>
      <c r="K835" s="38">
        <v>160000</v>
      </c>
      <c r="L835" s="38">
        <v>-159836.63</v>
      </c>
      <c r="M835" s="47">
        <f t="shared" si="648"/>
        <v>11703.920000001148</v>
      </c>
      <c r="N835" s="46">
        <v>5000000</v>
      </c>
      <c r="O835" s="48">
        <f t="shared" si="649"/>
        <v>996.15000000033069</v>
      </c>
      <c r="P835" s="38"/>
      <c r="Q835" s="38"/>
      <c r="R835" s="38"/>
      <c r="S835" s="55">
        <f t="shared" si="650"/>
        <v>996.15000000033069</v>
      </c>
      <c r="T835" s="48"/>
      <c r="U835" s="49">
        <f t="shared" si="651"/>
        <v>30.400000000098949</v>
      </c>
      <c r="V835" s="38"/>
      <c r="W835" s="38"/>
      <c r="X835" s="38"/>
      <c r="Y835" s="51">
        <f t="shared" si="652"/>
        <v>30.400000000098949</v>
      </c>
      <c r="Z835" s="52"/>
      <c r="AA835" s="53">
        <f t="shared" si="653"/>
        <v>980.44999999948777</v>
      </c>
      <c r="AB835" s="38"/>
      <c r="AC835" s="38"/>
      <c r="AD835" s="38"/>
      <c r="AE835" s="54">
        <f t="shared" si="654"/>
        <v>980.44999999948777</v>
      </c>
      <c r="AF835" s="53"/>
      <c r="AG835" s="53">
        <f t="shared" si="630"/>
        <v>362.55000000006987</v>
      </c>
      <c r="AH835" s="38"/>
      <c r="AI835" s="38"/>
      <c r="AJ835" s="38"/>
      <c r="AK835" s="54">
        <f t="shared" si="655"/>
        <v>362.55000000006987</v>
      </c>
      <c r="AL835" s="53"/>
      <c r="AM835" s="53">
        <f t="shared" si="638"/>
        <v>0</v>
      </c>
      <c r="AN835" s="38"/>
      <c r="AO835" s="38"/>
      <c r="AP835" s="38"/>
      <c r="AQ835" s="54">
        <f t="shared" si="639"/>
        <v>0</v>
      </c>
      <c r="AR835" s="53"/>
      <c r="AS835" s="29">
        <f t="shared" ref="AS835:AS856" si="658">SUM(C835,I835,O835,U835,AA835,)</f>
        <v>-1311156.6199999978</v>
      </c>
      <c r="AT835" s="29">
        <f t="shared" si="631"/>
        <v>0</v>
      </c>
      <c r="AU835" s="29">
        <f t="shared" si="632"/>
        <v>0</v>
      </c>
      <c r="AV835" s="29">
        <f t="shared" si="615"/>
        <v>-190353.97</v>
      </c>
      <c r="AW835" s="29"/>
      <c r="AX835" s="29">
        <f t="shared" si="641"/>
        <v>-1501148.0399999979</v>
      </c>
      <c r="AY835" s="29">
        <f t="shared" si="642"/>
        <v>9300000</v>
      </c>
      <c r="AZ835" s="29">
        <f t="shared" si="643"/>
        <v>7798851.9600000018</v>
      </c>
    </row>
    <row r="836" spans="2:52" x14ac:dyDescent="0.3">
      <c r="B836" s="99">
        <f t="shared" ref="B836" si="659">B835+3</f>
        <v>45334</v>
      </c>
      <c r="C836" s="44">
        <f t="shared" si="646"/>
        <v>-1515221.5099999991</v>
      </c>
      <c r="D836" s="38"/>
      <c r="E836" s="38"/>
      <c r="F836" s="38"/>
      <c r="G836" s="45">
        <f t="shared" si="620"/>
        <v>-1515221.5099999991</v>
      </c>
      <c r="H836" s="44">
        <v>4300000</v>
      </c>
      <c r="I836" s="46">
        <f t="shared" si="647"/>
        <v>11703.920000001148</v>
      </c>
      <c r="J836" s="38"/>
      <c r="K836" s="38"/>
      <c r="L836" s="38"/>
      <c r="M836" s="47">
        <f t="shared" si="648"/>
        <v>11703.920000001148</v>
      </c>
      <c r="N836" s="46">
        <v>5000000</v>
      </c>
      <c r="O836" s="48">
        <f t="shared" si="649"/>
        <v>996.15000000033069</v>
      </c>
      <c r="P836" s="38"/>
      <c r="Q836" s="38"/>
      <c r="R836" s="38"/>
      <c r="S836" s="55">
        <f t="shared" si="650"/>
        <v>996.15000000033069</v>
      </c>
      <c r="T836" s="48"/>
      <c r="U836" s="49">
        <f t="shared" si="651"/>
        <v>30.400000000098949</v>
      </c>
      <c r="V836" s="38"/>
      <c r="W836" s="38"/>
      <c r="X836" s="38"/>
      <c r="Y836" s="51">
        <f t="shared" si="652"/>
        <v>30.400000000098949</v>
      </c>
      <c r="Z836" s="52"/>
      <c r="AA836" s="53">
        <f t="shared" si="653"/>
        <v>980.44999999948777</v>
      </c>
      <c r="AB836" s="38"/>
      <c r="AC836" s="38"/>
      <c r="AD836" s="38"/>
      <c r="AE836" s="54">
        <f t="shared" si="654"/>
        <v>980.44999999948777</v>
      </c>
      <c r="AF836" s="53"/>
      <c r="AG836" s="53">
        <f t="shared" si="630"/>
        <v>362.55000000006987</v>
      </c>
      <c r="AH836" s="38"/>
      <c r="AI836" s="38"/>
      <c r="AJ836" s="38"/>
      <c r="AK836" s="54">
        <f t="shared" si="655"/>
        <v>362.55000000006987</v>
      </c>
      <c r="AL836" s="53"/>
      <c r="AM836" s="53">
        <f t="shared" si="638"/>
        <v>0</v>
      </c>
      <c r="AN836" s="38"/>
      <c r="AO836" s="38"/>
      <c r="AP836" s="38"/>
      <c r="AQ836" s="54">
        <f t="shared" si="639"/>
        <v>0</v>
      </c>
      <c r="AR836" s="53"/>
      <c r="AS836" s="29">
        <f t="shared" si="658"/>
        <v>-1501510.589999998</v>
      </c>
      <c r="AT836" s="29">
        <f t="shared" si="631"/>
        <v>0</v>
      </c>
      <c r="AU836" s="29">
        <f t="shared" si="632"/>
        <v>0</v>
      </c>
      <c r="AV836" s="29">
        <f t="shared" si="615"/>
        <v>0</v>
      </c>
      <c r="AW836" s="29"/>
      <c r="AX836" s="29">
        <f t="shared" si="641"/>
        <v>-1501148.0399999979</v>
      </c>
      <c r="AY836" s="29">
        <f t="shared" si="642"/>
        <v>9300000</v>
      </c>
      <c r="AZ836" s="29">
        <f t="shared" si="643"/>
        <v>7798851.9600000018</v>
      </c>
    </row>
    <row r="837" spans="2:52" x14ac:dyDescent="0.3">
      <c r="B837" s="99">
        <f t="shared" ref="B837" si="660">B836+1</f>
        <v>45335</v>
      </c>
      <c r="C837" s="44">
        <f t="shared" si="646"/>
        <v>-1515221.5099999991</v>
      </c>
      <c r="D837" s="38"/>
      <c r="E837" s="38"/>
      <c r="F837" s="38"/>
      <c r="G837" s="45">
        <f t="shared" si="620"/>
        <v>-1515221.5099999991</v>
      </c>
      <c r="H837" s="44">
        <v>4300000</v>
      </c>
      <c r="I837" s="46">
        <f t="shared" si="647"/>
        <v>11703.920000001148</v>
      </c>
      <c r="J837" s="38"/>
      <c r="K837" s="38"/>
      <c r="L837" s="38"/>
      <c r="M837" s="47">
        <f t="shared" si="648"/>
        <v>11703.920000001148</v>
      </c>
      <c r="N837" s="46">
        <v>5000000</v>
      </c>
      <c r="O837" s="48">
        <f t="shared" si="649"/>
        <v>996.15000000033069</v>
      </c>
      <c r="P837" s="38"/>
      <c r="Q837" s="38"/>
      <c r="R837" s="38"/>
      <c r="S837" s="55">
        <f t="shared" si="650"/>
        <v>996.15000000033069</v>
      </c>
      <c r="T837" s="48"/>
      <c r="U837" s="49">
        <f t="shared" si="651"/>
        <v>30.400000000098949</v>
      </c>
      <c r="V837" s="38"/>
      <c r="W837" s="38"/>
      <c r="X837" s="38"/>
      <c r="Y837" s="51">
        <f t="shared" si="652"/>
        <v>30.400000000098949</v>
      </c>
      <c r="Z837" s="52"/>
      <c r="AA837" s="53">
        <f t="shared" si="653"/>
        <v>980.44999999948777</v>
      </c>
      <c r="AB837" s="38"/>
      <c r="AC837" s="38"/>
      <c r="AD837" s="38"/>
      <c r="AE837" s="54">
        <f t="shared" si="654"/>
        <v>980.44999999948777</v>
      </c>
      <c r="AF837" s="53"/>
      <c r="AG837" s="53">
        <f t="shared" si="630"/>
        <v>362.55000000006987</v>
      </c>
      <c r="AH837" s="38"/>
      <c r="AI837" s="38"/>
      <c r="AJ837" s="38"/>
      <c r="AK837" s="54">
        <f t="shared" si="655"/>
        <v>362.55000000006987</v>
      </c>
      <c r="AL837" s="53"/>
      <c r="AM837" s="53">
        <f t="shared" si="638"/>
        <v>0</v>
      </c>
      <c r="AN837" s="38"/>
      <c r="AO837" s="38"/>
      <c r="AP837" s="38"/>
      <c r="AQ837" s="54">
        <f t="shared" si="639"/>
        <v>0</v>
      </c>
      <c r="AR837" s="53"/>
      <c r="AS837" s="29">
        <f t="shared" si="658"/>
        <v>-1501510.589999998</v>
      </c>
      <c r="AT837" s="29">
        <f t="shared" si="631"/>
        <v>0</v>
      </c>
      <c r="AU837" s="29">
        <f t="shared" si="632"/>
        <v>0</v>
      </c>
      <c r="AV837" s="29">
        <f t="shared" si="615"/>
        <v>0</v>
      </c>
      <c r="AW837" s="29"/>
      <c r="AX837" s="29">
        <f t="shared" si="641"/>
        <v>-1501148.0399999979</v>
      </c>
      <c r="AY837" s="29">
        <f t="shared" si="642"/>
        <v>9300000</v>
      </c>
      <c r="AZ837" s="29">
        <f t="shared" si="643"/>
        <v>7798851.9600000018</v>
      </c>
    </row>
    <row r="838" spans="2:52" x14ac:dyDescent="0.3">
      <c r="B838" s="99">
        <f t="shared" si="622"/>
        <v>45336</v>
      </c>
      <c r="C838" s="44">
        <f t="shared" si="646"/>
        <v>-1515221.5099999991</v>
      </c>
      <c r="D838" s="38">
        <v>570252.92000000004</v>
      </c>
      <c r="E838" s="38">
        <v>-105000</v>
      </c>
      <c r="F838" s="38">
        <v>-99159.02</v>
      </c>
      <c r="G838" s="45">
        <f t="shared" si="620"/>
        <v>-1149127.6099999989</v>
      </c>
      <c r="H838" s="44">
        <v>4300000</v>
      </c>
      <c r="I838" s="46">
        <f t="shared" si="647"/>
        <v>11703.920000001148</v>
      </c>
      <c r="J838" s="38"/>
      <c r="K838" s="38">
        <v>140000</v>
      </c>
      <c r="L838" s="38">
        <v>-142187.79999999999</v>
      </c>
      <c r="M838" s="47">
        <f t="shared" si="648"/>
        <v>9516.1200000011595</v>
      </c>
      <c r="N838" s="46">
        <v>5000000</v>
      </c>
      <c r="O838" s="48">
        <f t="shared" si="649"/>
        <v>996.15000000033069</v>
      </c>
      <c r="P838" s="38">
        <v>34440.629999999997</v>
      </c>
      <c r="Q838" s="38">
        <v>-35000</v>
      </c>
      <c r="R838" s="38"/>
      <c r="S838" s="55">
        <f t="shared" si="650"/>
        <v>436.78000000032625</v>
      </c>
      <c r="T838" s="48"/>
      <c r="U838" s="49">
        <f t="shared" si="651"/>
        <v>30.400000000098949</v>
      </c>
      <c r="V838" s="38"/>
      <c r="W838" s="38"/>
      <c r="X838" s="38"/>
      <c r="Y838" s="51">
        <f t="shared" si="652"/>
        <v>30.400000000098949</v>
      </c>
      <c r="Z838" s="52"/>
      <c r="AA838" s="53">
        <f t="shared" si="653"/>
        <v>980.44999999948777</v>
      </c>
      <c r="AB838" s="38"/>
      <c r="AC838" s="38"/>
      <c r="AD838" s="38">
        <v>-418</v>
      </c>
      <c r="AE838" s="54">
        <f t="shared" si="654"/>
        <v>562.44999999948777</v>
      </c>
      <c r="AF838" s="53"/>
      <c r="AG838" s="53">
        <f t="shared" si="630"/>
        <v>362.55000000006987</v>
      </c>
      <c r="AH838" s="38"/>
      <c r="AI838" s="38"/>
      <c r="AJ838" s="38"/>
      <c r="AK838" s="54">
        <f t="shared" si="655"/>
        <v>362.55000000006987</v>
      </c>
      <c r="AL838" s="53"/>
      <c r="AM838" s="53">
        <f t="shared" si="638"/>
        <v>0</v>
      </c>
      <c r="AN838" s="38"/>
      <c r="AO838" s="38"/>
      <c r="AP838" s="38"/>
      <c r="AQ838" s="54">
        <f t="shared" si="639"/>
        <v>0</v>
      </c>
      <c r="AR838" s="53"/>
      <c r="AS838" s="29">
        <f t="shared" si="658"/>
        <v>-1501510.589999998</v>
      </c>
      <c r="AT838" s="29">
        <f t="shared" si="631"/>
        <v>604693.55000000005</v>
      </c>
      <c r="AU838" s="29">
        <f t="shared" si="632"/>
        <v>0</v>
      </c>
      <c r="AV838" s="29">
        <f t="shared" si="615"/>
        <v>-241764.82</v>
      </c>
      <c r="AW838" s="29"/>
      <c r="AX838" s="29">
        <f t="shared" si="641"/>
        <v>-1138219.309999998</v>
      </c>
      <c r="AY838" s="29">
        <f t="shared" si="642"/>
        <v>9300000</v>
      </c>
      <c r="AZ838" s="29">
        <f t="shared" si="643"/>
        <v>8161780.6900000023</v>
      </c>
    </row>
    <row r="839" spans="2:52" x14ac:dyDescent="0.3">
      <c r="B839" s="99">
        <f t="shared" si="622"/>
        <v>45337</v>
      </c>
      <c r="C839" s="44">
        <f t="shared" si="646"/>
        <v>-1149127.6099999989</v>
      </c>
      <c r="D839" s="38"/>
      <c r="E839" s="38">
        <v>-80000</v>
      </c>
      <c r="F839" s="38">
        <v>-45709.01</v>
      </c>
      <c r="G839" s="45">
        <f t="shared" si="620"/>
        <v>-1274836.6199999989</v>
      </c>
      <c r="H839" s="44">
        <v>4300000</v>
      </c>
      <c r="I839" s="46">
        <f t="shared" si="647"/>
        <v>9516.1200000011595</v>
      </c>
      <c r="J839" s="38"/>
      <c r="K839" s="38">
        <v>80000</v>
      </c>
      <c r="L839" s="38">
        <v>-64493.13</v>
      </c>
      <c r="M839" s="47">
        <f t="shared" si="648"/>
        <v>25022.990000001162</v>
      </c>
      <c r="N839" s="46">
        <v>5000000</v>
      </c>
      <c r="O839" s="48">
        <f t="shared" si="649"/>
        <v>436.78000000032625</v>
      </c>
      <c r="P839" s="38"/>
      <c r="Q839" s="38"/>
      <c r="R839" s="38">
        <v>-10</v>
      </c>
      <c r="S839" s="55">
        <f t="shared" si="650"/>
        <v>426.78000000032625</v>
      </c>
      <c r="T839" s="48"/>
      <c r="U839" s="49">
        <f t="shared" si="651"/>
        <v>30.400000000098949</v>
      </c>
      <c r="V839" s="38"/>
      <c r="W839" s="38"/>
      <c r="X839" s="38"/>
      <c r="Y839" s="51">
        <f t="shared" si="652"/>
        <v>30.400000000098949</v>
      </c>
      <c r="Z839" s="52"/>
      <c r="AA839" s="53">
        <f t="shared" si="653"/>
        <v>562.44999999948777</v>
      </c>
      <c r="AB839" s="38"/>
      <c r="AC839" s="38"/>
      <c r="AD839" s="38"/>
      <c r="AE839" s="54">
        <f t="shared" si="654"/>
        <v>562.44999999948777</v>
      </c>
      <c r="AF839" s="53"/>
      <c r="AG839" s="53">
        <f t="shared" si="630"/>
        <v>362.55000000006987</v>
      </c>
      <c r="AH839" s="38"/>
      <c r="AI839" s="38"/>
      <c r="AJ839" s="38"/>
      <c r="AK839" s="54">
        <f t="shared" si="655"/>
        <v>362.55000000006987</v>
      </c>
      <c r="AL839" s="53"/>
      <c r="AM839" s="53">
        <f t="shared" si="638"/>
        <v>0</v>
      </c>
      <c r="AN839" s="38"/>
      <c r="AO839" s="38"/>
      <c r="AP839" s="38"/>
      <c r="AQ839" s="54">
        <f t="shared" si="639"/>
        <v>0</v>
      </c>
      <c r="AR839" s="53"/>
      <c r="AS839" s="29">
        <f t="shared" si="658"/>
        <v>-1138581.859999998</v>
      </c>
      <c r="AT839" s="29">
        <f t="shared" si="631"/>
        <v>0</v>
      </c>
      <c r="AU839" s="29">
        <f t="shared" si="632"/>
        <v>0</v>
      </c>
      <c r="AV839" s="29">
        <f t="shared" si="615"/>
        <v>-110212.14</v>
      </c>
      <c r="AW839" s="29"/>
      <c r="AX839" s="29">
        <f t="shared" si="641"/>
        <v>-1248431.4499999979</v>
      </c>
      <c r="AY839" s="29">
        <f t="shared" si="642"/>
        <v>9300000</v>
      </c>
      <c r="AZ839" s="29">
        <f t="shared" si="643"/>
        <v>8051568.5500000026</v>
      </c>
    </row>
    <row r="840" spans="2:52" x14ac:dyDescent="0.3">
      <c r="B840" s="99">
        <f t="shared" si="622"/>
        <v>45338</v>
      </c>
      <c r="C840" s="44">
        <f t="shared" si="646"/>
        <v>-1274836.6199999989</v>
      </c>
      <c r="D840" s="38"/>
      <c r="E840" s="38">
        <v>-635000</v>
      </c>
      <c r="F840" s="38"/>
      <c r="G840" s="45">
        <f t="shared" si="620"/>
        <v>-1909836.6199999989</v>
      </c>
      <c r="H840" s="44">
        <v>4300000</v>
      </c>
      <c r="I840" s="46">
        <f t="shared" si="647"/>
        <v>25022.990000001162</v>
      </c>
      <c r="J840" s="38"/>
      <c r="K840" s="38">
        <v>635000</v>
      </c>
      <c r="L840" s="38">
        <v>-645227.18000000005</v>
      </c>
      <c r="M840" s="47">
        <f t="shared" si="648"/>
        <v>14795.810000001104</v>
      </c>
      <c r="N840" s="46">
        <v>5000000</v>
      </c>
      <c r="O840" s="48">
        <f t="shared" si="649"/>
        <v>426.78000000032625</v>
      </c>
      <c r="P840" s="38"/>
      <c r="Q840" s="38"/>
      <c r="R840" s="38"/>
      <c r="S840" s="55">
        <f t="shared" si="650"/>
        <v>426.78000000032625</v>
      </c>
      <c r="T840" s="48"/>
      <c r="U840" s="49">
        <f t="shared" si="651"/>
        <v>30.400000000098949</v>
      </c>
      <c r="V840" s="38"/>
      <c r="W840" s="38"/>
      <c r="X840" s="38"/>
      <c r="Y840" s="51">
        <f t="shared" si="652"/>
        <v>30.400000000098949</v>
      </c>
      <c r="Z840" s="52"/>
      <c r="AA840" s="53">
        <f t="shared" si="653"/>
        <v>562.44999999948777</v>
      </c>
      <c r="AB840" s="38"/>
      <c r="AC840" s="38"/>
      <c r="AD840" s="38"/>
      <c r="AE840" s="54">
        <f t="shared" si="654"/>
        <v>562.44999999948777</v>
      </c>
      <c r="AF840" s="53"/>
      <c r="AG840" s="53">
        <f t="shared" si="630"/>
        <v>362.55000000006987</v>
      </c>
      <c r="AH840" s="38"/>
      <c r="AI840" s="38"/>
      <c r="AJ840" s="38"/>
      <c r="AK840" s="54">
        <f t="shared" si="655"/>
        <v>362.55000000006987</v>
      </c>
      <c r="AL840" s="53"/>
      <c r="AM840" s="53">
        <f t="shared" si="638"/>
        <v>0</v>
      </c>
      <c r="AN840" s="38"/>
      <c r="AO840" s="38"/>
      <c r="AP840" s="38"/>
      <c r="AQ840" s="54">
        <f t="shared" si="639"/>
        <v>0</v>
      </c>
      <c r="AR840" s="53"/>
      <c r="AS840" s="29">
        <f t="shared" si="658"/>
        <v>-1248793.9999999979</v>
      </c>
      <c r="AT840" s="29">
        <f t="shared" si="631"/>
        <v>0</v>
      </c>
      <c r="AU840" s="29">
        <f t="shared" si="632"/>
        <v>0</v>
      </c>
      <c r="AV840" s="29">
        <f t="shared" si="615"/>
        <v>-645227.18000000005</v>
      </c>
      <c r="AW840" s="29"/>
      <c r="AX840" s="29">
        <f t="shared" si="641"/>
        <v>-1893658.6299999978</v>
      </c>
      <c r="AY840" s="29">
        <f t="shared" si="642"/>
        <v>9300000</v>
      </c>
      <c r="AZ840" s="29">
        <f t="shared" si="643"/>
        <v>7406341.370000002</v>
      </c>
    </row>
    <row r="841" spans="2:52" x14ac:dyDescent="0.3">
      <c r="B841" s="99">
        <f t="shared" ref="B841" si="661">B840+3</f>
        <v>45341</v>
      </c>
      <c r="C841" s="44">
        <f t="shared" si="646"/>
        <v>-1909836.6199999989</v>
      </c>
      <c r="D841" s="38"/>
      <c r="E841" s="38">
        <v>-50000</v>
      </c>
      <c r="F841" s="38">
        <v>-23968.87</v>
      </c>
      <c r="G841" s="45">
        <f t="shared" si="620"/>
        <v>-1983805.4899999991</v>
      </c>
      <c r="H841" s="44">
        <v>4300000</v>
      </c>
      <c r="I841" s="46">
        <f t="shared" si="647"/>
        <v>14795.810000001104</v>
      </c>
      <c r="J841" s="38"/>
      <c r="K841" s="38">
        <v>50000</v>
      </c>
      <c r="L841" s="38">
        <v>-37968.699999999997</v>
      </c>
      <c r="M841" s="47">
        <f t="shared" si="648"/>
        <v>26827.110000001107</v>
      </c>
      <c r="N841" s="46">
        <v>5000000</v>
      </c>
      <c r="O841" s="48">
        <f t="shared" si="649"/>
        <v>426.78000000032625</v>
      </c>
      <c r="P841" s="38"/>
      <c r="Q841" s="38"/>
      <c r="R841" s="38"/>
      <c r="S841" s="55">
        <f t="shared" si="650"/>
        <v>426.78000000032625</v>
      </c>
      <c r="T841" s="48"/>
      <c r="U841" s="49">
        <f t="shared" si="651"/>
        <v>30.400000000098949</v>
      </c>
      <c r="V841" s="38"/>
      <c r="W841" s="38"/>
      <c r="X841" s="38"/>
      <c r="Y841" s="51">
        <f t="shared" si="652"/>
        <v>30.400000000098949</v>
      </c>
      <c r="Z841" s="52"/>
      <c r="AA841" s="53">
        <f t="shared" si="653"/>
        <v>562.44999999948777</v>
      </c>
      <c r="AB841" s="38"/>
      <c r="AC841" s="38"/>
      <c r="AD841" s="38"/>
      <c r="AE841" s="54">
        <f t="shared" si="654"/>
        <v>562.44999999948777</v>
      </c>
      <c r="AF841" s="53"/>
      <c r="AG841" s="53">
        <f t="shared" si="630"/>
        <v>362.55000000006987</v>
      </c>
      <c r="AH841" s="38"/>
      <c r="AI841" s="38"/>
      <c r="AJ841" s="38"/>
      <c r="AK841" s="54">
        <f t="shared" si="655"/>
        <v>362.55000000006987</v>
      </c>
      <c r="AL841" s="53"/>
      <c r="AM841" s="53">
        <f t="shared" si="638"/>
        <v>0</v>
      </c>
      <c r="AN841" s="38"/>
      <c r="AO841" s="38"/>
      <c r="AP841" s="38"/>
      <c r="AQ841" s="54">
        <f t="shared" si="639"/>
        <v>0</v>
      </c>
      <c r="AR841" s="53"/>
      <c r="AS841" s="29">
        <f t="shared" si="658"/>
        <v>-1894021.1799999978</v>
      </c>
      <c r="AT841" s="29">
        <f t="shared" si="631"/>
        <v>0</v>
      </c>
      <c r="AU841" s="29">
        <f t="shared" si="632"/>
        <v>0</v>
      </c>
      <c r="AV841" s="29">
        <f t="shared" si="615"/>
        <v>-61937.569999999992</v>
      </c>
      <c r="AW841" s="29"/>
      <c r="AX841" s="29">
        <f t="shared" si="641"/>
        <v>-1955596.1999999981</v>
      </c>
      <c r="AY841" s="29">
        <f t="shared" si="642"/>
        <v>9300000</v>
      </c>
      <c r="AZ841" s="29">
        <f t="shared" si="643"/>
        <v>7344403.8000000017</v>
      </c>
    </row>
    <row r="842" spans="2:52" x14ac:dyDescent="0.3">
      <c r="B842" s="99">
        <f t="shared" ref="B842" si="662">B841+1</f>
        <v>45342</v>
      </c>
      <c r="C842" s="44">
        <f t="shared" si="646"/>
        <v>-1983805.4899999991</v>
      </c>
      <c r="D842" s="38">
        <v>64940.71</v>
      </c>
      <c r="E842" s="38">
        <v>-260000</v>
      </c>
      <c r="F842" s="38">
        <v>-2103040.59</v>
      </c>
      <c r="G842" s="45">
        <f t="shared" si="620"/>
        <v>-4281905.3699999992</v>
      </c>
      <c r="H842" s="44">
        <v>4300000</v>
      </c>
      <c r="I842" s="46">
        <f t="shared" si="647"/>
        <v>26827.110000001107</v>
      </c>
      <c r="J842" s="38"/>
      <c r="K842" s="38">
        <v>260000</v>
      </c>
      <c r="L842" s="38">
        <v>-274524.01</v>
      </c>
      <c r="M842" s="47">
        <f t="shared" si="648"/>
        <v>12303.100000001083</v>
      </c>
      <c r="N842" s="46">
        <v>5000000</v>
      </c>
      <c r="O842" s="48">
        <f t="shared" si="649"/>
        <v>426.78000000032625</v>
      </c>
      <c r="P842" s="38"/>
      <c r="Q842" s="38"/>
      <c r="R842" s="38"/>
      <c r="S842" s="55">
        <f t="shared" si="650"/>
        <v>426.78000000032625</v>
      </c>
      <c r="T842" s="48"/>
      <c r="U842" s="49">
        <f t="shared" si="651"/>
        <v>30.400000000098949</v>
      </c>
      <c r="V842" s="38"/>
      <c r="W842" s="38"/>
      <c r="X842" s="38"/>
      <c r="Y842" s="51">
        <f t="shared" si="652"/>
        <v>30.400000000098949</v>
      </c>
      <c r="Z842" s="52"/>
      <c r="AA842" s="53">
        <f t="shared" si="653"/>
        <v>562.44999999948777</v>
      </c>
      <c r="AB842" s="38"/>
      <c r="AC842" s="38"/>
      <c r="AD842" s="38"/>
      <c r="AE842" s="54">
        <f t="shared" si="654"/>
        <v>562.44999999948777</v>
      </c>
      <c r="AF842" s="53"/>
      <c r="AG842" s="53">
        <f t="shared" si="630"/>
        <v>362.55000000006987</v>
      </c>
      <c r="AH842" s="38"/>
      <c r="AI842" s="38"/>
      <c r="AJ842" s="38"/>
      <c r="AK842" s="54">
        <f t="shared" si="655"/>
        <v>362.55000000006987</v>
      </c>
      <c r="AL842" s="53"/>
      <c r="AM842" s="53">
        <f t="shared" si="638"/>
        <v>0</v>
      </c>
      <c r="AN842" s="38"/>
      <c r="AO842" s="38"/>
      <c r="AP842" s="38"/>
      <c r="AQ842" s="54">
        <f t="shared" si="639"/>
        <v>0</v>
      </c>
      <c r="AR842" s="53"/>
      <c r="AS842" s="29">
        <f t="shared" si="658"/>
        <v>-1955958.7499999981</v>
      </c>
      <c r="AT842" s="29">
        <f t="shared" si="631"/>
        <v>64940.71</v>
      </c>
      <c r="AU842" s="29">
        <f t="shared" si="632"/>
        <v>0</v>
      </c>
      <c r="AV842" s="29">
        <f>SUM(F842,L842,R842,X842,AD842,AJ842)</f>
        <v>-2377564.5999999996</v>
      </c>
      <c r="AW842" s="29"/>
      <c r="AX842" s="29">
        <f t="shared" si="641"/>
        <v>-4268220.089999998</v>
      </c>
      <c r="AY842" s="29">
        <f t="shared" si="642"/>
        <v>9300000</v>
      </c>
      <c r="AZ842" s="29">
        <f t="shared" si="643"/>
        <v>5031779.910000002</v>
      </c>
    </row>
    <row r="843" spans="2:52" x14ac:dyDescent="0.3">
      <c r="B843" s="99">
        <f t="shared" si="622"/>
        <v>45343</v>
      </c>
      <c r="C843" s="44">
        <f t="shared" si="646"/>
        <v>-4281905.3699999992</v>
      </c>
      <c r="D843" s="38">
        <v>97447.3</v>
      </c>
      <c r="E843" s="38"/>
      <c r="F843" s="38"/>
      <c r="G843" s="45">
        <f t="shared" si="620"/>
        <v>-4184458.0699999994</v>
      </c>
      <c r="H843" s="44">
        <v>4300000</v>
      </c>
      <c r="I843" s="46">
        <f t="shared" si="647"/>
        <v>12303.100000001083</v>
      </c>
      <c r="J843" s="38">
        <v>9291.15</v>
      </c>
      <c r="K843" s="38">
        <v>79000</v>
      </c>
      <c r="L843" s="38">
        <v>-41911.769999999997</v>
      </c>
      <c r="M843" s="47">
        <f t="shared" si="648"/>
        <v>58682.48000000108</v>
      </c>
      <c r="N843" s="46">
        <v>5000000</v>
      </c>
      <c r="O843" s="48">
        <f t="shared" si="649"/>
        <v>426.78000000032625</v>
      </c>
      <c r="P843" s="38">
        <f>64312.98+14907.02</f>
        <v>79220</v>
      </c>
      <c r="Q843" s="38">
        <v>-79000</v>
      </c>
      <c r="R843" s="38"/>
      <c r="S843" s="55">
        <f t="shared" si="650"/>
        <v>646.78000000031898</v>
      </c>
      <c r="T843" s="48"/>
      <c r="U843" s="49">
        <f t="shared" si="651"/>
        <v>30.400000000098949</v>
      </c>
      <c r="V843" s="38"/>
      <c r="W843" s="38"/>
      <c r="X843" s="38"/>
      <c r="Y843" s="51">
        <f t="shared" si="652"/>
        <v>30.400000000098949</v>
      </c>
      <c r="Z843" s="52"/>
      <c r="AA843" s="53">
        <f t="shared" si="653"/>
        <v>562.44999999948777</v>
      </c>
      <c r="AB843" s="38"/>
      <c r="AC843" s="38"/>
      <c r="AD843" s="38"/>
      <c r="AE843" s="54">
        <f t="shared" si="654"/>
        <v>562.44999999948777</v>
      </c>
      <c r="AF843" s="53"/>
      <c r="AG843" s="53">
        <f t="shared" si="630"/>
        <v>362.55000000006987</v>
      </c>
      <c r="AH843" s="38"/>
      <c r="AI843" s="38"/>
      <c r="AJ843" s="38"/>
      <c r="AK843" s="54">
        <f t="shared" si="655"/>
        <v>362.55000000006987</v>
      </c>
      <c r="AL843" s="53"/>
      <c r="AM843" s="53">
        <f t="shared" si="638"/>
        <v>0</v>
      </c>
      <c r="AN843" s="38"/>
      <c r="AO843" s="38"/>
      <c r="AP843" s="38"/>
      <c r="AQ843" s="54">
        <f t="shared" si="639"/>
        <v>0</v>
      </c>
      <c r="AR843" s="53"/>
      <c r="AS843" s="29">
        <f t="shared" si="658"/>
        <v>-4268582.6399999978</v>
      </c>
      <c r="AT843" s="29">
        <f t="shared" si="631"/>
        <v>185958.45</v>
      </c>
      <c r="AU843" s="29">
        <f t="shared" si="632"/>
        <v>0</v>
      </c>
      <c r="AV843" s="29">
        <f t="shared" ref="AV843:AV856" si="663">SUM(F843,L843,R843,X843,AD843,AJ843)</f>
        <v>-41911.769999999997</v>
      </c>
      <c r="AW843" s="29"/>
      <c r="AX843" s="29">
        <f t="shared" si="641"/>
        <v>-4124173.4099999988</v>
      </c>
      <c r="AY843" s="29">
        <f t="shared" si="642"/>
        <v>9300000</v>
      </c>
      <c r="AZ843" s="29">
        <f t="shared" si="643"/>
        <v>5175826.5900000017</v>
      </c>
    </row>
    <row r="844" spans="2:52" x14ac:dyDescent="0.3">
      <c r="B844" s="99">
        <f t="shared" si="622"/>
        <v>45344</v>
      </c>
      <c r="C844" s="44">
        <f t="shared" si="646"/>
        <v>-4184458.0699999994</v>
      </c>
      <c r="D844" s="38">
        <v>223875.98</v>
      </c>
      <c r="E844" s="38"/>
      <c r="F844" s="38">
        <v>-0.42</v>
      </c>
      <c r="G844" s="45">
        <f t="shared" si="620"/>
        <v>-3960582.5099999993</v>
      </c>
      <c r="H844" s="44">
        <v>4300000</v>
      </c>
      <c r="I844" s="46">
        <f t="shared" si="647"/>
        <v>58682.48000000108</v>
      </c>
      <c r="J844" s="38"/>
      <c r="K844" s="38"/>
      <c r="L844" s="38">
        <v>-39777.86</v>
      </c>
      <c r="M844" s="47">
        <f t="shared" si="648"/>
        <v>18904.620000001079</v>
      </c>
      <c r="N844" s="46">
        <v>5000000</v>
      </c>
      <c r="O844" s="48">
        <f t="shared" si="649"/>
        <v>646.78000000031898</v>
      </c>
      <c r="P844" s="38"/>
      <c r="Q844" s="38"/>
      <c r="R844" s="38">
        <v>-10</v>
      </c>
      <c r="S844" s="55">
        <f t="shared" si="650"/>
        <v>636.78000000031898</v>
      </c>
      <c r="T844" s="48"/>
      <c r="U844" s="49">
        <f t="shared" si="651"/>
        <v>30.400000000098949</v>
      </c>
      <c r="V844" s="38"/>
      <c r="W844" s="38"/>
      <c r="X844" s="38"/>
      <c r="Y844" s="51">
        <f t="shared" si="652"/>
        <v>30.400000000098949</v>
      </c>
      <c r="Z844" s="52"/>
      <c r="AA844" s="53">
        <f t="shared" si="653"/>
        <v>562.44999999948777</v>
      </c>
      <c r="AB844" s="38"/>
      <c r="AC844" s="38"/>
      <c r="AD844" s="38"/>
      <c r="AE844" s="54">
        <f t="shared" si="654"/>
        <v>562.44999999948777</v>
      </c>
      <c r="AF844" s="53"/>
      <c r="AG844" s="53">
        <f t="shared" si="630"/>
        <v>362.55000000006987</v>
      </c>
      <c r="AH844" s="38"/>
      <c r="AI844" s="38"/>
      <c r="AJ844" s="38"/>
      <c r="AK844" s="54">
        <f t="shared" si="655"/>
        <v>362.55000000006987</v>
      </c>
      <c r="AL844" s="53"/>
      <c r="AM844" s="53">
        <f t="shared" si="638"/>
        <v>0</v>
      </c>
      <c r="AN844" s="38"/>
      <c r="AO844" s="38"/>
      <c r="AP844" s="38"/>
      <c r="AQ844" s="54">
        <f t="shared" si="639"/>
        <v>0</v>
      </c>
      <c r="AR844" s="53"/>
      <c r="AS844" s="29">
        <f t="shared" si="658"/>
        <v>-4124535.959999999</v>
      </c>
      <c r="AT844" s="29">
        <f t="shared" si="631"/>
        <v>223875.98</v>
      </c>
      <c r="AU844" s="29">
        <f t="shared" si="632"/>
        <v>0</v>
      </c>
      <c r="AV844" s="29">
        <f t="shared" si="663"/>
        <v>-39788.28</v>
      </c>
      <c r="AW844" s="29"/>
      <c r="AX844" s="29">
        <f t="shared" si="641"/>
        <v>-3940085.7099999986</v>
      </c>
      <c r="AY844" s="29">
        <f t="shared" si="642"/>
        <v>9300000</v>
      </c>
      <c r="AZ844" s="29">
        <f t="shared" si="643"/>
        <v>5359914.290000001</v>
      </c>
    </row>
    <row r="845" spans="2:52" x14ac:dyDescent="0.3">
      <c r="B845" s="99">
        <f t="shared" si="622"/>
        <v>45345</v>
      </c>
      <c r="C845" s="44">
        <f t="shared" si="646"/>
        <v>-3960582.5099999993</v>
      </c>
      <c r="D845" s="38">
        <v>202284.98</v>
      </c>
      <c r="E845" s="38">
        <v>-10000</v>
      </c>
      <c r="F845" s="38">
        <v>-1662.28</v>
      </c>
      <c r="G845" s="45">
        <f t="shared" si="620"/>
        <v>-3769959.8099999991</v>
      </c>
      <c r="H845" s="44">
        <v>4300000</v>
      </c>
      <c r="I845" s="46">
        <f t="shared" si="647"/>
        <v>18904.620000001079</v>
      </c>
      <c r="J845" s="38">
        <v>472109.78</v>
      </c>
      <c r="K845" s="38">
        <v>10000</v>
      </c>
      <c r="L845" s="38">
        <v>-22561.23</v>
      </c>
      <c r="M845" s="47">
        <f t="shared" si="648"/>
        <v>478453.17000000115</v>
      </c>
      <c r="N845" s="46">
        <v>5000000</v>
      </c>
      <c r="O845" s="48">
        <f t="shared" si="649"/>
        <v>636.78000000031898</v>
      </c>
      <c r="P845" s="38"/>
      <c r="Q845" s="38"/>
      <c r="R845" s="38"/>
      <c r="S845" s="55">
        <f t="shared" si="650"/>
        <v>636.78000000031898</v>
      </c>
      <c r="T845" s="48"/>
      <c r="U845" s="49">
        <f t="shared" si="651"/>
        <v>30.400000000098949</v>
      </c>
      <c r="V845" s="38"/>
      <c r="W845" s="38"/>
      <c r="X845" s="38"/>
      <c r="Y845" s="51">
        <f t="shared" si="652"/>
        <v>30.400000000098949</v>
      </c>
      <c r="Z845" s="52"/>
      <c r="AA845" s="53">
        <f t="shared" si="653"/>
        <v>562.44999999948777</v>
      </c>
      <c r="AB845" s="38">
        <v>804243.63</v>
      </c>
      <c r="AC845" s="38"/>
      <c r="AD845" s="38"/>
      <c r="AE845" s="54">
        <f t="shared" si="654"/>
        <v>804806.07999999949</v>
      </c>
      <c r="AF845" s="53"/>
      <c r="AG845" s="53">
        <f t="shared" si="630"/>
        <v>362.55000000006987</v>
      </c>
      <c r="AH845" s="38"/>
      <c r="AI845" s="38"/>
      <c r="AJ845" s="38"/>
      <c r="AK845" s="54">
        <f t="shared" si="655"/>
        <v>362.55000000006987</v>
      </c>
      <c r="AL845" s="53"/>
      <c r="AM845" s="53">
        <f t="shared" si="638"/>
        <v>0</v>
      </c>
      <c r="AN845" s="38"/>
      <c r="AO845" s="38"/>
      <c r="AP845" s="38"/>
      <c r="AQ845" s="54">
        <f t="shared" si="639"/>
        <v>0</v>
      </c>
      <c r="AR845" s="53"/>
      <c r="AS845" s="29">
        <f t="shared" si="658"/>
        <v>-3940448.2599999988</v>
      </c>
      <c r="AT845" s="29">
        <f t="shared" si="631"/>
        <v>1478638.3900000001</v>
      </c>
      <c r="AU845" s="29">
        <f t="shared" si="632"/>
        <v>0</v>
      </c>
      <c r="AV845" s="29">
        <f t="shared" si="663"/>
        <v>-24223.51</v>
      </c>
      <c r="AW845" s="29"/>
      <c r="AX845" s="29">
        <f t="shared" si="641"/>
        <v>-2485670.8299999977</v>
      </c>
      <c r="AY845" s="29">
        <f t="shared" si="642"/>
        <v>9300000</v>
      </c>
      <c r="AZ845" s="29">
        <f t="shared" si="643"/>
        <v>6814329.1700000018</v>
      </c>
    </row>
    <row r="846" spans="2:52" x14ac:dyDescent="0.3">
      <c r="B846" s="99">
        <f t="shared" ref="B846" si="664">B845+3</f>
        <v>45348</v>
      </c>
      <c r="C846" s="44">
        <f t="shared" si="646"/>
        <v>-3769959.8099999991</v>
      </c>
      <c r="D846" s="38">
        <v>451969.15</v>
      </c>
      <c r="E846" s="38">
        <v>804000</v>
      </c>
      <c r="F846" s="38">
        <v>-675217.3</v>
      </c>
      <c r="G846" s="45">
        <f t="shared" si="620"/>
        <v>-3189207.959999999</v>
      </c>
      <c r="H846" s="44">
        <v>4300000</v>
      </c>
      <c r="I846" s="46">
        <f t="shared" si="647"/>
        <v>478453.17000000115</v>
      </c>
      <c r="J846" s="38">
        <v>60961.21</v>
      </c>
      <c r="K846" s="38">
        <v>280000</v>
      </c>
      <c r="L846" s="38">
        <v>-419032.94</v>
      </c>
      <c r="M846" s="47">
        <f t="shared" si="648"/>
        <v>400381.44000000117</v>
      </c>
      <c r="N846" s="46">
        <v>5000000</v>
      </c>
      <c r="O846" s="48">
        <f t="shared" si="649"/>
        <v>636.78000000031898</v>
      </c>
      <c r="P846" s="38">
        <v>282857.26</v>
      </c>
      <c r="Q846" s="38">
        <v>-280000</v>
      </c>
      <c r="R846" s="38">
        <v>-1823.2</v>
      </c>
      <c r="S846" s="55">
        <f t="shared" si="650"/>
        <v>1670.8400000003282</v>
      </c>
      <c r="T846" s="48"/>
      <c r="U846" s="49">
        <f t="shared" si="651"/>
        <v>30.400000000098949</v>
      </c>
      <c r="V846" s="38"/>
      <c r="W846" s="38"/>
      <c r="X846" s="38"/>
      <c r="Y846" s="51">
        <f t="shared" si="652"/>
        <v>30.400000000098949</v>
      </c>
      <c r="Z846" s="52"/>
      <c r="AA846" s="53">
        <f t="shared" si="653"/>
        <v>804806.07999999949</v>
      </c>
      <c r="AB846" s="38"/>
      <c r="AC846" s="38">
        <v>-804000</v>
      </c>
      <c r="AD846" s="38"/>
      <c r="AE846" s="54">
        <f t="shared" si="654"/>
        <v>806.07999999949243</v>
      </c>
      <c r="AF846" s="53"/>
      <c r="AG846" s="53">
        <f t="shared" si="630"/>
        <v>362.55000000006987</v>
      </c>
      <c r="AH846" s="38"/>
      <c r="AI846" s="38"/>
      <c r="AJ846" s="38"/>
      <c r="AK846" s="54">
        <f t="shared" si="655"/>
        <v>362.55000000006987</v>
      </c>
      <c r="AL846" s="53"/>
      <c r="AM846" s="53">
        <f t="shared" si="638"/>
        <v>0</v>
      </c>
      <c r="AN846" s="38"/>
      <c r="AO846" s="38"/>
      <c r="AP846" s="38"/>
      <c r="AQ846" s="54">
        <f t="shared" si="639"/>
        <v>0</v>
      </c>
      <c r="AR846" s="53"/>
      <c r="AS846" s="29">
        <f t="shared" si="658"/>
        <v>-2486033.379999998</v>
      </c>
      <c r="AT846" s="29">
        <f t="shared" si="631"/>
        <v>795787.62000000011</v>
      </c>
      <c r="AU846" s="29">
        <f t="shared" si="632"/>
        <v>0</v>
      </c>
      <c r="AV846" s="29">
        <f t="shared" si="663"/>
        <v>-1096073.44</v>
      </c>
      <c r="AW846" s="29"/>
      <c r="AX846" s="29">
        <f t="shared" si="641"/>
        <v>-2785956.6499999976</v>
      </c>
      <c r="AY846" s="29">
        <f t="shared" si="642"/>
        <v>9300000</v>
      </c>
      <c r="AZ846" s="29">
        <f t="shared" si="643"/>
        <v>6514043.3500000024</v>
      </c>
    </row>
    <row r="847" spans="2:52" x14ac:dyDescent="0.3">
      <c r="B847" s="99">
        <f t="shared" ref="B847" si="665">B846+1</f>
        <v>45349</v>
      </c>
      <c r="C847" s="44">
        <f t="shared" si="646"/>
        <v>-3189207.959999999</v>
      </c>
      <c r="D847" s="38"/>
      <c r="E847" s="38">
        <v>205000</v>
      </c>
      <c r="F847" s="38">
        <v>-0.21</v>
      </c>
      <c r="G847" s="45">
        <f t="shared" si="620"/>
        <v>-2984208.169999999</v>
      </c>
      <c r="H847" s="44">
        <v>4300000</v>
      </c>
      <c r="I847" s="46">
        <f t="shared" si="647"/>
        <v>400381.44000000117</v>
      </c>
      <c r="J847" s="38">
        <v>3845.8</v>
      </c>
      <c r="K847" s="38"/>
      <c r="L847" s="38"/>
      <c r="M847" s="47">
        <f t="shared" si="648"/>
        <v>404227.24000000115</v>
      </c>
      <c r="N847" s="46">
        <v>5000000</v>
      </c>
      <c r="O847" s="48">
        <f t="shared" si="649"/>
        <v>1670.8400000003282</v>
      </c>
      <c r="P847" s="38">
        <v>203875</v>
      </c>
      <c r="Q847" s="38">
        <v>-205000</v>
      </c>
      <c r="R847" s="38">
        <v>-10</v>
      </c>
      <c r="S847" s="55">
        <f t="shared" si="650"/>
        <v>535.84000000031665</v>
      </c>
      <c r="T847" s="48"/>
      <c r="U847" s="49">
        <f t="shared" si="651"/>
        <v>30.400000000098949</v>
      </c>
      <c r="V847" s="38"/>
      <c r="W847" s="38"/>
      <c r="X847" s="38"/>
      <c r="Y847" s="51">
        <f t="shared" si="652"/>
        <v>30.400000000098949</v>
      </c>
      <c r="Z847" s="52"/>
      <c r="AA847" s="53">
        <f t="shared" si="653"/>
        <v>806.07999999949243</v>
      </c>
      <c r="AB847" s="38">
        <v>121880</v>
      </c>
      <c r="AC847" s="38"/>
      <c r="AD847" s="38"/>
      <c r="AE847" s="54">
        <f t="shared" si="654"/>
        <v>122686.07999999949</v>
      </c>
      <c r="AF847" s="53"/>
      <c r="AG847" s="53">
        <f t="shared" si="630"/>
        <v>362.55000000006987</v>
      </c>
      <c r="AH847" s="38"/>
      <c r="AI847" s="38"/>
      <c r="AJ847" s="38"/>
      <c r="AK847" s="54">
        <f t="shared" si="655"/>
        <v>362.55000000006987</v>
      </c>
      <c r="AL847" s="53"/>
      <c r="AM847" s="53">
        <f t="shared" si="638"/>
        <v>0</v>
      </c>
      <c r="AN847" s="38"/>
      <c r="AO847" s="38"/>
      <c r="AP847" s="38"/>
      <c r="AQ847" s="54">
        <f t="shared" si="639"/>
        <v>0</v>
      </c>
      <c r="AR847" s="53"/>
      <c r="AS847" s="29">
        <f t="shared" si="658"/>
        <v>-2786319.1999999979</v>
      </c>
      <c r="AT847" s="29">
        <f t="shared" si="631"/>
        <v>329600.8</v>
      </c>
      <c r="AU847" s="29">
        <f t="shared" si="632"/>
        <v>0</v>
      </c>
      <c r="AV847" s="29">
        <f t="shared" si="663"/>
        <v>-10.210000000000001</v>
      </c>
      <c r="AW847" s="29"/>
      <c r="AX847" s="29">
        <f t="shared" si="641"/>
        <v>-2456366.0599999977</v>
      </c>
      <c r="AY847" s="29">
        <f t="shared" si="642"/>
        <v>9300000</v>
      </c>
      <c r="AZ847" s="29">
        <f t="shared" si="643"/>
        <v>6843633.9400000023</v>
      </c>
    </row>
    <row r="848" spans="2:52" x14ac:dyDescent="0.3">
      <c r="B848" s="99">
        <f t="shared" si="622"/>
        <v>45350</v>
      </c>
      <c r="C848" s="44">
        <f t="shared" si="646"/>
        <v>-2984208.169999999</v>
      </c>
      <c r="D848" s="38">
        <v>33490.29</v>
      </c>
      <c r="E848" s="38">
        <v>874000</v>
      </c>
      <c r="F848" s="38"/>
      <c r="G848" s="45">
        <f t="shared" si="620"/>
        <v>-2076717.879999999</v>
      </c>
      <c r="H848" s="44">
        <v>4300000</v>
      </c>
      <c r="I848" s="46">
        <f t="shared" si="647"/>
        <v>404227.24000000115</v>
      </c>
      <c r="J848" s="38">
        <v>391421.01</v>
      </c>
      <c r="K848" s="38"/>
      <c r="L848" s="38"/>
      <c r="M848" s="47">
        <f t="shared" si="648"/>
        <v>795648.25000000116</v>
      </c>
      <c r="N848" s="46">
        <v>5000000</v>
      </c>
      <c r="O848" s="48">
        <f t="shared" si="649"/>
        <v>535.84000000031665</v>
      </c>
      <c r="P848" s="38">
        <v>443613.12</v>
      </c>
      <c r="Q848" s="38">
        <v>-440000</v>
      </c>
      <c r="R848" s="38">
        <v>-10</v>
      </c>
      <c r="S848" s="55">
        <f t="shared" si="650"/>
        <v>4138.960000000312</v>
      </c>
      <c r="T848" s="48"/>
      <c r="U848" s="49">
        <f t="shared" si="651"/>
        <v>30.400000000098949</v>
      </c>
      <c r="V848" s="38">
        <v>26943.66</v>
      </c>
      <c r="W848" s="38"/>
      <c r="X848" s="38"/>
      <c r="Y848" s="51">
        <f t="shared" si="652"/>
        <v>26974.0600000001</v>
      </c>
      <c r="Z848" s="52"/>
      <c r="AA848" s="53">
        <f t="shared" si="653"/>
        <v>122686.07999999949</v>
      </c>
      <c r="AB848" s="38"/>
      <c r="AC848" s="38">
        <v>-122000</v>
      </c>
      <c r="AD848" s="38"/>
      <c r="AE848" s="54">
        <f t="shared" si="654"/>
        <v>686.07999999949243</v>
      </c>
      <c r="AF848" s="53"/>
      <c r="AG848" s="53">
        <f t="shared" si="630"/>
        <v>362.55000000006987</v>
      </c>
      <c r="AH848" s="38">
        <v>312175.19</v>
      </c>
      <c r="AI848" s="38">
        <v>-312000</v>
      </c>
      <c r="AJ848" s="38"/>
      <c r="AK848" s="54">
        <f t="shared" si="655"/>
        <v>537.74000000004889</v>
      </c>
      <c r="AL848" s="53"/>
      <c r="AM848" s="53">
        <f t="shared" si="638"/>
        <v>0</v>
      </c>
      <c r="AN848" s="38"/>
      <c r="AO848" s="38"/>
      <c r="AP848" s="38"/>
      <c r="AQ848" s="54">
        <f t="shared" si="639"/>
        <v>0</v>
      </c>
      <c r="AR848" s="53"/>
      <c r="AS848" s="29">
        <f t="shared" si="658"/>
        <v>-2456728.609999998</v>
      </c>
      <c r="AT848" s="29">
        <f t="shared" si="631"/>
        <v>1207643.27</v>
      </c>
      <c r="AU848" s="29">
        <f t="shared" si="632"/>
        <v>0</v>
      </c>
      <c r="AV848" s="29">
        <f t="shared" si="663"/>
        <v>-10</v>
      </c>
      <c r="AW848" s="29"/>
      <c r="AX848" s="29">
        <f t="shared" si="641"/>
        <v>-1248732.7899999979</v>
      </c>
      <c r="AY848" s="29">
        <f t="shared" si="642"/>
        <v>9300000</v>
      </c>
      <c r="AZ848" s="29">
        <f t="shared" si="643"/>
        <v>8051267.2100000018</v>
      </c>
    </row>
    <row r="849" spans="2:52" x14ac:dyDescent="0.3">
      <c r="B849" s="99">
        <f t="shared" si="622"/>
        <v>45351</v>
      </c>
      <c r="C849" s="44">
        <f t="shared" si="646"/>
        <v>-2076717.879999999</v>
      </c>
      <c r="D849" s="38">
        <f>33879.85+19706.39+47712</f>
        <v>101298.23999999999</v>
      </c>
      <c r="E849" s="38">
        <v>792000</v>
      </c>
      <c r="F849" s="38">
        <v>-65807.34</v>
      </c>
      <c r="G849" s="45">
        <f t="shared" si="620"/>
        <v>-1249226.9799999991</v>
      </c>
      <c r="H849" s="44">
        <v>4300000</v>
      </c>
      <c r="I849" s="46">
        <f t="shared" si="647"/>
        <v>795648.25000000116</v>
      </c>
      <c r="J849" s="38"/>
      <c r="K849" s="38"/>
      <c r="L849" s="38"/>
      <c r="M849" s="47">
        <f t="shared" si="648"/>
        <v>795648.25000000116</v>
      </c>
      <c r="N849" s="46">
        <v>5000000</v>
      </c>
      <c r="O849" s="48">
        <f t="shared" si="649"/>
        <v>4138.960000000312</v>
      </c>
      <c r="P849" s="38">
        <v>22959.46</v>
      </c>
      <c r="Q849" s="38">
        <f>788760-792000</f>
        <v>-3240</v>
      </c>
      <c r="R849" s="38">
        <v>-10</v>
      </c>
      <c r="S849" s="55">
        <f t="shared" si="650"/>
        <v>23848.420000000311</v>
      </c>
      <c r="T849" s="48"/>
      <c r="U849" s="49">
        <f t="shared" si="651"/>
        <v>26974.0600000001</v>
      </c>
      <c r="V849" s="38">
        <f>100654.12+661184.41</f>
        <v>761838.53</v>
      </c>
      <c r="W849" s="38">
        <v>-788760</v>
      </c>
      <c r="X849" s="38">
        <v>-1.5</v>
      </c>
      <c r="Y849" s="51">
        <f t="shared" si="652"/>
        <v>51.090000000083819</v>
      </c>
      <c r="Z849" s="52"/>
      <c r="AA849" s="53">
        <f t="shared" si="653"/>
        <v>686.07999999949243</v>
      </c>
      <c r="AB849" s="38"/>
      <c r="AC849" s="38"/>
      <c r="AD849" s="38"/>
      <c r="AE849" s="54">
        <f t="shared" si="654"/>
        <v>686.07999999949243</v>
      </c>
      <c r="AF849" s="53"/>
      <c r="AG849" s="53">
        <f t="shared" si="630"/>
        <v>537.74000000004889</v>
      </c>
      <c r="AH849" s="38"/>
      <c r="AI849" s="38"/>
      <c r="AJ849" s="38">
        <v>-84.9</v>
      </c>
      <c r="AK849" s="54">
        <f t="shared" si="655"/>
        <v>452.84000000004892</v>
      </c>
      <c r="AL849" s="53"/>
      <c r="AM849" s="53">
        <f t="shared" si="638"/>
        <v>0</v>
      </c>
      <c r="AN849" s="38"/>
      <c r="AO849" s="38"/>
      <c r="AP849" s="38"/>
      <c r="AQ849" s="54">
        <f t="shared" si="639"/>
        <v>0</v>
      </c>
      <c r="AR849" s="53"/>
      <c r="AS849" s="29">
        <f t="shared" si="658"/>
        <v>-1249270.5299999979</v>
      </c>
      <c r="AT849" s="29">
        <f t="shared" si="631"/>
        <v>886096.23</v>
      </c>
      <c r="AU849" s="29">
        <f t="shared" si="632"/>
        <v>0</v>
      </c>
      <c r="AV849" s="29">
        <f t="shared" si="663"/>
        <v>-65903.739999999991</v>
      </c>
      <c r="AW849" s="29"/>
      <c r="AX849" s="29">
        <f t="shared" si="641"/>
        <v>-428540.29999999795</v>
      </c>
      <c r="AY849" s="29">
        <f t="shared" si="642"/>
        <v>9300000</v>
      </c>
      <c r="AZ849" s="29">
        <f t="shared" si="643"/>
        <v>8871459.700000003</v>
      </c>
    </row>
    <row r="850" spans="2:52" x14ac:dyDescent="0.3">
      <c r="B850" s="99">
        <f t="shared" si="622"/>
        <v>45352</v>
      </c>
      <c r="C850" s="44">
        <f t="shared" si="646"/>
        <v>-1249226.9799999991</v>
      </c>
      <c r="D850" s="38"/>
      <c r="E850" s="38">
        <v>390000</v>
      </c>
      <c r="F850" s="38"/>
      <c r="G850" s="45">
        <f t="shared" si="620"/>
        <v>-859226.97999999905</v>
      </c>
      <c r="H850" s="44">
        <v>4300000</v>
      </c>
      <c r="I850" s="46">
        <f t="shared" si="647"/>
        <v>795648.25000000116</v>
      </c>
      <c r="J850" s="38">
        <v>417759.3</v>
      </c>
      <c r="K850" s="38"/>
      <c r="L850" s="38">
        <v>-31250.560000000001</v>
      </c>
      <c r="M850" s="47">
        <f t="shared" si="648"/>
        <v>1182156.9900000012</v>
      </c>
      <c r="N850" s="46">
        <v>5000000</v>
      </c>
      <c r="O850" s="48">
        <f t="shared" si="649"/>
        <v>23848.420000000311</v>
      </c>
      <c r="P850" s="38">
        <v>1000634.1</v>
      </c>
      <c r="Q850" s="38">
        <v>-390000</v>
      </c>
      <c r="R850" s="38">
        <v>-735</v>
      </c>
      <c r="S850" s="55">
        <f t="shared" si="650"/>
        <v>633747.52000000025</v>
      </c>
      <c r="T850" s="48"/>
      <c r="U850" s="49">
        <f t="shared" si="651"/>
        <v>51.090000000083819</v>
      </c>
      <c r="V850" s="38"/>
      <c r="W850" s="38"/>
      <c r="X850" s="38"/>
      <c r="Y850" s="51">
        <f t="shared" si="652"/>
        <v>51.090000000083819</v>
      </c>
      <c r="Z850" s="52"/>
      <c r="AA850" s="53">
        <f t="shared" si="653"/>
        <v>686.07999999949243</v>
      </c>
      <c r="AB850" s="38"/>
      <c r="AC850" s="38"/>
      <c r="AD850" s="38"/>
      <c r="AE850" s="54">
        <f t="shared" si="654"/>
        <v>686.07999999949243</v>
      </c>
      <c r="AF850" s="53"/>
      <c r="AG850" s="53">
        <f t="shared" si="630"/>
        <v>452.84000000004892</v>
      </c>
      <c r="AH850" s="38"/>
      <c r="AI850" s="38"/>
      <c r="AJ850" s="38"/>
      <c r="AK850" s="54">
        <f t="shared" si="655"/>
        <v>452.84000000004892</v>
      </c>
      <c r="AL850" s="53"/>
      <c r="AM850" s="53">
        <f t="shared" si="638"/>
        <v>0</v>
      </c>
      <c r="AN850" s="38"/>
      <c r="AO850" s="38"/>
      <c r="AP850" s="38"/>
      <c r="AQ850" s="54">
        <f t="shared" si="639"/>
        <v>0</v>
      </c>
      <c r="AR850" s="53"/>
      <c r="AS850" s="29">
        <f t="shared" si="658"/>
        <v>-428993.13999999798</v>
      </c>
      <c r="AT850" s="29">
        <f t="shared" si="631"/>
        <v>1418393.4</v>
      </c>
      <c r="AU850" s="29">
        <f t="shared" si="632"/>
        <v>0</v>
      </c>
      <c r="AV850" s="29">
        <f t="shared" si="663"/>
        <v>-31985.56</v>
      </c>
      <c r="AW850" s="29"/>
      <c r="AX850" s="29">
        <f t="shared" si="641"/>
        <v>957867.54000000202</v>
      </c>
      <c r="AY850" s="29">
        <f t="shared" si="642"/>
        <v>9300000</v>
      </c>
      <c r="AZ850" s="29">
        <f t="shared" si="643"/>
        <v>10257867.540000003</v>
      </c>
    </row>
    <row r="851" spans="2:52" x14ac:dyDescent="0.3">
      <c r="B851" s="99">
        <f t="shared" ref="B851" si="666">B850+3</f>
        <v>45355</v>
      </c>
      <c r="C851" s="44">
        <f t="shared" si="646"/>
        <v>-859226.97999999905</v>
      </c>
      <c r="D851" s="38">
        <v>425779.15</v>
      </c>
      <c r="E851" s="38">
        <v>-1150000</v>
      </c>
      <c r="F851" s="38">
        <v>-194076.87</v>
      </c>
      <c r="G851" s="45">
        <f t="shared" si="620"/>
        <v>-1777524.6999999993</v>
      </c>
      <c r="H851" s="44">
        <v>4300000</v>
      </c>
      <c r="I851" s="46">
        <f t="shared" si="647"/>
        <v>1182156.9900000012</v>
      </c>
      <c r="J851" s="38"/>
      <c r="K851" s="38">
        <f>1820000+150000</f>
        <v>1970000</v>
      </c>
      <c r="L851" s="38">
        <v>-2932649.01</v>
      </c>
      <c r="M851" s="47">
        <f t="shared" si="648"/>
        <v>219507.98000000138</v>
      </c>
      <c r="N851" s="46">
        <v>5000000</v>
      </c>
      <c r="O851" s="48">
        <f t="shared" si="649"/>
        <v>633747.52000000025</v>
      </c>
      <c r="P851" s="38">
        <v>203793.82</v>
      </c>
      <c r="Q851" s="38">
        <v>-820000</v>
      </c>
      <c r="R851" s="38">
        <v>-15498.13</v>
      </c>
      <c r="S851" s="55">
        <f t="shared" si="650"/>
        <v>2043.2100000003175</v>
      </c>
      <c r="T851" s="48"/>
      <c r="U851" s="49">
        <f t="shared" si="651"/>
        <v>51.090000000083819</v>
      </c>
      <c r="V851" s="38"/>
      <c r="W851" s="38"/>
      <c r="X851" s="38">
        <v>-51.09</v>
      </c>
      <c r="Y851" s="51">
        <f t="shared" si="652"/>
        <v>8.3815621110261418E-11</v>
      </c>
      <c r="Z851" s="52"/>
      <c r="AA851" s="53">
        <f t="shared" si="653"/>
        <v>686.07999999949243</v>
      </c>
      <c r="AB851" s="38"/>
      <c r="AC851" s="38"/>
      <c r="AD851" s="38">
        <v>-392.08</v>
      </c>
      <c r="AE851" s="54">
        <f t="shared" si="654"/>
        <v>293.99999999949245</v>
      </c>
      <c r="AF851" s="53"/>
      <c r="AG851" s="53">
        <f t="shared" si="630"/>
        <v>452.84000000004892</v>
      </c>
      <c r="AH851" s="38"/>
      <c r="AI851" s="38"/>
      <c r="AJ851" s="38"/>
      <c r="AK851" s="54">
        <f t="shared" si="655"/>
        <v>452.84000000004892</v>
      </c>
      <c r="AL851" s="53"/>
      <c r="AM851" s="53">
        <f t="shared" si="638"/>
        <v>0</v>
      </c>
      <c r="AN851" s="38"/>
      <c r="AO851" s="38"/>
      <c r="AP851" s="38"/>
      <c r="AQ851" s="54">
        <f t="shared" si="639"/>
        <v>0</v>
      </c>
      <c r="AR851" s="53"/>
      <c r="AS851" s="29">
        <f t="shared" si="658"/>
        <v>957414.70000000193</v>
      </c>
      <c r="AT851" s="29">
        <f t="shared" si="631"/>
        <v>629572.97</v>
      </c>
      <c r="AU851" s="29">
        <f t="shared" si="632"/>
        <v>0</v>
      </c>
      <c r="AV851" s="29">
        <f t="shared" si="663"/>
        <v>-3142667.1799999997</v>
      </c>
      <c r="AW851" s="29"/>
      <c r="AX851" s="29">
        <f t="shared" si="641"/>
        <v>-1555226.6699999978</v>
      </c>
      <c r="AY851" s="29">
        <f t="shared" si="642"/>
        <v>9300000</v>
      </c>
      <c r="AZ851" s="29">
        <f t="shared" si="643"/>
        <v>7744773.3300000019</v>
      </c>
    </row>
    <row r="852" spans="2:52" x14ac:dyDescent="0.3">
      <c r="B852" s="99">
        <f t="shared" ref="B852" si="667">B851+1</f>
        <v>45356</v>
      </c>
      <c r="C852" s="44">
        <f t="shared" si="646"/>
        <v>-1777524.6999999993</v>
      </c>
      <c r="D852" s="38"/>
      <c r="E852" s="38">
        <v>-550000</v>
      </c>
      <c r="F852" s="38">
        <v>-739893.2</v>
      </c>
      <c r="G852" s="45">
        <f t="shared" si="620"/>
        <v>-3067417.8999999994</v>
      </c>
      <c r="H852" s="44">
        <v>4300000</v>
      </c>
      <c r="I852" s="46">
        <f t="shared" si="647"/>
        <v>219507.98000000138</v>
      </c>
      <c r="J852" s="38">
        <v>117365.56</v>
      </c>
      <c r="K852" s="38">
        <v>550000</v>
      </c>
      <c r="L852" s="38">
        <v>-747962.69</v>
      </c>
      <c r="M852" s="47">
        <f t="shared" si="648"/>
        <v>138910.85000000149</v>
      </c>
      <c r="N852" s="46">
        <v>5000000</v>
      </c>
      <c r="O852" s="48">
        <f t="shared" si="649"/>
        <v>2043.2100000003175</v>
      </c>
      <c r="P852" s="38">
        <v>73426.490000000005</v>
      </c>
      <c r="Q852" s="38">
        <v>-50</v>
      </c>
      <c r="R852" s="38">
        <v>-23584.85</v>
      </c>
      <c r="S852" s="55">
        <f t="shared" si="650"/>
        <v>51834.850000000319</v>
      </c>
      <c r="T852" s="48"/>
      <c r="U852" s="49">
        <f t="shared" si="651"/>
        <v>8.3815621110261418E-11</v>
      </c>
      <c r="V852" s="38"/>
      <c r="W852" s="38">
        <v>50</v>
      </c>
      <c r="X852" s="38">
        <v>-14.21</v>
      </c>
      <c r="Y852" s="51">
        <f t="shared" si="652"/>
        <v>35.790000000083815</v>
      </c>
      <c r="Z852" s="52"/>
      <c r="AA852" s="53">
        <f t="shared" si="653"/>
        <v>293.99999999949245</v>
      </c>
      <c r="AB852" s="38"/>
      <c r="AC852" s="38"/>
      <c r="AD852" s="38"/>
      <c r="AE852" s="54">
        <f t="shared" si="654"/>
        <v>293.99999999949245</v>
      </c>
      <c r="AF852" s="53"/>
      <c r="AG852" s="53">
        <f t="shared" si="630"/>
        <v>452.84000000004892</v>
      </c>
      <c r="AH852" s="38"/>
      <c r="AI852" s="38"/>
      <c r="AJ852" s="38"/>
      <c r="AK852" s="54">
        <f t="shared" si="655"/>
        <v>452.84000000004892</v>
      </c>
      <c r="AL852" s="53"/>
      <c r="AM852" s="53">
        <f t="shared" si="638"/>
        <v>0</v>
      </c>
      <c r="AN852" s="38"/>
      <c r="AO852" s="38"/>
      <c r="AP852" s="38"/>
      <c r="AQ852" s="54">
        <f t="shared" si="639"/>
        <v>0</v>
      </c>
      <c r="AR852" s="53"/>
      <c r="AS852" s="29">
        <f t="shared" si="658"/>
        <v>-1555679.5099999979</v>
      </c>
      <c r="AT852" s="29">
        <f t="shared" si="631"/>
        <v>190792.05</v>
      </c>
      <c r="AU852" s="29">
        <f t="shared" si="632"/>
        <v>0</v>
      </c>
      <c r="AV852" s="29">
        <f t="shared" si="663"/>
        <v>-1511454.95</v>
      </c>
      <c r="AW852" s="29"/>
      <c r="AX852" s="29">
        <f t="shared" si="641"/>
        <v>-2875889.5699999984</v>
      </c>
      <c r="AY852" s="29">
        <f t="shared" si="642"/>
        <v>9300000</v>
      </c>
      <c r="AZ852" s="29">
        <f t="shared" si="643"/>
        <v>6424110.4300000016</v>
      </c>
    </row>
    <row r="853" spans="2:52" x14ac:dyDescent="0.3">
      <c r="B853" s="99">
        <f t="shared" si="622"/>
        <v>45357</v>
      </c>
      <c r="C853" s="44">
        <f t="shared" si="646"/>
        <v>-3067417.8999999994</v>
      </c>
      <c r="D853" s="38">
        <v>124793.58</v>
      </c>
      <c r="E853" s="38"/>
      <c r="F853" s="38">
        <v>-15754.67</v>
      </c>
      <c r="G853" s="45">
        <f t="shared" ref="G853:G916" si="668">SUM(C853:F853)</f>
        <v>-2958378.9899999993</v>
      </c>
      <c r="H853" s="44">
        <v>4300000</v>
      </c>
      <c r="I853" s="46">
        <f t="shared" si="647"/>
        <v>138910.85000000149</v>
      </c>
      <c r="J853" s="38"/>
      <c r="K853" s="38"/>
      <c r="L853" s="38">
        <v>-68312.289999999994</v>
      </c>
      <c r="M853" s="47">
        <f t="shared" si="648"/>
        <v>70598.560000001497</v>
      </c>
      <c r="N853" s="46">
        <v>5000000</v>
      </c>
      <c r="O853" s="48">
        <f t="shared" si="649"/>
        <v>51834.850000000319</v>
      </c>
      <c r="P853" s="38"/>
      <c r="Q853" s="38"/>
      <c r="R853" s="38">
        <v>-3675.6</v>
      </c>
      <c r="S853" s="55">
        <f t="shared" si="650"/>
        <v>48159.25000000032</v>
      </c>
      <c r="T853" s="48"/>
      <c r="U853" s="49">
        <f t="shared" si="651"/>
        <v>35.790000000083815</v>
      </c>
      <c r="V853" s="38"/>
      <c r="W853" s="38"/>
      <c r="X853" s="38"/>
      <c r="Y853" s="51">
        <f t="shared" si="652"/>
        <v>35.790000000083815</v>
      </c>
      <c r="Z853" s="52"/>
      <c r="AA853" s="53">
        <f t="shared" si="653"/>
        <v>293.99999999949245</v>
      </c>
      <c r="AB853" s="38"/>
      <c r="AC853" s="38"/>
      <c r="AD853" s="38"/>
      <c r="AE853" s="54">
        <f t="shared" si="654"/>
        <v>293.99999999949245</v>
      </c>
      <c r="AF853" s="53"/>
      <c r="AG853" s="53">
        <f t="shared" si="630"/>
        <v>452.84000000004892</v>
      </c>
      <c r="AH853" s="38"/>
      <c r="AI853" s="38"/>
      <c r="AJ853" s="38"/>
      <c r="AK853" s="54">
        <f t="shared" si="655"/>
        <v>452.84000000004892</v>
      </c>
      <c r="AL853" s="53"/>
      <c r="AM853" s="53">
        <f t="shared" si="638"/>
        <v>0</v>
      </c>
      <c r="AN853" s="38"/>
      <c r="AO853" s="38"/>
      <c r="AP853" s="38"/>
      <c r="AQ853" s="54">
        <f t="shared" si="639"/>
        <v>0</v>
      </c>
      <c r="AR853" s="53"/>
      <c r="AS853" s="29">
        <f t="shared" si="658"/>
        <v>-2876342.4099999983</v>
      </c>
      <c r="AT853" s="29">
        <f t="shared" si="631"/>
        <v>124793.58</v>
      </c>
      <c r="AU853" s="29">
        <f t="shared" si="632"/>
        <v>0</v>
      </c>
      <c r="AV853" s="29">
        <f t="shared" si="663"/>
        <v>-87742.56</v>
      </c>
      <c r="AW853" s="29"/>
      <c r="AX853" s="29">
        <f t="shared" si="641"/>
        <v>-2838838.549999998</v>
      </c>
      <c r="AY853" s="29">
        <f t="shared" si="642"/>
        <v>9300000</v>
      </c>
      <c r="AZ853" s="29">
        <f t="shared" si="643"/>
        <v>6461161.450000002</v>
      </c>
    </row>
    <row r="854" spans="2:52" x14ac:dyDescent="0.3">
      <c r="B854" s="99">
        <f t="shared" si="622"/>
        <v>45358</v>
      </c>
      <c r="C854" s="44">
        <f t="shared" si="646"/>
        <v>-2958378.9899999993</v>
      </c>
      <c r="D854" s="38"/>
      <c r="E854" s="38"/>
      <c r="F854" s="38">
        <v>-403128.13</v>
      </c>
      <c r="G854" s="45">
        <f t="shared" si="668"/>
        <v>-3361507.1199999992</v>
      </c>
      <c r="H854" s="44">
        <v>4300000</v>
      </c>
      <c r="I854" s="46">
        <f t="shared" si="647"/>
        <v>70598.560000001497</v>
      </c>
      <c r="J854" s="38"/>
      <c r="K854" s="38">
        <v>150000</v>
      </c>
      <c r="L854" s="38">
        <v>-100329.39</v>
      </c>
      <c r="M854" s="47">
        <f t="shared" si="648"/>
        <v>120269.17000000151</v>
      </c>
      <c r="N854" s="46">
        <v>5000000</v>
      </c>
      <c r="O854" s="48">
        <f t="shared" si="649"/>
        <v>48159.25000000032</v>
      </c>
      <c r="P854" s="38">
        <v>104011.41</v>
      </c>
      <c r="Q854" s="38">
        <v>-150000</v>
      </c>
      <c r="R854" s="38"/>
      <c r="S854" s="55">
        <f t="shared" si="650"/>
        <v>2170.6600000003236</v>
      </c>
      <c r="T854" s="48"/>
      <c r="U854" s="49">
        <f t="shared" si="651"/>
        <v>35.790000000083815</v>
      </c>
      <c r="V854" s="38"/>
      <c r="W854" s="38"/>
      <c r="X854" s="38"/>
      <c r="Y854" s="51">
        <f t="shared" si="652"/>
        <v>35.790000000083815</v>
      </c>
      <c r="Z854" s="52"/>
      <c r="AA854" s="53">
        <f t="shared" si="653"/>
        <v>293.99999999949245</v>
      </c>
      <c r="AB854" s="38"/>
      <c r="AC854" s="38"/>
      <c r="AD854" s="38"/>
      <c r="AE854" s="54">
        <f t="shared" si="654"/>
        <v>293.99999999949245</v>
      </c>
      <c r="AF854" s="53"/>
      <c r="AG854" s="53">
        <f t="shared" si="630"/>
        <v>452.84000000004892</v>
      </c>
      <c r="AH854" s="38"/>
      <c r="AI854" s="38"/>
      <c r="AJ854" s="38"/>
      <c r="AK854" s="54">
        <f t="shared" si="655"/>
        <v>452.84000000004892</v>
      </c>
      <c r="AL854" s="53"/>
      <c r="AM854" s="53">
        <f t="shared" si="638"/>
        <v>0</v>
      </c>
      <c r="AN854" s="38"/>
      <c r="AO854" s="38"/>
      <c r="AP854" s="38"/>
      <c r="AQ854" s="54">
        <f t="shared" si="639"/>
        <v>0</v>
      </c>
      <c r="AR854" s="53"/>
      <c r="AS854" s="29">
        <f t="shared" si="658"/>
        <v>-2839291.3899999978</v>
      </c>
      <c r="AT854" s="29">
        <f t="shared" si="631"/>
        <v>104011.41</v>
      </c>
      <c r="AU854" s="29">
        <f t="shared" si="632"/>
        <v>0</v>
      </c>
      <c r="AV854" s="29">
        <f t="shared" si="663"/>
        <v>-503457.52</v>
      </c>
      <c r="AW854" s="29"/>
      <c r="AX854" s="29">
        <f t="shared" si="641"/>
        <v>-3238284.6599999983</v>
      </c>
      <c r="AY854" s="29">
        <f t="shared" si="642"/>
        <v>9300000</v>
      </c>
      <c r="AZ854" s="29">
        <f t="shared" si="643"/>
        <v>6061715.3400000017</v>
      </c>
    </row>
    <row r="855" spans="2:52" x14ac:dyDescent="0.3">
      <c r="B855" s="99">
        <f t="shared" si="622"/>
        <v>45359</v>
      </c>
      <c r="C855" s="44">
        <f t="shared" si="646"/>
        <v>-3361507.1199999992</v>
      </c>
      <c r="D855" s="38">
        <v>1126.2</v>
      </c>
      <c r="E855" s="38">
        <v>105000</v>
      </c>
      <c r="F855" s="38"/>
      <c r="G855" s="45">
        <f t="shared" si="668"/>
        <v>-3255380.919999999</v>
      </c>
      <c r="H855" s="44">
        <v>4300000</v>
      </c>
      <c r="I855" s="46">
        <f t="shared" si="647"/>
        <v>120269.17000000151</v>
      </c>
      <c r="J855" s="38">
        <f>3845.8*2</f>
        <v>7691.6</v>
      </c>
      <c r="K855" s="38"/>
      <c r="L855" s="38">
        <v>-80949.11</v>
      </c>
      <c r="M855" s="47">
        <f t="shared" si="648"/>
        <v>47011.660000001517</v>
      </c>
      <c r="N855" s="46">
        <v>5000000</v>
      </c>
      <c r="O855" s="48">
        <f t="shared" si="649"/>
        <v>2170.6600000003236</v>
      </c>
      <c r="P855" s="38">
        <v>104011.41</v>
      </c>
      <c r="Q855" s="38">
        <v>-105000</v>
      </c>
      <c r="R855" s="38">
        <v>-166.92</v>
      </c>
      <c r="S855" s="55">
        <f t="shared" si="650"/>
        <v>1015.1500000003272</v>
      </c>
      <c r="T855" s="48"/>
      <c r="U855" s="49">
        <f t="shared" si="651"/>
        <v>35.790000000083815</v>
      </c>
      <c r="V855" s="38"/>
      <c r="W855" s="38"/>
      <c r="X855" s="38"/>
      <c r="Y855" s="51">
        <f t="shared" si="652"/>
        <v>35.790000000083815</v>
      </c>
      <c r="Z855" s="52"/>
      <c r="AA855" s="53">
        <f t="shared" si="653"/>
        <v>293.99999999949245</v>
      </c>
      <c r="AB855" s="38"/>
      <c r="AC855" s="38"/>
      <c r="AD855" s="38"/>
      <c r="AE855" s="54">
        <f t="shared" si="654"/>
        <v>293.99999999949245</v>
      </c>
      <c r="AF855" s="53"/>
      <c r="AG855" s="53">
        <f t="shared" si="630"/>
        <v>452.84000000004892</v>
      </c>
      <c r="AH855" s="38"/>
      <c r="AI855" s="38"/>
      <c r="AJ855" s="38"/>
      <c r="AK855" s="54">
        <f t="shared" si="655"/>
        <v>452.84000000004892</v>
      </c>
      <c r="AL855" s="53"/>
      <c r="AM855" s="53">
        <f t="shared" si="638"/>
        <v>0</v>
      </c>
      <c r="AN855" s="38"/>
      <c r="AO855" s="38"/>
      <c r="AP855" s="38"/>
      <c r="AQ855" s="54">
        <f t="shared" si="639"/>
        <v>0</v>
      </c>
      <c r="AR855" s="53"/>
      <c r="AS855" s="29">
        <f t="shared" si="658"/>
        <v>-3238737.4999999981</v>
      </c>
      <c r="AT855" s="29">
        <f t="shared" si="631"/>
        <v>112829.21</v>
      </c>
      <c r="AU855" s="29">
        <f t="shared" si="632"/>
        <v>0</v>
      </c>
      <c r="AV855" s="29">
        <f t="shared" si="663"/>
        <v>-81116.03</v>
      </c>
      <c r="AW855" s="29"/>
      <c r="AX855" s="29">
        <f t="shared" si="641"/>
        <v>-3206571.4799999977</v>
      </c>
      <c r="AY855" s="29">
        <f t="shared" si="642"/>
        <v>9300000</v>
      </c>
      <c r="AZ855" s="29">
        <f t="shared" si="643"/>
        <v>6093428.5200000023</v>
      </c>
    </row>
    <row r="856" spans="2:52" x14ac:dyDescent="0.3">
      <c r="B856" s="99">
        <f t="shared" ref="B856" si="669">B855+3</f>
        <v>45362</v>
      </c>
      <c r="C856" s="44">
        <f t="shared" si="646"/>
        <v>-3255380.919999999</v>
      </c>
      <c r="D856" s="38">
        <v>364350.13</v>
      </c>
      <c r="E856" s="38">
        <v>-150000</v>
      </c>
      <c r="F856" s="38">
        <v>-128220.42</v>
      </c>
      <c r="G856" s="45">
        <f t="shared" si="668"/>
        <v>-3169251.209999999</v>
      </c>
      <c r="H856" s="44">
        <v>4300000</v>
      </c>
      <c r="I856" s="46">
        <f t="shared" si="647"/>
        <v>47011.660000001517</v>
      </c>
      <c r="J856" s="38"/>
      <c r="K856" s="38">
        <v>150000</v>
      </c>
      <c r="L856" s="38">
        <v>-153940.93</v>
      </c>
      <c r="M856" s="47">
        <f t="shared" si="648"/>
        <v>43070.730000001524</v>
      </c>
      <c r="N856" s="46">
        <v>5000000</v>
      </c>
      <c r="O856" s="48">
        <f t="shared" si="649"/>
        <v>1015.1500000003272</v>
      </c>
      <c r="P856" s="38"/>
      <c r="Q856" s="38"/>
      <c r="R856" s="38"/>
      <c r="S856" s="55">
        <f t="shared" si="650"/>
        <v>1015.1500000003272</v>
      </c>
      <c r="T856" s="48"/>
      <c r="U856" s="49">
        <f t="shared" si="651"/>
        <v>35.790000000083815</v>
      </c>
      <c r="V856" s="38"/>
      <c r="W856" s="38"/>
      <c r="X856" s="38"/>
      <c r="Y856" s="51">
        <f t="shared" si="652"/>
        <v>35.790000000083815</v>
      </c>
      <c r="Z856" s="52"/>
      <c r="AA856" s="53">
        <f t="shared" si="653"/>
        <v>293.99999999949245</v>
      </c>
      <c r="AB856" s="38"/>
      <c r="AC856" s="38"/>
      <c r="AD856" s="38"/>
      <c r="AE856" s="54">
        <f t="shared" si="654"/>
        <v>293.99999999949245</v>
      </c>
      <c r="AF856" s="53"/>
      <c r="AG856" s="53">
        <f t="shared" si="630"/>
        <v>452.84000000004892</v>
      </c>
      <c r="AH856" s="38"/>
      <c r="AI856" s="38"/>
      <c r="AJ856" s="38"/>
      <c r="AK856" s="54">
        <f t="shared" si="655"/>
        <v>452.84000000004892</v>
      </c>
      <c r="AL856" s="53"/>
      <c r="AM856" s="53">
        <f t="shared" si="638"/>
        <v>0</v>
      </c>
      <c r="AN856" s="38"/>
      <c r="AO856" s="38"/>
      <c r="AP856" s="38"/>
      <c r="AQ856" s="54">
        <f t="shared" si="639"/>
        <v>0</v>
      </c>
      <c r="AR856" s="53"/>
      <c r="AS856" s="29">
        <f t="shared" si="658"/>
        <v>-3207024.3199999975</v>
      </c>
      <c r="AT856" s="29">
        <f t="shared" si="631"/>
        <v>364350.13</v>
      </c>
      <c r="AU856" s="29">
        <f t="shared" si="632"/>
        <v>0</v>
      </c>
      <c r="AV856" s="29">
        <f t="shared" si="663"/>
        <v>-282161.34999999998</v>
      </c>
      <c r="AW856" s="29"/>
      <c r="AX856" s="29">
        <f t="shared" si="641"/>
        <v>-3124382.6999999979</v>
      </c>
      <c r="AY856" s="29">
        <f t="shared" si="642"/>
        <v>9300000</v>
      </c>
      <c r="AZ856" s="29">
        <f t="shared" si="643"/>
        <v>6175617.3000000026</v>
      </c>
    </row>
    <row r="857" spans="2:52" x14ac:dyDescent="0.3">
      <c r="B857" s="99">
        <f t="shared" si="622"/>
        <v>45363</v>
      </c>
      <c r="C857" s="44">
        <f t="shared" si="646"/>
        <v>-3169251.209999999</v>
      </c>
      <c r="D857" s="38"/>
      <c r="E857" s="38"/>
      <c r="F857" s="38">
        <v>-25431.37</v>
      </c>
      <c r="G857" s="45">
        <f t="shared" si="668"/>
        <v>-3194682.5799999991</v>
      </c>
      <c r="H857" s="44">
        <v>4300000</v>
      </c>
      <c r="I857" s="46">
        <f t="shared" si="647"/>
        <v>43070.730000001524</v>
      </c>
      <c r="J857" s="38"/>
      <c r="K857" s="38"/>
      <c r="L857" s="38">
        <v>-22132.82</v>
      </c>
      <c r="M857" s="47">
        <f t="shared" si="648"/>
        <v>20937.910000001524</v>
      </c>
      <c r="N857" s="46">
        <v>5000000</v>
      </c>
      <c r="O857" s="48">
        <f t="shared" si="649"/>
        <v>1015.1500000003272</v>
      </c>
      <c r="P857" s="38">
        <v>34440.629999999997</v>
      </c>
      <c r="Q857" s="38"/>
      <c r="R857" s="38"/>
      <c r="S857" s="55">
        <f t="shared" si="650"/>
        <v>35455.780000000326</v>
      </c>
      <c r="T857" s="48"/>
      <c r="U857" s="49">
        <f t="shared" si="651"/>
        <v>35.790000000083815</v>
      </c>
      <c r="V857" s="38"/>
      <c r="W857" s="38"/>
      <c r="X857" s="38"/>
      <c r="Y857" s="51">
        <f t="shared" si="652"/>
        <v>35.790000000083815</v>
      </c>
      <c r="Z857" s="52"/>
      <c r="AA857" s="53">
        <f t="shared" si="653"/>
        <v>293.99999999949245</v>
      </c>
      <c r="AB857" s="38"/>
      <c r="AC857" s="38"/>
      <c r="AD857" s="38"/>
      <c r="AE857" s="54">
        <f t="shared" si="654"/>
        <v>293.99999999949245</v>
      </c>
      <c r="AF857" s="53"/>
      <c r="AG857" s="53">
        <f t="shared" ref="AG857:AG920" si="670">AK856</f>
        <v>452.84000000004892</v>
      </c>
      <c r="AH857" s="38"/>
      <c r="AI857" s="38"/>
      <c r="AJ857" s="38"/>
      <c r="AK857" s="54">
        <f t="shared" ref="AK857:AK920" si="671">SUM(AG857:AJ857)</f>
        <v>452.84000000004892</v>
      </c>
      <c r="AL857" s="53"/>
      <c r="AM857" s="53">
        <f t="shared" si="638"/>
        <v>0</v>
      </c>
      <c r="AN857" s="38"/>
      <c r="AO857" s="38"/>
      <c r="AP857" s="38"/>
      <c r="AQ857" s="54">
        <f t="shared" si="639"/>
        <v>0</v>
      </c>
      <c r="AR857" s="53"/>
      <c r="AS857" s="29">
        <f t="shared" ref="AS857:AS920" si="672">SUM(C857,I857,O857,U857,AA857,)</f>
        <v>-3124835.5399999977</v>
      </c>
      <c r="AT857" s="29">
        <f t="shared" ref="AT857:AT920" si="673">SUM(D857,J857,P857,V857,AB857,AH857)</f>
        <v>34440.629999999997</v>
      </c>
      <c r="AU857" s="29">
        <f t="shared" ref="AU857:AU920" si="674">SUM(E857,K857,Q857,W857,AC857,AI857)</f>
        <v>0</v>
      </c>
      <c r="AV857" s="29">
        <f t="shared" ref="AV857:AV920" si="675">SUM(F857,L857,R857,X857,AD857,AJ857)</f>
        <v>-47564.19</v>
      </c>
      <c r="AW857" s="29"/>
      <c r="AX857" s="29">
        <f t="shared" ref="AX857:AX920" si="676">SUM(G857,M857,S857,Y857,AE857,AK857)</f>
        <v>-3137506.2599999979</v>
      </c>
      <c r="AY857" s="29">
        <f t="shared" ref="AY857:AY920" si="677">SUM(H857,N857,T857,Z857,AF857,AL857)</f>
        <v>9300000</v>
      </c>
      <c r="AZ857" s="29">
        <f t="shared" ref="AZ857:AZ920" si="678">AX857+AY857</f>
        <v>6162493.7400000021</v>
      </c>
    </row>
    <row r="858" spans="2:52" x14ac:dyDescent="0.3">
      <c r="B858" s="99">
        <f t="shared" si="622"/>
        <v>45364</v>
      </c>
      <c r="C858" s="44">
        <f t="shared" si="646"/>
        <v>-3194682.5799999991</v>
      </c>
      <c r="D858" s="38">
        <v>152.01</v>
      </c>
      <c r="E858" s="38">
        <v>-70000</v>
      </c>
      <c r="F858" s="38">
        <v>-14321.91</v>
      </c>
      <c r="G858" s="45">
        <f t="shared" si="668"/>
        <v>-3278852.4799999995</v>
      </c>
      <c r="H858" s="44">
        <v>4300000</v>
      </c>
      <c r="I858" s="46">
        <f t="shared" si="647"/>
        <v>20937.910000001524</v>
      </c>
      <c r="J858" s="38"/>
      <c r="K858" s="38">
        <v>70000</v>
      </c>
      <c r="L858" s="38">
        <v>-60891.91</v>
      </c>
      <c r="M858" s="47">
        <f t="shared" si="648"/>
        <v>30046.000000001513</v>
      </c>
      <c r="N858" s="46">
        <v>5000000</v>
      </c>
      <c r="O858" s="48">
        <f t="shared" si="649"/>
        <v>35455.780000000326</v>
      </c>
      <c r="P858" s="38"/>
      <c r="Q858" s="38"/>
      <c r="R858" s="38">
        <v>-1519.49</v>
      </c>
      <c r="S858" s="55">
        <f t="shared" si="650"/>
        <v>33936.290000000328</v>
      </c>
      <c r="T858" s="48"/>
      <c r="U858" s="49">
        <f t="shared" si="651"/>
        <v>35.790000000083815</v>
      </c>
      <c r="V858" s="38"/>
      <c r="W858" s="38"/>
      <c r="X858" s="38"/>
      <c r="Y858" s="51">
        <f t="shared" si="652"/>
        <v>35.790000000083815</v>
      </c>
      <c r="Z858" s="52"/>
      <c r="AA858" s="53">
        <f t="shared" si="653"/>
        <v>293.99999999949245</v>
      </c>
      <c r="AB858" s="38"/>
      <c r="AC858" s="38"/>
      <c r="AD858" s="38"/>
      <c r="AE858" s="54">
        <f t="shared" si="654"/>
        <v>293.99999999949245</v>
      </c>
      <c r="AF858" s="53"/>
      <c r="AG858" s="53">
        <f t="shared" si="670"/>
        <v>452.84000000004892</v>
      </c>
      <c r="AH858" s="38"/>
      <c r="AI858" s="38"/>
      <c r="AJ858" s="38"/>
      <c r="AK858" s="54">
        <f t="shared" si="671"/>
        <v>452.84000000004892</v>
      </c>
      <c r="AL858" s="53"/>
      <c r="AM858" s="53">
        <f t="shared" si="638"/>
        <v>0</v>
      </c>
      <c r="AN858" s="38"/>
      <c r="AO858" s="38"/>
      <c r="AP858" s="38"/>
      <c r="AQ858" s="54">
        <f t="shared" si="639"/>
        <v>0</v>
      </c>
      <c r="AR858" s="53"/>
      <c r="AS858" s="29">
        <f t="shared" si="672"/>
        <v>-3137959.0999999978</v>
      </c>
      <c r="AT858" s="29">
        <f t="shared" si="673"/>
        <v>152.01</v>
      </c>
      <c r="AU858" s="29">
        <f t="shared" si="674"/>
        <v>0</v>
      </c>
      <c r="AV858" s="29">
        <f t="shared" si="675"/>
        <v>-76733.310000000012</v>
      </c>
      <c r="AW858" s="29"/>
      <c r="AX858" s="29">
        <f t="shared" si="676"/>
        <v>-3214087.5599999982</v>
      </c>
      <c r="AY858" s="29">
        <f t="shared" si="677"/>
        <v>9300000</v>
      </c>
      <c r="AZ858" s="29">
        <f t="shared" si="678"/>
        <v>6085912.4400000013</v>
      </c>
    </row>
    <row r="859" spans="2:52" x14ac:dyDescent="0.3">
      <c r="B859" s="99">
        <f t="shared" ref="B859:B923" si="679">B858+1</f>
        <v>45365</v>
      </c>
      <c r="C859" s="44">
        <f t="shared" si="646"/>
        <v>-3278852.4799999995</v>
      </c>
      <c r="D859" s="38"/>
      <c r="E859" s="38">
        <v>-50000</v>
      </c>
      <c r="F859" s="38">
        <v>-1357.87</v>
      </c>
      <c r="G859" s="45">
        <f t="shared" si="668"/>
        <v>-3330210.3499999996</v>
      </c>
      <c r="H859" s="44">
        <v>4300000</v>
      </c>
      <c r="I859" s="46">
        <f t="shared" si="647"/>
        <v>30046.000000001513</v>
      </c>
      <c r="J859" s="38"/>
      <c r="K859" s="38">
        <v>50000</v>
      </c>
      <c r="L859" s="38">
        <v>-39919.019999999997</v>
      </c>
      <c r="M859" s="47">
        <f t="shared" si="648"/>
        <v>40126.980000001517</v>
      </c>
      <c r="N859" s="46">
        <v>5000000</v>
      </c>
      <c r="O859" s="48">
        <f t="shared" si="649"/>
        <v>33936.290000000328</v>
      </c>
      <c r="P859" s="38"/>
      <c r="Q859" s="38"/>
      <c r="R859" s="38"/>
      <c r="S859" s="55">
        <f t="shared" si="650"/>
        <v>33936.290000000328</v>
      </c>
      <c r="T859" s="48"/>
      <c r="U859" s="49">
        <f t="shared" si="651"/>
        <v>35.790000000083815</v>
      </c>
      <c r="V859" s="38"/>
      <c r="W859" s="38"/>
      <c r="X859" s="38"/>
      <c r="Y859" s="51">
        <f t="shared" si="652"/>
        <v>35.790000000083815</v>
      </c>
      <c r="Z859" s="52"/>
      <c r="AA859" s="53">
        <f t="shared" si="653"/>
        <v>293.99999999949245</v>
      </c>
      <c r="AB859" s="38"/>
      <c r="AC859" s="38"/>
      <c r="AD859" s="38"/>
      <c r="AE859" s="54">
        <f t="shared" si="654"/>
        <v>293.99999999949245</v>
      </c>
      <c r="AF859" s="53"/>
      <c r="AG859" s="53">
        <f t="shared" si="670"/>
        <v>452.84000000004892</v>
      </c>
      <c r="AH859" s="38"/>
      <c r="AI859" s="38"/>
      <c r="AJ859" s="38"/>
      <c r="AK859" s="54">
        <f t="shared" si="671"/>
        <v>452.84000000004892</v>
      </c>
      <c r="AL859" s="53"/>
      <c r="AM859" s="53">
        <f t="shared" si="638"/>
        <v>0</v>
      </c>
      <c r="AN859" s="38"/>
      <c r="AO859" s="38"/>
      <c r="AP859" s="38"/>
      <c r="AQ859" s="54">
        <f t="shared" si="639"/>
        <v>0</v>
      </c>
      <c r="AR859" s="53"/>
      <c r="AS859" s="29">
        <f t="shared" si="672"/>
        <v>-3214540.399999998</v>
      </c>
      <c r="AT859" s="29">
        <f t="shared" si="673"/>
        <v>0</v>
      </c>
      <c r="AU859" s="29">
        <f t="shared" si="674"/>
        <v>0</v>
      </c>
      <c r="AV859" s="29">
        <f t="shared" si="675"/>
        <v>-41276.89</v>
      </c>
      <c r="AW859" s="29"/>
      <c r="AX859" s="29">
        <f t="shared" si="676"/>
        <v>-3255364.4499999983</v>
      </c>
      <c r="AY859" s="29">
        <f t="shared" si="677"/>
        <v>9300000</v>
      </c>
      <c r="AZ859" s="29">
        <f t="shared" si="678"/>
        <v>6044635.5500000017</v>
      </c>
    </row>
    <row r="860" spans="2:52" x14ac:dyDescent="0.3">
      <c r="B860" s="99">
        <f t="shared" si="679"/>
        <v>45366</v>
      </c>
      <c r="C860" s="44">
        <f t="shared" si="646"/>
        <v>-3330210.3499999996</v>
      </c>
      <c r="D860" s="38"/>
      <c r="E860" s="38"/>
      <c r="F860" s="38">
        <v>-42921.59</v>
      </c>
      <c r="G860" s="45">
        <f t="shared" si="668"/>
        <v>-3373131.9399999995</v>
      </c>
      <c r="H860" s="44">
        <v>4300000</v>
      </c>
      <c r="I860" s="46">
        <f t="shared" si="647"/>
        <v>40126.980000001517</v>
      </c>
      <c r="J860" s="38"/>
      <c r="K860" s="38"/>
      <c r="L860" s="38">
        <v>-24880.99</v>
      </c>
      <c r="M860" s="47">
        <f t="shared" si="648"/>
        <v>15245.990000001515</v>
      </c>
      <c r="N860" s="46">
        <v>5000000</v>
      </c>
      <c r="O860" s="48">
        <f t="shared" si="649"/>
        <v>33936.290000000328</v>
      </c>
      <c r="P860" s="38"/>
      <c r="Q860" s="38"/>
      <c r="R860" s="38"/>
      <c r="S860" s="55">
        <f t="shared" si="650"/>
        <v>33936.290000000328</v>
      </c>
      <c r="T860" s="48"/>
      <c r="U860" s="49">
        <f t="shared" si="651"/>
        <v>35.790000000083815</v>
      </c>
      <c r="V860" s="38"/>
      <c r="W860" s="38"/>
      <c r="X860" s="38"/>
      <c r="Y860" s="51">
        <f t="shared" si="652"/>
        <v>35.790000000083815</v>
      </c>
      <c r="Z860" s="52"/>
      <c r="AA860" s="53">
        <f t="shared" si="653"/>
        <v>293.99999999949245</v>
      </c>
      <c r="AB860" s="38"/>
      <c r="AC860" s="38"/>
      <c r="AD860" s="38"/>
      <c r="AE860" s="54">
        <f t="shared" si="654"/>
        <v>293.99999999949245</v>
      </c>
      <c r="AF860" s="53"/>
      <c r="AG860" s="53">
        <f t="shared" si="670"/>
        <v>452.84000000004892</v>
      </c>
      <c r="AH860" s="38"/>
      <c r="AI860" s="38"/>
      <c r="AJ860" s="38"/>
      <c r="AK860" s="54">
        <f t="shared" si="671"/>
        <v>452.84000000004892</v>
      </c>
      <c r="AL860" s="53"/>
      <c r="AM860" s="53">
        <f t="shared" si="638"/>
        <v>0</v>
      </c>
      <c r="AN860" s="38"/>
      <c r="AO860" s="38"/>
      <c r="AP860" s="38"/>
      <c r="AQ860" s="54">
        <f t="shared" si="639"/>
        <v>0</v>
      </c>
      <c r="AR860" s="53"/>
      <c r="AS860" s="29">
        <f t="shared" si="672"/>
        <v>-3255817.2899999982</v>
      </c>
      <c r="AT860" s="29">
        <f t="shared" si="673"/>
        <v>0</v>
      </c>
      <c r="AU860" s="29">
        <f t="shared" si="674"/>
        <v>0</v>
      </c>
      <c r="AV860" s="29">
        <f t="shared" si="675"/>
        <v>-67802.58</v>
      </c>
      <c r="AW860" s="29"/>
      <c r="AX860" s="29">
        <f t="shared" si="676"/>
        <v>-3323167.0299999979</v>
      </c>
      <c r="AY860" s="29">
        <f t="shared" si="677"/>
        <v>9300000</v>
      </c>
      <c r="AZ860" s="29">
        <f t="shared" si="678"/>
        <v>5976832.9700000025</v>
      </c>
    </row>
    <row r="861" spans="2:52" x14ac:dyDescent="0.3">
      <c r="B861" s="99">
        <f t="shared" ref="B861" si="680">B860+3</f>
        <v>45369</v>
      </c>
      <c r="C861" s="44">
        <f t="shared" si="646"/>
        <v>-3373131.9399999995</v>
      </c>
      <c r="D861" s="38">
        <v>244717.48</v>
      </c>
      <c r="E861" s="38">
        <v>-550000</v>
      </c>
      <c r="F861" s="38">
        <v>-14559.43</v>
      </c>
      <c r="G861" s="45">
        <f t="shared" si="668"/>
        <v>-3692973.8899999997</v>
      </c>
      <c r="H861" s="44">
        <v>4300000</v>
      </c>
      <c r="I861" s="46">
        <f t="shared" si="647"/>
        <v>15245.990000001515</v>
      </c>
      <c r="J861" s="38"/>
      <c r="K861" s="38">
        <v>550000</v>
      </c>
      <c r="L861" s="38">
        <v>-557638.61</v>
      </c>
      <c r="M861" s="47">
        <f t="shared" si="648"/>
        <v>7607.3800000015181</v>
      </c>
      <c r="N861" s="46">
        <v>5000000</v>
      </c>
      <c r="O861" s="48">
        <f t="shared" si="649"/>
        <v>33936.290000000328</v>
      </c>
      <c r="P861" s="38"/>
      <c r="Q861" s="38">
        <v>25376</v>
      </c>
      <c r="R861" s="38">
        <v>-19737.21</v>
      </c>
      <c r="S861" s="55">
        <f t="shared" si="650"/>
        <v>39575.080000000329</v>
      </c>
      <c r="T861" s="48"/>
      <c r="U861" s="49">
        <f t="shared" si="651"/>
        <v>35.790000000083815</v>
      </c>
      <c r="V861" s="38">
        <v>25446.79</v>
      </c>
      <c r="W861" s="38">
        <v>-25376</v>
      </c>
      <c r="X861" s="38">
        <v>-1.5</v>
      </c>
      <c r="Y861" s="51">
        <f t="shared" si="652"/>
        <v>105.08000000008542</v>
      </c>
      <c r="Z861" s="52"/>
      <c r="AA861" s="53">
        <f t="shared" si="653"/>
        <v>293.99999999949245</v>
      </c>
      <c r="AB861" s="38"/>
      <c r="AC861" s="38"/>
      <c r="AD861" s="38"/>
      <c r="AE861" s="54">
        <f t="shared" si="654"/>
        <v>293.99999999949245</v>
      </c>
      <c r="AF861" s="53"/>
      <c r="AG861" s="53">
        <f t="shared" si="670"/>
        <v>452.84000000004892</v>
      </c>
      <c r="AH861" s="38"/>
      <c r="AI861" s="38"/>
      <c r="AJ861" s="38"/>
      <c r="AK861" s="54">
        <f t="shared" si="671"/>
        <v>452.84000000004892</v>
      </c>
      <c r="AL861" s="53"/>
      <c r="AM861" s="53">
        <f t="shared" si="638"/>
        <v>0</v>
      </c>
      <c r="AN861" s="38"/>
      <c r="AO861" s="38"/>
      <c r="AP861" s="38"/>
      <c r="AQ861" s="54">
        <f t="shared" si="639"/>
        <v>0</v>
      </c>
      <c r="AR861" s="53"/>
      <c r="AS861" s="29">
        <f t="shared" si="672"/>
        <v>-3323619.8699999978</v>
      </c>
      <c r="AT861" s="29">
        <f t="shared" si="673"/>
        <v>270164.27</v>
      </c>
      <c r="AU861" s="29">
        <f t="shared" si="674"/>
        <v>0</v>
      </c>
      <c r="AV861" s="29">
        <f t="shared" si="675"/>
        <v>-591936.75</v>
      </c>
      <c r="AW861" s="29"/>
      <c r="AX861" s="29">
        <f t="shared" si="676"/>
        <v>-3644939.5099999979</v>
      </c>
      <c r="AY861" s="29">
        <f t="shared" si="677"/>
        <v>9300000</v>
      </c>
      <c r="AZ861" s="29">
        <f t="shared" si="678"/>
        <v>5655060.4900000021</v>
      </c>
    </row>
    <row r="862" spans="2:52" x14ac:dyDescent="0.3">
      <c r="B862" s="99">
        <f t="shared" si="679"/>
        <v>45370</v>
      </c>
      <c r="C862" s="44">
        <f t="shared" si="646"/>
        <v>-3692973.8899999997</v>
      </c>
      <c r="D862" s="38"/>
      <c r="E862" s="38"/>
      <c r="F862" s="38"/>
      <c r="G862" s="45">
        <f t="shared" si="668"/>
        <v>-3692973.8899999997</v>
      </c>
      <c r="H862" s="44">
        <v>4300000</v>
      </c>
      <c r="I862" s="46">
        <f t="shared" si="647"/>
        <v>7607.3800000015181</v>
      </c>
      <c r="J862" s="38"/>
      <c r="K862" s="38">
        <v>2000000</v>
      </c>
      <c r="L862" s="38">
        <v>-1540129.63</v>
      </c>
      <c r="M862" s="47">
        <f t="shared" si="648"/>
        <v>467477.75000000163</v>
      </c>
      <c r="N862" s="46">
        <v>5000000</v>
      </c>
      <c r="O862" s="48">
        <f t="shared" si="649"/>
        <v>39575.080000000329</v>
      </c>
      <c r="P862" s="38">
        <v>2057934.32</v>
      </c>
      <c r="Q862" s="38">
        <v>-2000000</v>
      </c>
      <c r="R862" s="38"/>
      <c r="S862" s="55">
        <f t="shared" si="650"/>
        <v>97509.400000000373</v>
      </c>
      <c r="T862" s="48"/>
      <c r="U862" s="49">
        <f t="shared" si="651"/>
        <v>105.08000000008542</v>
      </c>
      <c r="V862" s="38"/>
      <c r="W862" s="38"/>
      <c r="X862" s="38"/>
      <c r="Y862" s="51">
        <f t="shared" si="652"/>
        <v>105.08000000008542</v>
      </c>
      <c r="Z862" s="52"/>
      <c r="AA862" s="53">
        <f t="shared" si="653"/>
        <v>293.99999999949245</v>
      </c>
      <c r="AB862" s="38"/>
      <c r="AC862" s="38"/>
      <c r="AD862" s="38"/>
      <c r="AE862" s="54">
        <f t="shared" si="654"/>
        <v>293.99999999949245</v>
      </c>
      <c r="AF862" s="53"/>
      <c r="AG862" s="53">
        <f t="shared" si="670"/>
        <v>452.84000000004892</v>
      </c>
      <c r="AH862" s="38"/>
      <c r="AI862" s="38"/>
      <c r="AJ862" s="38"/>
      <c r="AK862" s="54">
        <f t="shared" si="671"/>
        <v>452.84000000004892</v>
      </c>
      <c r="AL862" s="53"/>
      <c r="AM862" s="53">
        <f t="shared" si="638"/>
        <v>0</v>
      </c>
      <c r="AN862" s="38"/>
      <c r="AO862" s="38"/>
      <c r="AP862" s="38"/>
      <c r="AQ862" s="54">
        <f t="shared" si="639"/>
        <v>0</v>
      </c>
      <c r="AR862" s="53"/>
      <c r="AS862" s="29">
        <f t="shared" si="672"/>
        <v>-3645392.3499999978</v>
      </c>
      <c r="AT862" s="29">
        <f t="shared" si="673"/>
        <v>2057934.32</v>
      </c>
      <c r="AU862" s="29">
        <f t="shared" si="674"/>
        <v>0</v>
      </c>
      <c r="AV862" s="29">
        <f t="shared" si="675"/>
        <v>-1540129.63</v>
      </c>
      <c r="AW862" s="29"/>
      <c r="AX862" s="29">
        <f t="shared" si="676"/>
        <v>-3127134.819999998</v>
      </c>
      <c r="AY862" s="29">
        <f t="shared" si="677"/>
        <v>9300000</v>
      </c>
      <c r="AZ862" s="29">
        <f t="shared" si="678"/>
        <v>6172865.1800000016</v>
      </c>
    </row>
    <row r="863" spans="2:52" x14ac:dyDescent="0.3">
      <c r="B863" s="99">
        <f t="shared" si="679"/>
        <v>45371</v>
      </c>
      <c r="C863" s="44">
        <f t="shared" si="646"/>
        <v>-3692973.8899999997</v>
      </c>
      <c r="D863" s="38">
        <v>50835.37</v>
      </c>
      <c r="E863" s="38">
        <v>97000</v>
      </c>
      <c r="F863" s="38">
        <v>-3268.8</v>
      </c>
      <c r="G863" s="45">
        <f t="shared" si="668"/>
        <v>-3548407.3199999994</v>
      </c>
      <c r="H863" s="44">
        <v>4300000</v>
      </c>
      <c r="I863" s="46">
        <f t="shared" si="647"/>
        <v>467477.75000000163</v>
      </c>
      <c r="J863" s="38">
        <v>479115.89</v>
      </c>
      <c r="K863" s="38"/>
      <c r="L863" s="38">
        <v>-243645.24</v>
      </c>
      <c r="M863" s="47">
        <f t="shared" si="648"/>
        <v>702948.40000000165</v>
      </c>
      <c r="N863" s="46">
        <v>5000000</v>
      </c>
      <c r="O863" s="48">
        <f t="shared" si="649"/>
        <v>97509.400000000373</v>
      </c>
      <c r="P863" s="38"/>
      <c r="Q863" s="38">
        <v>-97000</v>
      </c>
      <c r="R863" s="38">
        <v>-51.6</v>
      </c>
      <c r="S863" s="55">
        <f t="shared" si="650"/>
        <v>457.80000000037251</v>
      </c>
      <c r="T863" s="48"/>
      <c r="U863" s="49">
        <f t="shared" si="651"/>
        <v>105.08000000008542</v>
      </c>
      <c r="V863" s="38"/>
      <c r="W863" s="38"/>
      <c r="X863" s="38"/>
      <c r="Y863" s="51">
        <f t="shared" si="652"/>
        <v>105.08000000008542</v>
      </c>
      <c r="Z863" s="52"/>
      <c r="AA863" s="53">
        <f t="shared" si="653"/>
        <v>293.99999999949245</v>
      </c>
      <c r="AB863" s="38"/>
      <c r="AC863" s="38"/>
      <c r="AD863" s="38"/>
      <c r="AE863" s="54">
        <f t="shared" si="654"/>
        <v>293.99999999949245</v>
      </c>
      <c r="AF863" s="53"/>
      <c r="AG863" s="53">
        <f t="shared" si="670"/>
        <v>452.84000000004892</v>
      </c>
      <c r="AH863" s="38"/>
      <c r="AI863" s="38"/>
      <c r="AJ863" s="38">
        <v>-300</v>
      </c>
      <c r="AK863" s="54">
        <f t="shared" si="671"/>
        <v>152.84000000004892</v>
      </c>
      <c r="AL863" s="53"/>
      <c r="AM863" s="53">
        <f t="shared" si="638"/>
        <v>0</v>
      </c>
      <c r="AN863" s="38"/>
      <c r="AO863" s="38"/>
      <c r="AP863" s="38"/>
      <c r="AQ863" s="54">
        <f t="shared" si="639"/>
        <v>0</v>
      </c>
      <c r="AR863" s="53"/>
      <c r="AS863" s="29">
        <f t="shared" si="672"/>
        <v>-3127587.6599999978</v>
      </c>
      <c r="AT863" s="29">
        <f t="shared" si="673"/>
        <v>529951.26</v>
      </c>
      <c r="AU863" s="29">
        <f t="shared" si="674"/>
        <v>0</v>
      </c>
      <c r="AV863" s="29">
        <f t="shared" si="675"/>
        <v>-247265.63999999998</v>
      </c>
      <c r="AW863" s="29"/>
      <c r="AX863" s="29">
        <f t="shared" si="676"/>
        <v>-2844449.1999999979</v>
      </c>
      <c r="AY863" s="29">
        <f t="shared" si="677"/>
        <v>9300000</v>
      </c>
      <c r="AZ863" s="29">
        <f t="shared" si="678"/>
        <v>6455550.8000000026</v>
      </c>
    </row>
    <row r="864" spans="2:52" x14ac:dyDescent="0.3">
      <c r="B864" s="99">
        <f t="shared" si="679"/>
        <v>45372</v>
      </c>
      <c r="C864" s="44">
        <f t="shared" si="646"/>
        <v>-3548407.3199999994</v>
      </c>
      <c r="D864" s="38">
        <v>19109.39</v>
      </c>
      <c r="E864" s="38">
        <v>700000</v>
      </c>
      <c r="F864" s="38">
        <v>-0.21</v>
      </c>
      <c r="G864" s="45">
        <f t="shared" si="668"/>
        <v>-2829298.1399999992</v>
      </c>
      <c r="H864" s="44">
        <v>4300000</v>
      </c>
      <c r="I864" s="46">
        <f t="shared" si="647"/>
        <v>702948.40000000165</v>
      </c>
      <c r="J864" s="38">
        <v>140021.34</v>
      </c>
      <c r="K864" s="38">
        <v>-700000</v>
      </c>
      <c r="L864" s="38">
        <v>-37861.51</v>
      </c>
      <c r="M864" s="47">
        <f t="shared" si="648"/>
        <v>105108.23000000161</v>
      </c>
      <c r="N864" s="46">
        <v>5000000</v>
      </c>
      <c r="O864" s="48">
        <f t="shared" si="649"/>
        <v>457.80000000037251</v>
      </c>
      <c r="P864" s="38"/>
      <c r="Q864" s="38"/>
      <c r="R864" s="38">
        <v>-10</v>
      </c>
      <c r="S864" s="55">
        <f t="shared" si="650"/>
        <v>447.80000000037251</v>
      </c>
      <c r="T864" s="48"/>
      <c r="U864" s="49">
        <f t="shared" si="651"/>
        <v>105.08000000008542</v>
      </c>
      <c r="V864" s="38"/>
      <c r="W864" s="38"/>
      <c r="X864" s="38"/>
      <c r="Y864" s="51">
        <f t="shared" si="652"/>
        <v>105.08000000008542</v>
      </c>
      <c r="Z864" s="52"/>
      <c r="AA864" s="53">
        <f t="shared" si="653"/>
        <v>293.99999999949245</v>
      </c>
      <c r="AB864" s="38"/>
      <c r="AC864" s="38"/>
      <c r="AD864" s="38"/>
      <c r="AE864" s="54">
        <f t="shared" si="654"/>
        <v>293.99999999949245</v>
      </c>
      <c r="AF864" s="53"/>
      <c r="AG864" s="53">
        <f t="shared" si="670"/>
        <v>152.84000000004892</v>
      </c>
      <c r="AH864" s="38"/>
      <c r="AI864" s="38"/>
      <c r="AJ864" s="38"/>
      <c r="AK864" s="54">
        <f t="shared" si="671"/>
        <v>152.84000000004892</v>
      </c>
      <c r="AL864" s="53"/>
      <c r="AM864" s="53">
        <f t="shared" si="638"/>
        <v>0</v>
      </c>
      <c r="AN864" s="38"/>
      <c r="AO864" s="38"/>
      <c r="AP864" s="38"/>
      <c r="AQ864" s="54">
        <f t="shared" si="639"/>
        <v>0</v>
      </c>
      <c r="AR864" s="53"/>
      <c r="AS864" s="29">
        <f t="shared" si="672"/>
        <v>-2844602.0399999977</v>
      </c>
      <c r="AT864" s="29">
        <f t="shared" si="673"/>
        <v>159130.72999999998</v>
      </c>
      <c r="AU864" s="29">
        <f t="shared" si="674"/>
        <v>0</v>
      </c>
      <c r="AV864" s="29">
        <f t="shared" si="675"/>
        <v>-37871.72</v>
      </c>
      <c r="AW864" s="29"/>
      <c r="AX864" s="29">
        <f t="shared" si="676"/>
        <v>-2723190.1899999976</v>
      </c>
      <c r="AY864" s="29">
        <f t="shared" si="677"/>
        <v>9300000</v>
      </c>
      <c r="AZ864" s="29">
        <f t="shared" si="678"/>
        <v>6576809.8100000024</v>
      </c>
    </row>
    <row r="865" spans="2:52" x14ac:dyDescent="0.3">
      <c r="B865" s="99">
        <f t="shared" si="679"/>
        <v>45373</v>
      </c>
      <c r="C865" s="44">
        <f t="shared" si="646"/>
        <v>-2829298.1399999992</v>
      </c>
      <c r="D865" s="38">
        <v>741858.64</v>
      </c>
      <c r="E865" s="38"/>
      <c r="F865" s="38">
        <v>-2624</v>
      </c>
      <c r="G865" s="45">
        <f t="shared" si="668"/>
        <v>-2090063.4999999991</v>
      </c>
      <c r="H865" s="44">
        <v>4300000</v>
      </c>
      <c r="I865" s="46">
        <f t="shared" si="647"/>
        <v>105108.23000000161</v>
      </c>
      <c r="J865" s="38">
        <v>226572.46</v>
      </c>
      <c r="K865" s="38">
        <v>-5000</v>
      </c>
      <c r="L865" s="38">
        <v>-102906.79</v>
      </c>
      <c r="M865" s="47">
        <f t="shared" si="648"/>
        <v>223773.90000000159</v>
      </c>
      <c r="N865" s="46">
        <v>5000000</v>
      </c>
      <c r="O865" s="48">
        <f t="shared" si="649"/>
        <v>447.80000000037251</v>
      </c>
      <c r="P865" s="38"/>
      <c r="Q865" s="38">
        <v>5000</v>
      </c>
      <c r="R865" s="38">
        <v>-650</v>
      </c>
      <c r="S865" s="55">
        <f t="shared" si="650"/>
        <v>4797.8000000003722</v>
      </c>
      <c r="T865" s="48"/>
      <c r="U865" s="49">
        <f t="shared" si="651"/>
        <v>105.08000000008542</v>
      </c>
      <c r="V865" s="38"/>
      <c r="W865" s="38"/>
      <c r="X865" s="38"/>
      <c r="Y865" s="51">
        <f t="shared" si="652"/>
        <v>105.08000000008542</v>
      </c>
      <c r="Z865" s="52"/>
      <c r="AA865" s="53">
        <f t="shared" si="653"/>
        <v>293.99999999949245</v>
      </c>
      <c r="AB865" s="38"/>
      <c r="AC865" s="38"/>
      <c r="AD865" s="38"/>
      <c r="AE865" s="54">
        <f t="shared" si="654"/>
        <v>293.99999999949245</v>
      </c>
      <c r="AF865" s="53"/>
      <c r="AG865" s="53">
        <f t="shared" si="670"/>
        <v>152.84000000004892</v>
      </c>
      <c r="AH865" s="38"/>
      <c r="AI865" s="38"/>
      <c r="AJ865" s="38"/>
      <c r="AK865" s="54">
        <f t="shared" si="671"/>
        <v>152.84000000004892</v>
      </c>
      <c r="AL865" s="53"/>
      <c r="AM865" s="53">
        <f t="shared" si="638"/>
        <v>0</v>
      </c>
      <c r="AN865" s="38"/>
      <c r="AO865" s="38"/>
      <c r="AP865" s="38"/>
      <c r="AQ865" s="54">
        <f t="shared" si="639"/>
        <v>0</v>
      </c>
      <c r="AR865" s="53"/>
      <c r="AS865" s="29">
        <f t="shared" si="672"/>
        <v>-2723343.0299999975</v>
      </c>
      <c r="AT865" s="29">
        <f t="shared" si="673"/>
        <v>968431.1</v>
      </c>
      <c r="AU865" s="29">
        <f t="shared" si="674"/>
        <v>0</v>
      </c>
      <c r="AV865" s="29">
        <f t="shared" si="675"/>
        <v>-106180.79</v>
      </c>
      <c r="AW865" s="29"/>
      <c r="AX865" s="29">
        <f t="shared" si="676"/>
        <v>-1860939.8799999976</v>
      </c>
      <c r="AY865" s="29">
        <f t="shared" si="677"/>
        <v>9300000</v>
      </c>
      <c r="AZ865" s="29">
        <f t="shared" si="678"/>
        <v>7439060.1200000029</v>
      </c>
    </row>
    <row r="866" spans="2:52" x14ac:dyDescent="0.3">
      <c r="B866" s="99">
        <f t="shared" ref="B866" si="681">B865+3</f>
        <v>45376</v>
      </c>
      <c r="C866" s="44">
        <f t="shared" si="646"/>
        <v>-2090063.4999999991</v>
      </c>
      <c r="D866" s="38">
        <v>153237.57999999999</v>
      </c>
      <c r="E866" s="38"/>
      <c r="F866" s="38">
        <v>-1085472.3</v>
      </c>
      <c r="G866" s="45">
        <f t="shared" si="668"/>
        <v>-3022298.2199999988</v>
      </c>
      <c r="H866" s="44">
        <v>4300000</v>
      </c>
      <c r="I866" s="46">
        <f t="shared" si="647"/>
        <v>223773.90000000159</v>
      </c>
      <c r="J866" s="38"/>
      <c r="K866" s="38"/>
      <c r="L866" s="38">
        <v>-164694.01</v>
      </c>
      <c r="M866" s="47">
        <f t="shared" si="648"/>
        <v>59079.890000001586</v>
      </c>
      <c r="N866" s="46">
        <v>5000000</v>
      </c>
      <c r="O866" s="48">
        <f t="shared" si="649"/>
        <v>4797.8000000003722</v>
      </c>
      <c r="P866" s="38"/>
      <c r="Q866" s="38"/>
      <c r="R866" s="38">
        <v>-595</v>
      </c>
      <c r="S866" s="55">
        <f t="shared" si="650"/>
        <v>4202.8000000003722</v>
      </c>
      <c r="T866" s="48"/>
      <c r="U866" s="49">
        <f t="shared" si="651"/>
        <v>105.08000000008542</v>
      </c>
      <c r="V866" s="38"/>
      <c r="W866" s="38"/>
      <c r="X866" s="38"/>
      <c r="Y866" s="51">
        <f t="shared" si="652"/>
        <v>105.08000000008542</v>
      </c>
      <c r="Z866" s="52"/>
      <c r="AA866" s="53">
        <f t="shared" si="653"/>
        <v>293.99999999949245</v>
      </c>
      <c r="AB866" s="38">
        <v>979558.42</v>
      </c>
      <c r="AC866" s="38"/>
      <c r="AD866" s="38">
        <v>-418</v>
      </c>
      <c r="AE866" s="54">
        <f t="shared" si="654"/>
        <v>979434.41999999958</v>
      </c>
      <c r="AF866" s="53"/>
      <c r="AG866" s="53">
        <f t="shared" si="670"/>
        <v>152.84000000004892</v>
      </c>
      <c r="AH866" s="38"/>
      <c r="AI866" s="38"/>
      <c r="AJ866" s="38"/>
      <c r="AK866" s="54">
        <f t="shared" si="671"/>
        <v>152.84000000004892</v>
      </c>
      <c r="AL866" s="53"/>
      <c r="AM866" s="53">
        <f t="shared" si="638"/>
        <v>0</v>
      </c>
      <c r="AN866" s="38"/>
      <c r="AO866" s="38"/>
      <c r="AP866" s="38"/>
      <c r="AQ866" s="54">
        <f t="shared" si="639"/>
        <v>0</v>
      </c>
      <c r="AR866" s="53"/>
      <c r="AS866" s="29">
        <f t="shared" si="672"/>
        <v>-1861092.7199999976</v>
      </c>
      <c r="AT866" s="29">
        <f t="shared" si="673"/>
        <v>1132796</v>
      </c>
      <c r="AU866" s="29">
        <f t="shared" si="674"/>
        <v>0</v>
      </c>
      <c r="AV866" s="29">
        <f t="shared" si="675"/>
        <v>-1251179.31</v>
      </c>
      <c r="AW866" s="29"/>
      <c r="AX866" s="29">
        <f t="shared" si="676"/>
        <v>-1979323.1899999974</v>
      </c>
      <c r="AY866" s="29">
        <f t="shared" si="677"/>
        <v>9300000</v>
      </c>
      <c r="AZ866" s="29">
        <f t="shared" si="678"/>
        <v>7320676.8100000024</v>
      </c>
    </row>
    <row r="867" spans="2:52" x14ac:dyDescent="0.3">
      <c r="B867" s="99">
        <f t="shared" si="679"/>
        <v>45377</v>
      </c>
      <c r="C867" s="44">
        <f t="shared" si="646"/>
        <v>-3022298.2199999988</v>
      </c>
      <c r="D867" s="38">
        <v>124793.58</v>
      </c>
      <c r="E867" s="38">
        <v>1979000</v>
      </c>
      <c r="F867" s="38">
        <v>-1298</v>
      </c>
      <c r="G867" s="45">
        <f t="shared" si="668"/>
        <v>-919802.63999999873</v>
      </c>
      <c r="H867" s="44">
        <v>4300000</v>
      </c>
      <c r="I867" s="46">
        <f t="shared" si="647"/>
        <v>59079.890000001586</v>
      </c>
      <c r="J867" s="38"/>
      <c r="K867" s="38">
        <f>1200000-1000000</f>
        <v>200000</v>
      </c>
      <c r="L867" s="38">
        <v>-243043.38</v>
      </c>
      <c r="M867" s="47">
        <f t="shared" si="648"/>
        <v>16036.510000001581</v>
      </c>
      <c r="N867" s="46">
        <v>5000000</v>
      </c>
      <c r="O867" s="48">
        <f t="shared" si="649"/>
        <v>4202.8000000003722</v>
      </c>
      <c r="P867" s="38">
        <v>453757.25</v>
      </c>
      <c r="Q867" s="38">
        <f>743100-1200000</f>
        <v>-456900</v>
      </c>
      <c r="R867" s="38"/>
      <c r="S867" s="55">
        <f t="shared" si="650"/>
        <v>1060.0500000003958</v>
      </c>
      <c r="T867" s="48"/>
      <c r="U867" s="49">
        <f t="shared" si="651"/>
        <v>105.08000000008542</v>
      </c>
      <c r="V867" s="38">
        <v>743114.48</v>
      </c>
      <c r="W867" s="38">
        <v>-743100</v>
      </c>
      <c r="X867" s="38">
        <v>-1.5</v>
      </c>
      <c r="Y867" s="51">
        <f t="shared" si="652"/>
        <v>118.06000000005588</v>
      </c>
      <c r="Z867" s="52"/>
      <c r="AA867" s="53">
        <f t="shared" si="653"/>
        <v>979434.41999999958</v>
      </c>
      <c r="AB867" s="38"/>
      <c r="AC867" s="38">
        <v>-979000</v>
      </c>
      <c r="AD867" s="38"/>
      <c r="AE867" s="54">
        <f t="shared" si="654"/>
        <v>434.41999999957625</v>
      </c>
      <c r="AF867" s="53"/>
      <c r="AG867" s="53">
        <f t="shared" si="670"/>
        <v>152.84000000004892</v>
      </c>
      <c r="AH867" s="38"/>
      <c r="AI867" s="38"/>
      <c r="AJ867" s="38"/>
      <c r="AK867" s="54">
        <f t="shared" si="671"/>
        <v>152.84000000004892</v>
      </c>
      <c r="AL867" s="53"/>
      <c r="AM867" s="53">
        <f t="shared" si="638"/>
        <v>0</v>
      </c>
      <c r="AN867" s="38"/>
      <c r="AO867" s="38"/>
      <c r="AP867" s="38"/>
      <c r="AQ867" s="54">
        <f t="shared" si="639"/>
        <v>0</v>
      </c>
      <c r="AR867" s="53"/>
      <c r="AS867" s="29">
        <f t="shared" si="672"/>
        <v>-1979476.0299999975</v>
      </c>
      <c r="AT867" s="29">
        <f t="shared" si="673"/>
        <v>1321665.31</v>
      </c>
      <c r="AU867" s="29">
        <f t="shared" si="674"/>
        <v>0</v>
      </c>
      <c r="AV867" s="29">
        <f t="shared" si="675"/>
        <v>-244342.88</v>
      </c>
      <c r="AW867" s="29"/>
      <c r="AX867" s="29">
        <f t="shared" si="676"/>
        <v>-902000.75999999698</v>
      </c>
      <c r="AY867" s="29">
        <f t="shared" si="677"/>
        <v>9300000</v>
      </c>
      <c r="AZ867" s="29">
        <f t="shared" si="678"/>
        <v>8397999.2400000021</v>
      </c>
    </row>
    <row r="868" spans="2:52" x14ac:dyDescent="0.3">
      <c r="B868" s="99">
        <f t="shared" si="679"/>
        <v>45378</v>
      </c>
      <c r="C868" s="44">
        <f t="shared" si="646"/>
        <v>-919802.63999999873</v>
      </c>
      <c r="D868" s="38">
        <v>165913.32</v>
      </c>
      <c r="E868" s="38">
        <v>170000</v>
      </c>
      <c r="F868" s="38"/>
      <c r="G868" s="45">
        <f t="shared" si="668"/>
        <v>-583889.31999999867</v>
      </c>
      <c r="H868" s="44">
        <v>4300000</v>
      </c>
      <c r="I868" s="46">
        <f t="shared" si="647"/>
        <v>16036.510000001581</v>
      </c>
      <c r="J868" s="38"/>
      <c r="K868" s="38"/>
      <c r="L868" s="38"/>
      <c r="M868" s="47">
        <f t="shared" si="648"/>
        <v>16036.510000001581</v>
      </c>
      <c r="N868" s="46">
        <v>5000000</v>
      </c>
      <c r="O868" s="48">
        <f t="shared" si="649"/>
        <v>1060.0500000003958</v>
      </c>
      <c r="P868" s="38">
        <v>172286.51</v>
      </c>
      <c r="Q868" s="38">
        <v>-170000</v>
      </c>
      <c r="R868" s="38">
        <v>-10</v>
      </c>
      <c r="S868" s="55">
        <f t="shared" si="650"/>
        <v>3336.5600000004051</v>
      </c>
      <c r="T868" s="48"/>
      <c r="U868" s="49">
        <f t="shared" si="651"/>
        <v>118.06000000005588</v>
      </c>
      <c r="V868" s="38">
        <v>330055.94</v>
      </c>
      <c r="W868" s="38"/>
      <c r="X868" s="38"/>
      <c r="Y868" s="51">
        <f t="shared" si="652"/>
        <v>330174.00000000006</v>
      </c>
      <c r="Z868" s="52"/>
      <c r="AA868" s="53">
        <f t="shared" si="653"/>
        <v>434.41999999957625</v>
      </c>
      <c r="AB868" s="38"/>
      <c r="AC868" s="38"/>
      <c r="AD868" s="38"/>
      <c r="AE868" s="54">
        <f t="shared" si="654"/>
        <v>434.41999999957625</v>
      </c>
      <c r="AF868" s="53"/>
      <c r="AG868" s="53">
        <f t="shared" si="670"/>
        <v>152.84000000004892</v>
      </c>
      <c r="AH868" s="38"/>
      <c r="AI868" s="38"/>
      <c r="AJ868" s="38"/>
      <c r="AK868" s="54">
        <f t="shared" si="671"/>
        <v>152.84000000004892</v>
      </c>
      <c r="AL868" s="53"/>
      <c r="AM868" s="53">
        <f t="shared" si="638"/>
        <v>0</v>
      </c>
      <c r="AN868" s="38"/>
      <c r="AO868" s="38"/>
      <c r="AP868" s="38"/>
      <c r="AQ868" s="54">
        <f t="shared" si="639"/>
        <v>0</v>
      </c>
      <c r="AR868" s="53"/>
      <c r="AS868" s="29">
        <f t="shared" si="672"/>
        <v>-902153.59999999707</v>
      </c>
      <c r="AT868" s="29">
        <f t="shared" si="673"/>
        <v>668255.77</v>
      </c>
      <c r="AU868" s="29">
        <f t="shared" si="674"/>
        <v>0</v>
      </c>
      <c r="AV868" s="29">
        <f t="shared" si="675"/>
        <v>-10</v>
      </c>
      <c r="AW868" s="29"/>
      <c r="AX868" s="29">
        <f t="shared" si="676"/>
        <v>-233754.98999999693</v>
      </c>
      <c r="AY868" s="29">
        <f t="shared" si="677"/>
        <v>9300000</v>
      </c>
      <c r="AZ868" s="29">
        <f t="shared" si="678"/>
        <v>9066245.0100000035</v>
      </c>
    </row>
    <row r="869" spans="2:52" x14ac:dyDescent="0.3">
      <c r="B869" s="99">
        <f t="shared" si="679"/>
        <v>45379</v>
      </c>
      <c r="C869" s="44">
        <f t="shared" si="646"/>
        <v>-583889.31999999867</v>
      </c>
      <c r="D869" s="38">
        <v>1367131.2</v>
      </c>
      <c r="E869" s="38"/>
      <c r="F869" s="38">
        <v>-66222.210000000006</v>
      </c>
      <c r="G869" s="45">
        <f t="shared" si="668"/>
        <v>717019.67000000132</v>
      </c>
      <c r="H869" s="44">
        <v>4300000</v>
      </c>
      <c r="I869" s="46">
        <f t="shared" si="647"/>
        <v>16036.510000001581</v>
      </c>
      <c r="J869" s="38">
        <v>247685.79</v>
      </c>
      <c r="K869" s="38">
        <f>780000+250000</f>
        <v>1030000</v>
      </c>
      <c r="L869" s="38"/>
      <c r="M869" s="47">
        <f t="shared" si="648"/>
        <v>1293722.3000000017</v>
      </c>
      <c r="N869" s="46">
        <v>5000000</v>
      </c>
      <c r="O869" s="48">
        <f t="shared" si="649"/>
        <v>3336.5600000004051</v>
      </c>
      <c r="P869" s="38">
        <v>458079.43</v>
      </c>
      <c r="Q869" s="38">
        <f>337600-780000</f>
        <v>-442400</v>
      </c>
      <c r="R869" s="38">
        <v>-10</v>
      </c>
      <c r="S869" s="55">
        <f t="shared" si="650"/>
        <v>19005.990000000398</v>
      </c>
      <c r="T869" s="48"/>
      <c r="U869" s="49">
        <f t="shared" si="651"/>
        <v>330174.00000000006</v>
      </c>
      <c r="V869" s="38">
        <v>7505.56</v>
      </c>
      <c r="W869" s="38">
        <v>-337600</v>
      </c>
      <c r="X869" s="38">
        <v>-1.5</v>
      </c>
      <c r="Y869" s="51">
        <f t="shared" si="652"/>
        <v>78.060000000055879</v>
      </c>
      <c r="Z869" s="52"/>
      <c r="AA869" s="53">
        <f t="shared" si="653"/>
        <v>434.41999999957625</v>
      </c>
      <c r="AB869" s="38"/>
      <c r="AC869" s="38"/>
      <c r="AD869" s="38"/>
      <c r="AE869" s="54">
        <f t="shared" si="654"/>
        <v>434.41999999957625</v>
      </c>
      <c r="AF869" s="53"/>
      <c r="AG869" s="53">
        <f t="shared" si="670"/>
        <v>152.84000000004892</v>
      </c>
      <c r="AH869" s="38">
        <v>251925.42</v>
      </c>
      <c r="AI869" s="38">
        <v>-250000</v>
      </c>
      <c r="AJ869" s="38"/>
      <c r="AK869" s="54">
        <f t="shared" si="671"/>
        <v>2078.2600000000675</v>
      </c>
      <c r="AL869" s="53"/>
      <c r="AM869" s="53">
        <f t="shared" si="638"/>
        <v>0</v>
      </c>
      <c r="AN869" s="38"/>
      <c r="AO869" s="38"/>
      <c r="AP869" s="38"/>
      <c r="AQ869" s="54">
        <f t="shared" si="639"/>
        <v>0</v>
      </c>
      <c r="AR869" s="53"/>
      <c r="AS869" s="29">
        <f t="shared" si="672"/>
        <v>-233907.82999999699</v>
      </c>
      <c r="AT869" s="29">
        <f>SUM(D869,J869,P869,V869,AB869,AH869)</f>
        <v>2332327.4</v>
      </c>
      <c r="AU869" s="29">
        <f>SUM(E869,K869,Q869,W869,AC869,AI869)</f>
        <v>0</v>
      </c>
      <c r="AV869" s="29">
        <f t="shared" si="675"/>
        <v>-66233.710000000006</v>
      </c>
      <c r="AW869" s="29"/>
      <c r="AX869" s="29">
        <f t="shared" si="676"/>
        <v>2032338.7000000032</v>
      </c>
      <c r="AY869" s="29">
        <f t="shared" si="677"/>
        <v>9300000</v>
      </c>
      <c r="AZ869" s="29">
        <f t="shared" si="678"/>
        <v>11332338.700000003</v>
      </c>
    </row>
    <row r="870" spans="2:52" x14ac:dyDescent="0.3">
      <c r="B870" s="99">
        <f t="shared" si="679"/>
        <v>45380</v>
      </c>
      <c r="C870" s="44">
        <f t="shared" si="646"/>
        <v>717019.67000000132</v>
      </c>
      <c r="D870" s="38"/>
      <c r="E870" s="38"/>
      <c r="F870" s="38"/>
      <c r="G870" s="45">
        <f t="shared" si="668"/>
        <v>717019.67000000132</v>
      </c>
      <c r="H870" s="44">
        <v>4300000</v>
      </c>
      <c r="I870" s="46">
        <f t="shared" si="647"/>
        <v>1293722.3000000017</v>
      </c>
      <c r="J870" s="38"/>
      <c r="K870" s="38"/>
      <c r="L870" s="38"/>
      <c r="M870" s="47">
        <f t="shared" si="648"/>
        <v>1293722.3000000017</v>
      </c>
      <c r="N870" s="46">
        <v>5000000</v>
      </c>
      <c r="O870" s="48">
        <f t="shared" si="649"/>
        <v>19005.990000000398</v>
      </c>
      <c r="P870" s="38"/>
      <c r="Q870" s="38"/>
      <c r="R870" s="38"/>
      <c r="S870" s="55">
        <f t="shared" si="650"/>
        <v>19005.990000000398</v>
      </c>
      <c r="T870" s="48"/>
      <c r="U870" s="49">
        <f t="shared" si="651"/>
        <v>78.060000000055879</v>
      </c>
      <c r="V870" s="38"/>
      <c r="W870" s="38"/>
      <c r="X870" s="38"/>
      <c r="Y870" s="51">
        <f t="shared" si="652"/>
        <v>78.060000000055879</v>
      </c>
      <c r="Z870" s="52"/>
      <c r="AA870" s="53">
        <f t="shared" si="653"/>
        <v>434.41999999957625</v>
      </c>
      <c r="AB870" s="38"/>
      <c r="AC870" s="38"/>
      <c r="AD870" s="38"/>
      <c r="AE870" s="54">
        <f t="shared" si="654"/>
        <v>434.41999999957625</v>
      </c>
      <c r="AF870" s="53"/>
      <c r="AG870" s="53">
        <f t="shared" si="670"/>
        <v>2078.2600000000675</v>
      </c>
      <c r="AH870" s="38"/>
      <c r="AI870" s="38"/>
      <c r="AJ870" s="38"/>
      <c r="AK870" s="54">
        <f t="shared" si="671"/>
        <v>2078.2600000000675</v>
      </c>
      <c r="AL870" s="53"/>
      <c r="AM870" s="53">
        <f t="shared" si="638"/>
        <v>0</v>
      </c>
      <c r="AN870" s="38"/>
      <c r="AO870" s="38"/>
      <c r="AP870" s="38"/>
      <c r="AQ870" s="54">
        <f t="shared" si="639"/>
        <v>0</v>
      </c>
      <c r="AR870" s="53"/>
      <c r="AS870" s="29">
        <f t="shared" si="672"/>
        <v>2030260.4400000032</v>
      </c>
      <c r="AT870" s="29">
        <f t="shared" si="673"/>
        <v>0</v>
      </c>
      <c r="AU870" s="29">
        <f t="shared" si="674"/>
        <v>0</v>
      </c>
      <c r="AV870" s="29">
        <f t="shared" si="675"/>
        <v>0</v>
      </c>
      <c r="AW870" s="29"/>
      <c r="AX870" s="29">
        <f t="shared" si="676"/>
        <v>2032338.7000000032</v>
      </c>
      <c r="AY870" s="29">
        <f t="shared" si="677"/>
        <v>9300000</v>
      </c>
      <c r="AZ870" s="29">
        <f t="shared" si="678"/>
        <v>11332338.700000003</v>
      </c>
    </row>
    <row r="871" spans="2:52" x14ac:dyDescent="0.3">
      <c r="B871" s="99">
        <f t="shared" ref="B871" si="682">B870+3</f>
        <v>45383</v>
      </c>
      <c r="C871" s="44">
        <f t="shared" si="646"/>
        <v>717019.67000000132</v>
      </c>
      <c r="D871" s="38">
        <v>126062.12</v>
      </c>
      <c r="E871" s="38"/>
      <c r="F871" s="38"/>
      <c r="G871" s="45">
        <f t="shared" si="668"/>
        <v>843081.79000000132</v>
      </c>
      <c r="H871" s="44">
        <v>4300000</v>
      </c>
      <c r="I871" s="46">
        <f t="shared" si="647"/>
        <v>1293722.3000000017</v>
      </c>
      <c r="J871" s="38">
        <v>396052.5</v>
      </c>
      <c r="K871" s="38">
        <v>100000</v>
      </c>
      <c r="L871" s="38">
        <v>-131636.18</v>
      </c>
      <c r="M871" s="47">
        <f t="shared" si="648"/>
        <v>1658138.6200000017</v>
      </c>
      <c r="N871" s="46">
        <v>5000000</v>
      </c>
      <c r="O871" s="48">
        <f t="shared" si="649"/>
        <v>19005.990000000398</v>
      </c>
      <c r="P871" s="38">
        <v>820993.94</v>
      </c>
      <c r="Q871" s="38">
        <f>92600-100000</f>
        <v>-7400</v>
      </c>
      <c r="R871" s="38">
        <v>-6854.26</v>
      </c>
      <c r="S871" s="55">
        <f t="shared" si="650"/>
        <v>825745.67000000039</v>
      </c>
      <c r="T871" s="48"/>
      <c r="U871" s="49">
        <f t="shared" si="651"/>
        <v>78.060000000055879</v>
      </c>
      <c r="V871" s="38">
        <v>92571.3</v>
      </c>
      <c r="W871" s="38">
        <v>-92600</v>
      </c>
      <c r="X871" s="38"/>
      <c r="Y871" s="51">
        <f t="shared" si="652"/>
        <v>49.36000000005879</v>
      </c>
      <c r="Z871" s="52"/>
      <c r="AA871" s="53">
        <f t="shared" si="653"/>
        <v>434.41999999957625</v>
      </c>
      <c r="AB871" s="38"/>
      <c r="AC871" s="38"/>
      <c r="AD871" s="38"/>
      <c r="AE871" s="54">
        <f t="shared" si="654"/>
        <v>434.41999999957625</v>
      </c>
      <c r="AF871" s="53"/>
      <c r="AG871" s="53">
        <f t="shared" si="670"/>
        <v>2078.2600000000675</v>
      </c>
      <c r="AH871" s="38"/>
      <c r="AI871" s="38"/>
      <c r="AJ871" s="38">
        <v>-84.9</v>
      </c>
      <c r="AK871" s="54">
        <f t="shared" si="671"/>
        <v>1993.3600000000674</v>
      </c>
      <c r="AL871" s="53"/>
      <c r="AM871" s="53">
        <f t="shared" si="638"/>
        <v>0</v>
      </c>
      <c r="AN871" s="38"/>
      <c r="AO871" s="38"/>
      <c r="AP871" s="38"/>
      <c r="AQ871" s="54">
        <f t="shared" si="639"/>
        <v>0</v>
      </c>
      <c r="AR871" s="53"/>
      <c r="AS871" s="29">
        <f t="shared" si="672"/>
        <v>2030260.4400000032</v>
      </c>
      <c r="AT871" s="29">
        <f t="shared" si="673"/>
        <v>1435679.86</v>
      </c>
      <c r="AU871" s="29">
        <f t="shared" si="674"/>
        <v>0</v>
      </c>
      <c r="AV871" s="29">
        <f t="shared" si="675"/>
        <v>-138575.34</v>
      </c>
      <c r="AW871" s="29"/>
      <c r="AX871" s="29">
        <f t="shared" si="676"/>
        <v>3329443.2200000025</v>
      </c>
      <c r="AY871" s="29">
        <f t="shared" si="677"/>
        <v>9300000</v>
      </c>
      <c r="AZ871" s="29">
        <f t="shared" si="678"/>
        <v>12629443.220000003</v>
      </c>
    </row>
    <row r="872" spans="2:52" x14ac:dyDescent="0.3">
      <c r="B872" s="99">
        <f t="shared" si="679"/>
        <v>45384</v>
      </c>
      <c r="C872" s="44">
        <f t="shared" si="646"/>
        <v>843081.79000000132</v>
      </c>
      <c r="D872" s="38">
        <v>114449.56</v>
      </c>
      <c r="E872" s="38"/>
      <c r="F872" s="38">
        <f>-191098.81+5.68</f>
        <v>-191093.13</v>
      </c>
      <c r="G872" s="45">
        <f t="shared" si="668"/>
        <v>766438.22000000125</v>
      </c>
      <c r="H872" s="44">
        <v>4300000</v>
      </c>
      <c r="I872" s="46">
        <f t="shared" si="647"/>
        <v>1658138.6200000017</v>
      </c>
      <c r="J872" s="38"/>
      <c r="K872" s="38">
        <v>820000</v>
      </c>
      <c r="L872" s="38">
        <v>-13889.44</v>
      </c>
      <c r="M872" s="47">
        <f t="shared" si="648"/>
        <v>2464249.180000002</v>
      </c>
      <c r="N872" s="46">
        <v>5000000</v>
      </c>
      <c r="O872" s="48">
        <f t="shared" si="649"/>
        <v>825745.67000000039</v>
      </c>
      <c r="P872" s="38"/>
      <c r="Q872" s="38">
        <v>-820000</v>
      </c>
      <c r="R872" s="38">
        <v>-10</v>
      </c>
      <c r="S872" s="55">
        <f t="shared" si="650"/>
        <v>5735.6700000003912</v>
      </c>
      <c r="T872" s="48"/>
      <c r="U872" s="49">
        <f t="shared" si="651"/>
        <v>49.36000000005879</v>
      </c>
      <c r="V872" s="38"/>
      <c r="W872" s="38"/>
      <c r="X872" s="38">
        <v>-49.36</v>
      </c>
      <c r="Y872" s="51">
        <f t="shared" si="652"/>
        <v>5.8790305956790689E-11</v>
      </c>
      <c r="Z872" s="52"/>
      <c r="AA872" s="53">
        <f t="shared" si="653"/>
        <v>434.41999999957625</v>
      </c>
      <c r="AB872" s="38"/>
      <c r="AC872" s="38"/>
      <c r="AD872" s="38"/>
      <c r="AE872" s="54">
        <f t="shared" si="654"/>
        <v>434.41999999957625</v>
      </c>
      <c r="AF872" s="53"/>
      <c r="AG872" s="53">
        <f t="shared" si="670"/>
        <v>1993.3600000000674</v>
      </c>
      <c r="AH872" s="38"/>
      <c r="AI872" s="38"/>
      <c r="AJ872" s="38"/>
      <c r="AK872" s="54">
        <f t="shared" si="671"/>
        <v>1993.3600000000674</v>
      </c>
      <c r="AL872" s="53"/>
      <c r="AM872" s="53">
        <f t="shared" si="638"/>
        <v>0</v>
      </c>
      <c r="AN872" s="38"/>
      <c r="AO872" s="38"/>
      <c r="AP872" s="38"/>
      <c r="AQ872" s="54">
        <f t="shared" si="639"/>
        <v>0</v>
      </c>
      <c r="AR872" s="53"/>
      <c r="AS872" s="29">
        <f t="shared" si="672"/>
        <v>3327449.8600000027</v>
      </c>
      <c r="AT872" s="29">
        <f t="shared" si="673"/>
        <v>114449.56</v>
      </c>
      <c r="AU872" s="29">
        <f t="shared" si="674"/>
        <v>0</v>
      </c>
      <c r="AV872" s="29">
        <f t="shared" si="675"/>
        <v>-205041.93</v>
      </c>
      <c r="AW872" s="29"/>
      <c r="AX872" s="29">
        <f t="shared" si="676"/>
        <v>3238850.8500000029</v>
      </c>
      <c r="AY872" s="29">
        <f t="shared" si="677"/>
        <v>9300000</v>
      </c>
      <c r="AZ872" s="29">
        <f t="shared" si="678"/>
        <v>12538850.850000003</v>
      </c>
    </row>
    <row r="873" spans="2:52" x14ac:dyDescent="0.3">
      <c r="B873" s="99">
        <f t="shared" si="679"/>
        <v>45385</v>
      </c>
      <c r="C873" s="44">
        <f t="shared" si="646"/>
        <v>766438.22000000125</v>
      </c>
      <c r="D873" s="38"/>
      <c r="E873" s="38">
        <v>-450000</v>
      </c>
      <c r="F873" s="38">
        <f>-26964.18+1.23</f>
        <v>-26962.95</v>
      </c>
      <c r="G873" s="45">
        <f t="shared" si="668"/>
        <v>289475.27000000124</v>
      </c>
      <c r="H873" s="44">
        <v>4300000</v>
      </c>
      <c r="I873" s="46">
        <f t="shared" si="647"/>
        <v>2464249.180000002</v>
      </c>
      <c r="J873" s="38"/>
      <c r="K873" s="38">
        <v>450000</v>
      </c>
      <c r="L873" s="38">
        <v>-2904260.35</v>
      </c>
      <c r="M873" s="47">
        <f t="shared" si="648"/>
        <v>9988.8300000019372</v>
      </c>
      <c r="N873" s="46">
        <v>5000000</v>
      </c>
      <c r="O873" s="48">
        <f t="shared" si="649"/>
        <v>5735.6700000003912</v>
      </c>
      <c r="P873" s="38"/>
      <c r="Q873" s="38">
        <v>-100</v>
      </c>
      <c r="R873" s="38">
        <v>-4099.59</v>
      </c>
      <c r="S873" s="55">
        <f t="shared" si="650"/>
        <v>1536.080000000391</v>
      </c>
      <c r="T873" s="48"/>
      <c r="U873" s="49">
        <f t="shared" si="651"/>
        <v>5.8790305956790689E-11</v>
      </c>
      <c r="V873" s="38"/>
      <c r="W873" s="38">
        <v>100</v>
      </c>
      <c r="X873" s="38">
        <v>-17.440000000000001</v>
      </c>
      <c r="Y873" s="51">
        <f t="shared" si="652"/>
        <v>82.560000000058793</v>
      </c>
      <c r="Z873" s="52"/>
      <c r="AA873" s="53">
        <f t="shared" si="653"/>
        <v>434.41999999957625</v>
      </c>
      <c r="AB873" s="38"/>
      <c r="AC873" s="38"/>
      <c r="AD873" s="38">
        <v>-392.08</v>
      </c>
      <c r="AE873" s="54">
        <f t="shared" si="654"/>
        <v>42.339999999576264</v>
      </c>
      <c r="AF873" s="53"/>
      <c r="AG873" s="53">
        <f t="shared" si="670"/>
        <v>1993.3600000000674</v>
      </c>
      <c r="AH873" s="38"/>
      <c r="AI873" s="38"/>
      <c r="AJ873" s="38"/>
      <c r="AK873" s="54">
        <f t="shared" si="671"/>
        <v>1993.3600000000674</v>
      </c>
      <c r="AL873" s="53"/>
      <c r="AM873" s="53">
        <f t="shared" si="638"/>
        <v>0</v>
      </c>
      <c r="AN873" s="38"/>
      <c r="AO873" s="38"/>
      <c r="AP873" s="38"/>
      <c r="AQ873" s="54">
        <f t="shared" si="639"/>
        <v>0</v>
      </c>
      <c r="AR873" s="53"/>
      <c r="AS873" s="29">
        <f t="shared" si="672"/>
        <v>3236857.490000003</v>
      </c>
      <c r="AT873" s="29">
        <f t="shared" si="673"/>
        <v>0</v>
      </c>
      <c r="AU873" s="29">
        <f t="shared" si="674"/>
        <v>0</v>
      </c>
      <c r="AV873" s="29">
        <f t="shared" si="675"/>
        <v>-2935732.41</v>
      </c>
      <c r="AW873" s="29"/>
      <c r="AX873" s="29">
        <f t="shared" si="676"/>
        <v>303118.4400000032</v>
      </c>
      <c r="AY873" s="29">
        <f t="shared" si="677"/>
        <v>9300000</v>
      </c>
      <c r="AZ873" s="29">
        <f t="shared" si="678"/>
        <v>9603118.4400000032</v>
      </c>
    </row>
    <row r="874" spans="2:52" x14ac:dyDescent="0.3">
      <c r="B874" s="99">
        <f t="shared" si="679"/>
        <v>45386</v>
      </c>
      <c r="C874" s="44">
        <f t="shared" si="646"/>
        <v>289475.27000000124</v>
      </c>
      <c r="D874" s="38"/>
      <c r="E874" s="38">
        <v>-650000</v>
      </c>
      <c r="F874" s="38">
        <v>-9481.5300000000007</v>
      </c>
      <c r="G874" s="45">
        <f t="shared" si="668"/>
        <v>-370006.25999999879</v>
      </c>
      <c r="H874" s="44">
        <v>4300000</v>
      </c>
      <c r="I874" s="46">
        <f t="shared" si="647"/>
        <v>9988.8300000019372</v>
      </c>
      <c r="J874" s="38"/>
      <c r="K874" s="38">
        <v>650000</v>
      </c>
      <c r="L874" s="38">
        <v>-602290</v>
      </c>
      <c r="M874" s="47">
        <f t="shared" si="648"/>
        <v>57698.830000001937</v>
      </c>
      <c r="N874" s="46">
        <v>5000000</v>
      </c>
      <c r="O874" s="48">
        <f t="shared" si="649"/>
        <v>1536.080000000391</v>
      </c>
      <c r="P874" s="38"/>
      <c r="Q874" s="38"/>
      <c r="R874" s="38"/>
      <c r="S874" s="55">
        <f t="shared" si="650"/>
        <v>1536.080000000391</v>
      </c>
      <c r="T874" s="48"/>
      <c r="U874" s="49">
        <f t="shared" si="651"/>
        <v>82.560000000058793</v>
      </c>
      <c r="V874" s="38"/>
      <c r="W874" s="38"/>
      <c r="X874" s="38"/>
      <c r="Y874" s="51">
        <f t="shared" si="652"/>
        <v>82.560000000058793</v>
      </c>
      <c r="Z874" s="52"/>
      <c r="AA874" s="53">
        <f t="shared" si="653"/>
        <v>42.339999999576264</v>
      </c>
      <c r="AB874" s="38"/>
      <c r="AC874" s="38"/>
      <c r="AD874" s="38"/>
      <c r="AE874" s="54">
        <f t="shared" si="654"/>
        <v>42.339999999576264</v>
      </c>
      <c r="AF874" s="53"/>
      <c r="AG874" s="53">
        <f t="shared" si="670"/>
        <v>1993.3600000000674</v>
      </c>
      <c r="AH874" s="38"/>
      <c r="AI874" s="38"/>
      <c r="AJ874" s="38"/>
      <c r="AK874" s="54">
        <f t="shared" si="671"/>
        <v>1993.3600000000674</v>
      </c>
      <c r="AL874" s="53"/>
      <c r="AM874" s="53">
        <f t="shared" si="638"/>
        <v>0</v>
      </c>
      <c r="AN874" s="38"/>
      <c r="AO874" s="38"/>
      <c r="AP874" s="38"/>
      <c r="AQ874" s="54">
        <f t="shared" si="639"/>
        <v>0</v>
      </c>
      <c r="AR874" s="53"/>
      <c r="AS874" s="29">
        <f t="shared" si="672"/>
        <v>301125.08000000316</v>
      </c>
      <c r="AT874" s="29">
        <f t="shared" si="673"/>
        <v>0</v>
      </c>
      <c r="AU874" s="29">
        <f t="shared" si="674"/>
        <v>0</v>
      </c>
      <c r="AV874" s="29">
        <f t="shared" si="675"/>
        <v>-611771.53</v>
      </c>
      <c r="AW874" s="29"/>
      <c r="AX874" s="29">
        <f t="shared" si="676"/>
        <v>-308653.08999999682</v>
      </c>
      <c r="AY874" s="29">
        <f t="shared" si="677"/>
        <v>9300000</v>
      </c>
      <c r="AZ874" s="29">
        <f t="shared" si="678"/>
        <v>8991346.9100000039</v>
      </c>
    </row>
    <row r="875" spans="2:52" x14ac:dyDescent="0.3">
      <c r="B875" s="99">
        <f t="shared" si="679"/>
        <v>45387</v>
      </c>
      <c r="C875" s="44">
        <f t="shared" si="646"/>
        <v>-370006.25999999879</v>
      </c>
      <c r="D875" s="38">
        <v>46431.34</v>
      </c>
      <c r="E875" s="38"/>
      <c r="F875" s="38">
        <v>-870595.9</v>
      </c>
      <c r="G875" s="45">
        <f t="shared" si="668"/>
        <v>-1194170.8199999989</v>
      </c>
      <c r="H875" s="44">
        <v>4300000</v>
      </c>
      <c r="I875" s="46">
        <f t="shared" si="647"/>
        <v>57698.830000001937</v>
      </c>
      <c r="J875" s="38">
        <v>117772.98</v>
      </c>
      <c r="K875" s="38"/>
      <c r="L875" s="38">
        <v>-44252.37</v>
      </c>
      <c r="M875" s="47">
        <f t="shared" si="648"/>
        <v>131219.44000000192</v>
      </c>
      <c r="N875" s="46">
        <v>5000000</v>
      </c>
      <c r="O875" s="48">
        <f t="shared" si="649"/>
        <v>1536.080000000391</v>
      </c>
      <c r="P875" s="38"/>
      <c r="Q875" s="38"/>
      <c r="R875" s="38">
        <v>-886.2</v>
      </c>
      <c r="S875" s="55">
        <f t="shared" si="650"/>
        <v>649.88000000039096</v>
      </c>
      <c r="T875" s="48"/>
      <c r="U875" s="49">
        <f t="shared" si="651"/>
        <v>82.560000000058793</v>
      </c>
      <c r="V875" s="38"/>
      <c r="W875" s="38"/>
      <c r="X875" s="38"/>
      <c r="Y875" s="51">
        <f t="shared" si="652"/>
        <v>82.560000000058793</v>
      </c>
      <c r="Z875" s="52"/>
      <c r="AA875" s="53">
        <f t="shared" si="653"/>
        <v>42.339999999576264</v>
      </c>
      <c r="AB875" s="38"/>
      <c r="AC875" s="38"/>
      <c r="AD875" s="38"/>
      <c r="AE875" s="54">
        <f t="shared" si="654"/>
        <v>42.339999999576264</v>
      </c>
      <c r="AF875" s="53"/>
      <c r="AG875" s="53">
        <f t="shared" si="670"/>
        <v>1993.3600000000674</v>
      </c>
      <c r="AH875" s="38"/>
      <c r="AI875" s="38"/>
      <c r="AJ875" s="38">
        <v>-955.28</v>
      </c>
      <c r="AK875" s="54">
        <f t="shared" si="671"/>
        <v>1038.0800000000675</v>
      </c>
      <c r="AL875" s="53"/>
      <c r="AM875" s="53">
        <f t="shared" si="638"/>
        <v>0</v>
      </c>
      <c r="AN875" s="38"/>
      <c r="AO875" s="38"/>
      <c r="AP875" s="38"/>
      <c r="AQ875" s="54">
        <f t="shared" si="639"/>
        <v>0</v>
      </c>
      <c r="AR875" s="53"/>
      <c r="AS875" s="29">
        <f t="shared" si="672"/>
        <v>-310646.44999999687</v>
      </c>
      <c r="AT875" s="29">
        <f t="shared" si="673"/>
        <v>164204.32</v>
      </c>
      <c r="AU875" s="29">
        <f t="shared" si="674"/>
        <v>0</v>
      </c>
      <c r="AV875" s="29">
        <f t="shared" si="675"/>
        <v>-916689.75</v>
      </c>
      <c r="AW875" s="29"/>
      <c r="AX875" s="29">
        <f t="shared" si="676"/>
        <v>-1061138.519999997</v>
      </c>
      <c r="AY875" s="29">
        <f t="shared" si="677"/>
        <v>9300000</v>
      </c>
      <c r="AZ875" s="29">
        <f t="shared" si="678"/>
        <v>8238861.4800000032</v>
      </c>
    </row>
    <row r="876" spans="2:52" x14ac:dyDescent="0.3">
      <c r="B876" s="99">
        <f t="shared" ref="B876" si="683">B875+3</f>
        <v>45390</v>
      </c>
      <c r="C876" s="44">
        <f t="shared" si="646"/>
        <v>-1194170.8199999989</v>
      </c>
      <c r="D876" s="38"/>
      <c r="E876" s="38"/>
      <c r="F876" s="38">
        <v>-14351.46</v>
      </c>
      <c r="G876" s="45">
        <f t="shared" si="668"/>
        <v>-1208522.2799999989</v>
      </c>
      <c r="H876" s="44">
        <v>4300000</v>
      </c>
      <c r="I876" s="46">
        <f t="shared" si="647"/>
        <v>131219.44000000192</v>
      </c>
      <c r="J876" s="38">
        <v>448522.8</v>
      </c>
      <c r="K876" s="38"/>
      <c r="L876" s="38">
        <v>-91200.02</v>
      </c>
      <c r="M876" s="47">
        <f t="shared" si="648"/>
        <v>488542.22000000183</v>
      </c>
      <c r="N876" s="46">
        <v>5000000</v>
      </c>
      <c r="O876" s="48">
        <f t="shared" si="649"/>
        <v>649.88000000039096</v>
      </c>
      <c r="P876" s="38">
        <v>1418.17</v>
      </c>
      <c r="Q876" s="38"/>
      <c r="R876" s="38"/>
      <c r="S876" s="55">
        <f t="shared" si="650"/>
        <v>2068.0500000003913</v>
      </c>
      <c r="T876" s="48"/>
      <c r="U876" s="49">
        <f t="shared" si="651"/>
        <v>82.560000000058793</v>
      </c>
      <c r="V876" s="38"/>
      <c r="W876" s="38"/>
      <c r="X876" s="38"/>
      <c r="Y876" s="51">
        <f t="shared" si="652"/>
        <v>82.560000000058793</v>
      </c>
      <c r="Z876" s="52"/>
      <c r="AA876" s="53">
        <f t="shared" si="653"/>
        <v>42.339999999576264</v>
      </c>
      <c r="AB876" s="38"/>
      <c r="AC876" s="38"/>
      <c r="AD876" s="38"/>
      <c r="AE876" s="54">
        <f t="shared" si="654"/>
        <v>42.339999999576264</v>
      </c>
      <c r="AF876" s="53"/>
      <c r="AG876" s="53">
        <f t="shared" si="670"/>
        <v>1038.0800000000675</v>
      </c>
      <c r="AH876" s="38"/>
      <c r="AI876" s="38"/>
      <c r="AJ876" s="38"/>
      <c r="AK876" s="54">
        <f t="shared" si="671"/>
        <v>1038.0800000000675</v>
      </c>
      <c r="AL876" s="53"/>
      <c r="AM876" s="53">
        <f t="shared" si="638"/>
        <v>0</v>
      </c>
      <c r="AN876" s="38"/>
      <c r="AO876" s="38"/>
      <c r="AP876" s="38"/>
      <c r="AQ876" s="54">
        <f t="shared" si="639"/>
        <v>0</v>
      </c>
      <c r="AR876" s="53"/>
      <c r="AS876" s="29">
        <f t="shared" si="672"/>
        <v>-1062176.5999999971</v>
      </c>
      <c r="AT876" s="29">
        <f t="shared" si="673"/>
        <v>449940.97</v>
      </c>
      <c r="AU876" s="29">
        <f t="shared" si="674"/>
        <v>0</v>
      </c>
      <c r="AV876" s="29">
        <f t="shared" si="675"/>
        <v>-105551.48000000001</v>
      </c>
      <c r="AW876" s="29"/>
      <c r="AX876" s="29">
        <f t="shared" si="676"/>
        <v>-716749.02999999688</v>
      </c>
      <c r="AY876" s="29">
        <f t="shared" si="677"/>
        <v>9300000</v>
      </c>
      <c r="AZ876" s="29">
        <f t="shared" si="678"/>
        <v>8583250.9700000025</v>
      </c>
    </row>
    <row r="877" spans="2:52" x14ac:dyDescent="0.3">
      <c r="B877" s="99">
        <f t="shared" si="679"/>
        <v>45391</v>
      </c>
      <c r="C877" s="44">
        <f t="shared" si="646"/>
        <v>-1208522.2799999989</v>
      </c>
      <c r="D877" s="38">
        <v>67928.44</v>
      </c>
      <c r="E877" s="38"/>
      <c r="F877" s="38"/>
      <c r="G877" s="45">
        <f t="shared" si="668"/>
        <v>-1140593.8399999989</v>
      </c>
      <c r="H877" s="44">
        <v>4300000</v>
      </c>
      <c r="I877" s="46">
        <f t="shared" si="647"/>
        <v>488542.22000000183</v>
      </c>
      <c r="J877" s="38"/>
      <c r="K877" s="38"/>
      <c r="L877" s="38">
        <v>-31450.85</v>
      </c>
      <c r="M877" s="47">
        <f t="shared" si="648"/>
        <v>457091.37000000186</v>
      </c>
      <c r="N877" s="46">
        <v>5000000</v>
      </c>
      <c r="O877" s="48">
        <f t="shared" si="649"/>
        <v>2068.0500000003913</v>
      </c>
      <c r="P877" s="38">
        <v>79220</v>
      </c>
      <c r="Q877" s="38"/>
      <c r="R877" s="38">
        <v>-15834.32</v>
      </c>
      <c r="S877" s="55">
        <f t="shared" si="650"/>
        <v>65453.730000000396</v>
      </c>
      <c r="T877" s="48"/>
      <c r="U877" s="49">
        <f t="shared" si="651"/>
        <v>82.560000000058793</v>
      </c>
      <c r="V877" s="38"/>
      <c r="W877" s="38"/>
      <c r="X877" s="38"/>
      <c r="Y877" s="51">
        <f t="shared" si="652"/>
        <v>82.560000000058793</v>
      </c>
      <c r="Z877" s="52"/>
      <c r="AA877" s="53">
        <f t="shared" si="653"/>
        <v>42.339999999576264</v>
      </c>
      <c r="AB877" s="38"/>
      <c r="AC877" s="38"/>
      <c r="AD877" s="38"/>
      <c r="AE877" s="54">
        <f t="shared" si="654"/>
        <v>42.339999999576264</v>
      </c>
      <c r="AF877" s="53"/>
      <c r="AG877" s="53">
        <f t="shared" si="670"/>
        <v>1038.0800000000675</v>
      </c>
      <c r="AH877" s="38"/>
      <c r="AI877" s="38"/>
      <c r="AJ877" s="38"/>
      <c r="AK877" s="54">
        <f t="shared" si="671"/>
        <v>1038.0800000000675</v>
      </c>
      <c r="AL877" s="53"/>
      <c r="AM877" s="53">
        <f t="shared" si="638"/>
        <v>0</v>
      </c>
      <c r="AN877" s="38"/>
      <c r="AO877" s="38"/>
      <c r="AP877" s="38"/>
      <c r="AQ877" s="54">
        <f t="shared" si="639"/>
        <v>0</v>
      </c>
      <c r="AR877" s="53"/>
      <c r="AS877" s="29">
        <f t="shared" si="672"/>
        <v>-717787.10999999696</v>
      </c>
      <c r="AT877" s="29">
        <f t="shared" si="673"/>
        <v>147148.44</v>
      </c>
      <c r="AU877" s="29">
        <f t="shared" si="674"/>
        <v>0</v>
      </c>
      <c r="AV877" s="29">
        <f t="shared" si="675"/>
        <v>-47285.17</v>
      </c>
      <c r="AW877" s="29"/>
      <c r="AX877" s="29">
        <f t="shared" si="676"/>
        <v>-616885.75999999687</v>
      </c>
      <c r="AY877" s="29">
        <f t="shared" si="677"/>
        <v>9300000</v>
      </c>
      <c r="AZ877" s="29">
        <f t="shared" si="678"/>
        <v>8683114.2400000039</v>
      </c>
    </row>
    <row r="878" spans="2:52" x14ac:dyDescent="0.3">
      <c r="B878" s="99">
        <f t="shared" si="679"/>
        <v>45392</v>
      </c>
      <c r="C878" s="44">
        <f t="shared" si="646"/>
        <v>-1140593.8399999989</v>
      </c>
      <c r="D878" s="38"/>
      <c r="E878" s="38">
        <v>460000</v>
      </c>
      <c r="F878" s="38">
        <v>-1496.14</v>
      </c>
      <c r="G878" s="45">
        <f t="shared" si="668"/>
        <v>-682089.97999999893</v>
      </c>
      <c r="H878" s="44">
        <v>4300000</v>
      </c>
      <c r="I878" s="46">
        <f t="shared" si="647"/>
        <v>457091.37000000186</v>
      </c>
      <c r="J878" s="38"/>
      <c r="K878" s="38"/>
      <c r="L878" s="38">
        <v>-329240.82</v>
      </c>
      <c r="M878" s="47">
        <f t="shared" si="648"/>
        <v>127850.55000000185</v>
      </c>
      <c r="N878" s="46">
        <v>5000000</v>
      </c>
      <c r="O878" s="48">
        <f t="shared" si="649"/>
        <v>65453.730000000396</v>
      </c>
      <c r="P878" s="38">
        <v>402539</v>
      </c>
      <c r="Q878" s="38">
        <v>-460000</v>
      </c>
      <c r="R878" s="38">
        <v>-2817.44</v>
      </c>
      <c r="S878" s="55">
        <f t="shared" si="650"/>
        <v>5175.2900000003883</v>
      </c>
      <c r="T878" s="48"/>
      <c r="U878" s="49">
        <f t="shared" si="651"/>
        <v>82.560000000058793</v>
      </c>
      <c r="V878" s="38"/>
      <c r="W878" s="38"/>
      <c r="X878" s="38"/>
      <c r="Y878" s="51">
        <f t="shared" si="652"/>
        <v>82.560000000058793</v>
      </c>
      <c r="Z878" s="52"/>
      <c r="AA878" s="53">
        <f t="shared" si="653"/>
        <v>42.339999999576264</v>
      </c>
      <c r="AB878" s="38"/>
      <c r="AC878" s="38"/>
      <c r="AD878" s="38"/>
      <c r="AE878" s="54">
        <f t="shared" si="654"/>
        <v>42.339999999576264</v>
      </c>
      <c r="AF878" s="53"/>
      <c r="AG878" s="53">
        <f t="shared" si="670"/>
        <v>1038.0800000000675</v>
      </c>
      <c r="AH878" s="38"/>
      <c r="AI878" s="38"/>
      <c r="AJ878" s="38"/>
      <c r="AK878" s="54">
        <f t="shared" si="671"/>
        <v>1038.0800000000675</v>
      </c>
      <c r="AL878" s="53"/>
      <c r="AM878" s="53">
        <f t="shared" si="638"/>
        <v>0</v>
      </c>
      <c r="AN878" s="38"/>
      <c r="AO878" s="38"/>
      <c r="AP878" s="38"/>
      <c r="AQ878" s="54">
        <f t="shared" si="639"/>
        <v>0</v>
      </c>
      <c r="AR878" s="53"/>
      <c r="AS878" s="29">
        <f t="shared" si="672"/>
        <v>-617923.83999999694</v>
      </c>
      <c r="AT878" s="29">
        <f t="shared" si="673"/>
        <v>402539</v>
      </c>
      <c r="AU878" s="29">
        <f t="shared" si="674"/>
        <v>0</v>
      </c>
      <c r="AV878" s="29">
        <f t="shared" si="675"/>
        <v>-333554.40000000002</v>
      </c>
      <c r="AW878" s="29"/>
      <c r="AX878" s="29">
        <f t="shared" si="676"/>
        <v>-547901.15999999701</v>
      </c>
      <c r="AY878" s="29">
        <f t="shared" si="677"/>
        <v>9300000</v>
      </c>
      <c r="AZ878" s="29">
        <f t="shared" si="678"/>
        <v>8752098.8400000036</v>
      </c>
    </row>
    <row r="879" spans="2:52" x14ac:dyDescent="0.3">
      <c r="B879" s="99">
        <f t="shared" si="679"/>
        <v>45393</v>
      </c>
      <c r="C879" s="44">
        <f t="shared" si="646"/>
        <v>-682089.97999999893</v>
      </c>
      <c r="D879" s="38">
        <v>231378.25</v>
      </c>
      <c r="E879" s="38"/>
      <c r="F879" s="38">
        <v>-7740.96</v>
      </c>
      <c r="G879" s="45">
        <f t="shared" si="668"/>
        <v>-458452.68999999895</v>
      </c>
      <c r="H879" s="44">
        <v>4300000</v>
      </c>
      <c r="I879" s="46">
        <f t="shared" si="647"/>
        <v>127850.55000000185</v>
      </c>
      <c r="J879" s="38">
        <v>135760.47</v>
      </c>
      <c r="K879" s="38"/>
      <c r="L879" s="38">
        <v>-74867.89</v>
      </c>
      <c r="M879" s="47">
        <f t="shared" si="648"/>
        <v>188743.13000000187</v>
      </c>
      <c r="N879" s="46">
        <v>5000000</v>
      </c>
      <c r="O879" s="48">
        <f t="shared" si="649"/>
        <v>5175.2900000003883</v>
      </c>
      <c r="P879" s="38"/>
      <c r="Q879" s="38"/>
      <c r="R879" s="38">
        <v>-10</v>
      </c>
      <c r="S879" s="55">
        <f t="shared" si="650"/>
        <v>5165.2900000003883</v>
      </c>
      <c r="T879" s="48"/>
      <c r="U879" s="49">
        <f t="shared" si="651"/>
        <v>82.560000000058793</v>
      </c>
      <c r="V879" s="38"/>
      <c r="W879" s="38"/>
      <c r="X879" s="38"/>
      <c r="Y879" s="51">
        <f t="shared" si="652"/>
        <v>82.560000000058793</v>
      </c>
      <c r="Z879" s="52"/>
      <c r="AA879" s="53">
        <f t="shared" si="653"/>
        <v>42.339999999576264</v>
      </c>
      <c r="AB879" s="38"/>
      <c r="AC879" s="38"/>
      <c r="AD879" s="38"/>
      <c r="AE879" s="54">
        <f t="shared" si="654"/>
        <v>42.339999999576264</v>
      </c>
      <c r="AF879" s="53"/>
      <c r="AG879" s="53">
        <f t="shared" si="670"/>
        <v>1038.0800000000675</v>
      </c>
      <c r="AH879" s="38"/>
      <c r="AI879" s="38"/>
      <c r="AJ879" s="38"/>
      <c r="AK879" s="54">
        <f t="shared" si="671"/>
        <v>1038.0800000000675</v>
      </c>
      <c r="AL879" s="53"/>
      <c r="AM879" s="53">
        <f t="shared" si="638"/>
        <v>0</v>
      </c>
      <c r="AN879" s="38"/>
      <c r="AO879" s="38"/>
      <c r="AP879" s="38"/>
      <c r="AQ879" s="54">
        <f t="shared" si="639"/>
        <v>0</v>
      </c>
      <c r="AR879" s="53"/>
      <c r="AS879" s="29">
        <f t="shared" si="672"/>
        <v>-548939.23999999708</v>
      </c>
      <c r="AT879" s="29">
        <f t="shared" si="673"/>
        <v>367138.72</v>
      </c>
      <c r="AU879" s="29">
        <f t="shared" si="674"/>
        <v>0</v>
      </c>
      <c r="AV879" s="29">
        <f t="shared" si="675"/>
        <v>-82618.850000000006</v>
      </c>
      <c r="AW879" s="29"/>
      <c r="AX879" s="29">
        <f t="shared" si="676"/>
        <v>-263381.28999999701</v>
      </c>
      <c r="AY879" s="29">
        <f t="shared" si="677"/>
        <v>9300000</v>
      </c>
      <c r="AZ879" s="29">
        <f t="shared" si="678"/>
        <v>9036618.7100000028</v>
      </c>
    </row>
    <row r="880" spans="2:52" x14ac:dyDescent="0.3">
      <c r="B880" s="99">
        <f t="shared" si="679"/>
        <v>45394</v>
      </c>
      <c r="C880" s="44">
        <f t="shared" si="646"/>
        <v>-458452.68999999895</v>
      </c>
      <c r="D880" s="38">
        <v>269242.09000000003</v>
      </c>
      <c r="E880" s="38">
        <v>120000</v>
      </c>
      <c r="F880" s="38">
        <v>-9285.4699999999993</v>
      </c>
      <c r="G880" s="45">
        <f t="shared" si="668"/>
        <v>-78496.06999999893</v>
      </c>
      <c r="H880" s="44">
        <v>4300000</v>
      </c>
      <c r="I880" s="46">
        <f t="shared" si="647"/>
        <v>188743.13000000187</v>
      </c>
      <c r="J880" s="38"/>
      <c r="K880" s="38"/>
      <c r="L880" s="38">
        <v>-87693.14</v>
      </c>
      <c r="M880" s="47">
        <f t="shared" si="648"/>
        <v>101049.99000000187</v>
      </c>
      <c r="N880" s="46">
        <v>5000000</v>
      </c>
      <c r="O880" s="48">
        <f t="shared" si="649"/>
        <v>5165.2900000003883</v>
      </c>
      <c r="P880" s="38">
        <v>118695.6</v>
      </c>
      <c r="Q880" s="38">
        <v>-120000</v>
      </c>
      <c r="R880" s="38"/>
      <c r="S880" s="55">
        <f t="shared" si="650"/>
        <v>3860.8900000003923</v>
      </c>
      <c r="T880" s="48"/>
      <c r="U880" s="49">
        <f t="shared" si="651"/>
        <v>82.560000000058793</v>
      </c>
      <c r="V880" s="38"/>
      <c r="W880" s="38"/>
      <c r="X880" s="38"/>
      <c r="Y880" s="51">
        <f t="shared" si="652"/>
        <v>82.560000000058793</v>
      </c>
      <c r="Z880" s="52"/>
      <c r="AA880" s="53">
        <f t="shared" si="653"/>
        <v>42.339999999576264</v>
      </c>
      <c r="AB880" s="38"/>
      <c r="AC880" s="38"/>
      <c r="AD880" s="38"/>
      <c r="AE880" s="54">
        <f t="shared" si="654"/>
        <v>42.339999999576264</v>
      </c>
      <c r="AF880" s="53"/>
      <c r="AG880" s="53">
        <f t="shared" si="670"/>
        <v>1038.0800000000675</v>
      </c>
      <c r="AH880" s="38"/>
      <c r="AI880" s="38"/>
      <c r="AJ880" s="38"/>
      <c r="AK880" s="54">
        <f t="shared" si="671"/>
        <v>1038.0800000000675</v>
      </c>
      <c r="AL880" s="53"/>
      <c r="AM880" s="53">
        <f t="shared" si="638"/>
        <v>0</v>
      </c>
      <c r="AN880" s="38"/>
      <c r="AO880" s="38"/>
      <c r="AP880" s="38"/>
      <c r="AQ880" s="54">
        <f t="shared" si="639"/>
        <v>0</v>
      </c>
      <c r="AR880" s="53"/>
      <c r="AS880" s="29">
        <f t="shared" si="672"/>
        <v>-264419.36999999708</v>
      </c>
      <c r="AT880" s="29">
        <f t="shared" si="673"/>
        <v>387937.69000000006</v>
      </c>
      <c r="AU880" s="29">
        <f t="shared" si="674"/>
        <v>0</v>
      </c>
      <c r="AV880" s="29">
        <f t="shared" si="675"/>
        <v>-96978.61</v>
      </c>
      <c r="AW880" s="29"/>
      <c r="AX880" s="29">
        <f t="shared" si="676"/>
        <v>27577.790000003031</v>
      </c>
      <c r="AY880" s="29">
        <f t="shared" si="677"/>
        <v>9300000</v>
      </c>
      <c r="AZ880" s="29">
        <f t="shared" si="678"/>
        <v>9327577.7900000028</v>
      </c>
    </row>
    <row r="881" spans="2:52" x14ac:dyDescent="0.3">
      <c r="B881" s="99">
        <f t="shared" ref="B881:B886" si="684">B880+3</f>
        <v>45397</v>
      </c>
      <c r="C881" s="44">
        <f t="shared" si="646"/>
        <v>-78496.06999999893</v>
      </c>
      <c r="D881" s="38"/>
      <c r="E881" s="38"/>
      <c r="F881" s="38">
        <v>-41698.15</v>
      </c>
      <c r="G881" s="45">
        <f t="shared" si="668"/>
        <v>-120194.21999999892</v>
      </c>
      <c r="H881" s="44">
        <v>4300000</v>
      </c>
      <c r="I881" s="46">
        <f t="shared" si="647"/>
        <v>101049.99000000187</v>
      </c>
      <c r="J881" s="38"/>
      <c r="K881" s="38"/>
      <c r="L881" s="38">
        <v>-58629.66</v>
      </c>
      <c r="M881" s="47">
        <f t="shared" si="648"/>
        <v>42420.330000001864</v>
      </c>
      <c r="N881" s="46">
        <v>5000000</v>
      </c>
      <c r="O881" s="48">
        <f t="shared" si="649"/>
        <v>3860.8900000003923</v>
      </c>
      <c r="P881" s="38"/>
      <c r="Q881" s="38"/>
      <c r="R881" s="38">
        <v>-10</v>
      </c>
      <c r="S881" s="55">
        <f t="shared" si="650"/>
        <v>3850.8900000003923</v>
      </c>
      <c r="T881" s="48"/>
      <c r="U881" s="49">
        <f t="shared" si="651"/>
        <v>82.560000000058793</v>
      </c>
      <c r="V881" s="38"/>
      <c r="W881" s="38"/>
      <c r="X881" s="38"/>
      <c r="Y881" s="51">
        <f t="shared" si="652"/>
        <v>82.560000000058793</v>
      </c>
      <c r="Z881" s="52"/>
      <c r="AA881" s="53">
        <f t="shared" si="653"/>
        <v>42.339999999576264</v>
      </c>
      <c r="AB881" s="38"/>
      <c r="AC881" s="38"/>
      <c r="AD881" s="38"/>
      <c r="AE881" s="54">
        <f t="shared" si="654"/>
        <v>42.339999999576264</v>
      </c>
      <c r="AF881" s="53"/>
      <c r="AG881" s="53">
        <f t="shared" si="670"/>
        <v>1038.0800000000675</v>
      </c>
      <c r="AH881" s="38"/>
      <c r="AI881" s="38"/>
      <c r="AJ881" s="38"/>
      <c r="AK881" s="54">
        <f t="shared" si="671"/>
        <v>1038.0800000000675</v>
      </c>
      <c r="AL881" s="53"/>
      <c r="AM881" s="53">
        <f t="shared" si="638"/>
        <v>0</v>
      </c>
      <c r="AN881" s="38"/>
      <c r="AO881" s="38"/>
      <c r="AP881" s="38"/>
      <c r="AQ881" s="54">
        <f t="shared" si="639"/>
        <v>0</v>
      </c>
      <c r="AR881" s="53"/>
      <c r="AS881" s="29">
        <f t="shared" si="672"/>
        <v>26539.710000002964</v>
      </c>
      <c r="AT881" s="29">
        <f t="shared" si="673"/>
        <v>0</v>
      </c>
      <c r="AU881" s="29">
        <f t="shared" si="674"/>
        <v>0</v>
      </c>
      <c r="AV881" s="29">
        <f t="shared" si="675"/>
        <v>-100337.81</v>
      </c>
      <c r="AW881" s="29"/>
      <c r="AX881" s="29">
        <f t="shared" si="676"/>
        <v>-72760.019999996963</v>
      </c>
      <c r="AY881" s="29">
        <f t="shared" si="677"/>
        <v>9300000</v>
      </c>
      <c r="AZ881" s="29">
        <f t="shared" si="678"/>
        <v>9227239.9800000023</v>
      </c>
    </row>
    <row r="882" spans="2:52" x14ac:dyDescent="0.3">
      <c r="B882" s="99">
        <f t="shared" si="679"/>
        <v>45398</v>
      </c>
      <c r="C882" s="44">
        <f t="shared" si="646"/>
        <v>-120194.21999999892</v>
      </c>
      <c r="D882" s="38"/>
      <c r="E882" s="38">
        <v>-100000</v>
      </c>
      <c r="F882" s="38">
        <v>-3347.22</v>
      </c>
      <c r="G882" s="45">
        <f t="shared" si="668"/>
        <v>-223541.43999999893</v>
      </c>
      <c r="H882" s="44">
        <v>4300000</v>
      </c>
      <c r="I882" s="46">
        <f t="shared" si="647"/>
        <v>42420.330000001864</v>
      </c>
      <c r="J882" s="38"/>
      <c r="K882" s="38">
        <v>100000</v>
      </c>
      <c r="L882" s="38">
        <v>-44803.73</v>
      </c>
      <c r="M882" s="47">
        <f t="shared" si="648"/>
        <v>97616.600000001868</v>
      </c>
      <c r="N882" s="46">
        <v>5000000</v>
      </c>
      <c r="O882" s="48">
        <f t="shared" si="649"/>
        <v>3850.8900000003923</v>
      </c>
      <c r="P882" s="38"/>
      <c r="Q882" s="38"/>
      <c r="R882" s="38"/>
      <c r="S882" s="55">
        <f t="shared" si="650"/>
        <v>3850.8900000003923</v>
      </c>
      <c r="T882" s="48"/>
      <c r="U882" s="49">
        <f t="shared" si="651"/>
        <v>82.560000000058793</v>
      </c>
      <c r="V882" s="38"/>
      <c r="W882" s="38"/>
      <c r="X882" s="38"/>
      <c r="Y882" s="51">
        <f t="shared" si="652"/>
        <v>82.560000000058793</v>
      </c>
      <c r="Z882" s="52"/>
      <c r="AA882" s="53">
        <f t="shared" si="653"/>
        <v>42.339999999576264</v>
      </c>
      <c r="AB882" s="38"/>
      <c r="AC882" s="38"/>
      <c r="AD882" s="38"/>
      <c r="AE882" s="54">
        <f t="shared" si="654"/>
        <v>42.339999999576264</v>
      </c>
      <c r="AF882" s="53"/>
      <c r="AG882" s="53">
        <f t="shared" si="670"/>
        <v>1038.0800000000675</v>
      </c>
      <c r="AH882" s="38"/>
      <c r="AI882" s="38"/>
      <c r="AJ882" s="38"/>
      <c r="AK882" s="54">
        <f t="shared" si="671"/>
        <v>1038.0800000000675</v>
      </c>
      <c r="AL882" s="53"/>
      <c r="AM882" s="53">
        <f t="shared" si="638"/>
        <v>0</v>
      </c>
      <c r="AN882" s="38"/>
      <c r="AO882" s="38"/>
      <c r="AP882" s="38"/>
      <c r="AQ882" s="54">
        <f t="shared" si="639"/>
        <v>0</v>
      </c>
      <c r="AR882" s="53"/>
      <c r="AS882" s="29">
        <f t="shared" si="672"/>
        <v>-73798.099999997037</v>
      </c>
      <c r="AT882" s="29">
        <f t="shared" si="673"/>
        <v>0</v>
      </c>
      <c r="AU882" s="29">
        <f t="shared" si="674"/>
        <v>0</v>
      </c>
      <c r="AV882" s="29">
        <f t="shared" si="675"/>
        <v>-48150.950000000004</v>
      </c>
      <c r="AW882" s="29"/>
      <c r="AX882" s="29">
        <f t="shared" si="676"/>
        <v>-120910.96999999696</v>
      </c>
      <c r="AY882" s="29">
        <f t="shared" si="677"/>
        <v>9300000</v>
      </c>
      <c r="AZ882" s="29">
        <f t="shared" si="678"/>
        <v>9179089.0300000031</v>
      </c>
    </row>
    <row r="883" spans="2:52" x14ac:dyDescent="0.3">
      <c r="B883" s="99">
        <f t="shared" si="679"/>
        <v>45399</v>
      </c>
      <c r="C883" s="44">
        <f t="shared" si="646"/>
        <v>-223541.43999999893</v>
      </c>
      <c r="D883" s="38">
        <v>19109.39</v>
      </c>
      <c r="E883" s="38">
        <f>200000-600000</f>
        <v>-400000</v>
      </c>
      <c r="F883" s="38">
        <v>-2215483.61</v>
      </c>
      <c r="G883" s="45">
        <f t="shared" si="668"/>
        <v>-2819915.6599999988</v>
      </c>
      <c r="H883" s="44">
        <v>4300000</v>
      </c>
      <c r="I883" s="46">
        <f t="shared" si="647"/>
        <v>97616.600000001868</v>
      </c>
      <c r="J883" s="38"/>
      <c r="K883" s="38">
        <v>600000</v>
      </c>
      <c r="L883" s="38">
        <v>-685413.79</v>
      </c>
      <c r="M883" s="47">
        <f t="shared" si="648"/>
        <v>12202.810000001802</v>
      </c>
      <c r="N883" s="46">
        <v>5000000</v>
      </c>
      <c r="O883" s="48">
        <f t="shared" si="649"/>
        <v>3850.8900000003923</v>
      </c>
      <c r="P883" s="38">
        <v>196823.08</v>
      </c>
      <c r="Q883" s="38">
        <v>-200000</v>
      </c>
      <c r="R883" s="38"/>
      <c r="S883" s="55">
        <f t="shared" si="650"/>
        <v>673.97000000037951</v>
      </c>
      <c r="T883" s="48"/>
      <c r="U883" s="49">
        <f t="shared" si="651"/>
        <v>82.560000000058793</v>
      </c>
      <c r="V883" s="38"/>
      <c r="W883" s="38"/>
      <c r="X883" s="38"/>
      <c r="Y883" s="51">
        <f t="shared" si="652"/>
        <v>82.560000000058793</v>
      </c>
      <c r="Z883" s="52"/>
      <c r="AA883" s="53">
        <f t="shared" si="653"/>
        <v>42.339999999576264</v>
      </c>
      <c r="AB883" s="38"/>
      <c r="AC883" s="38"/>
      <c r="AD883" s="38"/>
      <c r="AE883" s="54">
        <f t="shared" si="654"/>
        <v>42.339999999576264</v>
      </c>
      <c r="AF883" s="53"/>
      <c r="AG883" s="53">
        <f t="shared" si="670"/>
        <v>1038.0800000000675</v>
      </c>
      <c r="AH883" s="38"/>
      <c r="AI883" s="38"/>
      <c r="AJ883" s="38">
        <v>-80</v>
      </c>
      <c r="AK883" s="54">
        <f t="shared" si="671"/>
        <v>958.08000000006746</v>
      </c>
      <c r="AL883" s="53"/>
      <c r="AM883" s="53">
        <f t="shared" si="638"/>
        <v>0</v>
      </c>
      <c r="AN883" s="38"/>
      <c r="AO883" s="38"/>
      <c r="AP883" s="38"/>
      <c r="AQ883" s="54">
        <f t="shared" si="639"/>
        <v>0</v>
      </c>
      <c r="AR883" s="53"/>
      <c r="AS883" s="29">
        <f t="shared" si="672"/>
        <v>-121949.04999999703</v>
      </c>
      <c r="AT883" s="29">
        <f t="shared" si="673"/>
        <v>215932.46999999997</v>
      </c>
      <c r="AU883" s="29">
        <f t="shared" si="674"/>
        <v>0</v>
      </c>
      <c r="AV883" s="29">
        <f t="shared" si="675"/>
        <v>-2900977.4</v>
      </c>
      <c r="AW883" s="29"/>
      <c r="AX883" s="29">
        <f t="shared" si="676"/>
        <v>-2805955.8999999971</v>
      </c>
      <c r="AY883" s="29">
        <f t="shared" si="677"/>
        <v>9300000</v>
      </c>
      <c r="AZ883" s="29">
        <f t="shared" si="678"/>
        <v>6494044.1000000034</v>
      </c>
    </row>
    <row r="884" spans="2:52" x14ac:dyDescent="0.3">
      <c r="B884" s="99">
        <f t="shared" si="679"/>
        <v>45400</v>
      </c>
      <c r="C884" s="44">
        <f t="shared" si="646"/>
        <v>-2819915.6599999988</v>
      </c>
      <c r="D884" s="38">
        <v>23860.73</v>
      </c>
      <c r="E884" s="38"/>
      <c r="F884" s="38"/>
      <c r="G884" s="45">
        <f t="shared" si="668"/>
        <v>-2796054.9299999988</v>
      </c>
      <c r="H884" s="44">
        <v>4300000</v>
      </c>
      <c r="I884" s="46">
        <f t="shared" si="647"/>
        <v>12202.810000001802</v>
      </c>
      <c r="J884" s="38"/>
      <c r="K884" s="38">
        <v>204000</v>
      </c>
      <c r="L884" s="38">
        <v>-123800.21</v>
      </c>
      <c r="M884" s="47">
        <f t="shared" si="648"/>
        <v>92402.600000001796</v>
      </c>
      <c r="N884" s="46">
        <v>5000000</v>
      </c>
      <c r="O884" s="48">
        <f t="shared" si="649"/>
        <v>673.97000000037951</v>
      </c>
      <c r="P884" s="38">
        <v>203875</v>
      </c>
      <c r="Q884" s="38">
        <v>-204000</v>
      </c>
      <c r="R884" s="38">
        <v>-10</v>
      </c>
      <c r="S884" s="55">
        <f t="shared" si="650"/>
        <v>538.97000000037951</v>
      </c>
      <c r="T884" s="48"/>
      <c r="U884" s="49">
        <f t="shared" si="651"/>
        <v>82.560000000058793</v>
      </c>
      <c r="V884" s="38"/>
      <c r="W884" s="38"/>
      <c r="X884" s="38"/>
      <c r="Y884" s="51">
        <f t="shared" si="652"/>
        <v>82.560000000058793</v>
      </c>
      <c r="Z884" s="52"/>
      <c r="AA884" s="53">
        <f t="shared" si="653"/>
        <v>42.339999999576264</v>
      </c>
      <c r="AB884" s="38"/>
      <c r="AC884" s="38"/>
      <c r="AD884" s="38"/>
      <c r="AE884" s="54">
        <f t="shared" si="654"/>
        <v>42.339999999576264</v>
      </c>
      <c r="AF884" s="53"/>
      <c r="AG884" s="53">
        <f t="shared" si="670"/>
        <v>958.08000000006746</v>
      </c>
      <c r="AH884" s="38"/>
      <c r="AI884" s="38"/>
      <c r="AJ884" s="38"/>
      <c r="AK884" s="54">
        <f t="shared" si="671"/>
        <v>958.08000000006746</v>
      </c>
      <c r="AL884" s="53"/>
      <c r="AM884" s="53">
        <f t="shared" si="638"/>
        <v>0</v>
      </c>
      <c r="AN884" s="38"/>
      <c r="AO884" s="38"/>
      <c r="AP884" s="38"/>
      <c r="AQ884" s="54">
        <f t="shared" si="639"/>
        <v>0</v>
      </c>
      <c r="AR884" s="53"/>
      <c r="AS884" s="29">
        <f t="shared" si="672"/>
        <v>-2806913.9799999972</v>
      </c>
      <c r="AT884" s="29">
        <f t="shared" si="673"/>
        <v>227735.73</v>
      </c>
      <c r="AU884" s="29">
        <f t="shared" si="674"/>
        <v>0</v>
      </c>
      <c r="AV884" s="29">
        <f t="shared" si="675"/>
        <v>-123810.21</v>
      </c>
      <c r="AW884" s="29"/>
      <c r="AX884" s="29">
        <f t="shared" si="676"/>
        <v>-2702030.3799999971</v>
      </c>
      <c r="AY884" s="29">
        <f t="shared" si="677"/>
        <v>9300000</v>
      </c>
      <c r="AZ884" s="29">
        <f t="shared" si="678"/>
        <v>6597969.6200000029</v>
      </c>
    </row>
    <row r="885" spans="2:52" x14ac:dyDescent="0.3">
      <c r="B885" s="99">
        <f t="shared" si="679"/>
        <v>45401</v>
      </c>
      <c r="C885" s="44">
        <f t="shared" si="646"/>
        <v>-2796054.9299999988</v>
      </c>
      <c r="D885" s="38"/>
      <c r="E885" s="38">
        <v>-200000</v>
      </c>
      <c r="F885" s="38">
        <v>-3464.63</v>
      </c>
      <c r="G885" s="45">
        <f t="shared" si="668"/>
        <v>-2999519.5599999987</v>
      </c>
      <c r="H885" s="44">
        <v>4300000</v>
      </c>
      <c r="I885" s="46">
        <f t="shared" si="647"/>
        <v>92402.600000001796</v>
      </c>
      <c r="J885" s="38">
        <v>113840.35</v>
      </c>
      <c r="K885" s="38">
        <v>200000</v>
      </c>
      <c r="L885" s="38">
        <v>-212060.28</v>
      </c>
      <c r="M885" s="47">
        <f t="shared" si="648"/>
        <v>194182.67000000182</v>
      </c>
      <c r="N885" s="46">
        <v>5000000</v>
      </c>
      <c r="O885" s="48">
        <f t="shared" si="649"/>
        <v>538.97000000037951</v>
      </c>
      <c r="P885" s="38"/>
      <c r="Q885" s="38"/>
      <c r="R885" s="38">
        <v>-10</v>
      </c>
      <c r="S885" s="55">
        <f t="shared" si="650"/>
        <v>528.97000000037951</v>
      </c>
      <c r="T885" s="48"/>
      <c r="U885" s="49">
        <f t="shared" si="651"/>
        <v>82.560000000058793</v>
      </c>
      <c r="V885" s="38"/>
      <c r="W885" s="38"/>
      <c r="X885" s="38"/>
      <c r="Y885" s="51">
        <f t="shared" si="652"/>
        <v>82.560000000058793</v>
      </c>
      <c r="Z885" s="52"/>
      <c r="AA885" s="53">
        <f t="shared" si="653"/>
        <v>42.339999999576264</v>
      </c>
      <c r="AB885" s="38"/>
      <c r="AC885" s="38"/>
      <c r="AD885" s="38"/>
      <c r="AE885" s="54">
        <f t="shared" si="654"/>
        <v>42.339999999576264</v>
      </c>
      <c r="AF885" s="53"/>
      <c r="AG885" s="53">
        <f t="shared" si="670"/>
        <v>958.08000000006746</v>
      </c>
      <c r="AH885" s="38"/>
      <c r="AI885" s="38"/>
      <c r="AJ885" s="38"/>
      <c r="AK885" s="54">
        <f t="shared" si="671"/>
        <v>958.08000000006746</v>
      </c>
      <c r="AL885" s="53"/>
      <c r="AM885" s="53">
        <f t="shared" ref="AM885:AM948" si="685">AQ884</f>
        <v>0</v>
      </c>
      <c r="AN885" s="38"/>
      <c r="AO885" s="38"/>
      <c r="AP885" s="38"/>
      <c r="AQ885" s="54">
        <f t="shared" ref="AQ885:AQ948" si="686">SUM(AM885:AP885)</f>
        <v>0</v>
      </c>
      <c r="AR885" s="53"/>
      <c r="AS885" s="29">
        <f t="shared" si="672"/>
        <v>-2702988.4599999972</v>
      </c>
      <c r="AT885" s="29">
        <f t="shared" si="673"/>
        <v>113840.35</v>
      </c>
      <c r="AU885" s="29">
        <f t="shared" si="674"/>
        <v>0</v>
      </c>
      <c r="AV885" s="29">
        <f t="shared" si="675"/>
        <v>-215534.91</v>
      </c>
      <c r="AW885" s="29"/>
      <c r="AX885" s="29">
        <f t="shared" si="676"/>
        <v>-2803724.9399999972</v>
      </c>
      <c r="AY885" s="29">
        <f t="shared" si="677"/>
        <v>9300000</v>
      </c>
      <c r="AZ885" s="29">
        <f t="shared" si="678"/>
        <v>6496275.0600000024</v>
      </c>
    </row>
    <row r="886" spans="2:52" x14ac:dyDescent="0.3">
      <c r="B886" s="99">
        <f t="shared" si="684"/>
        <v>45404</v>
      </c>
      <c r="C886" s="44">
        <f t="shared" si="646"/>
        <v>-2999519.5599999987</v>
      </c>
      <c r="D886" s="38">
        <v>575916.03</v>
      </c>
      <c r="E886" s="38"/>
      <c r="F886" s="38">
        <v>-3956.2</v>
      </c>
      <c r="G886" s="45">
        <f t="shared" si="668"/>
        <v>-2427559.7299999986</v>
      </c>
      <c r="H886" s="44">
        <v>4300000</v>
      </c>
      <c r="I886" s="46">
        <f t="shared" si="647"/>
        <v>194182.67000000182</v>
      </c>
      <c r="J886" s="38"/>
      <c r="K886" s="38"/>
      <c r="L886" s="38">
        <v>-168146.99</v>
      </c>
      <c r="M886" s="47">
        <f t="shared" si="648"/>
        <v>26035.680000001827</v>
      </c>
      <c r="N886" s="46">
        <v>5000000</v>
      </c>
      <c r="O886" s="48">
        <f t="shared" si="649"/>
        <v>528.97000000037951</v>
      </c>
      <c r="P886" s="38"/>
      <c r="Q886" s="38"/>
      <c r="R886" s="38"/>
      <c r="S886" s="55">
        <f t="shared" si="650"/>
        <v>528.97000000037951</v>
      </c>
      <c r="T886" s="48"/>
      <c r="U886" s="49">
        <f t="shared" si="651"/>
        <v>82.560000000058793</v>
      </c>
      <c r="V886" s="38"/>
      <c r="W886" s="38"/>
      <c r="X886" s="38"/>
      <c r="Y886" s="51">
        <f t="shared" si="652"/>
        <v>82.560000000058793</v>
      </c>
      <c r="Z886" s="52"/>
      <c r="AA886" s="53">
        <f t="shared" si="653"/>
        <v>42.339999999576264</v>
      </c>
      <c r="AB886" s="38"/>
      <c r="AC886" s="38"/>
      <c r="AD886" s="38"/>
      <c r="AE886" s="54">
        <f t="shared" si="654"/>
        <v>42.339999999576264</v>
      </c>
      <c r="AF886" s="53"/>
      <c r="AG886" s="53">
        <f t="shared" si="670"/>
        <v>958.08000000006746</v>
      </c>
      <c r="AH886" s="38"/>
      <c r="AI886" s="38"/>
      <c r="AJ886" s="38"/>
      <c r="AK886" s="54">
        <f t="shared" si="671"/>
        <v>958.08000000006746</v>
      </c>
      <c r="AL886" s="53"/>
      <c r="AM886" s="53">
        <f t="shared" si="685"/>
        <v>0</v>
      </c>
      <c r="AN886" s="38"/>
      <c r="AO886" s="38"/>
      <c r="AP886" s="38"/>
      <c r="AQ886" s="54">
        <f t="shared" si="686"/>
        <v>0</v>
      </c>
      <c r="AR886" s="53"/>
      <c r="AS886" s="29">
        <f t="shared" si="672"/>
        <v>-2804683.0199999972</v>
      </c>
      <c r="AT886" s="29">
        <f t="shared" si="673"/>
        <v>575916.03</v>
      </c>
      <c r="AU886" s="29">
        <f t="shared" si="674"/>
        <v>0</v>
      </c>
      <c r="AV886" s="29">
        <f t="shared" si="675"/>
        <v>-172103.19</v>
      </c>
      <c r="AW886" s="29"/>
      <c r="AX886" s="29">
        <f t="shared" si="676"/>
        <v>-2399912.0999999968</v>
      </c>
      <c r="AY886" s="29">
        <f t="shared" si="677"/>
        <v>9300000</v>
      </c>
      <c r="AZ886" s="29">
        <f t="shared" si="678"/>
        <v>6900087.9000000032</v>
      </c>
    </row>
    <row r="887" spans="2:52" x14ac:dyDescent="0.3">
      <c r="B887" s="99">
        <f t="shared" si="679"/>
        <v>45405</v>
      </c>
      <c r="C887" s="44">
        <f t="shared" si="646"/>
        <v>-2427559.7299999986</v>
      </c>
      <c r="D887" s="38">
        <v>130983.78</v>
      </c>
      <c r="E887" s="38"/>
      <c r="F887" s="38">
        <v>-0.42</v>
      </c>
      <c r="G887" s="45">
        <f t="shared" si="668"/>
        <v>-2296576.3699999987</v>
      </c>
      <c r="H887" s="44">
        <v>4300000</v>
      </c>
      <c r="I887" s="46">
        <f t="shared" si="647"/>
        <v>26035.680000001827</v>
      </c>
      <c r="J887" s="38">
        <v>12671.72</v>
      </c>
      <c r="K887" s="38"/>
      <c r="L887" s="38">
        <v>-30177.5</v>
      </c>
      <c r="M887" s="47">
        <f t="shared" si="648"/>
        <v>8529.9000000018277</v>
      </c>
      <c r="N887" s="46">
        <v>5000000</v>
      </c>
      <c r="O887" s="48">
        <f t="shared" si="649"/>
        <v>528.97000000037951</v>
      </c>
      <c r="P887" s="38"/>
      <c r="Q887" s="38"/>
      <c r="R887" s="38"/>
      <c r="S887" s="55">
        <f t="shared" si="650"/>
        <v>528.97000000037951</v>
      </c>
      <c r="T887" s="48"/>
      <c r="U887" s="49">
        <f t="shared" si="651"/>
        <v>82.560000000058793</v>
      </c>
      <c r="V887" s="38"/>
      <c r="W887" s="38"/>
      <c r="X887" s="38"/>
      <c r="Y887" s="51">
        <f t="shared" si="652"/>
        <v>82.560000000058793</v>
      </c>
      <c r="Z887" s="52"/>
      <c r="AA887" s="53">
        <f t="shared" si="653"/>
        <v>42.339999999576264</v>
      </c>
      <c r="AB887" s="38"/>
      <c r="AC887" s="38"/>
      <c r="AD887" s="38"/>
      <c r="AE887" s="54">
        <f t="shared" si="654"/>
        <v>42.339999999576264</v>
      </c>
      <c r="AF887" s="53"/>
      <c r="AG887" s="53">
        <f t="shared" si="670"/>
        <v>958.08000000006746</v>
      </c>
      <c r="AH887" s="38"/>
      <c r="AI887" s="38"/>
      <c r="AJ887" s="38"/>
      <c r="AK887" s="54">
        <f t="shared" si="671"/>
        <v>958.08000000006746</v>
      </c>
      <c r="AL887" s="53"/>
      <c r="AM887" s="53">
        <f t="shared" si="685"/>
        <v>0</v>
      </c>
      <c r="AN887" s="38"/>
      <c r="AO887" s="38"/>
      <c r="AP887" s="38"/>
      <c r="AQ887" s="54">
        <f t="shared" si="686"/>
        <v>0</v>
      </c>
      <c r="AR887" s="53"/>
      <c r="AS887" s="29">
        <f t="shared" si="672"/>
        <v>-2400870.1799999969</v>
      </c>
      <c r="AT887" s="29">
        <f t="shared" si="673"/>
        <v>143655.5</v>
      </c>
      <c r="AU887" s="29">
        <f t="shared" si="674"/>
        <v>0</v>
      </c>
      <c r="AV887" s="29">
        <f t="shared" si="675"/>
        <v>-30177.919999999998</v>
      </c>
      <c r="AW887" s="29"/>
      <c r="AX887" s="29">
        <f t="shared" si="676"/>
        <v>-2286434.5199999972</v>
      </c>
      <c r="AY887" s="29">
        <f t="shared" si="677"/>
        <v>9300000</v>
      </c>
      <c r="AZ887" s="29">
        <f t="shared" si="678"/>
        <v>7013565.4800000023</v>
      </c>
    </row>
    <row r="888" spans="2:52" x14ac:dyDescent="0.3">
      <c r="B888" s="99">
        <f t="shared" si="679"/>
        <v>45406</v>
      </c>
      <c r="C888" s="44">
        <f t="shared" si="646"/>
        <v>-2296576.3699999987</v>
      </c>
      <c r="D888" s="38">
        <v>593410.19999999995</v>
      </c>
      <c r="E888" s="38">
        <v>-60000</v>
      </c>
      <c r="F888" s="38">
        <v>-7071.93</v>
      </c>
      <c r="G888" s="45">
        <f t="shared" si="668"/>
        <v>-1770238.0999999987</v>
      </c>
      <c r="H888" s="44">
        <v>4300000</v>
      </c>
      <c r="I888" s="46">
        <f t="shared" si="647"/>
        <v>8529.9000000018277</v>
      </c>
      <c r="J888" s="38"/>
      <c r="K888" s="38">
        <v>60000</v>
      </c>
      <c r="L888" s="38">
        <v>-54068.04</v>
      </c>
      <c r="M888" s="47">
        <f t="shared" si="648"/>
        <v>14461.860000001827</v>
      </c>
      <c r="N888" s="46">
        <v>5000000</v>
      </c>
      <c r="O888" s="48">
        <f t="shared" si="649"/>
        <v>528.97000000037951</v>
      </c>
      <c r="P888" s="38"/>
      <c r="Q888" s="38"/>
      <c r="R888" s="38">
        <v>-279.89999999999998</v>
      </c>
      <c r="S888" s="55">
        <f t="shared" si="650"/>
        <v>249.07000000037954</v>
      </c>
      <c r="T888" s="48"/>
      <c r="U888" s="49">
        <f t="shared" si="651"/>
        <v>82.560000000058793</v>
      </c>
      <c r="V888" s="38"/>
      <c r="W888" s="38"/>
      <c r="X888" s="38"/>
      <c r="Y888" s="51">
        <f t="shared" si="652"/>
        <v>82.560000000058793</v>
      </c>
      <c r="Z888" s="52"/>
      <c r="AA888" s="53">
        <f t="shared" si="653"/>
        <v>42.339999999576264</v>
      </c>
      <c r="AB888" s="38"/>
      <c r="AC888" s="38"/>
      <c r="AD888" s="38"/>
      <c r="AE888" s="54">
        <f t="shared" si="654"/>
        <v>42.339999999576264</v>
      </c>
      <c r="AF888" s="53"/>
      <c r="AG888" s="53">
        <f t="shared" si="670"/>
        <v>958.08000000006746</v>
      </c>
      <c r="AH888" s="38"/>
      <c r="AI888" s="38"/>
      <c r="AJ888" s="38"/>
      <c r="AK888" s="54">
        <f t="shared" si="671"/>
        <v>958.08000000006746</v>
      </c>
      <c r="AL888" s="53"/>
      <c r="AM888" s="53">
        <f t="shared" si="685"/>
        <v>0</v>
      </c>
      <c r="AN888" s="38"/>
      <c r="AO888" s="38"/>
      <c r="AP888" s="38"/>
      <c r="AQ888" s="54">
        <f t="shared" si="686"/>
        <v>0</v>
      </c>
      <c r="AR888" s="53"/>
      <c r="AS888" s="29">
        <f t="shared" si="672"/>
        <v>-2287392.5999999973</v>
      </c>
      <c r="AT888" s="29">
        <f t="shared" si="673"/>
        <v>593410.19999999995</v>
      </c>
      <c r="AU888" s="29">
        <f t="shared" si="674"/>
        <v>0</v>
      </c>
      <c r="AV888" s="29">
        <f t="shared" si="675"/>
        <v>-61419.87</v>
      </c>
      <c r="AW888" s="29"/>
      <c r="AX888" s="29">
        <f t="shared" si="676"/>
        <v>-1754444.1899999969</v>
      </c>
      <c r="AY888" s="29">
        <f t="shared" si="677"/>
        <v>9300000</v>
      </c>
      <c r="AZ888" s="29">
        <f t="shared" si="678"/>
        <v>7545555.8100000033</v>
      </c>
    </row>
    <row r="889" spans="2:52" x14ac:dyDescent="0.3">
      <c r="B889" s="99">
        <f t="shared" si="679"/>
        <v>45407</v>
      </c>
      <c r="C889" s="44">
        <f t="shared" si="646"/>
        <v>-1770238.0999999987</v>
      </c>
      <c r="D889" s="38"/>
      <c r="E889" s="38">
        <v>800000</v>
      </c>
      <c r="F889" s="38">
        <v>-894755.83999999997</v>
      </c>
      <c r="G889" s="45">
        <f t="shared" si="668"/>
        <v>-1864993.9399999985</v>
      </c>
      <c r="H889" s="44">
        <v>4300000</v>
      </c>
      <c r="I889" s="46">
        <f t="shared" si="647"/>
        <v>14461.860000001827</v>
      </c>
      <c r="J889" s="38"/>
      <c r="K889" s="38">
        <f>1030000-800000</f>
        <v>230000</v>
      </c>
      <c r="L889" s="38">
        <v>-177052.5</v>
      </c>
      <c r="M889" s="47">
        <f t="shared" si="648"/>
        <v>67409.36000000182</v>
      </c>
      <c r="N889" s="46">
        <v>5000000</v>
      </c>
      <c r="O889" s="48">
        <f t="shared" si="649"/>
        <v>249.07000000037954</v>
      </c>
      <c r="P889" s="38">
        <v>1034041.24</v>
      </c>
      <c r="Q889" s="38">
        <v>-1030000</v>
      </c>
      <c r="R889" s="38">
        <v>-115</v>
      </c>
      <c r="S889" s="55">
        <f t="shared" si="650"/>
        <v>4175.3100000004051</v>
      </c>
      <c r="T889" s="48"/>
      <c r="U889" s="49">
        <f t="shared" si="651"/>
        <v>82.560000000058793</v>
      </c>
      <c r="V889" s="38"/>
      <c r="W889" s="38"/>
      <c r="X889" s="38">
        <v>-63.2</v>
      </c>
      <c r="Y889" s="51">
        <f t="shared" si="652"/>
        <v>19.36000000005879</v>
      </c>
      <c r="Z889" s="52"/>
      <c r="AA889" s="53">
        <f t="shared" si="653"/>
        <v>42.339999999576264</v>
      </c>
      <c r="AB889" s="38"/>
      <c r="AC889" s="38"/>
      <c r="AD889" s="38"/>
      <c r="AE889" s="54">
        <f t="shared" si="654"/>
        <v>42.339999999576264</v>
      </c>
      <c r="AF889" s="53"/>
      <c r="AG889" s="53">
        <f t="shared" si="670"/>
        <v>958.08000000006746</v>
      </c>
      <c r="AH889" s="38"/>
      <c r="AI889" s="38"/>
      <c r="AJ889" s="38"/>
      <c r="AK889" s="54">
        <f t="shared" si="671"/>
        <v>958.08000000006746</v>
      </c>
      <c r="AL889" s="53"/>
      <c r="AM889" s="53">
        <f t="shared" si="685"/>
        <v>0</v>
      </c>
      <c r="AN889" s="38"/>
      <c r="AO889" s="38"/>
      <c r="AP889" s="38"/>
      <c r="AQ889" s="54">
        <f t="shared" si="686"/>
        <v>0</v>
      </c>
      <c r="AR889" s="53"/>
      <c r="AS889" s="29">
        <f t="shared" si="672"/>
        <v>-1755402.269999997</v>
      </c>
      <c r="AT889" s="29">
        <f t="shared" si="673"/>
        <v>1034041.24</v>
      </c>
      <c r="AU889" s="29">
        <f t="shared" si="674"/>
        <v>0</v>
      </c>
      <c r="AV889" s="29">
        <f t="shared" si="675"/>
        <v>-1071986.5399999998</v>
      </c>
      <c r="AW889" s="29"/>
      <c r="AX889" s="29">
        <f t="shared" si="676"/>
        <v>-1792389.4899999965</v>
      </c>
      <c r="AY889" s="29">
        <f t="shared" si="677"/>
        <v>9300000</v>
      </c>
      <c r="AZ889" s="29">
        <f t="shared" si="678"/>
        <v>7507610.5100000035</v>
      </c>
    </row>
    <row r="890" spans="2:52" ht="15" customHeight="1" x14ac:dyDescent="0.3">
      <c r="B890" s="99">
        <f t="shared" si="679"/>
        <v>45408</v>
      </c>
      <c r="C890" s="44">
        <f t="shared" si="646"/>
        <v>-1864993.9399999985</v>
      </c>
      <c r="D890" s="38">
        <v>360653.87</v>
      </c>
      <c r="E890" s="38">
        <v>-350000</v>
      </c>
      <c r="F890" s="38">
        <v>-1891.81</v>
      </c>
      <c r="G890" s="45">
        <f t="shared" si="668"/>
        <v>-1856231.8799999985</v>
      </c>
      <c r="H890" s="44">
        <v>4300000</v>
      </c>
      <c r="I890" s="46">
        <f t="shared" si="647"/>
        <v>67409.36000000182</v>
      </c>
      <c r="J890" s="38"/>
      <c r="K890" s="38">
        <v>350000</v>
      </c>
      <c r="L890" s="38">
        <v>-360877.38</v>
      </c>
      <c r="M890" s="47">
        <f t="shared" si="648"/>
        <v>56531.980000001844</v>
      </c>
      <c r="N890" s="46">
        <v>5000000</v>
      </c>
      <c r="O890" s="48">
        <f t="shared" si="649"/>
        <v>4175.3100000004051</v>
      </c>
      <c r="P890" s="38"/>
      <c r="Q890" s="38"/>
      <c r="R890" s="38">
        <v>-989.65</v>
      </c>
      <c r="S890" s="55">
        <f t="shared" si="650"/>
        <v>3185.660000000405</v>
      </c>
      <c r="T890" s="48"/>
      <c r="U890" s="49">
        <f t="shared" si="651"/>
        <v>19.36000000005879</v>
      </c>
      <c r="V890" s="38"/>
      <c r="W890" s="38"/>
      <c r="X890" s="38"/>
      <c r="Y890" s="51">
        <f t="shared" si="652"/>
        <v>19.36000000005879</v>
      </c>
      <c r="Z890" s="52"/>
      <c r="AA890" s="53">
        <f t="shared" si="653"/>
        <v>42.339999999576264</v>
      </c>
      <c r="AB890" s="38"/>
      <c r="AC890" s="38"/>
      <c r="AD890" s="38"/>
      <c r="AE890" s="54">
        <f t="shared" si="654"/>
        <v>42.339999999576264</v>
      </c>
      <c r="AF890" s="53"/>
      <c r="AG890" s="53">
        <f t="shared" si="670"/>
        <v>958.08000000006746</v>
      </c>
      <c r="AH890" s="38"/>
      <c r="AI890" s="38"/>
      <c r="AJ890" s="38"/>
      <c r="AK890" s="54">
        <f t="shared" si="671"/>
        <v>958.08000000006746</v>
      </c>
      <c r="AL890" s="53"/>
      <c r="AM890" s="53">
        <f t="shared" si="685"/>
        <v>0</v>
      </c>
      <c r="AN890" s="38"/>
      <c r="AO890" s="38"/>
      <c r="AP890" s="38"/>
      <c r="AQ890" s="54">
        <f t="shared" si="686"/>
        <v>0</v>
      </c>
      <c r="AR890" s="53"/>
      <c r="AS890" s="29">
        <f t="shared" si="672"/>
        <v>-1793347.5699999966</v>
      </c>
      <c r="AT890" s="29">
        <f t="shared" si="673"/>
        <v>360653.87</v>
      </c>
      <c r="AU890" s="29">
        <f t="shared" si="674"/>
        <v>0</v>
      </c>
      <c r="AV890" s="29">
        <f t="shared" si="675"/>
        <v>-363758.84</v>
      </c>
      <c r="AW890" s="29"/>
      <c r="AX890" s="29">
        <f t="shared" si="676"/>
        <v>-1795494.4599999965</v>
      </c>
      <c r="AY890" s="29">
        <f t="shared" si="677"/>
        <v>9300000</v>
      </c>
      <c r="AZ890" s="29">
        <f t="shared" si="678"/>
        <v>7504505.5400000038</v>
      </c>
    </row>
    <row r="891" spans="2:52" ht="15" customHeight="1" x14ac:dyDescent="0.3">
      <c r="B891" s="99">
        <f t="shared" ref="B891" si="687">B890+3</f>
        <v>45411</v>
      </c>
      <c r="C891" s="44">
        <f t="shared" ref="C891:C954" si="688">G890</f>
        <v>-1856231.8799999985</v>
      </c>
      <c r="D891" s="38">
        <v>319119.11</v>
      </c>
      <c r="E891" s="38">
        <v>270000</v>
      </c>
      <c r="F891" s="38"/>
      <c r="G891" s="45">
        <f t="shared" si="668"/>
        <v>-1267112.7699999986</v>
      </c>
      <c r="H891" s="44">
        <v>4300000</v>
      </c>
      <c r="I891" s="46">
        <f t="shared" ref="I891:I954" si="689">M890</f>
        <v>56531.980000001844</v>
      </c>
      <c r="J891" s="38">
        <v>43.4</v>
      </c>
      <c r="K891" s="38"/>
      <c r="L891" s="38"/>
      <c r="M891" s="47">
        <f t="shared" ref="M891:M954" si="690">SUM(I891:L891)</f>
        <v>56575.380000001845</v>
      </c>
      <c r="N891" s="46">
        <v>5000000</v>
      </c>
      <c r="O891" s="48">
        <f t="shared" ref="O891:O954" si="691">S890</f>
        <v>3185.660000000405</v>
      </c>
      <c r="P891" s="38">
        <v>587646.48</v>
      </c>
      <c r="Q891" s="38"/>
      <c r="R891" s="38"/>
      <c r="S891" s="55">
        <f t="shared" ref="S891:S954" si="692">SUM(O891:R891)</f>
        <v>590832.14000000036</v>
      </c>
      <c r="T891" s="48"/>
      <c r="U891" s="49">
        <f t="shared" ref="U891:U954" si="693">Y890</f>
        <v>19.36000000005879</v>
      </c>
      <c r="V891" s="38">
        <v>1597150.06</v>
      </c>
      <c r="W891" s="38"/>
      <c r="X891" s="38"/>
      <c r="Y891" s="51">
        <f t="shared" ref="Y891:Y954" si="694">SUM(U891:X891)</f>
        <v>1597169.4200000002</v>
      </c>
      <c r="Z891" s="52"/>
      <c r="AA891" s="53">
        <f t="shared" ref="AA891:AA954" si="695">AE890</f>
        <v>42.339999999576264</v>
      </c>
      <c r="AB891" s="38"/>
      <c r="AC891" s="38"/>
      <c r="AD891" s="38"/>
      <c r="AE891" s="54">
        <f t="shared" ref="AE891:AE954" si="696">SUM(AA891:AD891)</f>
        <v>42.339999999576264</v>
      </c>
      <c r="AF891" s="53"/>
      <c r="AG891" s="53">
        <f t="shared" si="670"/>
        <v>958.08000000006746</v>
      </c>
      <c r="AH891" s="38">
        <v>272654.2</v>
      </c>
      <c r="AI891" s="38">
        <v>-270000</v>
      </c>
      <c r="AJ891" s="38"/>
      <c r="AK891" s="54">
        <f t="shared" si="671"/>
        <v>3612.2800000000861</v>
      </c>
      <c r="AL891" s="53"/>
      <c r="AM891" s="53">
        <f t="shared" si="685"/>
        <v>0</v>
      </c>
      <c r="AN891" s="38"/>
      <c r="AO891" s="38"/>
      <c r="AP891" s="38"/>
      <c r="AQ891" s="54">
        <f t="shared" si="686"/>
        <v>0</v>
      </c>
      <c r="AR891" s="53"/>
      <c r="AS891" s="29">
        <f t="shared" si="672"/>
        <v>-1796452.5399999965</v>
      </c>
      <c r="AT891" s="29">
        <f t="shared" si="673"/>
        <v>2776613.25</v>
      </c>
      <c r="AU891" s="29">
        <f t="shared" si="674"/>
        <v>0</v>
      </c>
      <c r="AV891" s="29">
        <f t="shared" si="675"/>
        <v>0</v>
      </c>
      <c r="AW891" s="29"/>
      <c r="AX891" s="29">
        <f t="shared" si="676"/>
        <v>981118.7900000033</v>
      </c>
      <c r="AY891" s="29">
        <f t="shared" si="677"/>
        <v>9300000</v>
      </c>
      <c r="AZ891" s="29">
        <f t="shared" si="678"/>
        <v>10281118.790000003</v>
      </c>
    </row>
    <row r="892" spans="2:52" ht="15" customHeight="1" x14ac:dyDescent="0.3">
      <c r="B892" s="99">
        <f t="shared" si="679"/>
        <v>45412</v>
      </c>
      <c r="C892" s="44">
        <f t="shared" si="688"/>
        <v>-1267112.7699999986</v>
      </c>
      <c r="D892" s="38">
        <v>559364.92000000004</v>
      </c>
      <c r="E892" s="38">
        <v>1000000</v>
      </c>
      <c r="F892" s="38">
        <v>-66747.86</v>
      </c>
      <c r="G892" s="45">
        <f t="shared" si="668"/>
        <v>225504.29000000143</v>
      </c>
      <c r="H892" s="44">
        <v>4300000</v>
      </c>
      <c r="I892" s="46">
        <f t="shared" si="689"/>
        <v>56575.380000001845</v>
      </c>
      <c r="J892" s="38">
        <v>406766.59</v>
      </c>
      <c r="K892" s="38">
        <f>2540000</f>
        <v>2540000</v>
      </c>
      <c r="L892" s="38"/>
      <c r="M892" s="47">
        <f t="shared" si="690"/>
        <v>3003341.9700000021</v>
      </c>
      <c r="N892" s="46">
        <v>5000000</v>
      </c>
      <c r="O892" s="48">
        <f t="shared" si="691"/>
        <v>590832.14000000036</v>
      </c>
      <c r="P892" s="38">
        <v>1255641.1499999999</v>
      </c>
      <c r="Q892" s="38">
        <f>1695900-3540000</f>
        <v>-1844100</v>
      </c>
      <c r="R892" s="38"/>
      <c r="S892" s="55">
        <f t="shared" si="692"/>
        <v>2373.2900000002701</v>
      </c>
      <c r="T892" s="48"/>
      <c r="U892" s="49">
        <f t="shared" si="693"/>
        <v>1597169.4200000002</v>
      </c>
      <c r="V892" s="38">
        <v>98824.05</v>
      </c>
      <c r="W892" s="38">
        <v>-1695900</v>
      </c>
      <c r="X892" s="38"/>
      <c r="Y892" s="51">
        <f t="shared" si="694"/>
        <v>93.470000000204891</v>
      </c>
      <c r="Z892" s="52"/>
      <c r="AA892" s="53">
        <f t="shared" si="695"/>
        <v>42.339999999576264</v>
      </c>
      <c r="AB892" s="38">
        <v>2.79</v>
      </c>
      <c r="AC892" s="38"/>
      <c r="AD892" s="38"/>
      <c r="AE892" s="54">
        <f t="shared" si="696"/>
        <v>45.129999999576263</v>
      </c>
      <c r="AF892" s="53"/>
      <c r="AG892" s="53">
        <f t="shared" si="670"/>
        <v>3612.2800000000861</v>
      </c>
      <c r="AH892" s="38">
        <v>0.94</v>
      </c>
      <c r="AI892" s="38"/>
      <c r="AJ892" s="38">
        <v>-9.9</v>
      </c>
      <c r="AK892" s="54">
        <f t="shared" si="671"/>
        <v>3603.3200000000861</v>
      </c>
      <c r="AL892" s="53"/>
      <c r="AM892" s="53">
        <f t="shared" si="685"/>
        <v>0</v>
      </c>
      <c r="AN892" s="38"/>
      <c r="AO892" s="38"/>
      <c r="AP892" s="38"/>
      <c r="AQ892" s="54">
        <f t="shared" si="686"/>
        <v>0</v>
      </c>
      <c r="AR892" s="53"/>
      <c r="AS892" s="29">
        <f t="shared" si="672"/>
        <v>977506.51000000327</v>
      </c>
      <c r="AT892" s="29">
        <f t="shared" si="673"/>
        <v>2320600.44</v>
      </c>
      <c r="AU892" s="29">
        <f t="shared" si="674"/>
        <v>0</v>
      </c>
      <c r="AV892" s="29">
        <f t="shared" si="675"/>
        <v>-66757.759999999995</v>
      </c>
      <c r="AW892" s="29"/>
      <c r="AX892" s="29">
        <f t="shared" si="676"/>
        <v>3234961.4700000035</v>
      </c>
      <c r="AY892" s="29">
        <f t="shared" si="677"/>
        <v>9300000</v>
      </c>
      <c r="AZ892" s="29">
        <f t="shared" si="678"/>
        <v>12534961.470000003</v>
      </c>
    </row>
    <row r="893" spans="2:52" x14ac:dyDescent="0.3">
      <c r="B893" s="99">
        <f t="shared" si="679"/>
        <v>45413</v>
      </c>
      <c r="C893" s="44">
        <f t="shared" si="688"/>
        <v>225504.29000000143</v>
      </c>
      <c r="D893" s="38"/>
      <c r="E893" s="38"/>
      <c r="F893" s="38"/>
      <c r="G893" s="45">
        <f t="shared" si="668"/>
        <v>225504.29000000143</v>
      </c>
      <c r="H893" s="44">
        <v>4300000</v>
      </c>
      <c r="I893" s="46">
        <f t="shared" si="689"/>
        <v>3003341.9700000021</v>
      </c>
      <c r="J893" s="38"/>
      <c r="K893" s="38"/>
      <c r="L893" s="38"/>
      <c r="M893" s="47">
        <f t="shared" si="690"/>
        <v>3003341.9700000021</v>
      </c>
      <c r="N893" s="46">
        <v>5000000</v>
      </c>
      <c r="O893" s="48">
        <f t="shared" si="691"/>
        <v>2373.2900000002701</v>
      </c>
      <c r="P893" s="38"/>
      <c r="Q893" s="38"/>
      <c r="R893" s="38"/>
      <c r="S893" s="55">
        <f t="shared" si="692"/>
        <v>2373.2900000002701</v>
      </c>
      <c r="T893" s="48"/>
      <c r="U893" s="49">
        <f t="shared" si="693"/>
        <v>93.470000000204891</v>
      </c>
      <c r="V893" s="38"/>
      <c r="W893" s="38"/>
      <c r="X893" s="38"/>
      <c r="Y893" s="51">
        <f t="shared" si="694"/>
        <v>93.470000000204891</v>
      </c>
      <c r="Z893" s="52"/>
      <c r="AA893" s="53">
        <f t="shared" si="695"/>
        <v>45.129999999576263</v>
      </c>
      <c r="AB893" s="38"/>
      <c r="AC893" s="38"/>
      <c r="AD893" s="38"/>
      <c r="AE893" s="54">
        <f t="shared" si="696"/>
        <v>45.129999999576263</v>
      </c>
      <c r="AF893" s="53"/>
      <c r="AG893" s="53">
        <f t="shared" si="670"/>
        <v>3603.3200000000861</v>
      </c>
      <c r="AH893" s="38"/>
      <c r="AI893" s="38"/>
      <c r="AJ893" s="38"/>
      <c r="AK893" s="54">
        <f t="shared" si="671"/>
        <v>3603.3200000000861</v>
      </c>
      <c r="AL893" s="53"/>
      <c r="AM893" s="53">
        <f t="shared" si="685"/>
        <v>0</v>
      </c>
      <c r="AN893" s="38"/>
      <c r="AO893" s="38"/>
      <c r="AP893" s="38"/>
      <c r="AQ893" s="54">
        <f t="shared" si="686"/>
        <v>0</v>
      </c>
      <c r="AR893" s="53"/>
      <c r="AS893" s="29">
        <f t="shared" si="672"/>
        <v>3231358.1500000032</v>
      </c>
      <c r="AT893" s="29">
        <f t="shared" si="673"/>
        <v>0</v>
      </c>
      <c r="AU893" s="29">
        <f t="shared" si="674"/>
        <v>0</v>
      </c>
      <c r="AV893" s="29">
        <f t="shared" si="675"/>
        <v>0</v>
      </c>
      <c r="AW893" s="29"/>
      <c r="AX893" s="29">
        <f t="shared" si="676"/>
        <v>3234961.4700000035</v>
      </c>
      <c r="AY893" s="29">
        <f t="shared" si="677"/>
        <v>9300000</v>
      </c>
      <c r="AZ893" s="29">
        <f t="shared" si="678"/>
        <v>12534961.470000003</v>
      </c>
    </row>
    <row r="894" spans="2:52" x14ac:dyDescent="0.3">
      <c r="B894" s="99">
        <f t="shared" si="679"/>
        <v>45414</v>
      </c>
      <c r="C894" s="44">
        <f t="shared" si="688"/>
        <v>225504.29000000143</v>
      </c>
      <c r="D894" s="38"/>
      <c r="E894" s="38"/>
      <c r="F894" s="38">
        <v>-137828.48000000001</v>
      </c>
      <c r="G894" s="45">
        <f t="shared" si="668"/>
        <v>87675.810000001424</v>
      </c>
      <c r="H894" s="44">
        <v>4300000</v>
      </c>
      <c r="I894" s="46">
        <f t="shared" si="689"/>
        <v>3003341.9700000021</v>
      </c>
      <c r="J894" s="38">
        <v>265.5</v>
      </c>
      <c r="K894" s="38"/>
      <c r="L894" s="38">
        <v>-173957.35</v>
      </c>
      <c r="M894" s="47">
        <f t="shared" si="690"/>
        <v>2829650.120000002</v>
      </c>
      <c r="N894" s="46">
        <v>5000000</v>
      </c>
      <c r="O894" s="48">
        <f t="shared" si="691"/>
        <v>2373.2900000002701</v>
      </c>
      <c r="P894" s="38"/>
      <c r="Q894" s="38"/>
      <c r="R894" s="38">
        <v>-20</v>
      </c>
      <c r="S894" s="55">
        <f t="shared" si="692"/>
        <v>2353.2900000002701</v>
      </c>
      <c r="T894" s="48"/>
      <c r="U894" s="49">
        <f t="shared" si="693"/>
        <v>93.470000000204891</v>
      </c>
      <c r="V894" s="38"/>
      <c r="W894" s="38"/>
      <c r="X894" s="38">
        <v>-1.5</v>
      </c>
      <c r="Y894" s="51">
        <f t="shared" si="694"/>
        <v>91.970000000204891</v>
      </c>
      <c r="Z894" s="52"/>
      <c r="AA894" s="53">
        <f t="shared" si="695"/>
        <v>45.129999999576263</v>
      </c>
      <c r="AB894" s="38"/>
      <c r="AC894" s="38"/>
      <c r="AD894" s="38"/>
      <c r="AE894" s="54">
        <f t="shared" si="696"/>
        <v>45.129999999576263</v>
      </c>
      <c r="AF894" s="53"/>
      <c r="AG894" s="53">
        <f t="shared" si="670"/>
        <v>3603.3200000000861</v>
      </c>
      <c r="AH894" s="38"/>
      <c r="AI894" s="38"/>
      <c r="AJ894" s="38">
        <v>-75</v>
      </c>
      <c r="AK894" s="54">
        <f t="shared" si="671"/>
        <v>3528.3200000000861</v>
      </c>
      <c r="AL894" s="53"/>
      <c r="AM894" s="53">
        <f t="shared" si="685"/>
        <v>0</v>
      </c>
      <c r="AN894" s="38"/>
      <c r="AO894" s="38"/>
      <c r="AP894" s="38"/>
      <c r="AQ894" s="54">
        <f t="shared" si="686"/>
        <v>0</v>
      </c>
      <c r="AR894" s="53"/>
      <c r="AS894" s="29">
        <f t="shared" si="672"/>
        <v>3231358.1500000032</v>
      </c>
      <c r="AT894" s="29">
        <f t="shared" si="673"/>
        <v>265.5</v>
      </c>
      <c r="AU894" s="29">
        <f t="shared" si="674"/>
        <v>0</v>
      </c>
      <c r="AV894" s="29">
        <f t="shared" si="675"/>
        <v>-311882.33</v>
      </c>
      <c r="AW894" s="29"/>
      <c r="AX894" s="29">
        <f t="shared" si="676"/>
        <v>2923344.6400000034</v>
      </c>
      <c r="AY894" s="29">
        <f t="shared" si="677"/>
        <v>9300000</v>
      </c>
      <c r="AZ894" s="29">
        <f t="shared" si="678"/>
        <v>12223344.640000004</v>
      </c>
    </row>
    <row r="895" spans="2:52" x14ac:dyDescent="0.3">
      <c r="B895" s="99">
        <f t="shared" si="679"/>
        <v>45415</v>
      </c>
      <c r="C895" s="44">
        <f t="shared" si="688"/>
        <v>87675.810000001424</v>
      </c>
      <c r="D895" s="38">
        <v>45305.14</v>
      </c>
      <c r="E895" s="38"/>
      <c r="F895" s="38">
        <v>-49752.56</v>
      </c>
      <c r="G895" s="45">
        <f t="shared" si="668"/>
        <v>83228.390000001411</v>
      </c>
      <c r="H895" s="44">
        <v>4300000</v>
      </c>
      <c r="I895" s="46">
        <f t="shared" si="689"/>
        <v>2829650.120000002</v>
      </c>
      <c r="J895" s="38">
        <v>726550.35</v>
      </c>
      <c r="K895" s="38"/>
      <c r="L895" s="38">
        <v>-2960215.18</v>
      </c>
      <c r="M895" s="47">
        <f t="shared" si="690"/>
        <v>595985.2900000019</v>
      </c>
      <c r="N895" s="46">
        <v>5000000</v>
      </c>
      <c r="O895" s="48">
        <f t="shared" si="691"/>
        <v>2353.2900000002701</v>
      </c>
      <c r="P895" s="38"/>
      <c r="Q895" s="38"/>
      <c r="R895" s="38">
        <v>-1377.39</v>
      </c>
      <c r="S895" s="55">
        <f t="shared" si="692"/>
        <v>975.90000000026998</v>
      </c>
      <c r="T895" s="48"/>
      <c r="U895" s="49">
        <f t="shared" si="693"/>
        <v>91.970000000204891</v>
      </c>
      <c r="V895" s="38"/>
      <c r="W895" s="38"/>
      <c r="X895" s="38">
        <v>-65.3</v>
      </c>
      <c r="Y895" s="51">
        <f t="shared" si="694"/>
        <v>26.670000000204894</v>
      </c>
      <c r="Z895" s="52"/>
      <c r="AA895" s="53">
        <f t="shared" si="695"/>
        <v>45.129999999576263</v>
      </c>
      <c r="AB895" s="38"/>
      <c r="AC895" s="38">
        <v>3000</v>
      </c>
      <c r="AD895" s="38">
        <v>-766.93</v>
      </c>
      <c r="AE895" s="54">
        <f t="shared" si="696"/>
        <v>2278.1999999995764</v>
      </c>
      <c r="AF895" s="53"/>
      <c r="AG895" s="53">
        <f t="shared" si="670"/>
        <v>3528.3200000000861</v>
      </c>
      <c r="AH895" s="38"/>
      <c r="AI895" s="38">
        <v>-3000</v>
      </c>
      <c r="AJ895" s="38"/>
      <c r="AK895" s="54">
        <f t="shared" si="671"/>
        <v>528.32000000008611</v>
      </c>
      <c r="AL895" s="53"/>
      <c r="AM895" s="53">
        <f t="shared" si="685"/>
        <v>0</v>
      </c>
      <c r="AN895" s="38"/>
      <c r="AO895" s="38"/>
      <c r="AP895" s="38"/>
      <c r="AQ895" s="54">
        <f t="shared" si="686"/>
        <v>0</v>
      </c>
      <c r="AR895" s="53"/>
      <c r="AS895" s="29">
        <f t="shared" si="672"/>
        <v>2919816.3200000031</v>
      </c>
      <c r="AT895" s="29">
        <f t="shared" si="673"/>
        <v>771855.49</v>
      </c>
      <c r="AU895" s="29">
        <f t="shared" si="674"/>
        <v>0</v>
      </c>
      <c r="AV895" s="29">
        <f t="shared" si="675"/>
        <v>-3012177.3600000003</v>
      </c>
      <c r="AW895" s="29"/>
      <c r="AX895" s="29">
        <f t="shared" si="676"/>
        <v>683022.77000000339</v>
      </c>
      <c r="AY895" s="29">
        <f t="shared" si="677"/>
        <v>9300000</v>
      </c>
      <c r="AZ895" s="29">
        <f t="shared" si="678"/>
        <v>9983022.7700000033</v>
      </c>
    </row>
    <row r="896" spans="2:52" x14ac:dyDescent="0.3">
      <c r="B896" s="99">
        <f t="shared" ref="B896" si="697">B895+3</f>
        <v>45418</v>
      </c>
      <c r="C896" s="44">
        <f t="shared" si="688"/>
        <v>83228.390000001411</v>
      </c>
      <c r="D896" s="38"/>
      <c r="E896" s="38">
        <v>-950000</v>
      </c>
      <c r="F896" s="38">
        <f>-55757.53+1.7</f>
        <v>-55755.83</v>
      </c>
      <c r="G896" s="45">
        <f t="shared" si="668"/>
        <v>-922527.43999999855</v>
      </c>
      <c r="H896" s="44">
        <v>4300000</v>
      </c>
      <c r="I896" s="46">
        <f t="shared" si="689"/>
        <v>595985.2900000019</v>
      </c>
      <c r="J896" s="38">
        <v>1327.78</v>
      </c>
      <c r="K896" s="38">
        <v>950000</v>
      </c>
      <c r="L896" s="38">
        <v>-1455462.14</v>
      </c>
      <c r="M896" s="47">
        <f t="shared" si="690"/>
        <v>91850.93000000203</v>
      </c>
      <c r="N896" s="46">
        <v>5000000</v>
      </c>
      <c r="O896" s="48">
        <f t="shared" si="691"/>
        <v>975.90000000026998</v>
      </c>
      <c r="P896" s="38">
        <v>67104.759999999995</v>
      </c>
      <c r="Q896" s="38"/>
      <c r="R896" s="38"/>
      <c r="S896" s="55">
        <f t="shared" si="692"/>
        <v>68080.660000000265</v>
      </c>
      <c r="T896" s="48"/>
      <c r="U896" s="49">
        <f t="shared" si="693"/>
        <v>26.670000000204894</v>
      </c>
      <c r="V896" s="38"/>
      <c r="W896" s="38"/>
      <c r="X896" s="38"/>
      <c r="Y896" s="51">
        <f t="shared" si="694"/>
        <v>26.670000000204894</v>
      </c>
      <c r="Z896" s="52"/>
      <c r="AA896" s="53">
        <f t="shared" si="695"/>
        <v>2278.1999999995764</v>
      </c>
      <c r="AB896" s="38"/>
      <c r="AC896" s="38"/>
      <c r="AD896" s="38"/>
      <c r="AE896" s="54">
        <f t="shared" si="696"/>
        <v>2278.1999999995764</v>
      </c>
      <c r="AF896" s="53"/>
      <c r="AG896" s="53">
        <f t="shared" si="670"/>
        <v>528.32000000008611</v>
      </c>
      <c r="AH896" s="38"/>
      <c r="AI896" s="38"/>
      <c r="AJ896" s="38"/>
      <c r="AK896" s="54">
        <f t="shared" si="671"/>
        <v>528.32000000008611</v>
      </c>
      <c r="AL896" s="53"/>
      <c r="AM896" s="53">
        <f t="shared" si="685"/>
        <v>0</v>
      </c>
      <c r="AN896" s="38"/>
      <c r="AO896" s="38"/>
      <c r="AP896" s="38"/>
      <c r="AQ896" s="54">
        <f t="shared" si="686"/>
        <v>0</v>
      </c>
      <c r="AR896" s="53"/>
      <c r="AS896" s="29">
        <f t="shared" si="672"/>
        <v>682494.45000000333</v>
      </c>
      <c r="AT896" s="29">
        <f t="shared" si="673"/>
        <v>68432.539999999994</v>
      </c>
      <c r="AU896" s="29">
        <f t="shared" si="674"/>
        <v>0</v>
      </c>
      <c r="AV896" s="29">
        <f t="shared" si="675"/>
        <v>-1511217.97</v>
      </c>
      <c r="AW896" s="29"/>
      <c r="AX896" s="29">
        <f t="shared" si="676"/>
        <v>-759762.65999999642</v>
      </c>
      <c r="AY896" s="29">
        <f t="shared" si="677"/>
        <v>9300000</v>
      </c>
      <c r="AZ896" s="29">
        <f t="shared" si="678"/>
        <v>8540237.3400000036</v>
      </c>
    </row>
    <row r="897" spans="2:52" x14ac:dyDescent="0.3">
      <c r="B897" s="99">
        <f t="shared" si="679"/>
        <v>45419</v>
      </c>
      <c r="C897" s="44">
        <f t="shared" si="688"/>
        <v>-922527.43999999855</v>
      </c>
      <c r="D897" s="38"/>
      <c r="E897" s="38">
        <v>270000</v>
      </c>
      <c r="F897" s="38">
        <v>-9517.8799999999992</v>
      </c>
      <c r="G897" s="45">
        <f t="shared" si="668"/>
        <v>-662045.31999999855</v>
      </c>
      <c r="H897" s="44">
        <v>4300000</v>
      </c>
      <c r="I897" s="46">
        <f t="shared" si="689"/>
        <v>91850.93000000203</v>
      </c>
      <c r="J897" s="38">
        <v>127604.14</v>
      </c>
      <c r="K897" s="38"/>
      <c r="L897" s="38">
        <v>-103850.71</v>
      </c>
      <c r="M897" s="47">
        <f t="shared" si="690"/>
        <v>115604.36000000204</v>
      </c>
      <c r="N897" s="46">
        <v>5000000</v>
      </c>
      <c r="O897" s="48">
        <f t="shared" si="691"/>
        <v>68080.660000000265</v>
      </c>
      <c r="P897" s="38">
        <v>207630.34</v>
      </c>
      <c r="Q897" s="38">
        <v>-270000</v>
      </c>
      <c r="R897" s="38">
        <v>-614.46</v>
      </c>
      <c r="S897" s="55">
        <f t="shared" si="692"/>
        <v>5096.5400000002328</v>
      </c>
      <c r="T897" s="48"/>
      <c r="U897" s="49">
        <f t="shared" si="693"/>
        <v>26.670000000204894</v>
      </c>
      <c r="V897" s="38"/>
      <c r="W897" s="38"/>
      <c r="X897" s="38"/>
      <c r="Y897" s="51">
        <f t="shared" si="694"/>
        <v>26.670000000204894</v>
      </c>
      <c r="Z897" s="52"/>
      <c r="AA897" s="53">
        <f t="shared" si="695"/>
        <v>2278.1999999995764</v>
      </c>
      <c r="AB897" s="38"/>
      <c r="AC897" s="38"/>
      <c r="AD897" s="38"/>
      <c r="AE897" s="54">
        <f t="shared" si="696"/>
        <v>2278.1999999995764</v>
      </c>
      <c r="AF897" s="53"/>
      <c r="AG897" s="53">
        <f t="shared" si="670"/>
        <v>528.32000000008611</v>
      </c>
      <c r="AH897" s="38"/>
      <c r="AI897" s="38"/>
      <c r="AJ897" s="38"/>
      <c r="AK897" s="54">
        <f t="shared" si="671"/>
        <v>528.32000000008611</v>
      </c>
      <c r="AL897" s="53"/>
      <c r="AM897" s="53">
        <f t="shared" si="685"/>
        <v>0</v>
      </c>
      <c r="AN897" s="38"/>
      <c r="AO897" s="38"/>
      <c r="AP897" s="38"/>
      <c r="AQ897" s="54">
        <f t="shared" si="686"/>
        <v>0</v>
      </c>
      <c r="AR897" s="53"/>
      <c r="AS897" s="29">
        <f t="shared" si="672"/>
        <v>-760290.97999999649</v>
      </c>
      <c r="AT897" s="29">
        <f t="shared" si="673"/>
        <v>335234.48</v>
      </c>
      <c r="AU897" s="29">
        <f t="shared" si="674"/>
        <v>0</v>
      </c>
      <c r="AV897" s="29">
        <f t="shared" si="675"/>
        <v>-113983.05000000002</v>
      </c>
      <c r="AW897" s="29"/>
      <c r="AX897" s="29">
        <f t="shared" si="676"/>
        <v>-538511.22999999637</v>
      </c>
      <c r="AY897" s="29">
        <f t="shared" si="677"/>
        <v>9300000</v>
      </c>
      <c r="AZ897" s="29">
        <f t="shared" si="678"/>
        <v>8761488.7700000033</v>
      </c>
    </row>
    <row r="898" spans="2:52" x14ac:dyDescent="0.3">
      <c r="B898" s="99">
        <f t="shared" si="679"/>
        <v>45420</v>
      </c>
      <c r="C898" s="44">
        <f t="shared" si="688"/>
        <v>-662045.31999999855</v>
      </c>
      <c r="D898" s="38">
        <v>1126.2</v>
      </c>
      <c r="E898" s="38">
        <v>420000</v>
      </c>
      <c r="F898" s="38">
        <v>-14077.5</v>
      </c>
      <c r="G898" s="45">
        <f t="shared" si="668"/>
        <v>-254996.6199999986</v>
      </c>
      <c r="H898" s="44">
        <v>4300000</v>
      </c>
      <c r="I898" s="46">
        <f t="shared" si="689"/>
        <v>115604.36000000204</v>
      </c>
      <c r="J898" s="38">
        <v>3845.8</v>
      </c>
      <c r="K898" s="38"/>
      <c r="L898" s="38">
        <v>-35982.639999999999</v>
      </c>
      <c r="M898" s="47">
        <f t="shared" si="690"/>
        <v>83467.520000002041</v>
      </c>
      <c r="N898" s="46">
        <v>5000000</v>
      </c>
      <c r="O898" s="48">
        <f t="shared" si="691"/>
        <v>5096.5400000002328</v>
      </c>
      <c r="P898" s="38">
        <v>420207.71</v>
      </c>
      <c r="Q898" s="38">
        <v>-420000</v>
      </c>
      <c r="R898" s="38">
        <v>-2059.9499999999998</v>
      </c>
      <c r="S898" s="55">
        <f t="shared" si="692"/>
        <v>3244.300000000233</v>
      </c>
      <c r="T898" s="48"/>
      <c r="U898" s="49">
        <f t="shared" si="693"/>
        <v>26.670000000204894</v>
      </c>
      <c r="V898" s="38"/>
      <c r="W898" s="38"/>
      <c r="X898" s="38"/>
      <c r="Y898" s="51">
        <f t="shared" si="694"/>
        <v>26.670000000204894</v>
      </c>
      <c r="Z898" s="52"/>
      <c r="AA898" s="53">
        <f t="shared" si="695"/>
        <v>2278.1999999995764</v>
      </c>
      <c r="AB898" s="38"/>
      <c r="AC898" s="38"/>
      <c r="AD898" s="38"/>
      <c r="AE898" s="54">
        <f t="shared" si="696"/>
        <v>2278.1999999995764</v>
      </c>
      <c r="AF898" s="53"/>
      <c r="AG898" s="53">
        <f t="shared" si="670"/>
        <v>528.32000000008611</v>
      </c>
      <c r="AH898" s="38"/>
      <c r="AI898" s="38"/>
      <c r="AJ898" s="38"/>
      <c r="AK898" s="54">
        <f t="shared" si="671"/>
        <v>528.32000000008611</v>
      </c>
      <c r="AL898" s="53"/>
      <c r="AM898" s="53">
        <f t="shared" si="685"/>
        <v>0</v>
      </c>
      <c r="AN898" s="38"/>
      <c r="AO898" s="38"/>
      <c r="AP898" s="38"/>
      <c r="AQ898" s="54">
        <f t="shared" si="686"/>
        <v>0</v>
      </c>
      <c r="AR898" s="53"/>
      <c r="AS898" s="29">
        <f t="shared" si="672"/>
        <v>-539039.54999999644</v>
      </c>
      <c r="AT898" s="29">
        <f t="shared" si="673"/>
        <v>425179.71</v>
      </c>
      <c r="AU898" s="29">
        <f t="shared" si="674"/>
        <v>0</v>
      </c>
      <c r="AV898" s="29">
        <f t="shared" si="675"/>
        <v>-52120.09</v>
      </c>
      <c r="AW898" s="29"/>
      <c r="AX898" s="29">
        <f t="shared" si="676"/>
        <v>-165451.60999999644</v>
      </c>
      <c r="AY898" s="29">
        <f t="shared" si="677"/>
        <v>9300000</v>
      </c>
      <c r="AZ898" s="29">
        <f t="shared" si="678"/>
        <v>9134548.3900000043</v>
      </c>
    </row>
    <row r="899" spans="2:52" x14ac:dyDescent="0.3">
      <c r="B899" s="99">
        <f t="shared" si="679"/>
        <v>45421</v>
      </c>
      <c r="C899" s="44">
        <f t="shared" si="688"/>
        <v>-254996.6199999986</v>
      </c>
      <c r="D899" s="38"/>
      <c r="E899" s="38"/>
      <c r="F899" s="38">
        <v>-0.21</v>
      </c>
      <c r="G899" s="45">
        <f t="shared" si="668"/>
        <v>-254996.82999999859</v>
      </c>
      <c r="H899" s="44">
        <v>4300000</v>
      </c>
      <c r="I899" s="46">
        <f t="shared" si="689"/>
        <v>83467.520000002041</v>
      </c>
      <c r="J899" s="38">
        <v>2591.2199999999998</v>
      </c>
      <c r="K899" s="38"/>
      <c r="L899" s="38">
        <v>-71404.94</v>
      </c>
      <c r="M899" s="47">
        <f t="shared" si="690"/>
        <v>14653.80000000204</v>
      </c>
      <c r="N899" s="46">
        <v>5000000</v>
      </c>
      <c r="O899" s="48">
        <f t="shared" si="691"/>
        <v>3244.300000000233</v>
      </c>
      <c r="P899" s="38"/>
      <c r="Q899" s="38"/>
      <c r="R899" s="38">
        <v>-10</v>
      </c>
      <c r="S899" s="55">
        <f t="shared" si="692"/>
        <v>3234.300000000233</v>
      </c>
      <c r="T899" s="48"/>
      <c r="U899" s="49">
        <f t="shared" si="693"/>
        <v>26.670000000204894</v>
      </c>
      <c r="V899" s="38"/>
      <c r="W899" s="38"/>
      <c r="X899" s="38"/>
      <c r="Y899" s="51">
        <f t="shared" si="694"/>
        <v>26.670000000204894</v>
      </c>
      <c r="Z899" s="52"/>
      <c r="AA899" s="53">
        <f t="shared" si="695"/>
        <v>2278.1999999995764</v>
      </c>
      <c r="AB899" s="38"/>
      <c r="AC899" s="38"/>
      <c r="AD899" s="38"/>
      <c r="AE899" s="54">
        <f t="shared" si="696"/>
        <v>2278.1999999995764</v>
      </c>
      <c r="AF899" s="53"/>
      <c r="AG899" s="53">
        <f t="shared" si="670"/>
        <v>528.32000000008611</v>
      </c>
      <c r="AH899" s="38"/>
      <c r="AI899" s="38"/>
      <c r="AJ899" s="38"/>
      <c r="AK899" s="54">
        <f t="shared" si="671"/>
        <v>528.32000000008611</v>
      </c>
      <c r="AL899" s="53"/>
      <c r="AM899" s="53">
        <f t="shared" si="685"/>
        <v>0</v>
      </c>
      <c r="AN899" s="38"/>
      <c r="AO899" s="38"/>
      <c r="AP899" s="38"/>
      <c r="AQ899" s="54">
        <f t="shared" si="686"/>
        <v>0</v>
      </c>
      <c r="AR899" s="53"/>
      <c r="AS899" s="29">
        <f t="shared" si="672"/>
        <v>-165979.92999999653</v>
      </c>
      <c r="AT899" s="29">
        <f t="shared" si="673"/>
        <v>2591.2199999999998</v>
      </c>
      <c r="AU899" s="29">
        <f t="shared" si="674"/>
        <v>0</v>
      </c>
      <c r="AV899" s="29">
        <f t="shared" si="675"/>
        <v>-71415.150000000009</v>
      </c>
      <c r="AW899" s="29"/>
      <c r="AX899" s="29">
        <f t="shared" si="676"/>
        <v>-234275.53999999643</v>
      </c>
      <c r="AY899" s="29">
        <f t="shared" si="677"/>
        <v>9300000</v>
      </c>
      <c r="AZ899" s="29">
        <f t="shared" si="678"/>
        <v>9065724.4600000028</v>
      </c>
    </row>
    <row r="900" spans="2:52" x14ac:dyDescent="0.3">
      <c r="B900" s="99">
        <f t="shared" si="679"/>
        <v>45422</v>
      </c>
      <c r="C900" s="44">
        <f t="shared" si="688"/>
        <v>-254996.82999999859</v>
      </c>
      <c r="D900" s="38">
        <v>368072.23</v>
      </c>
      <c r="E900" s="38">
        <v>-300000</v>
      </c>
      <c r="F900" s="38">
        <v>-1586.09</v>
      </c>
      <c r="G900" s="45">
        <f t="shared" si="668"/>
        <v>-188510.68999999861</v>
      </c>
      <c r="H900" s="44">
        <v>4300000</v>
      </c>
      <c r="I900" s="46">
        <f t="shared" si="689"/>
        <v>14653.80000000204</v>
      </c>
      <c r="J900" s="38"/>
      <c r="K900" s="38">
        <v>300000</v>
      </c>
      <c r="L900" s="38">
        <v>-285956.87</v>
      </c>
      <c r="M900" s="47">
        <f t="shared" si="690"/>
        <v>28696.93000000203</v>
      </c>
      <c r="N900" s="46">
        <v>5000000</v>
      </c>
      <c r="O900" s="48">
        <f t="shared" si="691"/>
        <v>3234.300000000233</v>
      </c>
      <c r="P900" s="38">
        <v>1250.83</v>
      </c>
      <c r="Q900" s="38"/>
      <c r="R900" s="38">
        <v>-1776.47</v>
      </c>
      <c r="S900" s="55">
        <f t="shared" si="692"/>
        <v>2708.6600000002327</v>
      </c>
      <c r="T900" s="48"/>
      <c r="U900" s="49">
        <f t="shared" si="693"/>
        <v>26.670000000204894</v>
      </c>
      <c r="V900" s="38"/>
      <c r="W900" s="38"/>
      <c r="X900" s="38"/>
      <c r="Y900" s="51">
        <f t="shared" si="694"/>
        <v>26.670000000204894</v>
      </c>
      <c r="Z900" s="52"/>
      <c r="AA900" s="53">
        <f t="shared" si="695"/>
        <v>2278.1999999995764</v>
      </c>
      <c r="AB900" s="38">
        <v>981155.12</v>
      </c>
      <c r="AC900" s="38"/>
      <c r="AD900" s="38">
        <v>-460</v>
      </c>
      <c r="AE900" s="54">
        <f t="shared" si="696"/>
        <v>982973.3199999996</v>
      </c>
      <c r="AF900" s="53"/>
      <c r="AG900" s="53">
        <f t="shared" si="670"/>
        <v>528.32000000008611</v>
      </c>
      <c r="AH900" s="38"/>
      <c r="AI900" s="38"/>
      <c r="AJ900" s="38"/>
      <c r="AK900" s="54">
        <f t="shared" si="671"/>
        <v>528.32000000008611</v>
      </c>
      <c r="AL900" s="53"/>
      <c r="AM900" s="53">
        <f t="shared" si="685"/>
        <v>0</v>
      </c>
      <c r="AN900" s="38"/>
      <c r="AO900" s="38"/>
      <c r="AP900" s="38"/>
      <c r="AQ900" s="54">
        <f t="shared" si="686"/>
        <v>0</v>
      </c>
      <c r="AR900" s="53"/>
      <c r="AS900" s="29">
        <f t="shared" si="672"/>
        <v>-234803.85999999652</v>
      </c>
      <c r="AT900" s="29">
        <f t="shared" si="673"/>
        <v>1350478.18</v>
      </c>
      <c r="AU900" s="29">
        <f t="shared" si="674"/>
        <v>0</v>
      </c>
      <c r="AV900" s="29">
        <f t="shared" si="675"/>
        <v>-289779.43</v>
      </c>
      <c r="AW900" s="29"/>
      <c r="AX900" s="29">
        <f t="shared" si="676"/>
        <v>826423.21000000357</v>
      </c>
      <c r="AY900" s="29">
        <f t="shared" si="677"/>
        <v>9300000</v>
      </c>
      <c r="AZ900" s="29">
        <f t="shared" si="678"/>
        <v>10126423.210000003</v>
      </c>
    </row>
    <row r="901" spans="2:52" x14ac:dyDescent="0.3">
      <c r="B901" s="99">
        <f t="shared" ref="B901" si="698">B900+3</f>
        <v>45425</v>
      </c>
      <c r="C901" s="44">
        <f t="shared" si="688"/>
        <v>-188510.68999999861</v>
      </c>
      <c r="D901" s="38">
        <v>230398.39</v>
      </c>
      <c r="E901" s="38">
        <v>80800</v>
      </c>
      <c r="F901" s="38">
        <v>-18238.060000000001</v>
      </c>
      <c r="G901" s="45">
        <f t="shared" si="668"/>
        <v>104449.64000000141</v>
      </c>
      <c r="H901" s="44">
        <v>4300000</v>
      </c>
      <c r="I901" s="46">
        <f t="shared" si="689"/>
        <v>28696.93000000203</v>
      </c>
      <c r="J901" s="38"/>
      <c r="K901" s="38">
        <v>980000</v>
      </c>
      <c r="L901" s="38">
        <v>-152874.07</v>
      </c>
      <c r="M901" s="47">
        <f t="shared" si="690"/>
        <v>855822.86000000197</v>
      </c>
      <c r="N901" s="46">
        <v>5000000</v>
      </c>
      <c r="O901" s="48">
        <f t="shared" si="691"/>
        <v>2708.6600000002327</v>
      </c>
      <c r="P901" s="38"/>
      <c r="Q901" s="38"/>
      <c r="R901" s="38"/>
      <c r="S901" s="55">
        <f t="shared" si="692"/>
        <v>2708.6600000002327</v>
      </c>
      <c r="T901" s="48"/>
      <c r="U901" s="49">
        <f t="shared" si="693"/>
        <v>26.670000000204894</v>
      </c>
      <c r="V901" s="38">
        <v>80806.13</v>
      </c>
      <c r="W901" s="38">
        <v>-80800</v>
      </c>
      <c r="X901" s="38"/>
      <c r="Y901" s="51">
        <f t="shared" si="694"/>
        <v>32.800000000206637</v>
      </c>
      <c r="Z901" s="52"/>
      <c r="AA901" s="53">
        <f t="shared" si="695"/>
        <v>982973.3199999996</v>
      </c>
      <c r="AB901" s="38"/>
      <c r="AC901" s="38">
        <v>-980000</v>
      </c>
      <c r="AD901" s="38"/>
      <c r="AE901" s="54">
        <f t="shared" si="696"/>
        <v>2973.3199999995995</v>
      </c>
      <c r="AF901" s="53"/>
      <c r="AG901" s="53">
        <f t="shared" si="670"/>
        <v>528.32000000008611</v>
      </c>
      <c r="AH901" s="38"/>
      <c r="AI901" s="38"/>
      <c r="AJ901" s="38"/>
      <c r="AK901" s="54">
        <f t="shared" si="671"/>
        <v>528.32000000008611</v>
      </c>
      <c r="AL901" s="53"/>
      <c r="AM901" s="53">
        <f t="shared" si="685"/>
        <v>0</v>
      </c>
      <c r="AN901" s="38"/>
      <c r="AO901" s="38"/>
      <c r="AP901" s="38"/>
      <c r="AQ901" s="54">
        <f t="shared" si="686"/>
        <v>0</v>
      </c>
      <c r="AR901" s="53"/>
      <c r="AS901" s="29">
        <f t="shared" si="672"/>
        <v>825894.89000000351</v>
      </c>
      <c r="AT901" s="29">
        <f t="shared" si="673"/>
        <v>311204.52</v>
      </c>
      <c r="AU901" s="29">
        <f t="shared" si="674"/>
        <v>0</v>
      </c>
      <c r="AV901" s="29">
        <f t="shared" si="675"/>
        <v>-171112.13</v>
      </c>
      <c r="AW901" s="29"/>
      <c r="AX901" s="29">
        <f t="shared" si="676"/>
        <v>966515.60000000347</v>
      </c>
      <c r="AY901" s="29">
        <f t="shared" si="677"/>
        <v>9300000</v>
      </c>
      <c r="AZ901" s="29">
        <f t="shared" si="678"/>
        <v>10266515.600000003</v>
      </c>
    </row>
    <row r="902" spans="2:52" x14ac:dyDescent="0.3">
      <c r="B902" s="99">
        <f t="shared" si="679"/>
        <v>45426</v>
      </c>
      <c r="C902" s="44">
        <f t="shared" si="688"/>
        <v>104449.64000000141</v>
      </c>
      <c r="D902" s="38"/>
      <c r="E902" s="38"/>
      <c r="F902" s="38">
        <v>-1611.58</v>
      </c>
      <c r="G902" s="45">
        <f t="shared" si="668"/>
        <v>102838.06000000141</v>
      </c>
      <c r="H902" s="44">
        <v>4300000</v>
      </c>
      <c r="I902" s="46">
        <f t="shared" si="689"/>
        <v>855822.86000000197</v>
      </c>
      <c r="J902" s="38"/>
      <c r="K902" s="38"/>
      <c r="L902" s="38">
        <v>-8603.7000000000007</v>
      </c>
      <c r="M902" s="47">
        <f t="shared" si="690"/>
        <v>847219.16000000201</v>
      </c>
      <c r="N902" s="46">
        <v>5000000</v>
      </c>
      <c r="O902" s="48">
        <f t="shared" si="691"/>
        <v>2708.6600000002327</v>
      </c>
      <c r="P902" s="38"/>
      <c r="Q902" s="38"/>
      <c r="R902" s="38"/>
      <c r="S902" s="55">
        <f t="shared" si="692"/>
        <v>2708.6600000002327</v>
      </c>
      <c r="T902" s="48"/>
      <c r="U902" s="49">
        <f t="shared" si="693"/>
        <v>32.800000000206637</v>
      </c>
      <c r="V902" s="38">
        <v>4925</v>
      </c>
      <c r="W902" s="38"/>
      <c r="X902" s="38">
        <v>-10</v>
      </c>
      <c r="Y902" s="51">
        <f t="shared" si="694"/>
        <v>4947.8000000002066</v>
      </c>
      <c r="Z902" s="52"/>
      <c r="AA902" s="53">
        <f t="shared" si="695"/>
        <v>2973.3199999995995</v>
      </c>
      <c r="AB902" s="38"/>
      <c r="AC902" s="38"/>
      <c r="AD902" s="38"/>
      <c r="AE902" s="54">
        <f t="shared" si="696"/>
        <v>2973.3199999995995</v>
      </c>
      <c r="AF902" s="53"/>
      <c r="AG902" s="53">
        <f t="shared" si="670"/>
        <v>528.32000000008611</v>
      </c>
      <c r="AH902" s="38"/>
      <c r="AI902" s="38"/>
      <c r="AJ902" s="38"/>
      <c r="AK902" s="54">
        <f t="shared" si="671"/>
        <v>528.32000000008611</v>
      </c>
      <c r="AL902" s="53"/>
      <c r="AM902" s="53">
        <f t="shared" si="685"/>
        <v>0</v>
      </c>
      <c r="AN902" s="38"/>
      <c r="AO902" s="38"/>
      <c r="AP902" s="38"/>
      <c r="AQ902" s="54">
        <f t="shared" si="686"/>
        <v>0</v>
      </c>
      <c r="AR902" s="53"/>
      <c r="AS902" s="29">
        <f t="shared" si="672"/>
        <v>965987.2800000034</v>
      </c>
      <c r="AT902" s="29">
        <f t="shared" si="673"/>
        <v>4925</v>
      </c>
      <c r="AU902" s="29">
        <f t="shared" si="674"/>
        <v>0</v>
      </c>
      <c r="AV902" s="29">
        <f t="shared" si="675"/>
        <v>-10225.280000000001</v>
      </c>
      <c r="AW902" s="29"/>
      <c r="AX902" s="29">
        <f t="shared" si="676"/>
        <v>961215.32000000356</v>
      </c>
      <c r="AY902" s="29">
        <f t="shared" si="677"/>
        <v>9300000</v>
      </c>
      <c r="AZ902" s="29">
        <f t="shared" si="678"/>
        <v>10261215.320000004</v>
      </c>
    </row>
    <row r="903" spans="2:52" x14ac:dyDescent="0.3">
      <c r="B903" s="99">
        <f t="shared" si="679"/>
        <v>45427</v>
      </c>
      <c r="C903" s="44">
        <f t="shared" si="688"/>
        <v>102838.06000000141</v>
      </c>
      <c r="D903" s="38"/>
      <c r="E903" s="38">
        <v>300000</v>
      </c>
      <c r="F903" s="38">
        <v>-239842.31</v>
      </c>
      <c r="G903" s="45">
        <f t="shared" si="668"/>
        <v>162995.7500000014</v>
      </c>
      <c r="H903" s="44">
        <v>4300000</v>
      </c>
      <c r="I903" s="46">
        <f t="shared" si="689"/>
        <v>847219.16000000201</v>
      </c>
      <c r="J903" s="38">
        <v>64936.89</v>
      </c>
      <c r="K903" s="38">
        <v>-300000</v>
      </c>
      <c r="L903" s="38">
        <v>-92645.39</v>
      </c>
      <c r="M903" s="47">
        <f t="shared" si="690"/>
        <v>519510.66000000201</v>
      </c>
      <c r="N903" s="46">
        <v>5000000</v>
      </c>
      <c r="O903" s="48">
        <f t="shared" si="691"/>
        <v>2708.6600000002327</v>
      </c>
      <c r="P903" s="38">
        <v>401.84</v>
      </c>
      <c r="Q903" s="38">
        <v>4900</v>
      </c>
      <c r="R903" s="38">
        <v>-479.02</v>
      </c>
      <c r="S903" s="55">
        <f t="shared" si="692"/>
        <v>7531.4800000002324</v>
      </c>
      <c r="T903" s="48"/>
      <c r="U903" s="49">
        <f t="shared" si="693"/>
        <v>4947.8000000002066</v>
      </c>
      <c r="V903" s="38"/>
      <c r="W903" s="38">
        <v>-4900</v>
      </c>
      <c r="X903" s="38">
        <v>-1.5</v>
      </c>
      <c r="Y903" s="51">
        <f t="shared" si="694"/>
        <v>46.300000000206637</v>
      </c>
      <c r="Z903" s="52"/>
      <c r="AA903" s="53">
        <f t="shared" si="695"/>
        <v>2973.3199999995995</v>
      </c>
      <c r="AB903" s="38"/>
      <c r="AC903" s="38"/>
      <c r="AD903" s="38"/>
      <c r="AE903" s="54">
        <f t="shared" si="696"/>
        <v>2973.3199999995995</v>
      </c>
      <c r="AF903" s="53"/>
      <c r="AG903" s="53">
        <f t="shared" si="670"/>
        <v>528.32000000008611</v>
      </c>
      <c r="AH903" s="38"/>
      <c r="AI903" s="38"/>
      <c r="AJ903" s="38"/>
      <c r="AK903" s="54">
        <f t="shared" si="671"/>
        <v>528.32000000008611</v>
      </c>
      <c r="AL903" s="53"/>
      <c r="AM903" s="53">
        <f t="shared" si="685"/>
        <v>0</v>
      </c>
      <c r="AN903" s="38"/>
      <c r="AO903" s="38"/>
      <c r="AP903" s="38"/>
      <c r="AQ903" s="54">
        <f t="shared" si="686"/>
        <v>0</v>
      </c>
      <c r="AR903" s="53"/>
      <c r="AS903" s="29">
        <f t="shared" si="672"/>
        <v>960687.00000000349</v>
      </c>
      <c r="AT903" s="29">
        <f t="shared" si="673"/>
        <v>65338.729999999996</v>
      </c>
      <c r="AU903" s="29">
        <f t="shared" si="674"/>
        <v>0</v>
      </c>
      <c r="AV903" s="29">
        <f t="shared" si="675"/>
        <v>-332968.22000000003</v>
      </c>
      <c r="AW903" s="29"/>
      <c r="AX903" s="29">
        <f t="shared" si="676"/>
        <v>693585.83000000345</v>
      </c>
      <c r="AY903" s="29">
        <f t="shared" si="677"/>
        <v>9300000</v>
      </c>
      <c r="AZ903" s="29">
        <f t="shared" si="678"/>
        <v>9993585.8300000038</v>
      </c>
    </row>
    <row r="904" spans="2:52" x14ac:dyDescent="0.3">
      <c r="B904" s="99">
        <f t="shared" si="679"/>
        <v>45428</v>
      </c>
      <c r="C904" s="44">
        <f t="shared" si="688"/>
        <v>162995.7500000014</v>
      </c>
      <c r="D904" s="38"/>
      <c r="E904" s="38"/>
      <c r="F904" s="38"/>
      <c r="G904" s="45">
        <f t="shared" si="668"/>
        <v>162995.7500000014</v>
      </c>
      <c r="H904" s="44">
        <v>4300000</v>
      </c>
      <c r="I904" s="46">
        <f t="shared" si="689"/>
        <v>519510.66000000201</v>
      </c>
      <c r="J904" s="38"/>
      <c r="K904" s="38"/>
      <c r="L904" s="38">
        <v>-34774.44</v>
      </c>
      <c r="M904" s="47">
        <f t="shared" si="690"/>
        <v>484736.22000000201</v>
      </c>
      <c r="N904" s="46">
        <v>5000000</v>
      </c>
      <c r="O904" s="48">
        <f t="shared" si="691"/>
        <v>7531.4800000002324</v>
      </c>
      <c r="P904" s="38"/>
      <c r="Q904" s="38"/>
      <c r="R904" s="38"/>
      <c r="S904" s="55">
        <f t="shared" si="692"/>
        <v>7531.4800000002324</v>
      </c>
      <c r="T904" s="48"/>
      <c r="U904" s="49">
        <f t="shared" si="693"/>
        <v>46.300000000206637</v>
      </c>
      <c r="V904" s="38"/>
      <c r="W904" s="38"/>
      <c r="X904" s="38"/>
      <c r="Y904" s="51">
        <f t="shared" si="694"/>
        <v>46.300000000206637</v>
      </c>
      <c r="Z904" s="52"/>
      <c r="AA904" s="53">
        <f t="shared" si="695"/>
        <v>2973.3199999995995</v>
      </c>
      <c r="AB904" s="38"/>
      <c r="AC904" s="38"/>
      <c r="AD904" s="38"/>
      <c r="AE904" s="54">
        <f t="shared" si="696"/>
        <v>2973.3199999995995</v>
      </c>
      <c r="AF904" s="53"/>
      <c r="AG904" s="53">
        <f t="shared" si="670"/>
        <v>528.32000000008611</v>
      </c>
      <c r="AH904" s="38"/>
      <c r="AI904" s="38"/>
      <c r="AJ904" s="38"/>
      <c r="AK904" s="54">
        <f t="shared" si="671"/>
        <v>528.32000000008611</v>
      </c>
      <c r="AL904" s="53"/>
      <c r="AM904" s="53">
        <f t="shared" si="685"/>
        <v>0</v>
      </c>
      <c r="AN904" s="38"/>
      <c r="AO904" s="38"/>
      <c r="AP904" s="38"/>
      <c r="AQ904" s="54">
        <f t="shared" si="686"/>
        <v>0</v>
      </c>
      <c r="AR904" s="53"/>
      <c r="AS904" s="29">
        <f t="shared" si="672"/>
        <v>693057.51000000339</v>
      </c>
      <c r="AT904" s="29">
        <f t="shared" si="673"/>
        <v>0</v>
      </c>
      <c r="AU904" s="29">
        <f t="shared" si="674"/>
        <v>0</v>
      </c>
      <c r="AV904" s="29">
        <f t="shared" si="675"/>
        <v>-34774.44</v>
      </c>
      <c r="AW904" s="29"/>
      <c r="AX904" s="29">
        <f t="shared" si="676"/>
        <v>658811.39000000351</v>
      </c>
      <c r="AY904" s="29">
        <f t="shared" si="677"/>
        <v>9300000</v>
      </c>
      <c r="AZ904" s="29">
        <f t="shared" si="678"/>
        <v>9958811.3900000043</v>
      </c>
    </row>
    <row r="905" spans="2:52" x14ac:dyDescent="0.3">
      <c r="B905" s="99">
        <f t="shared" si="679"/>
        <v>45429</v>
      </c>
      <c r="C905" s="44">
        <f t="shared" si="688"/>
        <v>162995.7500000014</v>
      </c>
      <c r="D905" s="38">
        <v>95490.84</v>
      </c>
      <c r="E905" s="38">
        <v>-110000</v>
      </c>
      <c r="F905" s="38">
        <v>-28177.53</v>
      </c>
      <c r="G905" s="45">
        <f t="shared" si="668"/>
        <v>120309.06000000139</v>
      </c>
      <c r="H905" s="44">
        <v>4300000</v>
      </c>
      <c r="I905" s="46">
        <f t="shared" si="689"/>
        <v>484736.22000000201</v>
      </c>
      <c r="J905" s="38"/>
      <c r="K905" s="38">
        <v>150000</v>
      </c>
      <c r="L905" s="38">
        <v>-565842</v>
      </c>
      <c r="M905" s="47">
        <f t="shared" si="690"/>
        <v>68894.220000002068</v>
      </c>
      <c r="N905" s="46">
        <v>5000000</v>
      </c>
      <c r="O905" s="48">
        <f t="shared" si="691"/>
        <v>7531.4800000002324</v>
      </c>
      <c r="P905" s="38">
        <v>34440.629999999997</v>
      </c>
      <c r="Q905" s="38">
        <v>-40000</v>
      </c>
      <c r="R905" s="38"/>
      <c r="S905" s="55">
        <f t="shared" si="692"/>
        <v>1972.1100000002334</v>
      </c>
      <c r="T905" s="48"/>
      <c r="U905" s="49">
        <f t="shared" si="693"/>
        <v>46.300000000206637</v>
      </c>
      <c r="V905" s="38"/>
      <c r="W905" s="38"/>
      <c r="X905" s="38"/>
      <c r="Y905" s="51">
        <f t="shared" si="694"/>
        <v>46.300000000206637</v>
      </c>
      <c r="Z905" s="52"/>
      <c r="AA905" s="53">
        <f t="shared" si="695"/>
        <v>2973.3199999995995</v>
      </c>
      <c r="AB905" s="38"/>
      <c r="AC905" s="38"/>
      <c r="AD905" s="38"/>
      <c r="AE905" s="54">
        <f t="shared" si="696"/>
        <v>2973.3199999995995</v>
      </c>
      <c r="AF905" s="53"/>
      <c r="AG905" s="53">
        <f t="shared" si="670"/>
        <v>528.32000000008611</v>
      </c>
      <c r="AH905" s="38"/>
      <c r="AI905" s="38"/>
      <c r="AJ905" s="38"/>
      <c r="AK905" s="54">
        <f t="shared" si="671"/>
        <v>528.32000000008611</v>
      </c>
      <c r="AL905" s="53"/>
      <c r="AM905" s="53">
        <f t="shared" si="685"/>
        <v>0</v>
      </c>
      <c r="AN905" s="38"/>
      <c r="AO905" s="38"/>
      <c r="AP905" s="38"/>
      <c r="AQ905" s="54">
        <f t="shared" si="686"/>
        <v>0</v>
      </c>
      <c r="AR905" s="53"/>
      <c r="AS905" s="29">
        <f t="shared" si="672"/>
        <v>658283.07000000344</v>
      </c>
      <c r="AT905" s="29">
        <f t="shared" si="673"/>
        <v>129931.47</v>
      </c>
      <c r="AU905" s="29">
        <f t="shared" si="674"/>
        <v>0</v>
      </c>
      <c r="AV905" s="29">
        <f t="shared" si="675"/>
        <v>-594019.53</v>
      </c>
      <c r="AW905" s="29"/>
      <c r="AX905" s="29">
        <f t="shared" si="676"/>
        <v>194723.3300000036</v>
      </c>
      <c r="AY905" s="29">
        <f t="shared" si="677"/>
        <v>9300000</v>
      </c>
      <c r="AZ905" s="29">
        <f t="shared" si="678"/>
        <v>9494723.3300000038</v>
      </c>
    </row>
    <row r="906" spans="2:52" x14ac:dyDescent="0.3">
      <c r="B906" s="99">
        <f t="shared" ref="B906" si="699">B905+3</f>
        <v>45432</v>
      </c>
      <c r="C906" s="44">
        <f t="shared" si="688"/>
        <v>120309.06000000139</v>
      </c>
      <c r="D906" s="38"/>
      <c r="E906" s="38">
        <v>-700000</v>
      </c>
      <c r="F906" s="38">
        <v>-1686753</v>
      </c>
      <c r="G906" s="45">
        <f t="shared" si="668"/>
        <v>-2266443.9399999985</v>
      </c>
      <c r="H906" s="44">
        <v>4300000</v>
      </c>
      <c r="I906" s="46">
        <f t="shared" si="689"/>
        <v>68894.220000002068</v>
      </c>
      <c r="J906" s="38"/>
      <c r="K906" s="38">
        <v>700000</v>
      </c>
      <c r="L906" s="38">
        <v>-718296.94</v>
      </c>
      <c r="M906" s="47">
        <f t="shared" si="690"/>
        <v>50597.280000002123</v>
      </c>
      <c r="N906" s="46">
        <v>5000000</v>
      </c>
      <c r="O906" s="48">
        <f t="shared" si="691"/>
        <v>1972.1100000002334</v>
      </c>
      <c r="P906" s="38"/>
      <c r="Q906" s="38"/>
      <c r="R906" s="38">
        <v>-10</v>
      </c>
      <c r="S906" s="55">
        <f t="shared" si="692"/>
        <v>1962.1100000002334</v>
      </c>
      <c r="T906" s="48"/>
      <c r="U906" s="49">
        <f t="shared" si="693"/>
        <v>46.300000000206637</v>
      </c>
      <c r="V906" s="38"/>
      <c r="W906" s="38"/>
      <c r="X906" s="38"/>
      <c r="Y906" s="51">
        <f t="shared" si="694"/>
        <v>46.300000000206637</v>
      </c>
      <c r="Z906" s="52"/>
      <c r="AA906" s="53">
        <f t="shared" si="695"/>
        <v>2973.3199999995995</v>
      </c>
      <c r="AB906" s="38">
        <v>72156.91</v>
      </c>
      <c r="AC906" s="38"/>
      <c r="AD906" s="38"/>
      <c r="AE906" s="54">
        <f t="shared" si="696"/>
        <v>75130.229999999603</v>
      </c>
      <c r="AF906" s="53"/>
      <c r="AG906" s="53">
        <f t="shared" si="670"/>
        <v>528.32000000008611</v>
      </c>
      <c r="AH906" s="38"/>
      <c r="AI906" s="38"/>
      <c r="AJ906" s="38"/>
      <c r="AK906" s="54">
        <f t="shared" si="671"/>
        <v>528.32000000008611</v>
      </c>
      <c r="AL906" s="53"/>
      <c r="AM906" s="53">
        <f t="shared" si="685"/>
        <v>0</v>
      </c>
      <c r="AN906" s="38"/>
      <c r="AO906" s="38"/>
      <c r="AP906" s="38"/>
      <c r="AQ906" s="54">
        <f t="shared" si="686"/>
        <v>0</v>
      </c>
      <c r="AR906" s="53"/>
      <c r="AS906" s="29">
        <f t="shared" si="672"/>
        <v>194195.0100000035</v>
      </c>
      <c r="AT906" s="29">
        <f t="shared" si="673"/>
        <v>72156.91</v>
      </c>
      <c r="AU906" s="29">
        <f t="shared" si="674"/>
        <v>0</v>
      </c>
      <c r="AV906" s="29">
        <f t="shared" si="675"/>
        <v>-2405059.94</v>
      </c>
      <c r="AW906" s="29"/>
      <c r="AX906" s="29">
        <f t="shared" si="676"/>
        <v>-2138179.699999996</v>
      </c>
      <c r="AY906" s="29">
        <f t="shared" si="677"/>
        <v>9300000</v>
      </c>
      <c r="AZ906" s="29">
        <f t="shared" si="678"/>
        <v>7161820.3000000045</v>
      </c>
    </row>
    <row r="907" spans="2:52" x14ac:dyDescent="0.3">
      <c r="B907" s="99">
        <f t="shared" si="679"/>
        <v>45433</v>
      </c>
      <c r="C907" s="44">
        <f t="shared" si="688"/>
        <v>-2266443.9399999985</v>
      </c>
      <c r="D907" s="38"/>
      <c r="E907" s="38">
        <f>75000+170000</f>
        <v>245000</v>
      </c>
      <c r="F907" s="38">
        <v>-762877.78</v>
      </c>
      <c r="G907" s="45">
        <f t="shared" si="668"/>
        <v>-2784321.7199999988</v>
      </c>
      <c r="H907" s="44">
        <v>4300000</v>
      </c>
      <c r="I907" s="46">
        <f t="shared" si="689"/>
        <v>50597.280000002123</v>
      </c>
      <c r="J907" s="38"/>
      <c r="K907" s="38"/>
      <c r="L907" s="38">
        <v>-11076.9</v>
      </c>
      <c r="M907" s="47">
        <f t="shared" si="690"/>
        <v>39520.380000002122</v>
      </c>
      <c r="N907" s="46">
        <v>5000000</v>
      </c>
      <c r="O907" s="48">
        <f t="shared" si="691"/>
        <v>1962.1100000002334</v>
      </c>
      <c r="P907" s="38">
        <v>171455.01</v>
      </c>
      <c r="Q907" s="38">
        <v>-170000</v>
      </c>
      <c r="R907" s="38"/>
      <c r="S907" s="55">
        <f t="shared" si="692"/>
        <v>3417.1200000002282</v>
      </c>
      <c r="T907" s="48"/>
      <c r="U907" s="49">
        <f t="shared" si="693"/>
        <v>46.300000000206637</v>
      </c>
      <c r="V907" s="38"/>
      <c r="W907" s="38"/>
      <c r="X907" s="38"/>
      <c r="Y907" s="51">
        <f t="shared" si="694"/>
        <v>46.300000000206637</v>
      </c>
      <c r="Z907" s="52"/>
      <c r="AA907" s="53">
        <f t="shared" si="695"/>
        <v>75130.229999999603</v>
      </c>
      <c r="AB907" s="38"/>
      <c r="AC907" s="38">
        <v>-75000</v>
      </c>
      <c r="AD907" s="38"/>
      <c r="AE907" s="54">
        <f t="shared" si="696"/>
        <v>130.22999999960302</v>
      </c>
      <c r="AF907" s="53"/>
      <c r="AG907" s="53">
        <f t="shared" si="670"/>
        <v>528.32000000008611</v>
      </c>
      <c r="AH907" s="38"/>
      <c r="AI907" s="38"/>
      <c r="AJ907" s="38"/>
      <c r="AK907" s="54">
        <f t="shared" si="671"/>
        <v>528.32000000008611</v>
      </c>
      <c r="AL907" s="53"/>
      <c r="AM907" s="53">
        <f t="shared" si="685"/>
        <v>0</v>
      </c>
      <c r="AN907" s="38"/>
      <c r="AO907" s="38"/>
      <c r="AP907" s="38"/>
      <c r="AQ907" s="54">
        <f t="shared" si="686"/>
        <v>0</v>
      </c>
      <c r="AR907" s="53"/>
      <c r="AS907" s="29">
        <f t="shared" si="672"/>
        <v>-2138708.0199999963</v>
      </c>
      <c r="AT907" s="29">
        <f t="shared" si="673"/>
        <v>171455.01</v>
      </c>
      <c r="AU907" s="29">
        <f t="shared" si="674"/>
        <v>0</v>
      </c>
      <c r="AV907" s="29">
        <f t="shared" si="675"/>
        <v>-773954.68</v>
      </c>
      <c r="AW907" s="29"/>
      <c r="AX907" s="29">
        <f t="shared" si="676"/>
        <v>-2740679.3699999964</v>
      </c>
      <c r="AY907" s="29">
        <f t="shared" si="677"/>
        <v>9300000</v>
      </c>
      <c r="AZ907" s="29">
        <f t="shared" si="678"/>
        <v>6559320.6300000036</v>
      </c>
    </row>
    <row r="908" spans="2:52" x14ac:dyDescent="0.3">
      <c r="B908" s="99">
        <f t="shared" si="679"/>
        <v>45434</v>
      </c>
      <c r="C908" s="44">
        <f t="shared" si="688"/>
        <v>-2784321.7199999988</v>
      </c>
      <c r="D908" s="38">
        <v>281896.07</v>
      </c>
      <c r="E908" s="38"/>
      <c r="F908" s="38">
        <f>-375-72478.61</f>
        <v>-72853.61</v>
      </c>
      <c r="G908" s="45">
        <f t="shared" si="668"/>
        <v>-2575279.2599999988</v>
      </c>
      <c r="H908" s="44">
        <v>4300000</v>
      </c>
      <c r="I908" s="46">
        <f t="shared" si="689"/>
        <v>39520.380000002122</v>
      </c>
      <c r="J908" s="38">
        <v>47295.7</v>
      </c>
      <c r="K908" s="38">
        <v>160000</v>
      </c>
      <c r="L908" s="38">
        <v>-81354.97</v>
      </c>
      <c r="M908" s="47">
        <f t="shared" si="690"/>
        <v>165461.11000000211</v>
      </c>
      <c r="N908" s="46">
        <v>5000000</v>
      </c>
      <c r="O908" s="48">
        <f t="shared" si="691"/>
        <v>3417.1200000002282</v>
      </c>
      <c r="P908" s="38">
        <v>157034.44</v>
      </c>
      <c r="Q908" s="38">
        <v>-160000</v>
      </c>
      <c r="R908" s="38">
        <v>-260</v>
      </c>
      <c r="S908" s="55">
        <f t="shared" si="692"/>
        <v>191.5600000002305</v>
      </c>
      <c r="T908" s="48"/>
      <c r="U908" s="49">
        <f t="shared" si="693"/>
        <v>46.300000000206637</v>
      </c>
      <c r="V908" s="38"/>
      <c r="W908" s="38"/>
      <c r="X908" s="38"/>
      <c r="Y908" s="51">
        <f t="shared" si="694"/>
        <v>46.300000000206637</v>
      </c>
      <c r="Z908" s="52"/>
      <c r="AA908" s="53">
        <f t="shared" si="695"/>
        <v>130.22999999960302</v>
      </c>
      <c r="AB908" s="38"/>
      <c r="AC908" s="38"/>
      <c r="AD908" s="38"/>
      <c r="AE908" s="54">
        <f t="shared" si="696"/>
        <v>130.22999999960302</v>
      </c>
      <c r="AF908" s="53"/>
      <c r="AG908" s="53">
        <f t="shared" si="670"/>
        <v>528.32000000008611</v>
      </c>
      <c r="AH908" s="38"/>
      <c r="AI908" s="38"/>
      <c r="AJ908" s="38"/>
      <c r="AK908" s="54">
        <f t="shared" si="671"/>
        <v>528.32000000008611</v>
      </c>
      <c r="AL908" s="53"/>
      <c r="AM908" s="53">
        <f t="shared" si="685"/>
        <v>0</v>
      </c>
      <c r="AN908" s="38"/>
      <c r="AO908" s="38"/>
      <c r="AP908" s="38"/>
      <c r="AQ908" s="54">
        <f t="shared" si="686"/>
        <v>0</v>
      </c>
      <c r="AR908" s="53"/>
      <c r="AS908" s="29">
        <f t="shared" si="672"/>
        <v>-2741207.6899999967</v>
      </c>
      <c r="AT908" s="29">
        <f t="shared" si="673"/>
        <v>486226.21</v>
      </c>
      <c r="AU908" s="29">
        <f t="shared" si="674"/>
        <v>0</v>
      </c>
      <c r="AV908" s="29">
        <f t="shared" si="675"/>
        <v>-154468.58000000002</v>
      </c>
      <c r="AW908" s="29"/>
      <c r="AX908" s="29">
        <f t="shared" si="676"/>
        <v>-2408921.7399999965</v>
      </c>
      <c r="AY908" s="29">
        <f t="shared" si="677"/>
        <v>9300000</v>
      </c>
      <c r="AZ908" s="29">
        <f t="shared" si="678"/>
        <v>6891078.2600000035</v>
      </c>
    </row>
    <row r="909" spans="2:52" x14ac:dyDescent="0.3">
      <c r="B909" s="99">
        <f t="shared" si="679"/>
        <v>45435</v>
      </c>
      <c r="C909" s="44">
        <f t="shared" si="688"/>
        <v>-2575279.2599999988</v>
      </c>
      <c r="D909" s="38">
        <f>114434.4+68020.95</f>
        <v>182455.34999999998</v>
      </c>
      <c r="E909" s="38"/>
      <c r="F909" s="38">
        <v>0.21</v>
      </c>
      <c r="G909" s="45">
        <f t="shared" si="668"/>
        <v>-2392823.6999999988</v>
      </c>
      <c r="H909" s="44">
        <v>4300000</v>
      </c>
      <c r="I909" s="46">
        <f t="shared" si="689"/>
        <v>165461.11000000211</v>
      </c>
      <c r="J909" s="38"/>
      <c r="K909" s="38"/>
      <c r="L909" s="38">
        <v>-24739.330000002101</v>
      </c>
      <c r="M909" s="47">
        <f t="shared" si="690"/>
        <v>140721.78</v>
      </c>
      <c r="N909" s="46">
        <v>5000000</v>
      </c>
      <c r="O909" s="48">
        <f t="shared" si="691"/>
        <v>191.5600000002305</v>
      </c>
      <c r="P909" s="38"/>
      <c r="Q909" s="38"/>
      <c r="R909" s="38">
        <v>-10</v>
      </c>
      <c r="S909" s="55">
        <f t="shared" si="692"/>
        <v>181.5600000002305</v>
      </c>
      <c r="T909" s="48"/>
      <c r="U909" s="49">
        <f t="shared" si="693"/>
        <v>46.300000000206637</v>
      </c>
      <c r="V909" s="38">
        <v>33358.04</v>
      </c>
      <c r="W909" s="38"/>
      <c r="X909" s="38"/>
      <c r="Y909" s="51">
        <f t="shared" si="694"/>
        <v>33404.340000000208</v>
      </c>
      <c r="Z909" s="52"/>
      <c r="AA909" s="53">
        <f t="shared" si="695"/>
        <v>130.22999999960302</v>
      </c>
      <c r="AB909" s="38"/>
      <c r="AC909" s="38"/>
      <c r="AD909" s="38"/>
      <c r="AE909" s="54">
        <f t="shared" si="696"/>
        <v>130.22999999960302</v>
      </c>
      <c r="AF909" s="53"/>
      <c r="AG909" s="53">
        <f t="shared" si="670"/>
        <v>528.32000000008611</v>
      </c>
      <c r="AH909" s="38"/>
      <c r="AI909" s="38"/>
      <c r="AJ909" s="38"/>
      <c r="AK909" s="54">
        <f t="shared" si="671"/>
        <v>528.32000000008611</v>
      </c>
      <c r="AL909" s="53"/>
      <c r="AM909" s="53">
        <f t="shared" si="685"/>
        <v>0</v>
      </c>
      <c r="AN909" s="38"/>
      <c r="AO909" s="38"/>
      <c r="AP909" s="38"/>
      <c r="AQ909" s="54">
        <f t="shared" si="686"/>
        <v>0</v>
      </c>
      <c r="AR909" s="53"/>
      <c r="AS909" s="29">
        <f t="shared" si="672"/>
        <v>-2409450.0599999968</v>
      </c>
      <c r="AT909" s="29">
        <f t="shared" si="673"/>
        <v>215813.38999999998</v>
      </c>
      <c r="AU909" s="29">
        <f t="shared" si="674"/>
        <v>0</v>
      </c>
      <c r="AV909" s="29">
        <f t="shared" si="675"/>
        <v>-24749.120000002102</v>
      </c>
      <c r="AW909" s="29"/>
      <c r="AX909" s="29">
        <f t="shared" si="676"/>
        <v>-2217857.4699999988</v>
      </c>
      <c r="AY909" s="29">
        <f t="shared" si="677"/>
        <v>9300000</v>
      </c>
      <c r="AZ909" s="29">
        <f t="shared" si="678"/>
        <v>7082142.5300000012</v>
      </c>
    </row>
    <row r="910" spans="2:52" x14ac:dyDescent="0.3">
      <c r="B910" s="99">
        <f t="shared" si="679"/>
        <v>45436</v>
      </c>
      <c r="C910" s="44">
        <f t="shared" si="688"/>
        <v>-2392823.6999999988</v>
      </c>
      <c r="D910" s="38">
        <v>438643.56</v>
      </c>
      <c r="E910" s="38"/>
      <c r="F910" s="38">
        <f>-668205.97-0.42</f>
        <v>-668206.39</v>
      </c>
      <c r="G910" s="45">
        <f t="shared" si="668"/>
        <v>-2622386.5299999989</v>
      </c>
      <c r="H910" s="44">
        <v>4300000</v>
      </c>
      <c r="I910" s="46">
        <f t="shared" si="689"/>
        <v>140721.78</v>
      </c>
      <c r="J910" s="38">
        <v>356866.61</v>
      </c>
      <c r="K910" s="38"/>
      <c r="L910" s="38">
        <v>-184067.45</v>
      </c>
      <c r="M910" s="47">
        <f t="shared" si="690"/>
        <v>313520.94</v>
      </c>
      <c r="N910" s="46">
        <v>5000000</v>
      </c>
      <c r="O910" s="48">
        <f t="shared" si="691"/>
        <v>181.5600000002305</v>
      </c>
      <c r="P910" s="38"/>
      <c r="Q910" s="38"/>
      <c r="R910" s="38"/>
      <c r="S910" s="55">
        <f t="shared" si="692"/>
        <v>181.5600000002305</v>
      </c>
      <c r="T910" s="48"/>
      <c r="U910" s="49">
        <f t="shared" si="693"/>
        <v>33404.340000000208</v>
      </c>
      <c r="V910" s="38"/>
      <c r="W910" s="38"/>
      <c r="X910" s="38"/>
      <c r="Y910" s="51">
        <f t="shared" si="694"/>
        <v>33404.340000000208</v>
      </c>
      <c r="Z910" s="52"/>
      <c r="AA910" s="53">
        <f t="shared" si="695"/>
        <v>130.22999999960302</v>
      </c>
      <c r="AB910" s="38"/>
      <c r="AC910" s="38"/>
      <c r="AD910" s="38"/>
      <c r="AE910" s="54">
        <f t="shared" si="696"/>
        <v>130.22999999960302</v>
      </c>
      <c r="AF910" s="53"/>
      <c r="AG910" s="53">
        <f t="shared" si="670"/>
        <v>528.32000000008611</v>
      </c>
      <c r="AH910" s="38"/>
      <c r="AI910" s="38"/>
      <c r="AJ910" s="38"/>
      <c r="AK910" s="54">
        <f t="shared" si="671"/>
        <v>528.32000000008611</v>
      </c>
      <c r="AL910" s="53"/>
      <c r="AM910" s="53">
        <f t="shared" si="685"/>
        <v>0</v>
      </c>
      <c r="AN910" s="38"/>
      <c r="AO910" s="38"/>
      <c r="AP910" s="38"/>
      <c r="AQ910" s="54">
        <f t="shared" si="686"/>
        <v>0</v>
      </c>
      <c r="AR910" s="53"/>
      <c r="AS910" s="29">
        <f t="shared" si="672"/>
        <v>-2218385.7899999991</v>
      </c>
      <c r="AT910" s="29">
        <f t="shared" si="673"/>
        <v>795510.16999999993</v>
      </c>
      <c r="AU910" s="29">
        <f t="shared" si="674"/>
        <v>0</v>
      </c>
      <c r="AV910" s="29">
        <f t="shared" si="675"/>
        <v>-852273.84000000008</v>
      </c>
      <c r="AW910" s="29"/>
      <c r="AX910" s="29">
        <f t="shared" si="676"/>
        <v>-2274621.1399999987</v>
      </c>
      <c r="AY910" s="29">
        <f t="shared" si="677"/>
        <v>9300000</v>
      </c>
      <c r="AZ910" s="29">
        <f t="shared" si="678"/>
        <v>7025378.8600000013</v>
      </c>
    </row>
    <row r="911" spans="2:52" x14ac:dyDescent="0.3">
      <c r="B911" s="99">
        <f t="shared" ref="B911" si="700">B910+3</f>
        <v>45439</v>
      </c>
      <c r="C911" s="44">
        <f t="shared" si="688"/>
        <v>-2622386.5299999989</v>
      </c>
      <c r="D911" s="38">
        <v>32346.44</v>
      </c>
      <c r="E911" s="38"/>
      <c r="F911" s="38">
        <v>-74509.289999999994</v>
      </c>
      <c r="G911" s="45">
        <f t="shared" si="668"/>
        <v>-2664549.379999999</v>
      </c>
      <c r="H911" s="44">
        <v>4300000</v>
      </c>
      <c r="I911" s="46">
        <f t="shared" si="689"/>
        <v>313520.94</v>
      </c>
      <c r="J911" s="38"/>
      <c r="K911" s="38">
        <v>230000</v>
      </c>
      <c r="L911" s="38">
        <v>-194885.21</v>
      </c>
      <c r="M911" s="47">
        <f t="shared" si="690"/>
        <v>348635.73</v>
      </c>
      <c r="N911" s="46">
        <v>5000000</v>
      </c>
      <c r="O911" s="48">
        <f t="shared" si="691"/>
        <v>181.5600000002305</v>
      </c>
      <c r="P911" s="38">
        <v>203875</v>
      </c>
      <c r="Q911" s="38">
        <f>33350-230000</f>
        <v>-196650</v>
      </c>
      <c r="R911" s="38">
        <v>-115</v>
      </c>
      <c r="S911" s="55">
        <f t="shared" si="692"/>
        <v>7291.5600000002305</v>
      </c>
      <c r="T911" s="48"/>
      <c r="U911" s="49">
        <f t="shared" si="693"/>
        <v>33404.340000000208</v>
      </c>
      <c r="V911" s="38"/>
      <c r="W911" s="38">
        <v>-33350</v>
      </c>
      <c r="X911" s="38"/>
      <c r="Y911" s="51">
        <f t="shared" si="694"/>
        <v>54.34000000020751</v>
      </c>
      <c r="Z911" s="52"/>
      <c r="AA911" s="53">
        <f t="shared" si="695"/>
        <v>130.22999999960302</v>
      </c>
      <c r="AB911" s="38"/>
      <c r="AC911" s="38"/>
      <c r="AD911" s="38"/>
      <c r="AE911" s="54">
        <f t="shared" si="696"/>
        <v>130.22999999960302</v>
      </c>
      <c r="AF911" s="53"/>
      <c r="AG911" s="53">
        <f t="shared" si="670"/>
        <v>528.32000000008611</v>
      </c>
      <c r="AH911" s="38"/>
      <c r="AI911" s="38"/>
      <c r="AJ911" s="38"/>
      <c r="AK911" s="54">
        <f t="shared" si="671"/>
        <v>528.32000000008611</v>
      </c>
      <c r="AL911" s="53"/>
      <c r="AM911" s="53">
        <f t="shared" si="685"/>
        <v>0</v>
      </c>
      <c r="AN911" s="38"/>
      <c r="AO911" s="38"/>
      <c r="AP911" s="38"/>
      <c r="AQ911" s="54">
        <f t="shared" si="686"/>
        <v>0</v>
      </c>
      <c r="AR911" s="53"/>
      <c r="AS911" s="29">
        <f t="shared" si="672"/>
        <v>-2275149.459999999</v>
      </c>
      <c r="AT911" s="29">
        <f t="shared" si="673"/>
        <v>236221.44</v>
      </c>
      <c r="AU911" s="29">
        <f t="shared" si="674"/>
        <v>0</v>
      </c>
      <c r="AV911" s="29">
        <f t="shared" si="675"/>
        <v>-269509.5</v>
      </c>
      <c r="AW911" s="29"/>
      <c r="AX911" s="29">
        <f t="shared" si="676"/>
        <v>-2307909.1999999988</v>
      </c>
      <c r="AY911" s="29">
        <f t="shared" si="677"/>
        <v>9300000</v>
      </c>
      <c r="AZ911" s="29">
        <f t="shared" si="678"/>
        <v>6992090.8000000007</v>
      </c>
    </row>
    <row r="912" spans="2:52" x14ac:dyDescent="0.3">
      <c r="B912" s="99">
        <f t="shared" si="679"/>
        <v>45440</v>
      </c>
      <c r="C912" s="44">
        <f t="shared" si="688"/>
        <v>-2664549.379999999</v>
      </c>
      <c r="D912" s="38">
        <v>126215.52</v>
      </c>
      <c r="E912" s="38"/>
      <c r="F912" s="38">
        <v>-1777.6</v>
      </c>
      <c r="G912" s="45">
        <f t="shared" si="668"/>
        <v>-2540111.459999999</v>
      </c>
      <c r="H912" s="44">
        <v>4300000</v>
      </c>
      <c r="I912" s="46">
        <f t="shared" si="689"/>
        <v>348635.73</v>
      </c>
      <c r="J912" s="38"/>
      <c r="K912" s="38">
        <v>1101700</v>
      </c>
      <c r="L912" s="38">
        <v>-668556.97</v>
      </c>
      <c r="M912" s="47">
        <f t="shared" si="690"/>
        <v>781778.76</v>
      </c>
      <c r="N912" s="46">
        <v>5000000</v>
      </c>
      <c r="O912" s="48">
        <f t="shared" si="691"/>
        <v>7291.5600000002305</v>
      </c>
      <c r="P912" s="38">
        <v>282515.65999999997</v>
      </c>
      <c r="Q912" s="38">
        <f>821700-1101700</f>
        <v>-280000</v>
      </c>
      <c r="R912" s="38">
        <v>-2330.5700000000002</v>
      </c>
      <c r="S912" s="55">
        <f t="shared" si="692"/>
        <v>7476.6500000002052</v>
      </c>
      <c r="T912" s="48"/>
      <c r="U912" s="49">
        <f t="shared" si="693"/>
        <v>54.34000000020751</v>
      </c>
      <c r="V912" s="38">
        <v>821671.83</v>
      </c>
      <c r="W912" s="38">
        <v>-821700</v>
      </c>
      <c r="X912" s="38">
        <v>-3</v>
      </c>
      <c r="Y912" s="51">
        <f t="shared" si="694"/>
        <v>23.170000000158325</v>
      </c>
      <c r="Z912" s="52"/>
      <c r="AA912" s="53">
        <f t="shared" si="695"/>
        <v>130.22999999960302</v>
      </c>
      <c r="AB912" s="38"/>
      <c r="AC912" s="38"/>
      <c r="AD912" s="38"/>
      <c r="AE912" s="54">
        <f t="shared" si="696"/>
        <v>130.22999999960302</v>
      </c>
      <c r="AF912" s="53"/>
      <c r="AG912" s="53">
        <f t="shared" si="670"/>
        <v>528.32000000008611</v>
      </c>
      <c r="AH912" s="38"/>
      <c r="AI912" s="38"/>
      <c r="AJ912" s="38"/>
      <c r="AK912" s="54">
        <f t="shared" si="671"/>
        <v>528.32000000008611</v>
      </c>
      <c r="AL912" s="53"/>
      <c r="AM912" s="53">
        <f t="shared" si="685"/>
        <v>0</v>
      </c>
      <c r="AN912" s="38"/>
      <c r="AO912" s="38"/>
      <c r="AP912" s="38"/>
      <c r="AQ912" s="54">
        <f t="shared" si="686"/>
        <v>0</v>
      </c>
      <c r="AR912" s="53"/>
      <c r="AS912" s="29">
        <f t="shared" si="672"/>
        <v>-2308437.5199999991</v>
      </c>
      <c r="AT912" s="29">
        <f t="shared" si="673"/>
        <v>1230403.01</v>
      </c>
      <c r="AU912" s="29">
        <f t="shared" si="674"/>
        <v>0</v>
      </c>
      <c r="AV912" s="29">
        <f t="shared" si="675"/>
        <v>-672668.1399999999</v>
      </c>
      <c r="AW912" s="29"/>
      <c r="AX912" s="29">
        <f t="shared" si="676"/>
        <v>-1750174.3299999991</v>
      </c>
      <c r="AY912" s="29">
        <f t="shared" si="677"/>
        <v>9300000</v>
      </c>
      <c r="AZ912" s="29">
        <f t="shared" si="678"/>
        <v>7549825.6700000009</v>
      </c>
    </row>
    <row r="913" spans="2:52" x14ac:dyDescent="0.3">
      <c r="B913" s="99">
        <f t="shared" si="679"/>
        <v>45441</v>
      </c>
      <c r="C913" s="44">
        <f t="shared" si="688"/>
        <v>-2540111.459999999</v>
      </c>
      <c r="D913" s="38">
        <v>508535.22</v>
      </c>
      <c r="E913" s="38">
        <f>1125000+298000</f>
        <v>1423000</v>
      </c>
      <c r="F913" s="38"/>
      <c r="G913" s="45">
        <f t="shared" si="668"/>
        <v>-608576.23999999906</v>
      </c>
      <c r="H913" s="44">
        <v>4300000</v>
      </c>
      <c r="I913" s="46">
        <f t="shared" si="689"/>
        <v>781778.76</v>
      </c>
      <c r="J913" s="38"/>
      <c r="K913" s="38"/>
      <c r="L913" s="38"/>
      <c r="M913" s="47">
        <f t="shared" si="690"/>
        <v>781778.76</v>
      </c>
      <c r="N913" s="46">
        <v>5000000</v>
      </c>
      <c r="O913" s="48">
        <f t="shared" si="691"/>
        <v>7476.6500000002052</v>
      </c>
      <c r="P913" s="38">
        <v>1148409.57</v>
      </c>
      <c r="Q913" s="38">
        <v>-1125000</v>
      </c>
      <c r="R913" s="38">
        <v>-10</v>
      </c>
      <c r="S913" s="55">
        <f t="shared" si="692"/>
        <v>30876.220000000205</v>
      </c>
      <c r="T913" s="48"/>
      <c r="U913" s="49">
        <f t="shared" si="693"/>
        <v>23.170000000158325</v>
      </c>
      <c r="V913" s="38"/>
      <c r="W913" s="38"/>
      <c r="X913" s="38"/>
      <c r="Y913" s="51">
        <f t="shared" si="694"/>
        <v>23.170000000158325</v>
      </c>
      <c r="Z913" s="52"/>
      <c r="AA913" s="53">
        <f t="shared" si="695"/>
        <v>130.22999999960302</v>
      </c>
      <c r="AB913" s="38"/>
      <c r="AC913" s="38"/>
      <c r="AD913" s="38"/>
      <c r="AE913" s="54">
        <f t="shared" si="696"/>
        <v>130.22999999960302</v>
      </c>
      <c r="AF913" s="53"/>
      <c r="AG913" s="53">
        <f t="shared" si="670"/>
        <v>528.32000000008611</v>
      </c>
      <c r="AH913" s="38">
        <v>298040.68</v>
      </c>
      <c r="AI913" s="38">
        <v>-298000</v>
      </c>
      <c r="AJ913" s="38">
        <v>-75</v>
      </c>
      <c r="AK913" s="54">
        <f t="shared" si="671"/>
        <v>494.00000000005821</v>
      </c>
      <c r="AL913" s="53"/>
      <c r="AM913" s="53">
        <f t="shared" si="685"/>
        <v>0</v>
      </c>
      <c r="AN913" s="38"/>
      <c r="AO913" s="38"/>
      <c r="AP913" s="38"/>
      <c r="AQ913" s="54">
        <f t="shared" si="686"/>
        <v>0</v>
      </c>
      <c r="AR913" s="53"/>
      <c r="AS913" s="29">
        <f t="shared" si="672"/>
        <v>-1750702.6499999992</v>
      </c>
      <c r="AT913" s="29">
        <f t="shared" si="673"/>
        <v>1954985.47</v>
      </c>
      <c r="AU913" s="29">
        <f t="shared" si="674"/>
        <v>0</v>
      </c>
      <c r="AV913" s="29">
        <f t="shared" si="675"/>
        <v>-85</v>
      </c>
      <c r="AW913" s="29"/>
      <c r="AX913" s="29">
        <f t="shared" si="676"/>
        <v>204726.14000000097</v>
      </c>
      <c r="AY913" s="29">
        <f t="shared" si="677"/>
        <v>9300000</v>
      </c>
      <c r="AZ913" s="29">
        <f t="shared" si="678"/>
        <v>9504726.1400000006</v>
      </c>
    </row>
    <row r="914" spans="2:52" x14ac:dyDescent="0.3">
      <c r="B914" s="99">
        <f t="shared" si="679"/>
        <v>45442</v>
      </c>
      <c r="C914" s="44">
        <f t="shared" si="688"/>
        <v>-608576.23999999906</v>
      </c>
      <c r="D914" s="38"/>
      <c r="E914" s="38"/>
      <c r="F914" s="38"/>
      <c r="G914" s="45">
        <f t="shared" si="668"/>
        <v>-608576.23999999906</v>
      </c>
      <c r="H914" s="44">
        <v>4300000</v>
      </c>
      <c r="I914" s="46">
        <f t="shared" si="689"/>
        <v>781778.76</v>
      </c>
      <c r="J914" s="38"/>
      <c r="K914" s="38"/>
      <c r="L914" s="38"/>
      <c r="M914" s="47">
        <f t="shared" si="690"/>
        <v>781778.76</v>
      </c>
      <c r="N914" s="46">
        <v>5000000</v>
      </c>
      <c r="O914" s="48">
        <f t="shared" si="691"/>
        <v>30876.220000000205</v>
      </c>
      <c r="P914" s="38"/>
      <c r="Q914" s="38"/>
      <c r="R914" s="38"/>
      <c r="S914" s="55">
        <f t="shared" si="692"/>
        <v>30876.220000000205</v>
      </c>
      <c r="T914" s="48"/>
      <c r="U914" s="49">
        <f t="shared" si="693"/>
        <v>23.170000000158325</v>
      </c>
      <c r="V914" s="38"/>
      <c r="W914" s="38"/>
      <c r="X914" s="38"/>
      <c r="Y914" s="51">
        <f t="shared" si="694"/>
        <v>23.170000000158325</v>
      </c>
      <c r="Z914" s="52"/>
      <c r="AA914" s="53">
        <f t="shared" si="695"/>
        <v>130.22999999960302</v>
      </c>
      <c r="AB914" s="38"/>
      <c r="AC914" s="38"/>
      <c r="AD914" s="38"/>
      <c r="AE914" s="54">
        <f t="shared" si="696"/>
        <v>130.22999999960302</v>
      </c>
      <c r="AF914" s="53"/>
      <c r="AG914" s="53">
        <f t="shared" si="670"/>
        <v>494.00000000005821</v>
      </c>
      <c r="AH914" s="38"/>
      <c r="AI914" s="38"/>
      <c r="AJ914" s="38"/>
      <c r="AK914" s="54">
        <f t="shared" si="671"/>
        <v>494.00000000005821</v>
      </c>
      <c r="AL914" s="53"/>
      <c r="AM914" s="53">
        <f t="shared" si="685"/>
        <v>0</v>
      </c>
      <c r="AN914" s="38"/>
      <c r="AO914" s="38"/>
      <c r="AP914" s="38"/>
      <c r="AQ914" s="54">
        <f t="shared" si="686"/>
        <v>0</v>
      </c>
      <c r="AR914" s="53"/>
      <c r="AS914" s="29">
        <f t="shared" si="672"/>
        <v>204232.14000000092</v>
      </c>
      <c r="AT914" s="29">
        <f t="shared" si="673"/>
        <v>0</v>
      </c>
      <c r="AU914" s="29">
        <f t="shared" si="674"/>
        <v>0</v>
      </c>
      <c r="AV914" s="29">
        <f t="shared" si="675"/>
        <v>0</v>
      </c>
      <c r="AW914" s="29"/>
      <c r="AX914" s="29">
        <f t="shared" si="676"/>
        <v>204726.14000000097</v>
      </c>
      <c r="AY914" s="29">
        <f t="shared" si="677"/>
        <v>9300000</v>
      </c>
      <c r="AZ914" s="29">
        <f t="shared" si="678"/>
        <v>9504726.1400000006</v>
      </c>
    </row>
    <row r="915" spans="2:52" x14ac:dyDescent="0.3">
      <c r="B915" s="99">
        <f t="shared" si="679"/>
        <v>45443</v>
      </c>
      <c r="C915" s="44">
        <f t="shared" si="688"/>
        <v>-608576.23999999906</v>
      </c>
      <c r="D915" s="38">
        <v>654506.73</v>
      </c>
      <c r="E915" s="38"/>
      <c r="F915" s="38">
        <v>-67209.2</v>
      </c>
      <c r="G915" s="45">
        <f t="shared" si="668"/>
        <v>-21278.709999999075</v>
      </c>
      <c r="H915" s="44">
        <v>4300000</v>
      </c>
      <c r="I915" s="46">
        <f t="shared" si="689"/>
        <v>781778.76</v>
      </c>
      <c r="J915" s="38">
        <v>454442.67</v>
      </c>
      <c r="K915" s="38"/>
      <c r="L915" s="38">
        <v>-346472.1</v>
      </c>
      <c r="M915" s="47">
        <f t="shared" si="690"/>
        <v>889749.33</v>
      </c>
      <c r="N915" s="46">
        <v>5000000</v>
      </c>
      <c r="O915" s="48">
        <f t="shared" si="691"/>
        <v>30876.220000000205</v>
      </c>
      <c r="P915" s="38">
        <v>1018843.8</v>
      </c>
      <c r="Q915" s="38"/>
      <c r="R915" s="38">
        <v>-10</v>
      </c>
      <c r="S915" s="55">
        <f t="shared" si="692"/>
        <v>1049710.0200000003</v>
      </c>
      <c r="T915" s="48"/>
      <c r="U915" s="49">
        <f t="shared" si="693"/>
        <v>23.170000000158325</v>
      </c>
      <c r="V915" s="38">
        <v>103704.25</v>
      </c>
      <c r="W915" s="38"/>
      <c r="X915" s="38"/>
      <c r="Y915" s="51">
        <f t="shared" si="694"/>
        <v>103727.42000000016</v>
      </c>
      <c r="Z915" s="52"/>
      <c r="AA915" s="53">
        <f t="shared" si="695"/>
        <v>130.22999999960302</v>
      </c>
      <c r="AB915" s="38">
        <v>0.73</v>
      </c>
      <c r="AC915" s="38"/>
      <c r="AD915" s="38"/>
      <c r="AE915" s="54">
        <f t="shared" si="696"/>
        <v>130.95999999960301</v>
      </c>
      <c r="AF915" s="53"/>
      <c r="AG915" s="53">
        <f t="shared" si="670"/>
        <v>494.00000000005821</v>
      </c>
      <c r="AH915" s="38"/>
      <c r="AI915" s="38"/>
      <c r="AJ915" s="38">
        <v>-9.83</v>
      </c>
      <c r="AK915" s="54">
        <f t="shared" si="671"/>
        <v>484.17000000005822</v>
      </c>
      <c r="AL915" s="53"/>
      <c r="AM915" s="53">
        <f t="shared" si="685"/>
        <v>0</v>
      </c>
      <c r="AN915" s="38"/>
      <c r="AO915" s="38"/>
      <c r="AP915" s="38"/>
      <c r="AQ915" s="54">
        <f t="shared" si="686"/>
        <v>0</v>
      </c>
      <c r="AR915" s="53"/>
      <c r="AS915" s="29">
        <f t="shared" si="672"/>
        <v>204232.14000000092</v>
      </c>
      <c r="AT915" s="29">
        <f t="shared" si="673"/>
        <v>2231498.1800000002</v>
      </c>
      <c r="AU915" s="29">
        <f t="shared" si="674"/>
        <v>0</v>
      </c>
      <c r="AV915" s="29">
        <f t="shared" si="675"/>
        <v>-413701.13</v>
      </c>
      <c r="AW915" s="29"/>
      <c r="AX915" s="29">
        <f t="shared" si="676"/>
        <v>2022523.1900000009</v>
      </c>
      <c r="AY915" s="29">
        <f t="shared" si="677"/>
        <v>9300000</v>
      </c>
      <c r="AZ915" s="29">
        <f t="shared" si="678"/>
        <v>11322523.190000001</v>
      </c>
    </row>
    <row r="916" spans="2:52" x14ac:dyDescent="0.3">
      <c r="B916" s="99">
        <f t="shared" ref="B916" si="701">B915+3</f>
        <v>45446</v>
      </c>
      <c r="C916" s="44">
        <f t="shared" si="688"/>
        <v>-21278.709999999075</v>
      </c>
      <c r="D916" s="38"/>
      <c r="E916" s="38">
        <v>200000</v>
      </c>
      <c r="F916" s="38">
        <v>-138271.48000000001</v>
      </c>
      <c r="G916" s="45">
        <f t="shared" si="668"/>
        <v>40449.8100000009</v>
      </c>
      <c r="H916" s="44">
        <v>4300000</v>
      </c>
      <c r="I916" s="46">
        <f t="shared" si="689"/>
        <v>889749.33</v>
      </c>
      <c r="J916" s="38">
        <v>127653.35</v>
      </c>
      <c r="K916" s="38">
        <f>1350000-200000</f>
        <v>1150000</v>
      </c>
      <c r="L916" s="38">
        <v>-986573.05</v>
      </c>
      <c r="M916" s="47">
        <f t="shared" si="690"/>
        <v>1180829.6299999997</v>
      </c>
      <c r="N916" s="46">
        <v>5000000</v>
      </c>
      <c r="O916" s="48">
        <f t="shared" si="691"/>
        <v>1049710.0200000003</v>
      </c>
      <c r="P916" s="38">
        <v>268649.02</v>
      </c>
      <c r="Q916" s="38">
        <f>103700-1350000</f>
        <v>-1246300</v>
      </c>
      <c r="R916" s="38">
        <v>-62752.66</v>
      </c>
      <c r="S916" s="55">
        <f t="shared" si="692"/>
        <v>9306.3800000002666</v>
      </c>
      <c r="T916" s="48"/>
      <c r="U916" s="49">
        <f t="shared" si="693"/>
        <v>103727.42000000016</v>
      </c>
      <c r="V916" s="38"/>
      <c r="W916" s="38">
        <v>-103700</v>
      </c>
      <c r="X916" s="38"/>
      <c r="Y916" s="51">
        <f t="shared" si="694"/>
        <v>27.420000000158325</v>
      </c>
      <c r="Z916" s="52"/>
      <c r="AA916" s="53">
        <f t="shared" si="695"/>
        <v>130.95999999960301</v>
      </c>
      <c r="AB916" s="38"/>
      <c r="AC916" s="38"/>
      <c r="AD916" s="38"/>
      <c r="AE916" s="54">
        <f t="shared" si="696"/>
        <v>130.95999999960301</v>
      </c>
      <c r="AF916" s="53"/>
      <c r="AG916" s="53">
        <f t="shared" si="670"/>
        <v>484.17000000005822</v>
      </c>
      <c r="AH916" s="38"/>
      <c r="AI916" s="38"/>
      <c r="AJ916" s="38"/>
      <c r="AK916" s="54">
        <f t="shared" si="671"/>
        <v>484.17000000005822</v>
      </c>
      <c r="AL916" s="53"/>
      <c r="AM916" s="53">
        <f t="shared" si="685"/>
        <v>0</v>
      </c>
      <c r="AN916" s="38"/>
      <c r="AO916" s="38"/>
      <c r="AP916" s="38"/>
      <c r="AQ916" s="54">
        <f t="shared" si="686"/>
        <v>0</v>
      </c>
      <c r="AR916" s="53"/>
      <c r="AS916" s="29">
        <f t="shared" si="672"/>
        <v>2022039.0200000007</v>
      </c>
      <c r="AT916" s="29">
        <f t="shared" si="673"/>
        <v>396302.37</v>
      </c>
      <c r="AU916" s="29">
        <f t="shared" si="674"/>
        <v>0</v>
      </c>
      <c r="AV916" s="29">
        <f t="shared" si="675"/>
        <v>-1187597.19</v>
      </c>
      <c r="AW916" s="29"/>
      <c r="AX916" s="29">
        <f t="shared" si="676"/>
        <v>1231228.3700000008</v>
      </c>
      <c r="AY916" s="29">
        <f t="shared" si="677"/>
        <v>9300000</v>
      </c>
      <c r="AZ916" s="29">
        <f t="shared" si="678"/>
        <v>10531228.370000001</v>
      </c>
    </row>
    <row r="917" spans="2:52" x14ac:dyDescent="0.3">
      <c r="B917" s="99">
        <f t="shared" si="679"/>
        <v>45447</v>
      </c>
      <c r="C917" s="44">
        <f t="shared" si="688"/>
        <v>40449.8100000009</v>
      </c>
      <c r="D917" s="38">
        <v>286638.98</v>
      </c>
      <c r="E917" s="38">
        <v>-1450000</v>
      </c>
      <c r="F917" s="38">
        <v>-54770.91</v>
      </c>
      <c r="G917" s="45">
        <f t="shared" ref="G917:G980" si="702">SUM(C917:F917)</f>
        <v>-1177682.1199999989</v>
      </c>
      <c r="H917" s="44">
        <v>4300000</v>
      </c>
      <c r="I917" s="46">
        <f t="shared" si="689"/>
        <v>1180829.6299999997</v>
      </c>
      <c r="J917" s="38">
        <v>688.75</v>
      </c>
      <c r="K917" s="38">
        <f>1000000+460000+450000</f>
        <v>1910000</v>
      </c>
      <c r="L917" s="38">
        <v>-3052243.94</v>
      </c>
      <c r="M917" s="47">
        <f t="shared" si="690"/>
        <v>39274.439999999944</v>
      </c>
      <c r="N917" s="46">
        <v>5000000</v>
      </c>
      <c r="O917" s="48">
        <f t="shared" si="691"/>
        <v>9306.3800000002666</v>
      </c>
      <c r="P917" s="38">
        <v>459835.4</v>
      </c>
      <c r="Q917" s="38">
        <v>-460000</v>
      </c>
      <c r="R917" s="38">
        <v>-4571.37</v>
      </c>
      <c r="S917" s="55">
        <f t="shared" si="692"/>
        <v>4570.4100000002609</v>
      </c>
      <c r="T917" s="48"/>
      <c r="U917" s="49">
        <f t="shared" si="693"/>
        <v>27.420000000158325</v>
      </c>
      <c r="V917" s="38"/>
      <c r="W917" s="38"/>
      <c r="X917" s="38">
        <v>-27.42</v>
      </c>
      <c r="Y917" s="51">
        <f t="shared" si="694"/>
        <v>1.5832313238206552E-10</v>
      </c>
      <c r="Z917" s="52"/>
      <c r="AA917" s="53">
        <f t="shared" si="695"/>
        <v>130.95999999960301</v>
      </c>
      <c r="AB917" s="38"/>
      <c r="AC917" s="38">
        <v>400</v>
      </c>
      <c r="AD917" s="38">
        <v>-392.08</v>
      </c>
      <c r="AE917" s="54">
        <f t="shared" si="696"/>
        <v>138.87999999960306</v>
      </c>
      <c r="AF917" s="53"/>
      <c r="AG917" s="53">
        <f t="shared" si="670"/>
        <v>484.17000000005822</v>
      </c>
      <c r="AH917" s="38"/>
      <c r="AI917" s="38">
        <v>-400</v>
      </c>
      <c r="AJ917" s="38"/>
      <c r="AK917" s="54">
        <f t="shared" si="671"/>
        <v>84.170000000058224</v>
      </c>
      <c r="AL917" s="53"/>
      <c r="AM917" s="53">
        <f t="shared" si="685"/>
        <v>0</v>
      </c>
      <c r="AN917" s="38"/>
      <c r="AO917" s="38"/>
      <c r="AP917" s="38"/>
      <c r="AQ917" s="54">
        <f t="shared" si="686"/>
        <v>0</v>
      </c>
      <c r="AR917" s="53"/>
      <c r="AS917" s="29">
        <f t="shared" si="672"/>
        <v>1230744.2000000007</v>
      </c>
      <c r="AT917" s="29">
        <f t="shared" si="673"/>
        <v>747163.13</v>
      </c>
      <c r="AU917" s="29">
        <f t="shared" si="674"/>
        <v>0</v>
      </c>
      <c r="AV917" s="29">
        <f t="shared" si="675"/>
        <v>-3112005.72</v>
      </c>
      <c r="AW917" s="29"/>
      <c r="AX917" s="29">
        <f t="shared" si="676"/>
        <v>-1133614.2199999988</v>
      </c>
      <c r="AY917" s="29">
        <f t="shared" si="677"/>
        <v>9300000</v>
      </c>
      <c r="AZ917" s="29">
        <f t="shared" si="678"/>
        <v>8166385.7800000012</v>
      </c>
    </row>
    <row r="918" spans="2:52" x14ac:dyDescent="0.3">
      <c r="B918" s="99">
        <f t="shared" si="679"/>
        <v>45448</v>
      </c>
      <c r="C918" s="44">
        <f t="shared" si="688"/>
        <v>-1177682.1199999989</v>
      </c>
      <c r="D918" s="38"/>
      <c r="E918" s="38">
        <v>-800000</v>
      </c>
      <c r="F918" s="38">
        <v>-14077.5</v>
      </c>
      <c r="G918" s="45">
        <f t="shared" si="702"/>
        <v>-1991759.6199999989</v>
      </c>
      <c r="H918" s="44">
        <v>4300000</v>
      </c>
      <c r="I918" s="46">
        <f t="shared" si="689"/>
        <v>39274.439999999944</v>
      </c>
      <c r="J918" s="38"/>
      <c r="K918" s="38">
        <v>800000</v>
      </c>
      <c r="L918" s="38">
        <v>-796118.34</v>
      </c>
      <c r="M918" s="47">
        <f t="shared" si="690"/>
        <v>43156.099999999977</v>
      </c>
      <c r="N918" s="46">
        <v>5000000</v>
      </c>
      <c r="O918" s="48">
        <f t="shared" si="691"/>
        <v>4570.4100000002609</v>
      </c>
      <c r="P918" s="38"/>
      <c r="Q918" s="38">
        <v>-100</v>
      </c>
      <c r="R918" s="38">
        <v>-1208.1400000000001</v>
      </c>
      <c r="S918" s="55">
        <f t="shared" si="692"/>
        <v>3262.2700000002606</v>
      </c>
      <c r="T918" s="48"/>
      <c r="U918" s="49">
        <f t="shared" si="693"/>
        <v>1.5832313238206552E-10</v>
      </c>
      <c r="V918" s="38"/>
      <c r="W918" s="38">
        <v>100</v>
      </c>
      <c r="X918" s="38">
        <v>-39.380000000000003</v>
      </c>
      <c r="Y918" s="51">
        <f t="shared" si="694"/>
        <v>60.620000000158321</v>
      </c>
      <c r="Z918" s="52"/>
      <c r="AA918" s="53">
        <f t="shared" si="695"/>
        <v>138.87999999960306</v>
      </c>
      <c r="AB918" s="38">
        <v>1804702.78</v>
      </c>
      <c r="AC918" s="38"/>
      <c r="AD918" s="38"/>
      <c r="AE918" s="54">
        <f t="shared" si="696"/>
        <v>1804841.6599999997</v>
      </c>
      <c r="AF918" s="53"/>
      <c r="AG918" s="53">
        <f t="shared" si="670"/>
        <v>84.170000000058224</v>
      </c>
      <c r="AH918" s="38"/>
      <c r="AI918" s="38"/>
      <c r="AJ918" s="38"/>
      <c r="AK918" s="54">
        <f t="shared" si="671"/>
        <v>84.170000000058224</v>
      </c>
      <c r="AL918" s="53"/>
      <c r="AM918" s="53">
        <f t="shared" si="685"/>
        <v>0</v>
      </c>
      <c r="AN918" s="38"/>
      <c r="AO918" s="38"/>
      <c r="AP918" s="38"/>
      <c r="AQ918" s="54">
        <f t="shared" si="686"/>
        <v>0</v>
      </c>
      <c r="AR918" s="53"/>
      <c r="AS918" s="29">
        <f t="shared" si="672"/>
        <v>-1133698.389999999</v>
      </c>
      <c r="AT918" s="29">
        <f t="shared" si="673"/>
        <v>1804702.78</v>
      </c>
      <c r="AU918" s="29">
        <f t="shared" si="674"/>
        <v>0</v>
      </c>
      <c r="AV918" s="29">
        <f t="shared" si="675"/>
        <v>-811443.36</v>
      </c>
      <c r="AW918" s="29"/>
      <c r="AX918" s="29">
        <f t="shared" si="676"/>
        <v>-140354.79999999897</v>
      </c>
      <c r="AY918" s="29">
        <f t="shared" si="677"/>
        <v>9300000</v>
      </c>
      <c r="AZ918" s="29">
        <f t="shared" si="678"/>
        <v>9159645.2000000011</v>
      </c>
    </row>
    <row r="919" spans="2:52" x14ac:dyDescent="0.3">
      <c r="B919" s="99">
        <f t="shared" si="679"/>
        <v>45449</v>
      </c>
      <c r="C919" s="44">
        <f t="shared" si="688"/>
        <v>-1991759.6199999989</v>
      </c>
      <c r="D919" s="38"/>
      <c r="E919" s="38">
        <v>1804000</v>
      </c>
      <c r="F919" s="38">
        <v>-4500.21</v>
      </c>
      <c r="G919" s="45">
        <f t="shared" si="702"/>
        <v>-192259.82999999894</v>
      </c>
      <c r="H919" s="44">
        <v>4300000</v>
      </c>
      <c r="I919" s="46">
        <f t="shared" si="689"/>
        <v>43156.099999999977</v>
      </c>
      <c r="J919" s="38"/>
      <c r="K919" s="38"/>
      <c r="L919" s="38">
        <v>-28874</v>
      </c>
      <c r="M919" s="47">
        <f t="shared" si="690"/>
        <v>14282.099999999977</v>
      </c>
      <c r="N919" s="46">
        <v>5000000</v>
      </c>
      <c r="O919" s="48">
        <f t="shared" si="691"/>
        <v>3262.2700000002606</v>
      </c>
      <c r="P919" s="38"/>
      <c r="Q919" s="38"/>
      <c r="R919" s="38">
        <v>-3000</v>
      </c>
      <c r="S919" s="55">
        <f t="shared" si="692"/>
        <v>262.27000000026055</v>
      </c>
      <c r="T919" s="48"/>
      <c r="U919" s="49">
        <f t="shared" si="693"/>
        <v>60.620000000158321</v>
      </c>
      <c r="V919" s="38"/>
      <c r="W919" s="38"/>
      <c r="X919" s="38"/>
      <c r="Y919" s="51">
        <f t="shared" si="694"/>
        <v>60.620000000158321</v>
      </c>
      <c r="Z919" s="52"/>
      <c r="AA919" s="53">
        <f t="shared" si="695"/>
        <v>1804841.6599999997</v>
      </c>
      <c r="AB919" s="38"/>
      <c r="AC919" s="38">
        <v>-1804000</v>
      </c>
      <c r="AD919" s="38"/>
      <c r="AE919" s="54">
        <f t="shared" si="696"/>
        <v>841.65999999968335</v>
      </c>
      <c r="AF919" s="53"/>
      <c r="AG919" s="53">
        <f t="shared" si="670"/>
        <v>84.170000000058224</v>
      </c>
      <c r="AH919" s="38"/>
      <c r="AI919" s="38"/>
      <c r="AJ919" s="38"/>
      <c r="AK919" s="54">
        <f t="shared" si="671"/>
        <v>84.170000000058224</v>
      </c>
      <c r="AL919" s="53"/>
      <c r="AM919" s="53">
        <f t="shared" si="685"/>
        <v>0</v>
      </c>
      <c r="AN919" s="38"/>
      <c r="AO919" s="38"/>
      <c r="AP919" s="38"/>
      <c r="AQ919" s="54">
        <f t="shared" si="686"/>
        <v>0</v>
      </c>
      <c r="AR919" s="53"/>
      <c r="AS919" s="29">
        <f t="shared" si="672"/>
        <v>-140438.96999999904</v>
      </c>
      <c r="AT919" s="29">
        <f t="shared" si="673"/>
        <v>0</v>
      </c>
      <c r="AU919" s="29">
        <f t="shared" si="674"/>
        <v>0</v>
      </c>
      <c r="AV919" s="29">
        <f t="shared" si="675"/>
        <v>-36374.21</v>
      </c>
      <c r="AW919" s="29"/>
      <c r="AX919" s="29">
        <f t="shared" si="676"/>
        <v>-176729.00999999879</v>
      </c>
      <c r="AY919" s="29">
        <f t="shared" si="677"/>
        <v>9300000</v>
      </c>
      <c r="AZ919" s="29">
        <f t="shared" si="678"/>
        <v>9123270.9900000021</v>
      </c>
    </row>
    <row r="920" spans="2:52" x14ac:dyDescent="0.3">
      <c r="B920" s="99">
        <f t="shared" si="679"/>
        <v>45450</v>
      </c>
      <c r="C920" s="44">
        <f t="shared" si="688"/>
        <v>-192259.82999999894</v>
      </c>
      <c r="D920" s="38">
        <v>1126.2</v>
      </c>
      <c r="E920" s="38"/>
      <c r="F920" s="38">
        <v>-46.31</v>
      </c>
      <c r="G920" s="45">
        <f t="shared" si="702"/>
        <v>-191179.93999999893</v>
      </c>
      <c r="H920" s="44">
        <v>4300000</v>
      </c>
      <c r="I920" s="46">
        <f t="shared" si="689"/>
        <v>14282.099999999977</v>
      </c>
      <c r="J920" s="38">
        <v>1613.87</v>
      </c>
      <c r="K920" s="38">
        <v>110000</v>
      </c>
      <c r="L920" s="38">
        <v>-98419.520000000004</v>
      </c>
      <c r="M920" s="47">
        <f t="shared" si="690"/>
        <v>27476.449999999968</v>
      </c>
      <c r="N920" s="46">
        <v>5000000</v>
      </c>
      <c r="O920" s="48">
        <f t="shared" si="691"/>
        <v>262.27000000026055</v>
      </c>
      <c r="P920" s="38">
        <v>115134.74</v>
      </c>
      <c r="Q920" s="38">
        <v>-110000</v>
      </c>
      <c r="R920" s="38"/>
      <c r="S920" s="55">
        <f t="shared" si="692"/>
        <v>5397.0100000002712</v>
      </c>
      <c r="T920" s="48"/>
      <c r="U920" s="49">
        <f t="shared" si="693"/>
        <v>60.620000000158321</v>
      </c>
      <c r="V920" s="38"/>
      <c r="W920" s="38"/>
      <c r="X920" s="38"/>
      <c r="Y920" s="51">
        <f t="shared" si="694"/>
        <v>60.620000000158321</v>
      </c>
      <c r="Z920" s="52"/>
      <c r="AA920" s="53">
        <f t="shared" si="695"/>
        <v>841.65999999968335</v>
      </c>
      <c r="AB920" s="38"/>
      <c r="AC920" s="38"/>
      <c r="AD920" s="38"/>
      <c r="AE920" s="54">
        <f t="shared" si="696"/>
        <v>841.65999999968335</v>
      </c>
      <c r="AF920" s="53"/>
      <c r="AG920" s="53">
        <f t="shared" si="670"/>
        <v>84.170000000058224</v>
      </c>
      <c r="AH920" s="38"/>
      <c r="AI920" s="38"/>
      <c r="AJ920" s="38"/>
      <c r="AK920" s="54">
        <f t="shared" si="671"/>
        <v>84.170000000058224</v>
      </c>
      <c r="AL920" s="53"/>
      <c r="AM920" s="53">
        <f t="shared" si="685"/>
        <v>0</v>
      </c>
      <c r="AN920" s="38"/>
      <c r="AO920" s="38"/>
      <c r="AP920" s="38"/>
      <c r="AQ920" s="54">
        <f t="shared" si="686"/>
        <v>0</v>
      </c>
      <c r="AR920" s="53"/>
      <c r="AS920" s="29">
        <f t="shared" si="672"/>
        <v>-176813.17999999886</v>
      </c>
      <c r="AT920" s="29">
        <f t="shared" si="673"/>
        <v>117874.81</v>
      </c>
      <c r="AU920" s="29">
        <f t="shared" si="674"/>
        <v>0</v>
      </c>
      <c r="AV920" s="29">
        <f t="shared" si="675"/>
        <v>-98465.83</v>
      </c>
      <c r="AW920" s="29"/>
      <c r="AX920" s="29">
        <f t="shared" si="676"/>
        <v>-157320.02999999875</v>
      </c>
      <c r="AY920" s="29">
        <f t="shared" si="677"/>
        <v>9300000</v>
      </c>
      <c r="AZ920" s="29">
        <f t="shared" si="678"/>
        <v>9142679.9700000007</v>
      </c>
    </row>
    <row r="921" spans="2:52" x14ac:dyDescent="0.3">
      <c r="B921" s="99">
        <f t="shared" ref="B921" si="703">B920+3</f>
        <v>45453</v>
      </c>
      <c r="C921" s="44">
        <f t="shared" si="688"/>
        <v>-191179.93999999893</v>
      </c>
      <c r="D921" s="38">
        <v>294414.59000000003</v>
      </c>
      <c r="E921" s="38">
        <f>310000-310000</f>
        <v>0</v>
      </c>
      <c r="F921" s="38">
        <v>-237.32</v>
      </c>
      <c r="G921" s="45">
        <f t="shared" si="702"/>
        <v>102997.33000000109</v>
      </c>
      <c r="H921" s="44">
        <v>4300000</v>
      </c>
      <c r="I921" s="46">
        <f t="shared" si="689"/>
        <v>27476.449999999968</v>
      </c>
      <c r="J921" s="38">
        <v>519789.07</v>
      </c>
      <c r="K921" s="38">
        <f>310000-310000</f>
        <v>0</v>
      </c>
      <c r="L921" s="38">
        <v>-320794.69</v>
      </c>
      <c r="M921" s="47">
        <f t="shared" si="690"/>
        <v>226470.83000000002</v>
      </c>
      <c r="N921" s="46">
        <v>5000000</v>
      </c>
      <c r="O921" s="48">
        <f t="shared" si="691"/>
        <v>5397.0100000002712</v>
      </c>
      <c r="P921" s="38"/>
      <c r="Q921" s="38"/>
      <c r="R921" s="38">
        <v>-3226.47</v>
      </c>
      <c r="S921" s="55">
        <f t="shared" si="692"/>
        <v>2170.5400000002714</v>
      </c>
      <c r="T921" s="48"/>
      <c r="U921" s="49">
        <f t="shared" si="693"/>
        <v>60.620000000158321</v>
      </c>
      <c r="V921" s="38"/>
      <c r="W921" s="38"/>
      <c r="X921" s="38"/>
      <c r="Y921" s="51">
        <f t="shared" si="694"/>
        <v>60.620000000158321</v>
      </c>
      <c r="Z921" s="52"/>
      <c r="AA921" s="53">
        <f t="shared" si="695"/>
        <v>841.65999999968335</v>
      </c>
      <c r="AB921" s="38"/>
      <c r="AC921" s="38"/>
      <c r="AD921" s="38">
        <v>-460</v>
      </c>
      <c r="AE921" s="54">
        <f t="shared" si="696"/>
        <v>381.65999999968335</v>
      </c>
      <c r="AF921" s="53"/>
      <c r="AG921" s="53">
        <f t="shared" ref="AG921:AG984" si="704">AK920</f>
        <v>84.170000000058224</v>
      </c>
      <c r="AH921" s="38"/>
      <c r="AI921" s="38"/>
      <c r="AJ921" s="38"/>
      <c r="AK921" s="54">
        <f t="shared" ref="AK921:AK984" si="705">SUM(AG921:AJ921)</f>
        <v>84.170000000058224</v>
      </c>
      <c r="AL921" s="53"/>
      <c r="AM921" s="53">
        <f t="shared" si="685"/>
        <v>0</v>
      </c>
      <c r="AN921" s="38"/>
      <c r="AO921" s="38"/>
      <c r="AP921" s="38"/>
      <c r="AQ921" s="54">
        <f t="shared" si="686"/>
        <v>0</v>
      </c>
      <c r="AR921" s="53"/>
      <c r="AS921" s="29">
        <f t="shared" ref="AS921:AS984" si="706">SUM(C921,I921,O921,U921,AA921,)</f>
        <v>-157404.19999999882</v>
      </c>
      <c r="AT921" s="29">
        <f t="shared" ref="AT921:AT984" si="707">SUM(D921,J921,P921,V921,AB921,AH921)</f>
        <v>814203.66</v>
      </c>
      <c r="AU921" s="29">
        <f t="shared" ref="AU921:AU984" si="708">SUM(E921,K921,Q921,W921,AC921,AI921)</f>
        <v>0</v>
      </c>
      <c r="AV921" s="29">
        <f t="shared" ref="AV921:AV984" si="709">SUM(F921,L921,R921,X921,AD921,AJ921)</f>
        <v>-324718.48</v>
      </c>
      <c r="AW921" s="29"/>
      <c r="AX921" s="29">
        <f t="shared" ref="AX921:AX984" si="710">SUM(G921,M921,S921,Y921,AE921,AK921)</f>
        <v>332165.15000000125</v>
      </c>
      <c r="AY921" s="29">
        <f t="shared" ref="AY921:AY984" si="711">SUM(H921,N921,T921,Z921,AF921,AL921)</f>
        <v>9300000</v>
      </c>
      <c r="AZ921" s="29">
        <f t="shared" ref="AZ921:AZ984" si="712">AX921+AY921</f>
        <v>9632165.1500000004</v>
      </c>
    </row>
    <row r="922" spans="2:52" x14ac:dyDescent="0.3">
      <c r="B922" s="99">
        <f t="shared" si="679"/>
        <v>45454</v>
      </c>
      <c r="C922" s="44">
        <f t="shared" si="688"/>
        <v>102997.33000000109</v>
      </c>
      <c r="D922" s="38"/>
      <c r="E922" s="38"/>
      <c r="F922" s="38"/>
      <c r="G922" s="45">
        <f t="shared" si="702"/>
        <v>102997.33000000109</v>
      </c>
      <c r="H922" s="44">
        <v>4300000</v>
      </c>
      <c r="I922" s="46">
        <f t="shared" si="689"/>
        <v>226470.83000000002</v>
      </c>
      <c r="J922" s="38"/>
      <c r="K922" s="38"/>
      <c r="L922" s="38">
        <v>-91753.33</v>
      </c>
      <c r="M922" s="47">
        <f t="shared" si="690"/>
        <v>134717.5</v>
      </c>
      <c r="N922" s="46">
        <v>5000000</v>
      </c>
      <c r="O922" s="48">
        <f t="shared" si="691"/>
        <v>2170.5400000002714</v>
      </c>
      <c r="P922" s="38"/>
      <c r="Q922" s="38"/>
      <c r="R922" s="38"/>
      <c r="S922" s="55">
        <f t="shared" si="692"/>
        <v>2170.5400000002714</v>
      </c>
      <c r="T922" s="48"/>
      <c r="U922" s="49">
        <f t="shared" si="693"/>
        <v>60.620000000158321</v>
      </c>
      <c r="V922" s="38"/>
      <c r="W922" s="38"/>
      <c r="X922" s="38"/>
      <c r="Y922" s="51">
        <f t="shared" si="694"/>
        <v>60.620000000158321</v>
      </c>
      <c r="Z922" s="52"/>
      <c r="AA922" s="53">
        <f t="shared" si="695"/>
        <v>381.65999999968335</v>
      </c>
      <c r="AB922" s="38"/>
      <c r="AC922" s="38"/>
      <c r="AD922" s="38"/>
      <c r="AE922" s="54">
        <f t="shared" si="696"/>
        <v>381.65999999968335</v>
      </c>
      <c r="AF922" s="53"/>
      <c r="AG922" s="53">
        <f t="shared" si="704"/>
        <v>84.170000000058224</v>
      </c>
      <c r="AH922" s="38"/>
      <c r="AI922" s="38"/>
      <c r="AJ922" s="38"/>
      <c r="AK922" s="54">
        <f t="shared" si="705"/>
        <v>84.170000000058224</v>
      </c>
      <c r="AL922" s="53"/>
      <c r="AM922" s="53">
        <f t="shared" si="685"/>
        <v>0</v>
      </c>
      <c r="AN922" s="38"/>
      <c r="AO922" s="38"/>
      <c r="AP922" s="38"/>
      <c r="AQ922" s="54">
        <f t="shared" si="686"/>
        <v>0</v>
      </c>
      <c r="AR922" s="53"/>
      <c r="AS922" s="29">
        <f t="shared" si="706"/>
        <v>332080.9800000012</v>
      </c>
      <c r="AT922" s="29">
        <f t="shared" si="707"/>
        <v>0</v>
      </c>
      <c r="AU922" s="29">
        <f t="shared" si="708"/>
        <v>0</v>
      </c>
      <c r="AV922" s="29">
        <f t="shared" si="709"/>
        <v>-91753.33</v>
      </c>
      <c r="AW922" s="29"/>
      <c r="AX922" s="29">
        <f t="shared" si="710"/>
        <v>240411.82000000129</v>
      </c>
      <c r="AY922" s="29">
        <f t="shared" si="711"/>
        <v>9300000</v>
      </c>
      <c r="AZ922" s="29">
        <f t="shared" si="712"/>
        <v>9540411.8200000022</v>
      </c>
    </row>
    <row r="923" spans="2:52" x14ac:dyDescent="0.3">
      <c r="B923" s="99">
        <f t="shared" si="679"/>
        <v>45455</v>
      </c>
      <c r="C923" s="44">
        <f t="shared" si="688"/>
        <v>102997.33000000109</v>
      </c>
      <c r="D923" s="38"/>
      <c r="E923" s="38">
        <v>-160000</v>
      </c>
      <c r="F923" s="38">
        <v>-31535.38</v>
      </c>
      <c r="G923" s="45">
        <f t="shared" si="702"/>
        <v>-88538.049999998912</v>
      </c>
      <c r="H923" s="44">
        <v>4300000</v>
      </c>
      <c r="I923" s="46">
        <f t="shared" si="689"/>
        <v>134717.5</v>
      </c>
      <c r="J923" s="38">
        <v>1669.28</v>
      </c>
      <c r="K923" s="38">
        <v>160000</v>
      </c>
      <c r="L923" s="38">
        <v>-278026.59000000003</v>
      </c>
      <c r="M923" s="47">
        <f t="shared" si="690"/>
        <v>18360.190000000002</v>
      </c>
      <c r="N923" s="46">
        <v>5000000</v>
      </c>
      <c r="O923" s="48">
        <f t="shared" si="691"/>
        <v>2170.5400000002714</v>
      </c>
      <c r="P923" s="38"/>
      <c r="Q923" s="38"/>
      <c r="R923" s="38"/>
      <c r="S923" s="55">
        <f t="shared" si="692"/>
        <v>2170.5400000002714</v>
      </c>
      <c r="T923" s="48"/>
      <c r="U923" s="49">
        <f t="shared" si="693"/>
        <v>60.620000000158321</v>
      </c>
      <c r="V923" s="38"/>
      <c r="W923" s="38"/>
      <c r="X923" s="38"/>
      <c r="Y923" s="51">
        <f t="shared" si="694"/>
        <v>60.620000000158321</v>
      </c>
      <c r="Z923" s="52"/>
      <c r="AA923" s="53">
        <f t="shared" si="695"/>
        <v>381.65999999968335</v>
      </c>
      <c r="AB923" s="38"/>
      <c r="AC923" s="38"/>
      <c r="AD923" s="38"/>
      <c r="AE923" s="54">
        <f t="shared" si="696"/>
        <v>381.65999999968335</v>
      </c>
      <c r="AF923" s="53"/>
      <c r="AG923" s="53">
        <f t="shared" si="704"/>
        <v>84.170000000058224</v>
      </c>
      <c r="AH923" s="38"/>
      <c r="AI923" s="38"/>
      <c r="AJ923" s="38"/>
      <c r="AK923" s="54">
        <f t="shared" si="705"/>
        <v>84.170000000058224</v>
      </c>
      <c r="AL923" s="53"/>
      <c r="AM923" s="53">
        <f t="shared" si="685"/>
        <v>0</v>
      </c>
      <c r="AN923" s="38"/>
      <c r="AO923" s="38"/>
      <c r="AP923" s="38"/>
      <c r="AQ923" s="54">
        <f t="shared" si="686"/>
        <v>0</v>
      </c>
      <c r="AR923" s="53"/>
      <c r="AS923" s="29">
        <f t="shared" si="706"/>
        <v>240327.65000000122</v>
      </c>
      <c r="AT923" s="29">
        <f t="shared" si="707"/>
        <v>1669.28</v>
      </c>
      <c r="AU923" s="29">
        <f t="shared" si="708"/>
        <v>0</v>
      </c>
      <c r="AV923" s="29">
        <f t="shared" si="709"/>
        <v>-309561.97000000003</v>
      </c>
      <c r="AW923" s="29"/>
      <c r="AX923" s="29">
        <f t="shared" si="710"/>
        <v>-67480.869999998744</v>
      </c>
      <c r="AY923" s="29">
        <f t="shared" si="711"/>
        <v>9300000</v>
      </c>
      <c r="AZ923" s="29">
        <f t="shared" si="712"/>
        <v>9232519.1300000008</v>
      </c>
    </row>
    <row r="924" spans="2:52" x14ac:dyDescent="0.3">
      <c r="B924" s="99">
        <f t="shared" ref="B924:B988" si="713">B923+1</f>
        <v>45456</v>
      </c>
      <c r="C924" s="44">
        <f t="shared" si="688"/>
        <v>-88538.049999998912</v>
      </c>
      <c r="D924" s="38"/>
      <c r="E924" s="38">
        <v>-50000</v>
      </c>
      <c r="F924" s="38">
        <v>-8303.7999999999993</v>
      </c>
      <c r="G924" s="45">
        <f t="shared" si="702"/>
        <v>-146841.8499999989</v>
      </c>
      <c r="H924" s="44">
        <v>4300000</v>
      </c>
      <c r="I924" s="46">
        <f t="shared" si="689"/>
        <v>18360.190000000002</v>
      </c>
      <c r="J924" s="38"/>
      <c r="K924" s="38">
        <v>50000</v>
      </c>
      <c r="L924" s="38">
        <v>-50592.53</v>
      </c>
      <c r="M924" s="47">
        <f t="shared" si="690"/>
        <v>17767.660000000003</v>
      </c>
      <c r="N924" s="46">
        <v>5000000</v>
      </c>
      <c r="O924" s="48">
        <f t="shared" si="691"/>
        <v>2170.5400000002714</v>
      </c>
      <c r="P924" s="38">
        <v>1085.08</v>
      </c>
      <c r="Q924" s="38">
        <v>1857</v>
      </c>
      <c r="R924" s="38">
        <v>-788.97</v>
      </c>
      <c r="S924" s="55">
        <f t="shared" si="692"/>
        <v>4323.6500000002716</v>
      </c>
      <c r="T924" s="48"/>
      <c r="U924" s="49">
        <f t="shared" si="693"/>
        <v>60.620000000158321</v>
      </c>
      <c r="V924" s="38">
        <v>1847.27</v>
      </c>
      <c r="W924" s="38">
        <v>-1857</v>
      </c>
      <c r="X924" s="38">
        <v>-1.5</v>
      </c>
      <c r="Y924" s="51">
        <f t="shared" si="694"/>
        <v>49.390000000158352</v>
      </c>
      <c r="Z924" s="52"/>
      <c r="AA924" s="53">
        <f t="shared" si="695"/>
        <v>381.65999999968335</v>
      </c>
      <c r="AB924" s="38"/>
      <c r="AC924" s="38"/>
      <c r="AD924" s="38"/>
      <c r="AE924" s="54">
        <f t="shared" si="696"/>
        <v>381.65999999968335</v>
      </c>
      <c r="AF924" s="53"/>
      <c r="AG924" s="53">
        <f t="shared" si="704"/>
        <v>84.170000000058224</v>
      </c>
      <c r="AH924" s="38"/>
      <c r="AI924" s="38"/>
      <c r="AJ924" s="38"/>
      <c r="AK924" s="54">
        <f t="shared" si="705"/>
        <v>84.170000000058224</v>
      </c>
      <c r="AL924" s="53"/>
      <c r="AM924" s="53">
        <f t="shared" si="685"/>
        <v>0</v>
      </c>
      <c r="AN924" s="38"/>
      <c r="AO924" s="38"/>
      <c r="AP924" s="38"/>
      <c r="AQ924" s="54">
        <f t="shared" si="686"/>
        <v>0</v>
      </c>
      <c r="AR924" s="53"/>
      <c r="AS924" s="29">
        <f t="shared" si="706"/>
        <v>-67565.0399999988</v>
      </c>
      <c r="AT924" s="29">
        <f t="shared" si="707"/>
        <v>2932.35</v>
      </c>
      <c r="AU924" s="29">
        <f t="shared" si="708"/>
        <v>0</v>
      </c>
      <c r="AV924" s="29">
        <f t="shared" si="709"/>
        <v>-59686.8</v>
      </c>
      <c r="AW924" s="29"/>
      <c r="AX924" s="29">
        <f t="shared" si="710"/>
        <v>-124235.31999999873</v>
      </c>
      <c r="AY924" s="29">
        <f t="shared" si="711"/>
        <v>9300000</v>
      </c>
      <c r="AZ924" s="29">
        <f t="shared" si="712"/>
        <v>9175764.6800000016</v>
      </c>
    </row>
    <row r="925" spans="2:52" x14ac:dyDescent="0.3">
      <c r="B925" s="99">
        <f t="shared" si="713"/>
        <v>45457</v>
      </c>
      <c r="C925" s="44">
        <f t="shared" si="688"/>
        <v>-146841.8499999989</v>
      </c>
      <c r="D925" s="38"/>
      <c r="E925" s="38"/>
      <c r="F925" s="38">
        <v>-101.41</v>
      </c>
      <c r="G925" s="45">
        <f t="shared" si="702"/>
        <v>-146943.2599999989</v>
      </c>
      <c r="H925" s="44">
        <v>4300000</v>
      </c>
      <c r="I925" s="46">
        <f t="shared" si="689"/>
        <v>17767.660000000003</v>
      </c>
      <c r="J925" s="38">
        <v>118691.31</v>
      </c>
      <c r="K925" s="38">
        <v>70000</v>
      </c>
      <c r="L925" s="38">
        <v>-28675.56</v>
      </c>
      <c r="M925" s="47">
        <f t="shared" si="690"/>
        <v>177783.41</v>
      </c>
      <c r="N925" s="46">
        <v>5000000</v>
      </c>
      <c r="O925" s="48">
        <f t="shared" si="691"/>
        <v>4323.6500000002716</v>
      </c>
      <c r="P925" s="38">
        <v>73426.490000000005</v>
      </c>
      <c r="Q925" s="38">
        <v>-70000</v>
      </c>
      <c r="R925" s="38"/>
      <c r="S925" s="55">
        <f t="shared" si="692"/>
        <v>7750.1400000002759</v>
      </c>
      <c r="T925" s="48"/>
      <c r="U925" s="49">
        <f t="shared" si="693"/>
        <v>49.390000000158352</v>
      </c>
      <c r="V925" s="38"/>
      <c r="W925" s="38"/>
      <c r="X925" s="38"/>
      <c r="Y925" s="51">
        <f t="shared" si="694"/>
        <v>49.390000000158352</v>
      </c>
      <c r="Z925" s="52"/>
      <c r="AA925" s="53">
        <f t="shared" si="695"/>
        <v>381.65999999968335</v>
      </c>
      <c r="AB925" s="38"/>
      <c r="AC925" s="38"/>
      <c r="AD925" s="38"/>
      <c r="AE925" s="54">
        <f t="shared" si="696"/>
        <v>381.65999999968335</v>
      </c>
      <c r="AF925" s="53"/>
      <c r="AG925" s="53">
        <f t="shared" si="704"/>
        <v>84.170000000058224</v>
      </c>
      <c r="AH925" s="38"/>
      <c r="AI925" s="38"/>
      <c r="AJ925" s="38"/>
      <c r="AK925" s="54">
        <f t="shared" si="705"/>
        <v>84.170000000058224</v>
      </c>
      <c r="AL925" s="53"/>
      <c r="AM925" s="53">
        <f t="shared" si="685"/>
        <v>0</v>
      </c>
      <c r="AN925" s="38"/>
      <c r="AO925" s="38"/>
      <c r="AP925" s="38"/>
      <c r="AQ925" s="54">
        <f t="shared" si="686"/>
        <v>0</v>
      </c>
      <c r="AR925" s="53"/>
      <c r="AS925" s="29">
        <f t="shared" si="706"/>
        <v>-124319.48999999878</v>
      </c>
      <c r="AT925" s="29">
        <f t="shared" si="707"/>
        <v>192117.8</v>
      </c>
      <c r="AU925" s="29">
        <f t="shared" si="708"/>
        <v>0</v>
      </c>
      <c r="AV925" s="29">
        <f t="shared" si="709"/>
        <v>-28776.97</v>
      </c>
      <c r="AW925" s="29"/>
      <c r="AX925" s="29">
        <f t="shared" si="710"/>
        <v>39105.510000001275</v>
      </c>
      <c r="AY925" s="29">
        <f t="shared" si="711"/>
        <v>9300000</v>
      </c>
      <c r="AZ925" s="29">
        <f t="shared" si="712"/>
        <v>9339105.5100000016</v>
      </c>
    </row>
    <row r="926" spans="2:52" x14ac:dyDescent="0.3">
      <c r="B926" s="99">
        <f t="shared" ref="B926" si="714">B925+3</f>
        <v>45460</v>
      </c>
      <c r="C926" s="44">
        <f t="shared" si="688"/>
        <v>-146943.2599999989</v>
      </c>
      <c r="D926" s="38">
        <v>315581.40999999997</v>
      </c>
      <c r="E926" s="38"/>
      <c r="F926" s="38">
        <v>-35499.79</v>
      </c>
      <c r="G926" s="45">
        <f t="shared" si="702"/>
        <v>133138.36000000106</v>
      </c>
      <c r="H926" s="44">
        <v>4300000</v>
      </c>
      <c r="I926" s="46">
        <f t="shared" si="689"/>
        <v>177783.41</v>
      </c>
      <c r="J926" s="38">
        <v>208.33</v>
      </c>
      <c r="K926" s="38"/>
      <c r="L926" s="38">
        <v>-82640.25</v>
      </c>
      <c r="M926" s="47">
        <f t="shared" si="690"/>
        <v>95351.489999999991</v>
      </c>
      <c r="N926" s="46">
        <v>5000000</v>
      </c>
      <c r="O926" s="48">
        <f t="shared" si="691"/>
        <v>7750.1400000002759</v>
      </c>
      <c r="P926" s="38"/>
      <c r="Q926" s="38"/>
      <c r="R926" s="38">
        <v>-10</v>
      </c>
      <c r="S926" s="55">
        <f t="shared" si="692"/>
        <v>7740.1400000002759</v>
      </c>
      <c r="T926" s="48"/>
      <c r="U926" s="49">
        <f t="shared" si="693"/>
        <v>49.390000000158352</v>
      </c>
      <c r="V926" s="38"/>
      <c r="W926" s="38"/>
      <c r="X926" s="38"/>
      <c r="Y926" s="51">
        <f t="shared" si="694"/>
        <v>49.390000000158352</v>
      </c>
      <c r="Z926" s="52"/>
      <c r="AA926" s="53">
        <f t="shared" si="695"/>
        <v>381.65999999968335</v>
      </c>
      <c r="AB926" s="38"/>
      <c r="AC926" s="38"/>
      <c r="AD926" s="38"/>
      <c r="AE926" s="54">
        <f t="shared" si="696"/>
        <v>381.65999999968335</v>
      </c>
      <c r="AF926" s="53"/>
      <c r="AG926" s="53">
        <f t="shared" si="704"/>
        <v>84.170000000058224</v>
      </c>
      <c r="AH926" s="38"/>
      <c r="AI926" s="38"/>
      <c r="AJ926" s="38"/>
      <c r="AK926" s="54">
        <f t="shared" si="705"/>
        <v>84.170000000058224</v>
      </c>
      <c r="AL926" s="53"/>
      <c r="AM926" s="53">
        <f t="shared" si="685"/>
        <v>0</v>
      </c>
      <c r="AN926" s="38"/>
      <c r="AO926" s="38"/>
      <c r="AP926" s="38"/>
      <c r="AQ926" s="54">
        <f t="shared" si="686"/>
        <v>0</v>
      </c>
      <c r="AR926" s="53"/>
      <c r="AS926" s="29">
        <f t="shared" si="706"/>
        <v>39021.340000001219</v>
      </c>
      <c r="AT926" s="29">
        <f t="shared" si="707"/>
        <v>315789.74</v>
      </c>
      <c r="AU926" s="29">
        <f t="shared" si="708"/>
        <v>0</v>
      </c>
      <c r="AV926" s="29">
        <f t="shared" si="709"/>
        <v>-118150.04000000001</v>
      </c>
      <c r="AW926" s="29"/>
      <c r="AX926" s="29">
        <f t="shared" si="710"/>
        <v>236745.21000000124</v>
      </c>
      <c r="AY926" s="29">
        <f t="shared" si="711"/>
        <v>9300000</v>
      </c>
      <c r="AZ926" s="29">
        <f t="shared" si="712"/>
        <v>9536745.2100000009</v>
      </c>
    </row>
    <row r="927" spans="2:52" x14ac:dyDescent="0.3">
      <c r="B927" s="99">
        <f t="shared" si="713"/>
        <v>45461</v>
      </c>
      <c r="C927" s="44">
        <f t="shared" si="688"/>
        <v>133138.36000000106</v>
      </c>
      <c r="D927" s="38">
        <v>417759.3</v>
      </c>
      <c r="E927" s="38">
        <v>-750000</v>
      </c>
      <c r="F927" s="38">
        <v>-2235768.0099999998</v>
      </c>
      <c r="G927" s="45">
        <f t="shared" si="702"/>
        <v>-2434870.3499999987</v>
      </c>
      <c r="H927" s="44">
        <v>4300000</v>
      </c>
      <c r="I927" s="46">
        <f t="shared" si="689"/>
        <v>95351.489999999991</v>
      </c>
      <c r="J927" s="38"/>
      <c r="K927" s="38">
        <v>750000</v>
      </c>
      <c r="L927" s="38">
        <v>-796484.35</v>
      </c>
      <c r="M927" s="47">
        <f t="shared" si="690"/>
        <v>48867.140000000014</v>
      </c>
      <c r="N927" s="46">
        <v>5000000</v>
      </c>
      <c r="O927" s="48">
        <f t="shared" si="691"/>
        <v>7740.1400000002759</v>
      </c>
      <c r="P927" s="38"/>
      <c r="Q927" s="38"/>
      <c r="R927" s="38">
        <v>-1486.8</v>
      </c>
      <c r="S927" s="55">
        <f t="shared" si="692"/>
        <v>6253.3400000002757</v>
      </c>
      <c r="T927" s="48"/>
      <c r="U927" s="49">
        <f t="shared" si="693"/>
        <v>49.390000000158352</v>
      </c>
      <c r="V927" s="38"/>
      <c r="W927" s="38"/>
      <c r="X927" s="38"/>
      <c r="Y927" s="51">
        <f t="shared" si="694"/>
        <v>49.390000000158352</v>
      </c>
      <c r="Z927" s="52"/>
      <c r="AA927" s="53">
        <f t="shared" si="695"/>
        <v>381.65999999968335</v>
      </c>
      <c r="AB927" s="38"/>
      <c r="AC927" s="38"/>
      <c r="AD927" s="38"/>
      <c r="AE927" s="54">
        <f t="shared" si="696"/>
        <v>381.65999999968335</v>
      </c>
      <c r="AF927" s="53"/>
      <c r="AG927" s="53">
        <f t="shared" si="704"/>
        <v>84.170000000058224</v>
      </c>
      <c r="AH927" s="38"/>
      <c r="AI927" s="38"/>
      <c r="AJ927" s="38"/>
      <c r="AK927" s="54">
        <f t="shared" si="705"/>
        <v>84.170000000058224</v>
      </c>
      <c r="AL927" s="53"/>
      <c r="AM927" s="53">
        <f t="shared" si="685"/>
        <v>0</v>
      </c>
      <c r="AN927" s="38"/>
      <c r="AO927" s="38"/>
      <c r="AP927" s="38"/>
      <c r="AQ927" s="54">
        <f t="shared" si="686"/>
        <v>0</v>
      </c>
      <c r="AR927" s="53"/>
      <c r="AS927" s="29">
        <f t="shared" si="706"/>
        <v>236661.04000000117</v>
      </c>
      <c r="AT927" s="29">
        <f t="shared" si="707"/>
        <v>417759.3</v>
      </c>
      <c r="AU927" s="29">
        <f t="shared" si="708"/>
        <v>0</v>
      </c>
      <c r="AV927" s="29">
        <f t="shared" si="709"/>
        <v>-3033739.1599999997</v>
      </c>
      <c r="AW927" s="29"/>
      <c r="AX927" s="29">
        <f t="shared" si="710"/>
        <v>-2379234.6499999985</v>
      </c>
      <c r="AY927" s="29">
        <f t="shared" si="711"/>
        <v>9300000</v>
      </c>
      <c r="AZ927" s="29">
        <f t="shared" si="712"/>
        <v>6920765.3500000015</v>
      </c>
    </row>
    <row r="928" spans="2:52" x14ac:dyDescent="0.3">
      <c r="B928" s="99">
        <f t="shared" si="713"/>
        <v>45462</v>
      </c>
      <c r="C928" s="44">
        <f t="shared" si="688"/>
        <v>-2434870.3499999987</v>
      </c>
      <c r="D928" s="38"/>
      <c r="E928" s="38"/>
      <c r="F928" s="38">
        <v>-746.95</v>
      </c>
      <c r="G928" s="45">
        <f t="shared" si="702"/>
        <v>-2435617.2999999989</v>
      </c>
      <c r="H928" s="44">
        <v>4300000</v>
      </c>
      <c r="I928" s="46">
        <f t="shared" si="689"/>
        <v>48867.140000000014</v>
      </c>
      <c r="J928" s="38">
        <f>16667.76+57060.8</f>
        <v>73728.56</v>
      </c>
      <c r="K928" s="38">
        <v>380000</v>
      </c>
      <c r="L928" s="38">
        <v>-64212.32</v>
      </c>
      <c r="M928" s="47">
        <f t="shared" si="690"/>
        <v>438383.38</v>
      </c>
      <c r="N928" s="46">
        <v>5000000</v>
      </c>
      <c r="O928" s="48">
        <f t="shared" si="691"/>
        <v>6253.3400000002757</v>
      </c>
      <c r="P928" s="38">
        <v>381442.61</v>
      </c>
      <c r="Q928" s="38">
        <v>-380000</v>
      </c>
      <c r="R928" s="38"/>
      <c r="S928" s="55">
        <f t="shared" si="692"/>
        <v>7695.9500000002445</v>
      </c>
      <c r="T928" s="48"/>
      <c r="U928" s="49">
        <f t="shared" si="693"/>
        <v>49.390000000158352</v>
      </c>
      <c r="V928" s="38"/>
      <c r="W928" s="38"/>
      <c r="X928" s="38"/>
      <c r="Y928" s="51">
        <f t="shared" si="694"/>
        <v>49.390000000158352</v>
      </c>
      <c r="Z928" s="52"/>
      <c r="AA928" s="53">
        <f t="shared" si="695"/>
        <v>381.65999999968335</v>
      </c>
      <c r="AB928" s="38"/>
      <c r="AC928" s="38"/>
      <c r="AD928" s="38"/>
      <c r="AE928" s="54">
        <f t="shared" si="696"/>
        <v>381.65999999968335</v>
      </c>
      <c r="AF928" s="53"/>
      <c r="AG928" s="53">
        <f t="shared" si="704"/>
        <v>84.170000000058224</v>
      </c>
      <c r="AH928" s="38"/>
      <c r="AI928" s="38"/>
      <c r="AJ928" s="38"/>
      <c r="AK928" s="54">
        <f t="shared" si="705"/>
        <v>84.170000000058224</v>
      </c>
      <c r="AL928" s="53"/>
      <c r="AM928" s="53">
        <f t="shared" si="685"/>
        <v>0</v>
      </c>
      <c r="AN928" s="38"/>
      <c r="AO928" s="38"/>
      <c r="AP928" s="38"/>
      <c r="AQ928" s="54">
        <f t="shared" si="686"/>
        <v>0</v>
      </c>
      <c r="AR928" s="53"/>
      <c r="AS928" s="29">
        <f t="shared" si="706"/>
        <v>-2379318.8199999984</v>
      </c>
      <c r="AT928" s="29">
        <f t="shared" si="707"/>
        <v>455171.17</v>
      </c>
      <c r="AU928" s="29">
        <f t="shared" si="708"/>
        <v>0</v>
      </c>
      <c r="AV928" s="29">
        <f t="shared" si="709"/>
        <v>-64959.27</v>
      </c>
      <c r="AW928" s="29"/>
      <c r="AX928" s="29">
        <f t="shared" si="710"/>
        <v>-1989022.7499999988</v>
      </c>
      <c r="AY928" s="29">
        <f t="shared" si="711"/>
        <v>9300000</v>
      </c>
      <c r="AZ928" s="29">
        <f t="shared" si="712"/>
        <v>7310977.2500000009</v>
      </c>
    </row>
    <row r="929" spans="2:52" x14ac:dyDescent="0.3">
      <c r="B929" s="99">
        <f t="shared" si="713"/>
        <v>45463</v>
      </c>
      <c r="C929" s="44">
        <f t="shared" si="688"/>
        <v>-2435617.2999999989</v>
      </c>
      <c r="D929" s="38">
        <v>542552.88</v>
      </c>
      <c r="E929" s="38">
        <v>1840000</v>
      </c>
      <c r="F929" s="38">
        <v>-631621.63</v>
      </c>
      <c r="G929" s="45">
        <f t="shared" si="702"/>
        <v>-684686.049999999</v>
      </c>
      <c r="H929" s="44">
        <v>4300000</v>
      </c>
      <c r="I929" s="46">
        <f t="shared" si="689"/>
        <v>438383.38</v>
      </c>
      <c r="J929" s="38"/>
      <c r="K929" s="38"/>
      <c r="L929" s="38">
        <v>-168760.43</v>
      </c>
      <c r="M929" s="47">
        <f t="shared" si="690"/>
        <v>269622.95</v>
      </c>
      <c r="N929" s="46">
        <v>5000000</v>
      </c>
      <c r="O929" s="48">
        <f t="shared" si="691"/>
        <v>7695.9500000002445</v>
      </c>
      <c r="P929" s="38"/>
      <c r="Q929" s="38"/>
      <c r="R929" s="38">
        <v>-209.83</v>
      </c>
      <c r="S929" s="55">
        <f t="shared" si="692"/>
        <v>7486.1200000002445</v>
      </c>
      <c r="T929" s="48"/>
      <c r="U929" s="49">
        <f t="shared" si="693"/>
        <v>49.390000000158352</v>
      </c>
      <c r="V929" s="38">
        <v>32291.77</v>
      </c>
      <c r="W929" s="38"/>
      <c r="X929" s="38"/>
      <c r="Y929" s="51">
        <f t="shared" si="694"/>
        <v>32341.16000000016</v>
      </c>
      <c r="Z929" s="52"/>
      <c r="AA929" s="53">
        <f t="shared" si="695"/>
        <v>381.65999999968335</v>
      </c>
      <c r="AB929" s="38">
        <v>1840207.16</v>
      </c>
      <c r="AC929" s="38">
        <v>-1840000</v>
      </c>
      <c r="AD929" s="38"/>
      <c r="AE929" s="54">
        <f t="shared" si="696"/>
        <v>588.81999999959953</v>
      </c>
      <c r="AF929" s="53"/>
      <c r="AG929" s="53">
        <f t="shared" si="704"/>
        <v>84.170000000058224</v>
      </c>
      <c r="AH929" s="38"/>
      <c r="AI929" s="38"/>
      <c r="AJ929" s="38"/>
      <c r="AK929" s="54">
        <f t="shared" si="705"/>
        <v>84.170000000058224</v>
      </c>
      <c r="AL929" s="53"/>
      <c r="AM929" s="53">
        <f t="shared" si="685"/>
        <v>0</v>
      </c>
      <c r="AN929" s="38"/>
      <c r="AO929" s="38"/>
      <c r="AP929" s="38"/>
      <c r="AQ929" s="54">
        <f t="shared" si="686"/>
        <v>0</v>
      </c>
      <c r="AR929" s="53"/>
      <c r="AS929" s="29">
        <f t="shared" si="706"/>
        <v>-1989106.919999999</v>
      </c>
      <c r="AT929" s="29">
        <f t="shared" si="707"/>
        <v>2415051.81</v>
      </c>
      <c r="AU929" s="29">
        <f t="shared" si="708"/>
        <v>0</v>
      </c>
      <c r="AV929" s="29">
        <f t="shared" si="709"/>
        <v>-800591.89</v>
      </c>
      <c r="AW929" s="29"/>
      <c r="AX929" s="29">
        <f t="shared" si="710"/>
        <v>-374562.82999999897</v>
      </c>
      <c r="AY929" s="29">
        <f t="shared" si="711"/>
        <v>9300000</v>
      </c>
      <c r="AZ929" s="29">
        <f t="shared" si="712"/>
        <v>8925437.1700000018</v>
      </c>
    </row>
    <row r="930" spans="2:52" x14ac:dyDescent="0.3">
      <c r="B930" s="99">
        <f t="shared" si="713"/>
        <v>45464</v>
      </c>
      <c r="C930" s="44">
        <f t="shared" si="688"/>
        <v>-684686.049999999</v>
      </c>
      <c r="D930" s="38">
        <v>212371.07</v>
      </c>
      <c r="E930" s="38">
        <v>515000</v>
      </c>
      <c r="F930" s="38">
        <v>-1147.8900000000001</v>
      </c>
      <c r="G930" s="45">
        <f t="shared" si="702"/>
        <v>41537.130000001009</v>
      </c>
      <c r="H930" s="44">
        <v>4300000</v>
      </c>
      <c r="I930" s="46">
        <f t="shared" si="689"/>
        <v>269622.95</v>
      </c>
      <c r="J930" s="38">
        <f>247685.79+4463.7</f>
        <v>252149.49000000002</v>
      </c>
      <c r="K930" s="38">
        <v>-100000</v>
      </c>
      <c r="L930" s="38">
        <v>-210861.22</v>
      </c>
      <c r="M930" s="47">
        <f t="shared" si="690"/>
        <v>210911.22000000006</v>
      </c>
      <c r="N930" s="46">
        <v>5000000</v>
      </c>
      <c r="O930" s="48">
        <f t="shared" si="691"/>
        <v>7486.1200000002445</v>
      </c>
      <c r="P930" s="38">
        <v>176928.69</v>
      </c>
      <c r="Q930" s="38">
        <f>-415000+32300+207800</f>
        <v>-174900</v>
      </c>
      <c r="R930" s="38">
        <v>-4330</v>
      </c>
      <c r="S930" s="55">
        <f t="shared" si="692"/>
        <v>5184.8100000002596</v>
      </c>
      <c r="T930" s="48"/>
      <c r="U930" s="49">
        <f t="shared" si="693"/>
        <v>32341.16000000016</v>
      </c>
      <c r="V930" s="38">
        <v>207877.28</v>
      </c>
      <c r="W930" s="38">
        <f>-207800-32300</f>
        <v>-240100</v>
      </c>
      <c r="X930" s="38">
        <v>-3</v>
      </c>
      <c r="Y930" s="51">
        <f t="shared" si="694"/>
        <v>115.44000000014785</v>
      </c>
      <c r="Z930" s="52"/>
      <c r="AA930" s="53">
        <f t="shared" si="695"/>
        <v>588.81999999959953</v>
      </c>
      <c r="AB930" s="38"/>
      <c r="AC930" s="38"/>
      <c r="AD930" s="38"/>
      <c r="AE930" s="54">
        <f t="shared" si="696"/>
        <v>588.81999999959953</v>
      </c>
      <c r="AF930" s="53"/>
      <c r="AG930" s="53">
        <f t="shared" si="704"/>
        <v>84.170000000058224</v>
      </c>
      <c r="AH930" s="38"/>
      <c r="AI930" s="38"/>
      <c r="AJ930" s="38"/>
      <c r="AK930" s="54">
        <f t="shared" si="705"/>
        <v>84.170000000058224</v>
      </c>
      <c r="AL930" s="53"/>
      <c r="AM930" s="53">
        <f t="shared" si="685"/>
        <v>0</v>
      </c>
      <c r="AN930" s="38"/>
      <c r="AO930" s="38"/>
      <c r="AP930" s="38"/>
      <c r="AQ930" s="54">
        <f t="shared" si="686"/>
        <v>0</v>
      </c>
      <c r="AR930" s="53"/>
      <c r="AS930" s="29">
        <f t="shared" si="706"/>
        <v>-374646.99999999901</v>
      </c>
      <c r="AT930" s="29">
        <f t="shared" si="707"/>
        <v>849326.53</v>
      </c>
      <c r="AU930" s="29">
        <f t="shared" si="708"/>
        <v>0</v>
      </c>
      <c r="AV930" s="29">
        <f t="shared" si="709"/>
        <v>-216342.11000000002</v>
      </c>
      <c r="AW930" s="29"/>
      <c r="AX930" s="29">
        <f t="shared" si="710"/>
        <v>258421.59000000116</v>
      </c>
      <c r="AY930" s="29">
        <f t="shared" si="711"/>
        <v>9300000</v>
      </c>
      <c r="AZ930" s="29">
        <f t="shared" si="712"/>
        <v>9558421.5900000017</v>
      </c>
    </row>
    <row r="931" spans="2:52" x14ac:dyDescent="0.3">
      <c r="B931" s="99">
        <f t="shared" ref="B931" si="715">B930+3</f>
        <v>45467</v>
      </c>
      <c r="C931" s="44">
        <f t="shared" si="688"/>
        <v>41537.130000001009</v>
      </c>
      <c r="D931" s="38"/>
      <c r="E931" s="38"/>
      <c r="F931" s="38"/>
      <c r="G931" s="45">
        <f t="shared" si="702"/>
        <v>41537.130000001009</v>
      </c>
      <c r="H931" s="44">
        <v>4300000</v>
      </c>
      <c r="I931" s="46">
        <f t="shared" si="689"/>
        <v>210911.22000000006</v>
      </c>
      <c r="J931" s="38"/>
      <c r="K931" s="38"/>
      <c r="L931" s="38"/>
      <c r="M931" s="47">
        <f t="shared" si="690"/>
        <v>210911.22000000006</v>
      </c>
      <c r="N931" s="46">
        <v>5000000</v>
      </c>
      <c r="O931" s="48">
        <f t="shared" si="691"/>
        <v>5184.8100000002596</v>
      </c>
      <c r="P931" s="38"/>
      <c r="Q931" s="38"/>
      <c r="R931" s="38">
        <v>-10</v>
      </c>
      <c r="S931" s="55">
        <f t="shared" si="692"/>
        <v>5174.8100000002596</v>
      </c>
      <c r="T931" s="48"/>
      <c r="U931" s="49">
        <f t="shared" si="693"/>
        <v>115.44000000014785</v>
      </c>
      <c r="V931" s="38">
        <v>418140.06</v>
      </c>
      <c r="W931" s="38"/>
      <c r="X931" s="38"/>
      <c r="Y931" s="51">
        <f t="shared" si="694"/>
        <v>418255.50000000012</v>
      </c>
      <c r="Z931" s="52"/>
      <c r="AA931" s="53">
        <f t="shared" si="695"/>
        <v>588.81999999959953</v>
      </c>
      <c r="AB931" s="38"/>
      <c r="AC931" s="38"/>
      <c r="AD931" s="38"/>
      <c r="AE931" s="54">
        <f t="shared" si="696"/>
        <v>588.81999999959953</v>
      </c>
      <c r="AF931" s="53"/>
      <c r="AG931" s="53">
        <f t="shared" si="704"/>
        <v>84.170000000058224</v>
      </c>
      <c r="AH931" s="38"/>
      <c r="AI931" s="38"/>
      <c r="AJ931" s="38"/>
      <c r="AK931" s="54">
        <f t="shared" si="705"/>
        <v>84.170000000058224</v>
      </c>
      <c r="AL931" s="53"/>
      <c r="AM931" s="53">
        <f t="shared" si="685"/>
        <v>0</v>
      </c>
      <c r="AN931" s="38"/>
      <c r="AO931" s="38"/>
      <c r="AP931" s="38"/>
      <c r="AQ931" s="54">
        <f t="shared" si="686"/>
        <v>0</v>
      </c>
      <c r="AR931" s="53"/>
      <c r="AS931" s="29">
        <f t="shared" si="706"/>
        <v>258337.42000000109</v>
      </c>
      <c r="AT931" s="29">
        <f t="shared" si="707"/>
        <v>418140.06</v>
      </c>
      <c r="AU931" s="29">
        <f t="shared" si="708"/>
        <v>0</v>
      </c>
      <c r="AV931" s="29">
        <f t="shared" si="709"/>
        <v>-10</v>
      </c>
      <c r="AW931" s="29"/>
      <c r="AX931" s="29">
        <f t="shared" si="710"/>
        <v>676551.65000000107</v>
      </c>
      <c r="AY931" s="29">
        <f t="shared" si="711"/>
        <v>9300000</v>
      </c>
      <c r="AZ931" s="29">
        <f t="shared" si="712"/>
        <v>9976551.6500000004</v>
      </c>
    </row>
    <row r="932" spans="2:52" x14ac:dyDescent="0.3">
      <c r="B932" s="99">
        <f t="shared" si="713"/>
        <v>45468</v>
      </c>
      <c r="C932" s="44">
        <f t="shared" si="688"/>
        <v>41537.130000001009</v>
      </c>
      <c r="D932" s="38">
        <v>383790.74</v>
      </c>
      <c r="E932" s="38"/>
      <c r="F932" s="38">
        <v>-1145239.45</v>
      </c>
      <c r="G932" s="45">
        <f t="shared" si="702"/>
        <v>-719911.57999999891</v>
      </c>
      <c r="H932" s="44">
        <v>4300000</v>
      </c>
      <c r="I932" s="46">
        <f t="shared" si="689"/>
        <v>210911.22000000006</v>
      </c>
      <c r="J932" s="38">
        <v>546413.63</v>
      </c>
      <c r="K932" s="38">
        <v>420000</v>
      </c>
      <c r="L932" s="38">
        <v>-133989.91</v>
      </c>
      <c r="M932" s="47">
        <f t="shared" si="690"/>
        <v>1043334.9400000001</v>
      </c>
      <c r="N932" s="46">
        <v>5000000</v>
      </c>
      <c r="O932" s="48">
        <f t="shared" si="691"/>
        <v>5174.8100000002596</v>
      </c>
      <c r="P932" s="38"/>
      <c r="Q932" s="38">
        <f>418000-420000</f>
        <v>-2000</v>
      </c>
      <c r="R932" s="38">
        <f>-115-93.6</f>
        <v>-208.6</v>
      </c>
      <c r="S932" s="55">
        <f t="shared" si="692"/>
        <v>2966.2100000002597</v>
      </c>
      <c r="T932" s="48"/>
      <c r="U932" s="49">
        <f t="shared" si="693"/>
        <v>418255.50000000012</v>
      </c>
      <c r="V932" s="38"/>
      <c r="W932" s="38">
        <v>-418000</v>
      </c>
      <c r="X932" s="38">
        <v>-1.5</v>
      </c>
      <c r="Y932" s="51">
        <f t="shared" si="694"/>
        <v>254.00000000011642</v>
      </c>
      <c r="Z932" s="52"/>
      <c r="AA932" s="53">
        <f t="shared" si="695"/>
        <v>588.81999999959953</v>
      </c>
      <c r="AB932" s="38"/>
      <c r="AC932" s="38"/>
      <c r="AD932" s="38"/>
      <c r="AE932" s="54">
        <f t="shared" si="696"/>
        <v>588.81999999959953</v>
      </c>
      <c r="AF932" s="53"/>
      <c r="AG932" s="53">
        <f t="shared" si="704"/>
        <v>84.170000000058224</v>
      </c>
      <c r="AH932" s="38"/>
      <c r="AI932" s="38"/>
      <c r="AJ932" s="38"/>
      <c r="AK932" s="54">
        <f t="shared" si="705"/>
        <v>84.170000000058224</v>
      </c>
      <c r="AL932" s="53"/>
      <c r="AM932" s="53">
        <f t="shared" si="685"/>
        <v>0</v>
      </c>
      <c r="AN932" s="38"/>
      <c r="AO932" s="38"/>
      <c r="AP932" s="38"/>
      <c r="AQ932" s="54">
        <f t="shared" si="686"/>
        <v>0</v>
      </c>
      <c r="AR932" s="53"/>
      <c r="AS932" s="29">
        <f t="shared" si="706"/>
        <v>676467.48000000103</v>
      </c>
      <c r="AT932" s="29">
        <f t="shared" si="707"/>
        <v>930204.37</v>
      </c>
      <c r="AU932" s="29">
        <f t="shared" si="708"/>
        <v>0</v>
      </c>
      <c r="AV932" s="29">
        <f t="shared" si="709"/>
        <v>-1279439.46</v>
      </c>
      <c r="AW932" s="29"/>
      <c r="AX932" s="29">
        <f t="shared" si="710"/>
        <v>327316.56000000116</v>
      </c>
      <c r="AY932" s="29">
        <f t="shared" si="711"/>
        <v>9300000</v>
      </c>
      <c r="AZ932" s="29">
        <f t="shared" si="712"/>
        <v>9627316.5600000005</v>
      </c>
    </row>
    <row r="933" spans="2:52" x14ac:dyDescent="0.3">
      <c r="B933" s="99">
        <f t="shared" si="713"/>
        <v>45469</v>
      </c>
      <c r="C933" s="44">
        <f t="shared" si="688"/>
        <v>-719911.57999999891</v>
      </c>
      <c r="D933" s="38">
        <v>220577.09</v>
      </c>
      <c r="E933" s="38"/>
      <c r="F933" s="38"/>
      <c r="G933" s="45">
        <f t="shared" si="702"/>
        <v>-499334.48999999894</v>
      </c>
      <c r="H933" s="44">
        <v>4300000</v>
      </c>
      <c r="I933" s="46">
        <f t="shared" si="689"/>
        <v>1043334.9400000001</v>
      </c>
      <c r="J933" s="38">
        <v>9755.7000000000007</v>
      </c>
      <c r="K933" s="38">
        <v>680000</v>
      </c>
      <c r="L933" s="38">
        <v>-1333201.82</v>
      </c>
      <c r="M933" s="47">
        <f t="shared" si="690"/>
        <v>399888.82000000007</v>
      </c>
      <c r="N933" s="46">
        <v>5000000</v>
      </c>
      <c r="O933" s="48">
        <f t="shared" si="691"/>
        <v>2966.2100000002597</v>
      </c>
      <c r="P933" s="38">
        <f>259377.27+31976.8+2463.83</f>
        <v>293817.90000000002</v>
      </c>
      <c r="Q933" s="38">
        <f>393000-680000</f>
        <v>-287000</v>
      </c>
      <c r="R933" s="38">
        <v>-4804.1899999999996</v>
      </c>
      <c r="S933" s="55">
        <f t="shared" si="692"/>
        <v>4979.9200000002775</v>
      </c>
      <c r="T933" s="48"/>
      <c r="U933" s="49">
        <f t="shared" si="693"/>
        <v>254.00000000011642</v>
      </c>
      <c r="V933" s="38">
        <v>393030.72</v>
      </c>
      <c r="W933" s="38">
        <v>-393000</v>
      </c>
      <c r="X933" s="38">
        <v>-1.5</v>
      </c>
      <c r="Y933" s="51">
        <f t="shared" si="694"/>
        <v>283.22000000008848</v>
      </c>
      <c r="Z933" s="52"/>
      <c r="AA933" s="53">
        <f t="shared" si="695"/>
        <v>588.81999999959953</v>
      </c>
      <c r="AB933" s="38"/>
      <c r="AC933" s="38"/>
      <c r="AD933" s="38"/>
      <c r="AE933" s="54">
        <f t="shared" si="696"/>
        <v>588.81999999959953</v>
      </c>
      <c r="AF933" s="53"/>
      <c r="AG933" s="53">
        <f t="shared" si="704"/>
        <v>84.170000000058224</v>
      </c>
      <c r="AH933" s="38"/>
      <c r="AI933" s="38"/>
      <c r="AJ933" s="38"/>
      <c r="AK933" s="54">
        <f t="shared" si="705"/>
        <v>84.170000000058224</v>
      </c>
      <c r="AL933" s="53"/>
      <c r="AM933" s="53">
        <f t="shared" si="685"/>
        <v>0</v>
      </c>
      <c r="AN933" s="38"/>
      <c r="AO933" s="38"/>
      <c r="AP933" s="38"/>
      <c r="AQ933" s="54">
        <f t="shared" si="686"/>
        <v>0</v>
      </c>
      <c r="AR933" s="53"/>
      <c r="AS933" s="29">
        <f t="shared" si="706"/>
        <v>327232.39000000112</v>
      </c>
      <c r="AT933" s="29">
        <f t="shared" si="707"/>
        <v>917181.41</v>
      </c>
      <c r="AU933" s="29">
        <f t="shared" si="708"/>
        <v>0</v>
      </c>
      <c r="AV933" s="29">
        <f t="shared" si="709"/>
        <v>-1338007.51</v>
      </c>
      <c r="AW933" s="29"/>
      <c r="AX933" s="29">
        <f t="shared" si="710"/>
        <v>-93509.539999998859</v>
      </c>
      <c r="AY933" s="29">
        <f t="shared" si="711"/>
        <v>9300000</v>
      </c>
      <c r="AZ933" s="29">
        <f t="shared" si="712"/>
        <v>9206490.4600000009</v>
      </c>
    </row>
    <row r="934" spans="2:52" x14ac:dyDescent="0.3">
      <c r="B934" s="99">
        <f t="shared" si="713"/>
        <v>45470</v>
      </c>
      <c r="C934" s="44">
        <f t="shared" si="688"/>
        <v>-499334.48999999894</v>
      </c>
      <c r="D934" s="38">
        <v>1092274.6599999999</v>
      </c>
      <c r="E934" s="38"/>
      <c r="F934" s="38"/>
      <c r="G934" s="45">
        <f t="shared" si="702"/>
        <v>592940.17000000097</v>
      </c>
      <c r="H934" s="44">
        <v>4300000</v>
      </c>
      <c r="I934" s="46">
        <f t="shared" si="689"/>
        <v>399888.82000000007</v>
      </c>
      <c r="J934" s="38"/>
      <c r="K934" s="38"/>
      <c r="L934" s="38">
        <v>-1997.87</v>
      </c>
      <c r="M934" s="47">
        <f t="shared" si="690"/>
        <v>397890.95000000007</v>
      </c>
      <c r="N934" s="46">
        <v>5000000</v>
      </c>
      <c r="O934" s="48">
        <f t="shared" si="691"/>
        <v>4979.9200000002775</v>
      </c>
      <c r="P934" s="38">
        <v>547181.96</v>
      </c>
      <c r="Q934" s="38"/>
      <c r="R934" s="38">
        <v>-10</v>
      </c>
      <c r="S934" s="55">
        <f t="shared" si="692"/>
        <v>552151.88000000024</v>
      </c>
      <c r="T934" s="48"/>
      <c r="U934" s="49">
        <f t="shared" si="693"/>
        <v>283.22000000008848</v>
      </c>
      <c r="V934" s="38"/>
      <c r="W934" s="38"/>
      <c r="X934" s="38"/>
      <c r="Y934" s="51">
        <f t="shared" si="694"/>
        <v>283.22000000008848</v>
      </c>
      <c r="Z934" s="52"/>
      <c r="AA934" s="53">
        <f t="shared" si="695"/>
        <v>588.81999999959953</v>
      </c>
      <c r="AB934" s="38"/>
      <c r="AC934" s="38"/>
      <c r="AD934" s="38"/>
      <c r="AE934" s="54">
        <f t="shared" si="696"/>
        <v>588.81999999959953</v>
      </c>
      <c r="AF934" s="53"/>
      <c r="AG934" s="53">
        <f t="shared" si="704"/>
        <v>84.170000000058224</v>
      </c>
      <c r="AH934" s="38">
        <v>250189.64</v>
      </c>
      <c r="AI934" s="38"/>
      <c r="AJ934" s="38"/>
      <c r="AK934" s="54">
        <f t="shared" si="705"/>
        <v>250273.81000000008</v>
      </c>
      <c r="AL934" s="53"/>
      <c r="AM934" s="53">
        <f t="shared" si="685"/>
        <v>0</v>
      </c>
      <c r="AN934" s="38"/>
      <c r="AO934" s="38"/>
      <c r="AP934" s="38"/>
      <c r="AQ934" s="54">
        <f t="shared" si="686"/>
        <v>0</v>
      </c>
      <c r="AR934" s="53"/>
      <c r="AS934" s="29">
        <f t="shared" si="706"/>
        <v>-93593.709999998915</v>
      </c>
      <c r="AT934" s="29">
        <f t="shared" si="707"/>
        <v>1889646.2599999998</v>
      </c>
      <c r="AU934" s="29">
        <f t="shared" si="708"/>
        <v>0</v>
      </c>
      <c r="AV934" s="29">
        <f t="shared" si="709"/>
        <v>-2007.87</v>
      </c>
      <c r="AW934" s="29"/>
      <c r="AX934" s="29">
        <f t="shared" si="710"/>
        <v>1794128.8500000013</v>
      </c>
      <c r="AY934" s="29">
        <f t="shared" si="711"/>
        <v>9300000</v>
      </c>
      <c r="AZ934" s="29">
        <f t="shared" si="712"/>
        <v>11094128.850000001</v>
      </c>
    </row>
    <row r="935" spans="2:52" x14ac:dyDescent="0.3">
      <c r="B935" s="99">
        <f t="shared" si="713"/>
        <v>45471</v>
      </c>
      <c r="C935" s="44">
        <f t="shared" si="688"/>
        <v>592940.17000000097</v>
      </c>
      <c r="D935" s="38">
        <v>136121.19</v>
      </c>
      <c r="E935" s="38"/>
      <c r="F935" s="38">
        <v>-67541.98</v>
      </c>
      <c r="G935" s="45">
        <f t="shared" si="702"/>
        <v>661519.38000000105</v>
      </c>
      <c r="H935" s="44">
        <v>4300000</v>
      </c>
      <c r="I935" s="46">
        <f t="shared" si="689"/>
        <v>397890.95000000007</v>
      </c>
      <c r="J935" s="38">
        <v>418127.25</v>
      </c>
      <c r="K935" s="38"/>
      <c r="L935" s="38"/>
      <c r="M935" s="47">
        <f t="shared" si="690"/>
        <v>816018.20000000007</v>
      </c>
      <c r="N935" s="46">
        <v>5000000</v>
      </c>
      <c r="O935" s="48">
        <f t="shared" si="691"/>
        <v>552151.88000000024</v>
      </c>
      <c r="P935" s="38">
        <v>771666.68</v>
      </c>
      <c r="Q935" s="38"/>
      <c r="R935" s="38"/>
      <c r="S935" s="55">
        <f t="shared" si="692"/>
        <v>1323818.5600000003</v>
      </c>
      <c r="T935" s="48"/>
      <c r="U935" s="49">
        <f t="shared" si="693"/>
        <v>283.22000000008848</v>
      </c>
      <c r="V935" s="38"/>
      <c r="W935" s="38"/>
      <c r="X935" s="38"/>
      <c r="Y935" s="51">
        <f t="shared" si="694"/>
        <v>283.22000000008848</v>
      </c>
      <c r="Z935" s="52"/>
      <c r="AA935" s="53">
        <f t="shared" si="695"/>
        <v>588.81999999959953</v>
      </c>
      <c r="AB935" s="38">
        <v>0.52</v>
      </c>
      <c r="AC935" s="38"/>
      <c r="AD935" s="38"/>
      <c r="AE935" s="54">
        <f t="shared" si="696"/>
        <v>589.33999999959951</v>
      </c>
      <c r="AF935" s="53"/>
      <c r="AG935" s="53">
        <f t="shared" si="704"/>
        <v>250273.81000000008</v>
      </c>
      <c r="AH935" s="38">
        <v>0.45</v>
      </c>
      <c r="AI935" s="38"/>
      <c r="AJ935" s="38"/>
      <c r="AK935" s="54">
        <f t="shared" si="705"/>
        <v>250274.2600000001</v>
      </c>
      <c r="AL935" s="53"/>
      <c r="AM935" s="53">
        <f t="shared" si="685"/>
        <v>0</v>
      </c>
      <c r="AN935" s="38"/>
      <c r="AO935" s="38"/>
      <c r="AP935" s="38"/>
      <c r="AQ935" s="54">
        <f t="shared" si="686"/>
        <v>0</v>
      </c>
      <c r="AR935" s="53"/>
      <c r="AS935" s="29">
        <f t="shared" si="706"/>
        <v>1543855.0400000012</v>
      </c>
      <c r="AT935" s="29">
        <f t="shared" si="707"/>
        <v>1325916.0900000001</v>
      </c>
      <c r="AU935" s="29">
        <f t="shared" si="708"/>
        <v>0</v>
      </c>
      <c r="AV935" s="29">
        <f t="shared" si="709"/>
        <v>-67541.98</v>
      </c>
      <c r="AW935" s="29"/>
      <c r="AX935" s="29">
        <f t="shared" si="710"/>
        <v>3052502.9600000014</v>
      </c>
      <c r="AY935" s="29">
        <f t="shared" si="711"/>
        <v>9300000</v>
      </c>
      <c r="AZ935" s="29">
        <f t="shared" si="712"/>
        <v>12352502.960000001</v>
      </c>
    </row>
    <row r="936" spans="2:52" x14ac:dyDescent="0.3">
      <c r="B936" s="99">
        <f t="shared" ref="B936" si="716">B935+3</f>
        <v>45474</v>
      </c>
      <c r="C936" s="44">
        <f t="shared" si="688"/>
        <v>661519.38000000105</v>
      </c>
      <c r="D936" s="38">
        <v>47712</v>
      </c>
      <c r="E936" s="38"/>
      <c r="F936" s="38">
        <v>-6674.53</v>
      </c>
      <c r="G936" s="45">
        <f t="shared" si="702"/>
        <v>702556.85000000102</v>
      </c>
      <c r="H936" s="44">
        <v>4300000</v>
      </c>
      <c r="I936" s="46">
        <f t="shared" si="689"/>
        <v>816018.20000000007</v>
      </c>
      <c r="J936" s="38">
        <f>5922.27+15985.85</f>
        <v>21908.120000000003</v>
      </c>
      <c r="K936" s="38">
        <f>580000+1320000</f>
        <v>1900000</v>
      </c>
      <c r="L936" s="38">
        <v>-147016.04</v>
      </c>
      <c r="M936" s="47">
        <f t="shared" si="690"/>
        <v>2590910.2800000003</v>
      </c>
      <c r="N936" s="46">
        <v>5000000</v>
      </c>
      <c r="O936" s="48">
        <f t="shared" si="691"/>
        <v>1323818.5600000003</v>
      </c>
      <c r="P936" s="38">
        <f>9820.72+155610.54+312890.8</f>
        <v>478322.06</v>
      </c>
      <c r="Q936" s="38">
        <f>106000-1320000-580000</f>
        <v>-1794000</v>
      </c>
      <c r="R936" s="38">
        <v>-228.8</v>
      </c>
      <c r="S936" s="55">
        <f t="shared" si="692"/>
        <v>7911.8200000003444</v>
      </c>
      <c r="T936" s="48"/>
      <c r="U936" s="49">
        <f t="shared" si="693"/>
        <v>283.22000000008848</v>
      </c>
      <c r="V936" s="38">
        <v>106540.96</v>
      </c>
      <c r="W936" s="38">
        <v>-106000</v>
      </c>
      <c r="X936" s="38"/>
      <c r="Y936" s="51">
        <f t="shared" si="694"/>
        <v>824.18000000009488</v>
      </c>
      <c r="Z936" s="52"/>
      <c r="AA936" s="53">
        <f t="shared" si="695"/>
        <v>589.33999999959951</v>
      </c>
      <c r="AB936" s="38"/>
      <c r="AC936" s="38"/>
      <c r="AD936" s="38"/>
      <c r="AE936" s="54">
        <f t="shared" si="696"/>
        <v>589.33999999959951</v>
      </c>
      <c r="AF936" s="53"/>
      <c r="AG936" s="53">
        <f t="shared" si="704"/>
        <v>250274.2600000001</v>
      </c>
      <c r="AH936" s="38"/>
      <c r="AI936" s="38"/>
      <c r="AJ936" s="38">
        <v>-75</v>
      </c>
      <c r="AK936" s="54">
        <f t="shared" si="705"/>
        <v>250199.2600000001</v>
      </c>
      <c r="AL936" s="53"/>
      <c r="AM936" s="53">
        <f t="shared" si="685"/>
        <v>0</v>
      </c>
      <c r="AN936" s="38"/>
      <c r="AO936" s="38"/>
      <c r="AP936" s="38"/>
      <c r="AQ936" s="54">
        <f t="shared" si="686"/>
        <v>0</v>
      </c>
      <c r="AR936" s="53"/>
      <c r="AS936" s="29">
        <f t="shared" si="706"/>
        <v>2802228.7000000011</v>
      </c>
      <c r="AT936" s="29">
        <f t="shared" si="707"/>
        <v>654483.1399999999</v>
      </c>
      <c r="AU936" s="29">
        <f t="shared" si="708"/>
        <v>0</v>
      </c>
      <c r="AV936" s="29">
        <f t="shared" si="709"/>
        <v>-153994.37</v>
      </c>
      <c r="AW936" s="29"/>
      <c r="AX936" s="29">
        <f t="shared" si="710"/>
        <v>3552991.7300000014</v>
      </c>
      <c r="AY936" s="29">
        <f t="shared" si="711"/>
        <v>9300000</v>
      </c>
      <c r="AZ936" s="29">
        <f t="shared" si="712"/>
        <v>12852991.73</v>
      </c>
    </row>
    <row r="937" spans="2:52" x14ac:dyDescent="0.3">
      <c r="B937" s="99">
        <f t="shared" si="713"/>
        <v>45475</v>
      </c>
      <c r="C937" s="44">
        <f t="shared" si="688"/>
        <v>702556.85000000102</v>
      </c>
      <c r="D937" s="38"/>
      <c r="E937" s="38"/>
      <c r="F937" s="38">
        <v>-160</v>
      </c>
      <c r="G937" s="45">
        <f t="shared" si="702"/>
        <v>702396.85000000102</v>
      </c>
      <c r="H937" s="44">
        <v>4300000</v>
      </c>
      <c r="I937" s="46">
        <f t="shared" si="689"/>
        <v>2590910.2800000003</v>
      </c>
      <c r="J937" s="38"/>
      <c r="K937" s="38"/>
      <c r="L937" s="38">
        <v>-201</v>
      </c>
      <c r="M937" s="47">
        <f t="shared" si="690"/>
        <v>2590709.2800000003</v>
      </c>
      <c r="N937" s="46">
        <v>5000000</v>
      </c>
      <c r="O937" s="48">
        <f t="shared" si="691"/>
        <v>7911.8200000003444</v>
      </c>
      <c r="P937" s="38">
        <v>804.11</v>
      </c>
      <c r="Q937" s="38"/>
      <c r="R937" s="38">
        <v>-20</v>
      </c>
      <c r="S937" s="55">
        <f t="shared" si="692"/>
        <v>8695.9300000003441</v>
      </c>
      <c r="T937" s="48"/>
      <c r="U937" s="49">
        <f t="shared" si="693"/>
        <v>824.18000000009488</v>
      </c>
      <c r="V937" s="38"/>
      <c r="W937" s="38"/>
      <c r="X937" s="38">
        <v>-66.8</v>
      </c>
      <c r="Y937" s="51">
        <f t="shared" si="694"/>
        <v>757.38000000009492</v>
      </c>
      <c r="Z937" s="52"/>
      <c r="AA937" s="53">
        <f t="shared" si="695"/>
        <v>589.33999999959951</v>
      </c>
      <c r="AB937" s="38"/>
      <c r="AC937" s="38"/>
      <c r="AD937" s="38"/>
      <c r="AE937" s="54">
        <f t="shared" si="696"/>
        <v>589.33999999959951</v>
      </c>
      <c r="AF937" s="53"/>
      <c r="AG937" s="53">
        <f t="shared" si="704"/>
        <v>250199.2600000001</v>
      </c>
      <c r="AH937" s="38"/>
      <c r="AI937" s="38"/>
      <c r="AJ937" s="38"/>
      <c r="AK937" s="54">
        <f t="shared" si="705"/>
        <v>250199.2600000001</v>
      </c>
      <c r="AL937" s="53"/>
      <c r="AM937" s="53">
        <f t="shared" si="685"/>
        <v>0</v>
      </c>
      <c r="AN937" s="38"/>
      <c r="AO937" s="38"/>
      <c r="AP937" s="38"/>
      <c r="AQ937" s="54">
        <f t="shared" si="686"/>
        <v>0</v>
      </c>
      <c r="AR937" s="53"/>
      <c r="AS937" s="29">
        <f t="shared" si="706"/>
        <v>3302792.4700000011</v>
      </c>
      <c r="AT937" s="29">
        <f t="shared" si="707"/>
        <v>804.11</v>
      </c>
      <c r="AU937" s="29">
        <f t="shared" si="708"/>
        <v>0</v>
      </c>
      <c r="AV937" s="29">
        <f t="shared" si="709"/>
        <v>-447.8</v>
      </c>
      <c r="AW937" s="29"/>
      <c r="AX937" s="29">
        <f t="shared" si="710"/>
        <v>3553348.040000001</v>
      </c>
      <c r="AY937" s="29">
        <f t="shared" si="711"/>
        <v>9300000</v>
      </c>
      <c r="AZ937" s="29">
        <f t="shared" si="712"/>
        <v>12853348.040000001</v>
      </c>
    </row>
    <row r="938" spans="2:52" x14ac:dyDescent="0.3">
      <c r="B938" s="99">
        <f t="shared" si="713"/>
        <v>45476</v>
      </c>
      <c r="C938" s="44">
        <f t="shared" si="688"/>
        <v>702396.85000000102</v>
      </c>
      <c r="D938" s="38"/>
      <c r="E938" s="38">
        <v>-530000</v>
      </c>
      <c r="F938" s="38">
        <v>-176722.17</v>
      </c>
      <c r="G938" s="45">
        <f t="shared" si="702"/>
        <v>-4325.3199999989884</v>
      </c>
      <c r="H938" s="44">
        <v>4300000</v>
      </c>
      <c r="I938" s="46">
        <f t="shared" si="689"/>
        <v>2590709.2800000003</v>
      </c>
      <c r="J938" s="38">
        <v>2330</v>
      </c>
      <c r="K938" s="38">
        <v>780000</v>
      </c>
      <c r="L938" s="38">
        <v>-3077371.22</v>
      </c>
      <c r="M938" s="47">
        <f t="shared" si="690"/>
        <v>295668.06000000006</v>
      </c>
      <c r="N938" s="46">
        <v>5000000</v>
      </c>
      <c r="O938" s="48">
        <f t="shared" si="691"/>
        <v>8695.9300000003441</v>
      </c>
      <c r="P938" s="38"/>
      <c r="Q938" s="38"/>
      <c r="R938" s="38">
        <v>-3196.33</v>
      </c>
      <c r="S938" s="55">
        <f t="shared" si="692"/>
        <v>5499.6000000003442</v>
      </c>
      <c r="T938" s="48"/>
      <c r="U938" s="49">
        <f t="shared" si="693"/>
        <v>757.38000000009492</v>
      </c>
      <c r="V938" s="38"/>
      <c r="W938" s="38"/>
      <c r="X938" s="38"/>
      <c r="Y938" s="51">
        <f t="shared" si="694"/>
        <v>757.38000000009492</v>
      </c>
      <c r="Z938" s="52"/>
      <c r="AA938" s="53">
        <f t="shared" si="695"/>
        <v>589.33999999959951</v>
      </c>
      <c r="AB938" s="38"/>
      <c r="AC938" s="38"/>
      <c r="AD938" s="38"/>
      <c r="AE938" s="54">
        <f t="shared" si="696"/>
        <v>589.33999999959951</v>
      </c>
      <c r="AF938" s="53"/>
      <c r="AG938" s="53">
        <f t="shared" si="704"/>
        <v>250199.2600000001</v>
      </c>
      <c r="AH938" s="38"/>
      <c r="AI938" s="38">
        <v>-250000</v>
      </c>
      <c r="AJ938" s="38"/>
      <c r="AK938" s="54">
        <f t="shared" si="705"/>
        <v>199.26000000009662</v>
      </c>
      <c r="AL938" s="53"/>
      <c r="AM938" s="53">
        <f t="shared" si="685"/>
        <v>0</v>
      </c>
      <c r="AN938" s="38"/>
      <c r="AO938" s="38"/>
      <c r="AP938" s="38"/>
      <c r="AQ938" s="54">
        <f t="shared" si="686"/>
        <v>0</v>
      </c>
      <c r="AR938" s="53"/>
      <c r="AS938" s="29">
        <f t="shared" si="706"/>
        <v>3303148.7800000007</v>
      </c>
      <c r="AT938" s="29">
        <f t="shared" si="707"/>
        <v>2330</v>
      </c>
      <c r="AU938" s="29">
        <f t="shared" si="708"/>
        <v>0</v>
      </c>
      <c r="AV938" s="29">
        <f t="shared" si="709"/>
        <v>-3257289.72</v>
      </c>
      <c r="AW938" s="29"/>
      <c r="AX938" s="29">
        <f t="shared" si="710"/>
        <v>298388.32000000123</v>
      </c>
      <c r="AY938" s="29">
        <f t="shared" si="711"/>
        <v>9300000</v>
      </c>
      <c r="AZ938" s="29">
        <f t="shared" si="712"/>
        <v>9598388.3200000003</v>
      </c>
    </row>
    <row r="939" spans="2:52" x14ac:dyDescent="0.3">
      <c r="B939" s="99">
        <f t="shared" si="713"/>
        <v>45477</v>
      </c>
      <c r="C939" s="44">
        <f t="shared" si="688"/>
        <v>-4325.3199999989884</v>
      </c>
      <c r="D939" s="38">
        <v>45305.14</v>
      </c>
      <c r="E939" s="38">
        <v>-350000</v>
      </c>
      <c r="F939" s="38"/>
      <c r="G939" s="45">
        <f t="shared" si="702"/>
        <v>-309020.179999999</v>
      </c>
      <c r="H939" s="44">
        <v>4300000</v>
      </c>
      <c r="I939" s="46">
        <f t="shared" si="689"/>
        <v>295668.06000000006</v>
      </c>
      <c r="J939" s="38">
        <v>525.61</v>
      </c>
      <c r="K939" s="38">
        <v>350000</v>
      </c>
      <c r="L939" s="38">
        <v>-557067.65</v>
      </c>
      <c r="M939" s="47">
        <f t="shared" si="690"/>
        <v>89126.020000000019</v>
      </c>
      <c r="N939" s="46">
        <v>5000000</v>
      </c>
      <c r="O939" s="48">
        <f t="shared" si="691"/>
        <v>5499.6000000003442</v>
      </c>
      <c r="P939" s="38"/>
      <c r="Q939" s="38"/>
      <c r="R939" s="38">
        <v>-1740.9</v>
      </c>
      <c r="S939" s="55">
        <f t="shared" si="692"/>
        <v>3758.7000000003441</v>
      </c>
      <c r="T939" s="48"/>
      <c r="U939" s="49">
        <f t="shared" si="693"/>
        <v>757.38000000009492</v>
      </c>
      <c r="V939" s="38"/>
      <c r="W939" s="38"/>
      <c r="X939" s="38"/>
      <c r="Y939" s="51">
        <f t="shared" si="694"/>
        <v>757.38000000009492</v>
      </c>
      <c r="Z939" s="52"/>
      <c r="AA939" s="53">
        <f t="shared" si="695"/>
        <v>589.33999999959951</v>
      </c>
      <c r="AB939" s="38"/>
      <c r="AC939" s="38"/>
      <c r="AD939" s="38"/>
      <c r="AE939" s="54">
        <f t="shared" si="696"/>
        <v>589.33999999959951</v>
      </c>
      <c r="AF939" s="53"/>
      <c r="AG939" s="53">
        <f t="shared" si="704"/>
        <v>199.26000000009662</v>
      </c>
      <c r="AH939" s="38"/>
      <c r="AI939" s="38"/>
      <c r="AJ939" s="38">
        <v>-9.9</v>
      </c>
      <c r="AK939" s="54">
        <f t="shared" si="705"/>
        <v>189.36000000009662</v>
      </c>
      <c r="AL939" s="53"/>
      <c r="AM939" s="53">
        <f t="shared" si="685"/>
        <v>0</v>
      </c>
      <c r="AN939" s="38"/>
      <c r="AO939" s="38"/>
      <c r="AP939" s="38"/>
      <c r="AQ939" s="54">
        <f t="shared" si="686"/>
        <v>0</v>
      </c>
      <c r="AR939" s="53"/>
      <c r="AS939" s="29">
        <f t="shared" si="706"/>
        <v>298189.0600000011</v>
      </c>
      <c r="AT939" s="29">
        <f t="shared" si="707"/>
        <v>45830.75</v>
      </c>
      <c r="AU939" s="29">
        <f t="shared" si="708"/>
        <v>0</v>
      </c>
      <c r="AV939" s="29">
        <f t="shared" si="709"/>
        <v>-558818.45000000007</v>
      </c>
      <c r="AW939" s="29"/>
      <c r="AX939" s="29">
        <f t="shared" si="710"/>
        <v>-214599.37999999887</v>
      </c>
      <c r="AY939" s="29">
        <f t="shared" si="711"/>
        <v>9300000</v>
      </c>
      <c r="AZ939" s="29">
        <f t="shared" si="712"/>
        <v>9085400.620000001</v>
      </c>
    </row>
    <row r="940" spans="2:52" x14ac:dyDescent="0.3">
      <c r="B940" s="99">
        <f t="shared" si="713"/>
        <v>45478</v>
      </c>
      <c r="C940" s="44">
        <f t="shared" si="688"/>
        <v>-309020.179999999</v>
      </c>
      <c r="D940" s="38">
        <v>1126.2</v>
      </c>
      <c r="E940" s="38">
        <v>-180000</v>
      </c>
      <c r="F940" s="38">
        <v>-783155.15</v>
      </c>
      <c r="G940" s="45">
        <f t="shared" si="702"/>
        <v>-1271049.129999999</v>
      </c>
      <c r="H940" s="44">
        <v>4300000</v>
      </c>
      <c r="I940" s="46">
        <f t="shared" si="689"/>
        <v>89126.020000000019</v>
      </c>
      <c r="J940" s="38"/>
      <c r="K940" s="38">
        <v>180000</v>
      </c>
      <c r="L940" s="38">
        <v>-219200.93</v>
      </c>
      <c r="M940" s="47">
        <f t="shared" si="690"/>
        <v>49925.090000000026</v>
      </c>
      <c r="N940" s="46">
        <v>5000000</v>
      </c>
      <c r="O940" s="48">
        <f t="shared" si="691"/>
        <v>3758.7000000003441</v>
      </c>
      <c r="P940" s="38"/>
      <c r="Q940" s="38"/>
      <c r="R940" s="38">
        <v>-3000</v>
      </c>
      <c r="S940" s="55">
        <f t="shared" si="692"/>
        <v>758.70000000034406</v>
      </c>
      <c r="T940" s="48"/>
      <c r="U940" s="49">
        <f t="shared" si="693"/>
        <v>757.38000000009492</v>
      </c>
      <c r="V940" s="38"/>
      <c r="W940" s="38"/>
      <c r="X940" s="38"/>
      <c r="Y940" s="51">
        <f t="shared" si="694"/>
        <v>757.38000000009492</v>
      </c>
      <c r="Z940" s="52"/>
      <c r="AA940" s="53">
        <f t="shared" si="695"/>
        <v>589.33999999959951</v>
      </c>
      <c r="AB940" s="38"/>
      <c r="AC940" s="38"/>
      <c r="AD940" s="38"/>
      <c r="AE940" s="54">
        <f t="shared" si="696"/>
        <v>589.33999999959951</v>
      </c>
      <c r="AF940" s="53"/>
      <c r="AG940" s="53">
        <f t="shared" si="704"/>
        <v>189.36000000009662</v>
      </c>
      <c r="AH940" s="38"/>
      <c r="AI940" s="38"/>
      <c r="AJ940" s="38"/>
      <c r="AK940" s="54">
        <f t="shared" si="705"/>
        <v>189.36000000009662</v>
      </c>
      <c r="AL940" s="53"/>
      <c r="AM940" s="53">
        <f t="shared" si="685"/>
        <v>0</v>
      </c>
      <c r="AN940" s="38"/>
      <c r="AO940" s="38"/>
      <c r="AP940" s="38"/>
      <c r="AQ940" s="54">
        <f t="shared" si="686"/>
        <v>0</v>
      </c>
      <c r="AR940" s="53"/>
      <c r="AS940" s="29">
        <f t="shared" si="706"/>
        <v>-214788.73999999897</v>
      </c>
      <c r="AT940" s="29">
        <f t="shared" si="707"/>
        <v>1126.2</v>
      </c>
      <c r="AU940" s="29">
        <f t="shared" si="708"/>
        <v>0</v>
      </c>
      <c r="AV940" s="29">
        <f t="shared" si="709"/>
        <v>-1005356.0800000001</v>
      </c>
      <c r="AW940" s="29"/>
      <c r="AX940" s="29">
        <f t="shared" si="710"/>
        <v>-1218829.2599999986</v>
      </c>
      <c r="AY940" s="29">
        <f t="shared" si="711"/>
        <v>9300000</v>
      </c>
      <c r="AZ940" s="29">
        <f t="shared" si="712"/>
        <v>8081170.7400000012</v>
      </c>
    </row>
    <row r="941" spans="2:52" x14ac:dyDescent="0.3">
      <c r="B941" s="99">
        <f t="shared" ref="B941" si="717">B940+3</f>
        <v>45481</v>
      </c>
      <c r="C941" s="44">
        <f t="shared" si="688"/>
        <v>-1271049.129999999</v>
      </c>
      <c r="D941" s="38">
        <v>16171.25</v>
      </c>
      <c r="E941" s="38">
        <v>-85000</v>
      </c>
      <c r="F941" s="38">
        <v>-4110.3999999999996</v>
      </c>
      <c r="G941" s="45">
        <f t="shared" si="702"/>
        <v>-1343988.2799999989</v>
      </c>
      <c r="H941" s="44">
        <v>4300000</v>
      </c>
      <c r="I941" s="46">
        <f t="shared" si="689"/>
        <v>49925.090000000026</v>
      </c>
      <c r="J941" s="38">
        <v>3845.8</v>
      </c>
      <c r="K941" s="38">
        <v>85000</v>
      </c>
      <c r="L941" s="38">
        <v>-130374.66</v>
      </c>
      <c r="M941" s="47">
        <f t="shared" si="690"/>
        <v>8396.2300000000105</v>
      </c>
      <c r="N941" s="46">
        <v>5000000</v>
      </c>
      <c r="O941" s="48">
        <f t="shared" si="691"/>
        <v>758.70000000034406</v>
      </c>
      <c r="P941" s="38"/>
      <c r="Q941" s="38"/>
      <c r="R941" s="38"/>
      <c r="S941" s="55">
        <f t="shared" si="692"/>
        <v>758.70000000034406</v>
      </c>
      <c r="T941" s="48"/>
      <c r="U941" s="49">
        <f t="shared" si="693"/>
        <v>757.38000000009492</v>
      </c>
      <c r="V941" s="38"/>
      <c r="W941" s="38"/>
      <c r="X941" s="38"/>
      <c r="Y941" s="51">
        <f t="shared" si="694"/>
        <v>757.38000000009492</v>
      </c>
      <c r="Z941" s="52"/>
      <c r="AA941" s="53">
        <f t="shared" si="695"/>
        <v>589.33999999959951</v>
      </c>
      <c r="AB941" s="38"/>
      <c r="AC941" s="38"/>
      <c r="AD941" s="38"/>
      <c r="AE941" s="54">
        <f t="shared" si="696"/>
        <v>589.33999999959951</v>
      </c>
      <c r="AF941" s="53"/>
      <c r="AG941" s="53">
        <f t="shared" si="704"/>
        <v>189.36000000009662</v>
      </c>
      <c r="AH941" s="38"/>
      <c r="AI941" s="38"/>
      <c r="AJ941" s="38"/>
      <c r="AK941" s="54">
        <f t="shared" si="705"/>
        <v>189.36000000009662</v>
      </c>
      <c r="AL941" s="53"/>
      <c r="AM941" s="53">
        <f t="shared" si="685"/>
        <v>0</v>
      </c>
      <c r="AN941" s="38"/>
      <c r="AO941" s="38"/>
      <c r="AP941" s="38"/>
      <c r="AQ941" s="54">
        <f t="shared" si="686"/>
        <v>0</v>
      </c>
      <c r="AR941" s="53"/>
      <c r="AS941" s="29">
        <f t="shared" si="706"/>
        <v>-1219018.6199999987</v>
      </c>
      <c r="AT941" s="29">
        <f t="shared" si="707"/>
        <v>20017.05</v>
      </c>
      <c r="AU941" s="29">
        <f t="shared" si="708"/>
        <v>0</v>
      </c>
      <c r="AV941" s="29">
        <f t="shared" si="709"/>
        <v>-134485.06</v>
      </c>
      <c r="AW941" s="29"/>
      <c r="AX941" s="29">
        <f t="shared" si="710"/>
        <v>-1333297.2699999986</v>
      </c>
      <c r="AY941" s="29">
        <f t="shared" si="711"/>
        <v>9300000</v>
      </c>
      <c r="AZ941" s="29">
        <f t="shared" si="712"/>
        <v>7966702.7300000014</v>
      </c>
    </row>
    <row r="942" spans="2:52" x14ac:dyDescent="0.3">
      <c r="B942" s="99">
        <f t="shared" si="713"/>
        <v>45482</v>
      </c>
      <c r="C942" s="44">
        <f t="shared" si="688"/>
        <v>-1343988.2799999989</v>
      </c>
      <c r="D942" s="38"/>
      <c r="E942" s="38"/>
      <c r="F942" s="38">
        <v>-0.21</v>
      </c>
      <c r="G942" s="45">
        <f t="shared" si="702"/>
        <v>-1343988.4899999988</v>
      </c>
      <c r="H942" s="44">
        <v>4300000</v>
      </c>
      <c r="I942" s="46">
        <f t="shared" si="689"/>
        <v>8396.2300000000105</v>
      </c>
      <c r="J942" s="38"/>
      <c r="K942" s="38">
        <v>790000</v>
      </c>
      <c r="L942" s="38">
        <v>-19470.759999999998</v>
      </c>
      <c r="M942" s="47">
        <f t="shared" si="690"/>
        <v>778925.47</v>
      </c>
      <c r="N942" s="46">
        <v>5000000</v>
      </c>
      <c r="O942" s="48">
        <f t="shared" si="691"/>
        <v>758.70000000034406</v>
      </c>
      <c r="P942" s="38">
        <v>797581.99</v>
      </c>
      <c r="Q942" s="38">
        <v>-790000</v>
      </c>
      <c r="R942" s="38"/>
      <c r="S942" s="55">
        <f t="shared" si="692"/>
        <v>8340.6900000002934</v>
      </c>
      <c r="T942" s="48"/>
      <c r="U942" s="49">
        <f t="shared" si="693"/>
        <v>757.38000000009492</v>
      </c>
      <c r="V942" s="38"/>
      <c r="W942" s="38"/>
      <c r="X942" s="38"/>
      <c r="Y942" s="51">
        <f t="shared" si="694"/>
        <v>757.38000000009492</v>
      </c>
      <c r="Z942" s="52"/>
      <c r="AA942" s="53">
        <f t="shared" si="695"/>
        <v>589.33999999959951</v>
      </c>
      <c r="AB942" s="38"/>
      <c r="AC942" s="38"/>
      <c r="AD942" s="38"/>
      <c r="AE942" s="54">
        <f t="shared" si="696"/>
        <v>589.33999999959951</v>
      </c>
      <c r="AF942" s="53"/>
      <c r="AG942" s="53">
        <f t="shared" si="704"/>
        <v>189.36000000009662</v>
      </c>
      <c r="AH942" s="38"/>
      <c r="AI942" s="38"/>
      <c r="AJ942" s="38"/>
      <c r="AK942" s="54">
        <f t="shared" si="705"/>
        <v>189.36000000009662</v>
      </c>
      <c r="AL942" s="53"/>
      <c r="AM942" s="53">
        <f t="shared" si="685"/>
        <v>0</v>
      </c>
      <c r="AN942" s="38"/>
      <c r="AO942" s="38"/>
      <c r="AP942" s="38"/>
      <c r="AQ942" s="54">
        <f t="shared" si="686"/>
        <v>0</v>
      </c>
      <c r="AR942" s="53"/>
      <c r="AS942" s="29">
        <f t="shared" si="706"/>
        <v>-1333486.6299999987</v>
      </c>
      <c r="AT942" s="29">
        <f t="shared" si="707"/>
        <v>797581.99</v>
      </c>
      <c r="AU942" s="29">
        <f t="shared" si="708"/>
        <v>0</v>
      </c>
      <c r="AV942" s="29">
        <f t="shared" si="709"/>
        <v>-19470.969999999998</v>
      </c>
      <c r="AW942" s="29"/>
      <c r="AX942" s="29">
        <f t="shared" si="710"/>
        <v>-555186.24999999872</v>
      </c>
      <c r="AY942" s="29">
        <f t="shared" si="711"/>
        <v>9300000</v>
      </c>
      <c r="AZ942" s="29">
        <f t="shared" si="712"/>
        <v>8744813.7500000019</v>
      </c>
    </row>
    <row r="943" spans="2:52" x14ac:dyDescent="0.3">
      <c r="B943" s="99">
        <f t="shared" si="713"/>
        <v>45483</v>
      </c>
      <c r="C943" s="44">
        <f t="shared" si="688"/>
        <v>-1343988.4899999988</v>
      </c>
      <c r="D943" s="38"/>
      <c r="E943" s="38"/>
      <c r="F943" s="38">
        <v>-87.24</v>
      </c>
      <c r="G943" s="45">
        <f t="shared" si="702"/>
        <v>-1344075.7299999988</v>
      </c>
      <c r="H943" s="44">
        <v>4300000</v>
      </c>
      <c r="I943" s="46">
        <f t="shared" si="689"/>
        <v>778925.47</v>
      </c>
      <c r="J943" s="38">
        <v>5405.76</v>
      </c>
      <c r="K943" s="38"/>
      <c r="L943" s="38">
        <v>-282499.90000000002</v>
      </c>
      <c r="M943" s="47">
        <f t="shared" si="690"/>
        <v>501831.32999999996</v>
      </c>
      <c r="N943" s="46">
        <v>5000000</v>
      </c>
      <c r="O943" s="48">
        <f t="shared" si="691"/>
        <v>8340.6900000002934</v>
      </c>
      <c r="P943" s="38">
        <v>17016.47</v>
      </c>
      <c r="Q943" s="38"/>
      <c r="R943" s="38">
        <v>-10</v>
      </c>
      <c r="S943" s="55">
        <f t="shared" si="692"/>
        <v>25347.160000000295</v>
      </c>
      <c r="T943" s="48"/>
      <c r="U943" s="49">
        <f t="shared" si="693"/>
        <v>757.38000000009492</v>
      </c>
      <c r="V943" s="38"/>
      <c r="W943" s="38"/>
      <c r="X943" s="38"/>
      <c r="Y943" s="51">
        <f t="shared" si="694"/>
        <v>757.38000000009492</v>
      </c>
      <c r="Z943" s="52"/>
      <c r="AA943" s="53">
        <f t="shared" si="695"/>
        <v>589.33999999959951</v>
      </c>
      <c r="AB943" s="38"/>
      <c r="AC943" s="38"/>
      <c r="AD943" s="38">
        <v>-460</v>
      </c>
      <c r="AE943" s="54">
        <f t="shared" si="696"/>
        <v>129.33999999959951</v>
      </c>
      <c r="AF943" s="53"/>
      <c r="AG943" s="53">
        <f t="shared" si="704"/>
        <v>189.36000000009662</v>
      </c>
      <c r="AH943" s="38"/>
      <c r="AI943" s="38"/>
      <c r="AJ943" s="38"/>
      <c r="AK943" s="54">
        <f t="shared" si="705"/>
        <v>189.36000000009662</v>
      </c>
      <c r="AL943" s="53"/>
      <c r="AM943" s="53">
        <f t="shared" si="685"/>
        <v>0</v>
      </c>
      <c r="AN943" s="38"/>
      <c r="AO943" s="38"/>
      <c r="AP943" s="38"/>
      <c r="AQ943" s="54">
        <f t="shared" si="686"/>
        <v>0</v>
      </c>
      <c r="AR943" s="53"/>
      <c r="AS943" s="29">
        <f t="shared" si="706"/>
        <v>-555375.60999999882</v>
      </c>
      <c r="AT943" s="29">
        <f t="shared" si="707"/>
        <v>22422.230000000003</v>
      </c>
      <c r="AU943" s="29">
        <f t="shared" si="708"/>
        <v>0</v>
      </c>
      <c r="AV943" s="29">
        <f t="shared" si="709"/>
        <v>-283057.14</v>
      </c>
      <c r="AW943" s="29"/>
      <c r="AX943" s="29">
        <f t="shared" si="710"/>
        <v>-815821.15999999875</v>
      </c>
      <c r="AY943" s="29">
        <f t="shared" si="711"/>
        <v>9300000</v>
      </c>
      <c r="AZ943" s="29">
        <f t="shared" si="712"/>
        <v>8484178.8400000017</v>
      </c>
    </row>
    <row r="944" spans="2:52" x14ac:dyDescent="0.3">
      <c r="B944" s="99">
        <f t="shared" si="713"/>
        <v>45484</v>
      </c>
      <c r="C944" s="44">
        <f t="shared" si="688"/>
        <v>-1344075.7299999988</v>
      </c>
      <c r="D944" s="38"/>
      <c r="E944" s="38">
        <v>200000</v>
      </c>
      <c r="F944" s="38">
        <v>-24864.28</v>
      </c>
      <c r="G944" s="45">
        <f t="shared" si="702"/>
        <v>-1168940.0099999988</v>
      </c>
      <c r="H944" s="44">
        <v>4300000</v>
      </c>
      <c r="I944" s="46">
        <f t="shared" si="689"/>
        <v>501831.32999999996</v>
      </c>
      <c r="J944" s="38">
        <v>4322.72</v>
      </c>
      <c r="K944" s="38"/>
      <c r="L944" s="38">
        <v>-99649.99</v>
      </c>
      <c r="M944" s="47">
        <f t="shared" si="690"/>
        <v>406504.05999999994</v>
      </c>
      <c r="N944" s="46">
        <v>5000000</v>
      </c>
      <c r="O944" s="48">
        <f t="shared" si="691"/>
        <v>25347.160000000295</v>
      </c>
      <c r="P944" s="38">
        <v>178861.03</v>
      </c>
      <c r="Q944" s="38">
        <v>-200000</v>
      </c>
      <c r="R944" s="38">
        <v>-1987.91</v>
      </c>
      <c r="S944" s="55">
        <f t="shared" si="692"/>
        <v>2220.2800000002935</v>
      </c>
      <c r="T944" s="48"/>
      <c r="U944" s="49">
        <f t="shared" si="693"/>
        <v>757.38000000009492</v>
      </c>
      <c r="V944" s="38"/>
      <c r="W944" s="38"/>
      <c r="X944" s="38"/>
      <c r="Y944" s="51">
        <f t="shared" si="694"/>
        <v>757.38000000009492</v>
      </c>
      <c r="Z944" s="52"/>
      <c r="AA944" s="53">
        <f t="shared" si="695"/>
        <v>129.33999999959951</v>
      </c>
      <c r="AB944" s="38"/>
      <c r="AC944" s="38"/>
      <c r="AD944" s="38"/>
      <c r="AE944" s="54">
        <f t="shared" si="696"/>
        <v>129.33999999959951</v>
      </c>
      <c r="AF944" s="53"/>
      <c r="AG944" s="53">
        <f t="shared" si="704"/>
        <v>189.36000000009662</v>
      </c>
      <c r="AH944" s="38"/>
      <c r="AI944" s="38"/>
      <c r="AJ944" s="38"/>
      <c r="AK944" s="54">
        <f t="shared" si="705"/>
        <v>189.36000000009662</v>
      </c>
      <c r="AL944" s="53"/>
      <c r="AM944" s="53">
        <f t="shared" si="685"/>
        <v>0</v>
      </c>
      <c r="AN944" s="38"/>
      <c r="AO944" s="38"/>
      <c r="AP944" s="38"/>
      <c r="AQ944" s="54">
        <f t="shared" si="686"/>
        <v>0</v>
      </c>
      <c r="AR944" s="53"/>
      <c r="AS944" s="29">
        <f t="shared" si="706"/>
        <v>-816010.51999999885</v>
      </c>
      <c r="AT944" s="29">
        <f t="shared" si="707"/>
        <v>183183.75</v>
      </c>
      <c r="AU944" s="29">
        <f t="shared" si="708"/>
        <v>0</v>
      </c>
      <c r="AV944" s="29">
        <f t="shared" si="709"/>
        <v>-126502.18000000001</v>
      </c>
      <c r="AW944" s="29"/>
      <c r="AX944" s="29">
        <f t="shared" si="710"/>
        <v>-759139.5899999988</v>
      </c>
      <c r="AY944" s="29">
        <f t="shared" si="711"/>
        <v>9300000</v>
      </c>
      <c r="AZ944" s="29">
        <f t="shared" si="712"/>
        <v>8540860.410000002</v>
      </c>
    </row>
    <row r="945" spans="2:52" x14ac:dyDescent="0.3">
      <c r="B945" s="99">
        <f t="shared" si="713"/>
        <v>45485</v>
      </c>
      <c r="C945" s="44">
        <f t="shared" si="688"/>
        <v>-1168940.0099999988</v>
      </c>
      <c r="D945" s="38">
        <v>402364.34</v>
      </c>
      <c r="E945" s="38"/>
      <c r="F945" s="38">
        <v>-16596.330000000002</v>
      </c>
      <c r="G945" s="45">
        <f t="shared" si="702"/>
        <v>-783171.99999999872</v>
      </c>
      <c r="H945" s="44">
        <v>4300000</v>
      </c>
      <c r="I945" s="46">
        <f t="shared" si="689"/>
        <v>406504.05999999994</v>
      </c>
      <c r="J945" s="38"/>
      <c r="K945" s="38"/>
      <c r="L945" s="38">
        <v>-13668.06</v>
      </c>
      <c r="M945" s="47">
        <f t="shared" si="690"/>
        <v>392835.99999999994</v>
      </c>
      <c r="N945" s="46">
        <v>5000000</v>
      </c>
      <c r="O945" s="48">
        <f t="shared" si="691"/>
        <v>2220.2800000002935</v>
      </c>
      <c r="P945" s="38"/>
      <c r="Q945" s="38"/>
      <c r="R945" s="38">
        <v>-10</v>
      </c>
      <c r="S945" s="55">
        <f t="shared" si="692"/>
        <v>2210.2800000002935</v>
      </c>
      <c r="T945" s="48"/>
      <c r="U945" s="49">
        <f t="shared" si="693"/>
        <v>757.38000000009492</v>
      </c>
      <c r="V945" s="38"/>
      <c r="W945" s="38"/>
      <c r="X945" s="38"/>
      <c r="Y945" s="51">
        <f t="shared" si="694"/>
        <v>757.38000000009492</v>
      </c>
      <c r="Z945" s="52"/>
      <c r="AA945" s="53">
        <f t="shared" si="695"/>
        <v>129.33999999959951</v>
      </c>
      <c r="AB945" s="38"/>
      <c r="AC945" s="38"/>
      <c r="AD945" s="38"/>
      <c r="AE945" s="54">
        <f t="shared" si="696"/>
        <v>129.33999999959951</v>
      </c>
      <c r="AF945" s="53"/>
      <c r="AG945" s="53">
        <f t="shared" si="704"/>
        <v>189.36000000009662</v>
      </c>
      <c r="AH945" s="38"/>
      <c r="AI945" s="38"/>
      <c r="AJ945" s="38"/>
      <c r="AK945" s="54">
        <f t="shared" si="705"/>
        <v>189.36000000009662</v>
      </c>
      <c r="AL945" s="53"/>
      <c r="AM945" s="53">
        <f t="shared" si="685"/>
        <v>0</v>
      </c>
      <c r="AN945" s="38"/>
      <c r="AO945" s="38"/>
      <c r="AP945" s="38"/>
      <c r="AQ945" s="54">
        <f t="shared" si="686"/>
        <v>0</v>
      </c>
      <c r="AR945" s="53"/>
      <c r="AS945" s="29">
        <f t="shared" si="706"/>
        <v>-759328.94999999891</v>
      </c>
      <c r="AT945" s="29">
        <f t="shared" si="707"/>
        <v>402364.34</v>
      </c>
      <c r="AU945" s="29">
        <f t="shared" si="708"/>
        <v>0</v>
      </c>
      <c r="AV945" s="29">
        <f t="shared" si="709"/>
        <v>-30274.39</v>
      </c>
      <c r="AW945" s="29"/>
      <c r="AX945" s="29">
        <f t="shared" si="710"/>
        <v>-387049.63999999862</v>
      </c>
      <c r="AY945" s="29">
        <f t="shared" si="711"/>
        <v>9300000</v>
      </c>
      <c r="AZ945" s="29">
        <f t="shared" si="712"/>
        <v>8912950.3600000013</v>
      </c>
    </row>
    <row r="946" spans="2:52" x14ac:dyDescent="0.3">
      <c r="B946" s="99">
        <f t="shared" ref="B946" si="718">B945+3</f>
        <v>45488</v>
      </c>
      <c r="C946" s="44">
        <f t="shared" si="688"/>
        <v>-783171.99999999872</v>
      </c>
      <c r="D946" s="38">
        <v>88642.52</v>
      </c>
      <c r="E946" s="38"/>
      <c r="F946" s="38">
        <v>-40074.32</v>
      </c>
      <c r="G946" s="45">
        <f t="shared" si="702"/>
        <v>-734603.79999999865</v>
      </c>
      <c r="H946" s="44">
        <v>4300000</v>
      </c>
      <c r="I946" s="46">
        <f t="shared" si="689"/>
        <v>392835.99999999994</v>
      </c>
      <c r="J946" s="38"/>
      <c r="K946" s="38"/>
      <c r="L946" s="38">
        <v>-71180.13</v>
      </c>
      <c r="M946" s="47">
        <f t="shared" si="690"/>
        <v>321655.86999999994</v>
      </c>
      <c r="N946" s="46">
        <v>5000000</v>
      </c>
      <c r="O946" s="48">
        <f t="shared" si="691"/>
        <v>2210.2800000002935</v>
      </c>
      <c r="P946" s="38"/>
      <c r="Q946" s="38"/>
      <c r="R946" s="38"/>
      <c r="S946" s="55">
        <f t="shared" si="692"/>
        <v>2210.2800000002935</v>
      </c>
      <c r="T946" s="48"/>
      <c r="U946" s="49">
        <f t="shared" si="693"/>
        <v>757.38000000009492</v>
      </c>
      <c r="V946" s="38"/>
      <c r="W946" s="38"/>
      <c r="X946" s="38"/>
      <c r="Y946" s="51">
        <f t="shared" si="694"/>
        <v>757.38000000009492</v>
      </c>
      <c r="Z946" s="52"/>
      <c r="AA946" s="53">
        <f t="shared" si="695"/>
        <v>129.33999999959951</v>
      </c>
      <c r="AB946" s="38"/>
      <c r="AC946" s="38"/>
      <c r="AD946" s="38"/>
      <c r="AE946" s="54">
        <f t="shared" si="696"/>
        <v>129.33999999959951</v>
      </c>
      <c r="AF946" s="53"/>
      <c r="AG946" s="53">
        <f t="shared" si="704"/>
        <v>189.36000000009662</v>
      </c>
      <c r="AH946" s="38"/>
      <c r="AI946" s="38"/>
      <c r="AJ946" s="38"/>
      <c r="AK946" s="54">
        <f t="shared" si="705"/>
        <v>189.36000000009662</v>
      </c>
      <c r="AL946" s="53"/>
      <c r="AM946" s="53">
        <f t="shared" si="685"/>
        <v>0</v>
      </c>
      <c r="AN946" s="38"/>
      <c r="AO946" s="38"/>
      <c r="AP946" s="38"/>
      <c r="AQ946" s="54">
        <f t="shared" si="686"/>
        <v>0</v>
      </c>
      <c r="AR946" s="53"/>
      <c r="AS946" s="29">
        <f t="shared" si="706"/>
        <v>-387238.99999999872</v>
      </c>
      <c r="AT946" s="29">
        <f t="shared" si="707"/>
        <v>88642.52</v>
      </c>
      <c r="AU946" s="29">
        <f t="shared" si="708"/>
        <v>0</v>
      </c>
      <c r="AV946" s="29">
        <f t="shared" si="709"/>
        <v>-111254.45000000001</v>
      </c>
      <c r="AW946" s="29"/>
      <c r="AX946" s="29">
        <f t="shared" si="710"/>
        <v>-409661.56999999855</v>
      </c>
      <c r="AY946" s="29">
        <f t="shared" si="711"/>
        <v>9300000</v>
      </c>
      <c r="AZ946" s="29">
        <f t="shared" si="712"/>
        <v>8890338.4300000016</v>
      </c>
    </row>
    <row r="947" spans="2:52" x14ac:dyDescent="0.3">
      <c r="B947" s="99">
        <f t="shared" si="713"/>
        <v>45489</v>
      </c>
      <c r="C947" s="44">
        <f t="shared" si="688"/>
        <v>-734603.79999999865</v>
      </c>
      <c r="D947" s="38">
        <v>430672.96</v>
      </c>
      <c r="E947" s="38"/>
      <c r="F947" s="38">
        <v>-970.71</v>
      </c>
      <c r="G947" s="45">
        <f t="shared" si="702"/>
        <v>-304901.54999999865</v>
      </c>
      <c r="H947" s="44">
        <v>4300000</v>
      </c>
      <c r="I947" s="46">
        <f t="shared" si="689"/>
        <v>321655.86999999994</v>
      </c>
      <c r="J947" s="38">
        <v>417.26</v>
      </c>
      <c r="K947" s="38"/>
      <c r="L947" s="38">
        <v>-120859.8</v>
      </c>
      <c r="M947" s="47">
        <f t="shared" si="690"/>
        <v>201213.32999999996</v>
      </c>
      <c r="N947" s="46">
        <v>5000000</v>
      </c>
      <c r="O947" s="48">
        <f t="shared" si="691"/>
        <v>2210.2800000002935</v>
      </c>
      <c r="P947" s="38"/>
      <c r="Q947" s="38"/>
      <c r="R947" s="38"/>
      <c r="S947" s="55">
        <f t="shared" si="692"/>
        <v>2210.2800000002935</v>
      </c>
      <c r="T947" s="48"/>
      <c r="U947" s="49">
        <f t="shared" si="693"/>
        <v>757.38000000009492</v>
      </c>
      <c r="V947" s="38"/>
      <c r="W947" s="38"/>
      <c r="X947" s="38"/>
      <c r="Y947" s="51">
        <f t="shared" si="694"/>
        <v>757.38000000009492</v>
      </c>
      <c r="Z947" s="52"/>
      <c r="AA947" s="53">
        <f t="shared" si="695"/>
        <v>129.33999999959951</v>
      </c>
      <c r="AB947" s="38"/>
      <c r="AC947" s="38"/>
      <c r="AD947" s="38"/>
      <c r="AE947" s="54">
        <f t="shared" si="696"/>
        <v>129.33999999959951</v>
      </c>
      <c r="AF947" s="53"/>
      <c r="AG947" s="53">
        <f t="shared" si="704"/>
        <v>189.36000000009662</v>
      </c>
      <c r="AH947" s="38"/>
      <c r="AI947" s="38"/>
      <c r="AJ947" s="38"/>
      <c r="AK947" s="54">
        <f t="shared" si="705"/>
        <v>189.36000000009662</v>
      </c>
      <c r="AL947" s="53"/>
      <c r="AM947" s="53">
        <f t="shared" si="685"/>
        <v>0</v>
      </c>
      <c r="AN947" s="38"/>
      <c r="AO947" s="38"/>
      <c r="AP947" s="38"/>
      <c r="AQ947" s="54">
        <f t="shared" si="686"/>
        <v>0</v>
      </c>
      <c r="AR947" s="53"/>
      <c r="AS947" s="29">
        <f t="shared" si="706"/>
        <v>-409850.92999999865</v>
      </c>
      <c r="AT947" s="29">
        <f t="shared" si="707"/>
        <v>431090.22000000003</v>
      </c>
      <c r="AU947" s="29">
        <f t="shared" si="708"/>
        <v>0</v>
      </c>
      <c r="AV947" s="29">
        <f t="shared" si="709"/>
        <v>-121830.51000000001</v>
      </c>
      <c r="AW947" s="29"/>
      <c r="AX947" s="29">
        <f t="shared" si="710"/>
        <v>-100401.8599999986</v>
      </c>
      <c r="AY947" s="29">
        <f t="shared" si="711"/>
        <v>9300000</v>
      </c>
      <c r="AZ947" s="29">
        <f t="shared" si="712"/>
        <v>9199598.1400000006</v>
      </c>
    </row>
    <row r="948" spans="2:52" x14ac:dyDescent="0.3">
      <c r="B948" s="99">
        <f t="shared" si="713"/>
        <v>45490</v>
      </c>
      <c r="C948" s="44">
        <f t="shared" si="688"/>
        <v>-304901.54999999865</v>
      </c>
      <c r="D948" s="38"/>
      <c r="E948" s="38"/>
      <c r="F948" s="38"/>
      <c r="G948" s="45">
        <f t="shared" si="702"/>
        <v>-304901.54999999865</v>
      </c>
      <c r="H948" s="44">
        <v>4300000</v>
      </c>
      <c r="I948" s="46">
        <f t="shared" si="689"/>
        <v>201213.32999999996</v>
      </c>
      <c r="J948" s="38">
        <v>11319.62</v>
      </c>
      <c r="K948" s="38">
        <v>450000</v>
      </c>
      <c r="L948" s="38">
        <v>-637026.18000000005</v>
      </c>
      <c r="M948" s="47">
        <f t="shared" si="690"/>
        <v>25506.769999999902</v>
      </c>
      <c r="N948" s="46">
        <v>5000000</v>
      </c>
      <c r="O948" s="48">
        <f t="shared" si="691"/>
        <v>2210.2800000002935</v>
      </c>
      <c r="P948" s="38">
        <v>454322.17</v>
      </c>
      <c r="Q948" s="38">
        <v>-450000</v>
      </c>
      <c r="R948" s="38"/>
      <c r="S948" s="55">
        <f t="shared" si="692"/>
        <v>6532.4500000003027</v>
      </c>
      <c r="T948" s="48"/>
      <c r="U948" s="49">
        <f t="shared" si="693"/>
        <v>757.38000000009492</v>
      </c>
      <c r="V948" s="38"/>
      <c r="W948" s="38"/>
      <c r="X948" s="38"/>
      <c r="Y948" s="51">
        <f t="shared" si="694"/>
        <v>757.38000000009492</v>
      </c>
      <c r="Z948" s="52"/>
      <c r="AA948" s="53">
        <f t="shared" si="695"/>
        <v>129.33999999959951</v>
      </c>
      <c r="AB948" s="38"/>
      <c r="AC948" s="38"/>
      <c r="AD948" s="38"/>
      <c r="AE948" s="54">
        <f t="shared" si="696"/>
        <v>129.33999999959951</v>
      </c>
      <c r="AF948" s="53"/>
      <c r="AG948" s="53">
        <f t="shared" si="704"/>
        <v>189.36000000009662</v>
      </c>
      <c r="AH948" s="38"/>
      <c r="AI948" s="38"/>
      <c r="AJ948" s="38"/>
      <c r="AK948" s="54">
        <f t="shared" si="705"/>
        <v>189.36000000009662</v>
      </c>
      <c r="AL948" s="53"/>
      <c r="AM948" s="53">
        <f t="shared" si="685"/>
        <v>0</v>
      </c>
      <c r="AN948" s="38"/>
      <c r="AO948" s="38"/>
      <c r="AP948" s="38"/>
      <c r="AQ948" s="54">
        <f t="shared" si="686"/>
        <v>0</v>
      </c>
      <c r="AR948" s="53"/>
      <c r="AS948" s="29">
        <f t="shared" si="706"/>
        <v>-100591.21999999871</v>
      </c>
      <c r="AT948" s="29">
        <f t="shared" si="707"/>
        <v>465641.79</v>
      </c>
      <c r="AU948" s="29">
        <f t="shared" si="708"/>
        <v>0</v>
      </c>
      <c r="AV948" s="29">
        <f t="shared" si="709"/>
        <v>-637026.18000000005</v>
      </c>
      <c r="AW948" s="29"/>
      <c r="AX948" s="29">
        <f t="shared" si="710"/>
        <v>-271786.2499999986</v>
      </c>
      <c r="AY948" s="29">
        <f t="shared" si="711"/>
        <v>9300000</v>
      </c>
      <c r="AZ948" s="29">
        <f t="shared" si="712"/>
        <v>9028213.7500000019</v>
      </c>
    </row>
    <row r="949" spans="2:52" x14ac:dyDescent="0.3">
      <c r="B949" s="99">
        <f t="shared" si="713"/>
        <v>45491</v>
      </c>
      <c r="C949" s="44">
        <f t="shared" si="688"/>
        <v>-304901.54999999865</v>
      </c>
      <c r="D949" s="38"/>
      <c r="E949" s="38">
        <v>-240000</v>
      </c>
      <c r="F949" s="38">
        <v>-2377629.34</v>
      </c>
      <c r="G949" s="45">
        <f t="shared" si="702"/>
        <v>-2922530.8899999987</v>
      </c>
      <c r="H949" s="44">
        <v>4300000</v>
      </c>
      <c r="I949" s="46">
        <f t="shared" si="689"/>
        <v>25506.769999999902</v>
      </c>
      <c r="J949" s="38"/>
      <c r="K949" s="38">
        <f>240000+38000</f>
        <v>278000</v>
      </c>
      <c r="L949" s="38">
        <v>-221402.73</v>
      </c>
      <c r="M949" s="47">
        <f t="shared" si="690"/>
        <v>82104.039999999892</v>
      </c>
      <c r="N949" s="46">
        <v>5000000</v>
      </c>
      <c r="O949" s="48">
        <f t="shared" si="691"/>
        <v>6532.4500000003027</v>
      </c>
      <c r="P949" s="38">
        <f>26417.43+8023.2</f>
        <v>34440.629999999997</v>
      </c>
      <c r="Q949" s="38">
        <v>-38000</v>
      </c>
      <c r="R949" s="38">
        <v>-100</v>
      </c>
      <c r="S949" s="55">
        <f t="shared" si="692"/>
        <v>2873.0800000003001</v>
      </c>
      <c r="T949" s="48"/>
      <c r="U949" s="49">
        <f t="shared" si="693"/>
        <v>757.38000000009492</v>
      </c>
      <c r="V949" s="38"/>
      <c r="W949" s="38"/>
      <c r="X949" s="38"/>
      <c r="Y949" s="51">
        <f t="shared" si="694"/>
        <v>757.38000000009492</v>
      </c>
      <c r="Z949" s="52"/>
      <c r="AA949" s="53">
        <f t="shared" si="695"/>
        <v>129.33999999959951</v>
      </c>
      <c r="AB949" s="38"/>
      <c r="AC949" s="38"/>
      <c r="AD949" s="38"/>
      <c r="AE949" s="54">
        <f t="shared" si="696"/>
        <v>129.33999999959951</v>
      </c>
      <c r="AF949" s="53"/>
      <c r="AG949" s="53">
        <f t="shared" si="704"/>
        <v>189.36000000009662</v>
      </c>
      <c r="AH949" s="38"/>
      <c r="AI949" s="38"/>
      <c r="AJ949" s="38"/>
      <c r="AK949" s="54">
        <f t="shared" si="705"/>
        <v>189.36000000009662</v>
      </c>
      <c r="AL949" s="53"/>
      <c r="AM949" s="53">
        <f t="shared" ref="AM949:AM1012" si="719">AQ948</f>
        <v>0</v>
      </c>
      <c r="AN949" s="38"/>
      <c r="AO949" s="38"/>
      <c r="AP949" s="38"/>
      <c r="AQ949" s="54">
        <f t="shared" ref="AQ949:AQ1012" si="720">SUM(AM949:AP949)</f>
        <v>0</v>
      </c>
      <c r="AR949" s="53"/>
      <c r="AS949" s="29">
        <f t="shared" si="706"/>
        <v>-271975.60999999871</v>
      </c>
      <c r="AT949" s="29">
        <f t="shared" si="707"/>
        <v>34440.629999999997</v>
      </c>
      <c r="AU949" s="29">
        <f t="shared" si="708"/>
        <v>0</v>
      </c>
      <c r="AV949" s="29">
        <f t="shared" si="709"/>
        <v>-2599132.0699999998</v>
      </c>
      <c r="AW949" s="29"/>
      <c r="AX949" s="29">
        <f t="shared" si="710"/>
        <v>-2836477.6899999995</v>
      </c>
      <c r="AY949" s="29">
        <f t="shared" si="711"/>
        <v>9300000</v>
      </c>
      <c r="AZ949" s="29">
        <f t="shared" si="712"/>
        <v>6463522.3100000005</v>
      </c>
    </row>
    <row r="950" spans="2:52" x14ac:dyDescent="0.3">
      <c r="B950" s="99">
        <f t="shared" si="713"/>
        <v>45492</v>
      </c>
      <c r="C950" s="44">
        <f t="shared" si="688"/>
        <v>-2922530.8899999987</v>
      </c>
      <c r="D950" s="38"/>
      <c r="E950" s="38"/>
      <c r="F950" s="38">
        <v>-801.12</v>
      </c>
      <c r="G950" s="45">
        <f t="shared" si="702"/>
        <v>-2923332.0099999988</v>
      </c>
      <c r="H950" s="44">
        <v>4300000</v>
      </c>
      <c r="I950" s="46">
        <f t="shared" si="689"/>
        <v>82104.039999999892</v>
      </c>
      <c r="J950" s="38"/>
      <c r="K950" s="38">
        <v>335000</v>
      </c>
      <c r="L950" s="38">
        <v>-100754.41</v>
      </c>
      <c r="M950" s="47">
        <f t="shared" si="690"/>
        <v>316349.62999999989</v>
      </c>
      <c r="N950" s="46">
        <v>5000000</v>
      </c>
      <c r="O950" s="48">
        <f t="shared" si="691"/>
        <v>2873.0800000003001</v>
      </c>
      <c r="P950" s="38">
        <v>350734.45</v>
      </c>
      <c r="Q950" s="38">
        <v>-335000</v>
      </c>
      <c r="R950" s="38">
        <v>-14326.59</v>
      </c>
      <c r="S950" s="55">
        <f t="shared" si="692"/>
        <v>4280.9400000003188</v>
      </c>
      <c r="T950" s="48"/>
      <c r="U950" s="49">
        <f t="shared" si="693"/>
        <v>757.38000000009492</v>
      </c>
      <c r="V950" s="38"/>
      <c r="W950" s="38"/>
      <c r="X950" s="38"/>
      <c r="Y950" s="51">
        <f t="shared" si="694"/>
        <v>757.38000000009492</v>
      </c>
      <c r="Z950" s="52"/>
      <c r="AA950" s="53">
        <f t="shared" si="695"/>
        <v>129.33999999959951</v>
      </c>
      <c r="AB950" s="38"/>
      <c r="AC950" s="38"/>
      <c r="AD950" s="38"/>
      <c r="AE950" s="54">
        <f t="shared" si="696"/>
        <v>129.33999999959951</v>
      </c>
      <c r="AF950" s="53"/>
      <c r="AG950" s="53">
        <f t="shared" si="704"/>
        <v>189.36000000009662</v>
      </c>
      <c r="AH950" s="38"/>
      <c r="AI950" s="38"/>
      <c r="AJ950" s="38"/>
      <c r="AK950" s="54">
        <f t="shared" si="705"/>
        <v>189.36000000009662</v>
      </c>
      <c r="AL950" s="53"/>
      <c r="AM950" s="53">
        <f t="shared" si="719"/>
        <v>0</v>
      </c>
      <c r="AN950" s="38"/>
      <c r="AO950" s="38"/>
      <c r="AP950" s="38"/>
      <c r="AQ950" s="54">
        <f t="shared" si="720"/>
        <v>0</v>
      </c>
      <c r="AR950" s="53"/>
      <c r="AS950" s="29">
        <f t="shared" si="706"/>
        <v>-2836667.0499999993</v>
      </c>
      <c r="AT950" s="29">
        <f t="shared" si="707"/>
        <v>350734.45</v>
      </c>
      <c r="AU950" s="29">
        <f t="shared" si="708"/>
        <v>0</v>
      </c>
      <c r="AV950" s="29">
        <f t="shared" si="709"/>
        <v>-115882.12</v>
      </c>
      <c r="AW950" s="29"/>
      <c r="AX950" s="29">
        <f t="shared" si="710"/>
        <v>-2601625.3599999994</v>
      </c>
      <c r="AY950" s="29">
        <f t="shared" si="711"/>
        <v>9300000</v>
      </c>
      <c r="AZ950" s="29">
        <f t="shared" si="712"/>
        <v>6698374.6400000006</v>
      </c>
    </row>
    <row r="951" spans="2:52" x14ac:dyDescent="0.3">
      <c r="B951" s="99">
        <f t="shared" ref="B951" si="721">B950+3</f>
        <v>45495</v>
      </c>
      <c r="C951" s="44">
        <f t="shared" si="688"/>
        <v>-2923332.0099999988</v>
      </c>
      <c r="D951" s="38">
        <v>12913.66</v>
      </c>
      <c r="E951" s="38"/>
      <c r="F951" s="38">
        <v>-715361.65</v>
      </c>
      <c r="G951" s="45">
        <f t="shared" si="702"/>
        <v>-3625779.9999999986</v>
      </c>
      <c r="H951" s="44">
        <v>4300000</v>
      </c>
      <c r="I951" s="46">
        <f t="shared" si="689"/>
        <v>316349.62999999989</v>
      </c>
      <c r="J951" s="38"/>
      <c r="K951" s="38"/>
      <c r="L951" s="38">
        <v>-93644.57</v>
      </c>
      <c r="M951" s="47">
        <f t="shared" si="690"/>
        <v>222705.05999999988</v>
      </c>
      <c r="N951" s="46">
        <v>5000000</v>
      </c>
      <c r="O951" s="48">
        <f t="shared" si="691"/>
        <v>4280.9400000003188</v>
      </c>
      <c r="P951" s="38"/>
      <c r="Q951" s="38"/>
      <c r="R951" s="38">
        <v>-260</v>
      </c>
      <c r="S951" s="55">
        <f t="shared" si="692"/>
        <v>4020.9400000003188</v>
      </c>
      <c r="T951" s="48"/>
      <c r="U951" s="49">
        <f t="shared" si="693"/>
        <v>757.38000000009492</v>
      </c>
      <c r="V951" s="38"/>
      <c r="W951" s="38"/>
      <c r="X951" s="38"/>
      <c r="Y951" s="51">
        <f t="shared" si="694"/>
        <v>757.38000000009492</v>
      </c>
      <c r="Z951" s="52"/>
      <c r="AA951" s="53">
        <f t="shared" si="695"/>
        <v>129.33999999959951</v>
      </c>
      <c r="AB951" s="38">
        <v>22089.119999999999</v>
      </c>
      <c r="AC951" s="38"/>
      <c r="AD951" s="38"/>
      <c r="AE951" s="54">
        <f t="shared" si="696"/>
        <v>22218.459999999599</v>
      </c>
      <c r="AF951" s="53"/>
      <c r="AG951" s="53">
        <f t="shared" si="704"/>
        <v>189.36000000009662</v>
      </c>
      <c r="AH951" s="38"/>
      <c r="AI951" s="38"/>
      <c r="AJ951" s="38"/>
      <c r="AK951" s="54">
        <f t="shared" si="705"/>
        <v>189.36000000009662</v>
      </c>
      <c r="AL951" s="53"/>
      <c r="AM951" s="53">
        <f t="shared" si="719"/>
        <v>0</v>
      </c>
      <c r="AN951" s="38"/>
      <c r="AO951" s="38"/>
      <c r="AP951" s="38"/>
      <c r="AQ951" s="54">
        <f t="shared" si="720"/>
        <v>0</v>
      </c>
      <c r="AR951" s="53"/>
      <c r="AS951" s="29">
        <f t="shared" si="706"/>
        <v>-2601814.7199999993</v>
      </c>
      <c r="AT951" s="29">
        <f t="shared" si="707"/>
        <v>35002.78</v>
      </c>
      <c r="AU951" s="29">
        <f t="shared" si="708"/>
        <v>0</v>
      </c>
      <c r="AV951" s="29">
        <f t="shared" si="709"/>
        <v>-809266.22</v>
      </c>
      <c r="AW951" s="29"/>
      <c r="AX951" s="29">
        <f t="shared" si="710"/>
        <v>-3375888.7999999989</v>
      </c>
      <c r="AY951" s="29">
        <f t="shared" si="711"/>
        <v>9300000</v>
      </c>
      <c r="AZ951" s="29">
        <f t="shared" si="712"/>
        <v>5924111.2000000011</v>
      </c>
    </row>
    <row r="952" spans="2:52" x14ac:dyDescent="0.3">
      <c r="B952" s="99">
        <f t="shared" si="713"/>
        <v>45496</v>
      </c>
      <c r="C952" s="44">
        <f t="shared" si="688"/>
        <v>-3625779.9999999986</v>
      </c>
      <c r="D952" s="38"/>
      <c r="E952" s="38"/>
      <c r="F952" s="38"/>
      <c r="G952" s="45">
        <f t="shared" si="702"/>
        <v>-3625779.9999999986</v>
      </c>
      <c r="H952" s="44">
        <v>4300000</v>
      </c>
      <c r="I952" s="46">
        <f t="shared" si="689"/>
        <v>222705.05999999988</v>
      </c>
      <c r="J952" s="38"/>
      <c r="K952" s="38">
        <v>22000</v>
      </c>
      <c r="L952" s="38">
        <v>-36006.22</v>
      </c>
      <c r="M952" s="47">
        <f t="shared" si="690"/>
        <v>208698.83999999988</v>
      </c>
      <c r="N952" s="46">
        <v>5000000</v>
      </c>
      <c r="O952" s="48">
        <f t="shared" si="691"/>
        <v>4020.9400000003188</v>
      </c>
      <c r="P952" s="38">
        <v>821945.62</v>
      </c>
      <c r="Q952" s="38"/>
      <c r="R952" s="38"/>
      <c r="S952" s="55">
        <f t="shared" si="692"/>
        <v>825966.56000000029</v>
      </c>
      <c r="T952" s="48"/>
      <c r="U952" s="49">
        <f t="shared" si="693"/>
        <v>757.38000000009492</v>
      </c>
      <c r="V952" s="38"/>
      <c r="W952" s="38"/>
      <c r="X952" s="38"/>
      <c r="Y952" s="51">
        <f t="shared" si="694"/>
        <v>757.38000000009492</v>
      </c>
      <c r="Z952" s="52"/>
      <c r="AA952" s="53">
        <f t="shared" si="695"/>
        <v>22218.459999999599</v>
      </c>
      <c r="AB952" s="38"/>
      <c r="AC952" s="38">
        <v>-22000</v>
      </c>
      <c r="AD952" s="38"/>
      <c r="AE952" s="54">
        <f t="shared" si="696"/>
        <v>218.45999999959895</v>
      </c>
      <c r="AF952" s="53"/>
      <c r="AG952" s="53">
        <f t="shared" si="704"/>
        <v>189.36000000009662</v>
      </c>
      <c r="AH952" s="38"/>
      <c r="AI952" s="38"/>
      <c r="AJ952" s="38"/>
      <c r="AK952" s="54">
        <f t="shared" si="705"/>
        <v>189.36000000009662</v>
      </c>
      <c r="AL952" s="53"/>
      <c r="AM952" s="53">
        <f t="shared" si="719"/>
        <v>0</v>
      </c>
      <c r="AN952" s="38"/>
      <c r="AO952" s="38"/>
      <c r="AP952" s="38"/>
      <c r="AQ952" s="54">
        <f t="shared" si="720"/>
        <v>0</v>
      </c>
      <c r="AR952" s="53"/>
      <c r="AS952" s="29">
        <f t="shared" si="706"/>
        <v>-3376078.1599999988</v>
      </c>
      <c r="AT952" s="29">
        <f t="shared" si="707"/>
        <v>821945.62</v>
      </c>
      <c r="AU952" s="29">
        <f t="shared" si="708"/>
        <v>0</v>
      </c>
      <c r="AV952" s="29">
        <f t="shared" si="709"/>
        <v>-36006.22</v>
      </c>
      <c r="AW952" s="29"/>
      <c r="AX952" s="29">
        <f t="shared" si="710"/>
        <v>-2589949.3999999994</v>
      </c>
      <c r="AY952" s="29">
        <f t="shared" si="711"/>
        <v>9300000</v>
      </c>
      <c r="AZ952" s="29">
        <f t="shared" si="712"/>
        <v>6710050.6000000006</v>
      </c>
    </row>
    <row r="953" spans="2:52" x14ac:dyDescent="0.3">
      <c r="B953" s="99">
        <f t="shared" si="713"/>
        <v>45497</v>
      </c>
      <c r="C953" s="44">
        <f t="shared" si="688"/>
        <v>-3625779.9999999986</v>
      </c>
      <c r="D953" s="38"/>
      <c r="E953" s="38">
        <v>1345000</v>
      </c>
      <c r="F953" s="38">
        <v>-50</v>
      </c>
      <c r="G953" s="45">
        <f t="shared" si="702"/>
        <v>-2280829.9999999986</v>
      </c>
      <c r="H953" s="44">
        <v>4300000</v>
      </c>
      <c r="I953" s="46">
        <f t="shared" si="689"/>
        <v>208698.83999999988</v>
      </c>
      <c r="J953" s="38">
        <v>9755.7000000000007</v>
      </c>
      <c r="K953" s="38"/>
      <c r="L953" s="38">
        <v>-52346.96</v>
      </c>
      <c r="M953" s="47">
        <f t="shared" si="690"/>
        <v>166107.5799999999</v>
      </c>
      <c r="N953" s="46">
        <v>5000000</v>
      </c>
      <c r="O953" s="48">
        <f t="shared" si="691"/>
        <v>825966.56000000029</v>
      </c>
      <c r="P953" s="38"/>
      <c r="Q953" s="38">
        <f>521600-1345000</f>
        <v>-823400</v>
      </c>
      <c r="R953" s="38">
        <v>-255</v>
      </c>
      <c r="S953" s="55">
        <f t="shared" si="692"/>
        <v>2311.5600000002887</v>
      </c>
      <c r="T953" s="48"/>
      <c r="U953" s="49">
        <f t="shared" si="693"/>
        <v>757.38000000009492</v>
      </c>
      <c r="V953" s="38">
        <v>520929.46</v>
      </c>
      <c r="W953" s="38">
        <v>-521600</v>
      </c>
      <c r="X953" s="38">
        <v>-1.5</v>
      </c>
      <c r="Y953" s="51">
        <f t="shared" si="694"/>
        <v>85.340000000142027</v>
      </c>
      <c r="Z953" s="52"/>
      <c r="AA953" s="53">
        <f t="shared" si="695"/>
        <v>218.45999999959895</v>
      </c>
      <c r="AB953" s="38"/>
      <c r="AC953" s="38"/>
      <c r="AD953" s="38"/>
      <c r="AE953" s="54">
        <f t="shared" si="696"/>
        <v>218.45999999959895</v>
      </c>
      <c r="AF953" s="53"/>
      <c r="AG953" s="53">
        <f t="shared" si="704"/>
        <v>189.36000000009662</v>
      </c>
      <c r="AH953" s="38"/>
      <c r="AI953" s="38"/>
      <c r="AJ953" s="38"/>
      <c r="AK953" s="54">
        <f t="shared" si="705"/>
        <v>189.36000000009662</v>
      </c>
      <c r="AL953" s="53"/>
      <c r="AM953" s="53">
        <f t="shared" si="719"/>
        <v>0</v>
      </c>
      <c r="AN953" s="38"/>
      <c r="AO953" s="38"/>
      <c r="AP953" s="38"/>
      <c r="AQ953" s="54">
        <f t="shared" si="720"/>
        <v>0</v>
      </c>
      <c r="AR953" s="53"/>
      <c r="AS953" s="29">
        <f t="shared" si="706"/>
        <v>-2590138.7599999993</v>
      </c>
      <c r="AT953" s="29">
        <f t="shared" si="707"/>
        <v>530685.16</v>
      </c>
      <c r="AU953" s="29">
        <f t="shared" si="708"/>
        <v>0</v>
      </c>
      <c r="AV953" s="29">
        <f t="shared" si="709"/>
        <v>-52653.46</v>
      </c>
      <c r="AW953" s="29"/>
      <c r="AX953" s="29">
        <f t="shared" si="710"/>
        <v>-2111917.6999999988</v>
      </c>
      <c r="AY953" s="29">
        <f t="shared" si="711"/>
        <v>9300000</v>
      </c>
      <c r="AZ953" s="29">
        <f t="shared" si="712"/>
        <v>7188082.3000000007</v>
      </c>
    </row>
    <row r="954" spans="2:52" x14ac:dyDescent="0.3">
      <c r="B954" s="99">
        <f t="shared" si="713"/>
        <v>45498</v>
      </c>
      <c r="C954" s="44">
        <f t="shared" si="688"/>
        <v>-2280829.9999999986</v>
      </c>
      <c r="D954" s="38">
        <v>215874.49</v>
      </c>
      <c r="E954" s="38"/>
      <c r="F954" s="38">
        <v>-266900.03999999998</v>
      </c>
      <c r="G954" s="45">
        <f t="shared" si="702"/>
        <v>-2331855.5499999984</v>
      </c>
      <c r="H954" s="44">
        <v>4300000</v>
      </c>
      <c r="I954" s="46">
        <f t="shared" si="689"/>
        <v>166107.5799999999</v>
      </c>
      <c r="J954" s="38">
        <v>120818.22</v>
      </c>
      <c r="K954" s="38"/>
      <c r="L954" s="38">
        <v>-88310.33</v>
      </c>
      <c r="M954" s="47">
        <f t="shared" si="690"/>
        <v>198615.46999999991</v>
      </c>
      <c r="N954" s="46">
        <v>5000000</v>
      </c>
      <c r="O954" s="48">
        <f t="shared" si="691"/>
        <v>2311.5600000002887</v>
      </c>
      <c r="P954" s="38">
        <v>195.11</v>
      </c>
      <c r="Q954" s="38"/>
      <c r="R954" s="38">
        <v>-132.30000000000001</v>
      </c>
      <c r="S954" s="55">
        <f t="shared" si="692"/>
        <v>2374.3700000002887</v>
      </c>
      <c r="T954" s="48"/>
      <c r="U954" s="49">
        <f t="shared" si="693"/>
        <v>85.340000000142027</v>
      </c>
      <c r="V954" s="38">
        <v>89735.2</v>
      </c>
      <c r="W954" s="38"/>
      <c r="X954" s="38"/>
      <c r="Y954" s="51">
        <f t="shared" si="694"/>
        <v>89820.540000000139</v>
      </c>
      <c r="Z954" s="52"/>
      <c r="AA954" s="53">
        <f t="shared" si="695"/>
        <v>218.45999999959895</v>
      </c>
      <c r="AB954" s="38">
        <v>1747550.17</v>
      </c>
      <c r="AC954" s="38"/>
      <c r="AD954" s="38"/>
      <c r="AE954" s="54">
        <f t="shared" si="696"/>
        <v>1747768.6299999994</v>
      </c>
      <c r="AF954" s="53"/>
      <c r="AG954" s="53">
        <f t="shared" si="704"/>
        <v>189.36000000009662</v>
      </c>
      <c r="AH954" s="38"/>
      <c r="AI954" s="38"/>
      <c r="AJ954" s="38"/>
      <c r="AK954" s="54">
        <f t="shared" si="705"/>
        <v>189.36000000009662</v>
      </c>
      <c r="AL954" s="53"/>
      <c r="AM954" s="53">
        <f t="shared" si="719"/>
        <v>0</v>
      </c>
      <c r="AN954" s="38"/>
      <c r="AO954" s="38"/>
      <c r="AP954" s="38"/>
      <c r="AQ954" s="54">
        <f t="shared" si="720"/>
        <v>0</v>
      </c>
      <c r="AR954" s="53"/>
      <c r="AS954" s="29">
        <f t="shared" si="706"/>
        <v>-2112107.0599999987</v>
      </c>
      <c r="AT954" s="29">
        <f t="shared" si="707"/>
        <v>2174173.19</v>
      </c>
      <c r="AU954" s="29">
        <f t="shared" si="708"/>
        <v>0</v>
      </c>
      <c r="AV954" s="29">
        <f t="shared" si="709"/>
        <v>-355342.67</v>
      </c>
      <c r="AW954" s="29"/>
      <c r="AX954" s="29">
        <f t="shared" si="710"/>
        <v>-293087.179999999</v>
      </c>
      <c r="AY954" s="29">
        <f t="shared" si="711"/>
        <v>9300000</v>
      </c>
      <c r="AZ954" s="29">
        <f t="shared" si="712"/>
        <v>9006912.8200000003</v>
      </c>
    </row>
    <row r="955" spans="2:52" x14ac:dyDescent="0.3">
      <c r="B955" s="99">
        <f t="shared" si="713"/>
        <v>45499</v>
      </c>
      <c r="C955" s="44">
        <f t="shared" ref="C955:C1018" si="722">G954</f>
        <v>-2331855.5499999984</v>
      </c>
      <c r="D955" s="38">
        <v>332785.76</v>
      </c>
      <c r="E955" s="38">
        <v>2010000</v>
      </c>
      <c r="F955" s="38"/>
      <c r="G955" s="45">
        <f t="shared" si="702"/>
        <v>10930.210000001593</v>
      </c>
      <c r="H955" s="44">
        <v>4300000</v>
      </c>
      <c r="I955" s="46">
        <f t="shared" ref="I955:I1018" si="723">M954</f>
        <v>198615.46999999991</v>
      </c>
      <c r="J955" s="38">
        <v>247685.79</v>
      </c>
      <c r="K955" s="38">
        <v>-80000</v>
      </c>
      <c r="L955" s="38">
        <v>-260337.74</v>
      </c>
      <c r="M955" s="47">
        <f t="shared" ref="M955:M1018" si="724">SUM(I955:L955)</f>
        <v>105963.5199999999</v>
      </c>
      <c r="N955" s="46">
        <v>5000000</v>
      </c>
      <c r="O955" s="48">
        <f t="shared" ref="O955:O1018" si="725">S954</f>
        <v>2374.3700000002887</v>
      </c>
      <c r="P955" s="38"/>
      <c r="Q955" s="38">
        <f>191500-191000</f>
        <v>500</v>
      </c>
      <c r="R955" s="38"/>
      <c r="S955" s="55">
        <f t="shared" ref="S955:S1018" si="726">SUM(O955:R955)</f>
        <v>2874.3700000002887</v>
      </c>
      <c r="T955" s="48"/>
      <c r="U955" s="49">
        <f t="shared" ref="U955:U1018" si="727">Y954</f>
        <v>89820.540000000139</v>
      </c>
      <c r="V955" s="38">
        <v>101729.4</v>
      </c>
      <c r="W955" s="38">
        <v>-191500</v>
      </c>
      <c r="X955" s="38">
        <v>-1.5</v>
      </c>
      <c r="Y955" s="51">
        <f t="shared" ref="Y955:Y1018" si="728">SUM(U955:X955)</f>
        <v>48.440000000118744</v>
      </c>
      <c r="Z955" s="52"/>
      <c r="AA955" s="53">
        <f t="shared" ref="AA955:AA1018" si="729">AE954</f>
        <v>1747768.6299999994</v>
      </c>
      <c r="AB955" s="38"/>
      <c r="AC955" s="38">
        <v>-1739000</v>
      </c>
      <c r="AD955" s="38">
        <v>-8043.32</v>
      </c>
      <c r="AE955" s="54">
        <f t="shared" ref="AE955:AE1018" si="730">SUM(AA955:AD955)</f>
        <v>725.30999999942287</v>
      </c>
      <c r="AF955" s="53"/>
      <c r="AG955" s="53">
        <f t="shared" si="704"/>
        <v>189.36000000009662</v>
      </c>
      <c r="AH955" s="38"/>
      <c r="AI955" s="38"/>
      <c r="AJ955" s="38"/>
      <c r="AK955" s="54">
        <f t="shared" si="705"/>
        <v>189.36000000009662</v>
      </c>
      <c r="AL955" s="53"/>
      <c r="AM955" s="53">
        <f t="shared" si="719"/>
        <v>0</v>
      </c>
      <c r="AN955" s="38"/>
      <c r="AO955" s="38"/>
      <c r="AP955" s="38"/>
      <c r="AQ955" s="54">
        <f t="shared" si="720"/>
        <v>0</v>
      </c>
      <c r="AR955" s="53"/>
      <c r="AS955" s="29">
        <f t="shared" si="706"/>
        <v>-293276.53999999911</v>
      </c>
      <c r="AT955" s="29">
        <f t="shared" si="707"/>
        <v>682200.95000000007</v>
      </c>
      <c r="AU955" s="29">
        <f t="shared" si="708"/>
        <v>0</v>
      </c>
      <c r="AV955" s="29">
        <f t="shared" si="709"/>
        <v>-268382.56</v>
      </c>
      <c r="AW955" s="29"/>
      <c r="AX955" s="29">
        <f t="shared" si="710"/>
        <v>120731.21000000142</v>
      </c>
      <c r="AY955" s="29">
        <f t="shared" si="711"/>
        <v>9300000</v>
      </c>
      <c r="AZ955" s="29">
        <f t="shared" si="712"/>
        <v>9420731.2100000009</v>
      </c>
    </row>
    <row r="956" spans="2:52" x14ac:dyDescent="0.3">
      <c r="B956" s="99">
        <f t="shared" ref="B956" si="731">B955+3</f>
        <v>45502</v>
      </c>
      <c r="C956" s="44">
        <f t="shared" si="722"/>
        <v>10930.210000001593</v>
      </c>
      <c r="D956" s="38"/>
      <c r="E956" s="38"/>
      <c r="F956" s="38">
        <v>-1698</v>
      </c>
      <c r="G956" s="45">
        <f t="shared" si="702"/>
        <v>9232.2100000015926</v>
      </c>
      <c r="H956" s="44">
        <v>4300000</v>
      </c>
      <c r="I956" s="46">
        <f t="shared" si="723"/>
        <v>105963.5199999999</v>
      </c>
      <c r="J956" s="38"/>
      <c r="K956" s="38">
        <v>930000</v>
      </c>
      <c r="L956" s="38">
        <v>-253563.99</v>
      </c>
      <c r="M956" s="47">
        <f t="shared" si="724"/>
        <v>782399.52999999991</v>
      </c>
      <c r="N956" s="46">
        <v>5000000</v>
      </c>
      <c r="O956" s="48">
        <f t="shared" si="725"/>
        <v>2874.3700000002887</v>
      </c>
      <c r="P956" s="38">
        <v>936235.63</v>
      </c>
      <c r="Q956" s="38">
        <v>-930000</v>
      </c>
      <c r="R956" s="38">
        <v>-1297</v>
      </c>
      <c r="S956" s="55">
        <f t="shared" si="726"/>
        <v>7813.0000000003492</v>
      </c>
      <c r="T956" s="48"/>
      <c r="U956" s="49">
        <f t="shared" si="727"/>
        <v>48.440000000118744</v>
      </c>
      <c r="V956" s="38"/>
      <c r="W956" s="38"/>
      <c r="X956" s="38"/>
      <c r="Y956" s="51">
        <f t="shared" si="728"/>
        <v>48.440000000118744</v>
      </c>
      <c r="Z956" s="52"/>
      <c r="AA956" s="53">
        <f t="shared" si="729"/>
        <v>725.30999999942287</v>
      </c>
      <c r="AB956" s="38"/>
      <c r="AC956" s="38"/>
      <c r="AD956" s="38"/>
      <c r="AE956" s="54">
        <f t="shared" si="730"/>
        <v>725.30999999942287</v>
      </c>
      <c r="AF956" s="53"/>
      <c r="AG956" s="53">
        <f t="shared" si="704"/>
        <v>189.36000000009662</v>
      </c>
      <c r="AH956" s="38"/>
      <c r="AI956" s="38"/>
      <c r="AJ956" s="38"/>
      <c r="AK956" s="54">
        <f t="shared" si="705"/>
        <v>189.36000000009662</v>
      </c>
      <c r="AL956" s="53"/>
      <c r="AM956" s="53">
        <f t="shared" si="719"/>
        <v>0</v>
      </c>
      <c r="AN956" s="38"/>
      <c r="AO956" s="38"/>
      <c r="AP956" s="38"/>
      <c r="AQ956" s="54">
        <f t="shared" si="720"/>
        <v>0</v>
      </c>
      <c r="AR956" s="53"/>
      <c r="AS956" s="29">
        <f t="shared" si="706"/>
        <v>120541.85000000132</v>
      </c>
      <c r="AT956" s="29">
        <f t="shared" si="707"/>
        <v>936235.63</v>
      </c>
      <c r="AU956" s="29">
        <f t="shared" si="708"/>
        <v>0</v>
      </c>
      <c r="AV956" s="29">
        <f t="shared" si="709"/>
        <v>-256558.99</v>
      </c>
      <c r="AW956" s="29"/>
      <c r="AX956" s="29">
        <f t="shared" si="710"/>
        <v>800407.85000000161</v>
      </c>
      <c r="AY956" s="29">
        <f t="shared" si="711"/>
        <v>9300000</v>
      </c>
      <c r="AZ956" s="29">
        <f t="shared" si="712"/>
        <v>10100407.850000001</v>
      </c>
    </row>
    <row r="957" spans="2:52" x14ac:dyDescent="0.3">
      <c r="B957" s="99">
        <f t="shared" si="713"/>
        <v>45503</v>
      </c>
      <c r="C957" s="44">
        <f t="shared" si="722"/>
        <v>9232.2100000015926</v>
      </c>
      <c r="D957" s="38">
        <v>568268.42000000004</v>
      </c>
      <c r="E957" s="38"/>
      <c r="F957" s="38"/>
      <c r="G957" s="45">
        <f t="shared" si="702"/>
        <v>577500.63000000163</v>
      </c>
      <c r="H957" s="44">
        <v>4300000</v>
      </c>
      <c r="I957" s="46">
        <f t="shared" si="723"/>
        <v>782399.52999999991</v>
      </c>
      <c r="J957" s="38"/>
      <c r="K957" s="38"/>
      <c r="L957" s="38"/>
      <c r="M957" s="47">
        <f t="shared" si="724"/>
        <v>782399.52999999991</v>
      </c>
      <c r="N957" s="46">
        <v>5000000</v>
      </c>
      <c r="O957" s="48">
        <f t="shared" si="725"/>
        <v>7813.0000000003492</v>
      </c>
      <c r="P957" s="38">
        <v>1201222.42</v>
      </c>
      <c r="Q957" s="38"/>
      <c r="R957" s="38">
        <v>-10</v>
      </c>
      <c r="S957" s="55">
        <f t="shared" si="726"/>
        <v>1209025.4200000004</v>
      </c>
      <c r="T957" s="48"/>
      <c r="U957" s="49">
        <f t="shared" si="727"/>
        <v>48.440000000118744</v>
      </c>
      <c r="V957" s="38">
        <v>73203</v>
      </c>
      <c r="W957" s="38"/>
      <c r="X957" s="38"/>
      <c r="Y957" s="51">
        <f t="shared" si="728"/>
        <v>73251.440000000119</v>
      </c>
      <c r="Z957" s="52"/>
      <c r="AA957" s="53">
        <f t="shared" si="729"/>
        <v>725.30999999942287</v>
      </c>
      <c r="AB957" s="38"/>
      <c r="AC957" s="38"/>
      <c r="AD957" s="38"/>
      <c r="AE957" s="54">
        <f t="shared" si="730"/>
        <v>725.30999999942287</v>
      </c>
      <c r="AF957" s="53"/>
      <c r="AG957" s="53">
        <f t="shared" si="704"/>
        <v>189.36000000009662</v>
      </c>
      <c r="AH957" s="38">
        <v>321035.8</v>
      </c>
      <c r="AI957" s="38"/>
      <c r="AJ957" s="38"/>
      <c r="AK957" s="54">
        <f t="shared" si="705"/>
        <v>321225.16000000009</v>
      </c>
      <c r="AL957" s="53"/>
      <c r="AM957" s="53">
        <f t="shared" si="719"/>
        <v>0</v>
      </c>
      <c r="AN957" s="38"/>
      <c r="AO957" s="38"/>
      <c r="AP957" s="38"/>
      <c r="AQ957" s="54">
        <f t="shared" si="720"/>
        <v>0</v>
      </c>
      <c r="AR957" s="53"/>
      <c r="AS957" s="29">
        <f t="shared" si="706"/>
        <v>800218.4900000015</v>
      </c>
      <c r="AT957" s="29">
        <f t="shared" si="707"/>
        <v>2163729.6399999997</v>
      </c>
      <c r="AU957" s="29">
        <f t="shared" si="708"/>
        <v>0</v>
      </c>
      <c r="AV957" s="29">
        <f t="shared" si="709"/>
        <v>-10</v>
      </c>
      <c r="AW957" s="29"/>
      <c r="AX957" s="29">
        <f t="shared" si="710"/>
        <v>2964127.4900000016</v>
      </c>
      <c r="AY957" s="29">
        <f t="shared" si="711"/>
        <v>9300000</v>
      </c>
      <c r="AZ957" s="29">
        <f t="shared" si="712"/>
        <v>12264127.490000002</v>
      </c>
    </row>
    <row r="958" spans="2:52" x14ac:dyDescent="0.3">
      <c r="B958" s="99">
        <f t="shared" si="713"/>
        <v>45504</v>
      </c>
      <c r="C958" s="44">
        <f t="shared" si="722"/>
        <v>577500.63000000163</v>
      </c>
      <c r="D958" s="38">
        <v>222152.45</v>
      </c>
      <c r="E958" s="38"/>
      <c r="F958" s="38">
        <v>-68048.87</v>
      </c>
      <c r="G958" s="45">
        <f t="shared" si="702"/>
        <v>731604.21000000171</v>
      </c>
      <c r="H958" s="44">
        <v>4300000</v>
      </c>
      <c r="I958" s="46">
        <f t="shared" si="723"/>
        <v>782399.52999999991</v>
      </c>
      <c r="J958" s="38">
        <v>398454.55</v>
      </c>
      <c r="K958" s="38">
        <v>1601000</v>
      </c>
      <c r="L958" s="38"/>
      <c r="M958" s="47">
        <f t="shared" si="724"/>
        <v>2781854.08</v>
      </c>
      <c r="N958" s="46">
        <v>5000000</v>
      </c>
      <c r="O958" s="48">
        <f t="shared" si="725"/>
        <v>1209025.4200000004</v>
      </c>
      <c r="P958" s="38"/>
      <c r="Q958" s="38">
        <f>73200-1280000</f>
        <v>-1206800</v>
      </c>
      <c r="R958" s="38"/>
      <c r="S958" s="55">
        <f t="shared" si="726"/>
        <v>2225.4200000003912</v>
      </c>
      <c r="T958" s="48"/>
      <c r="U958" s="49">
        <f t="shared" si="727"/>
        <v>73251.440000000119</v>
      </c>
      <c r="V958" s="38"/>
      <c r="W958" s="38">
        <v>-73200</v>
      </c>
      <c r="X958" s="38">
        <v>-1.5</v>
      </c>
      <c r="Y958" s="51">
        <f t="shared" si="728"/>
        <v>49.940000000118744</v>
      </c>
      <c r="Z958" s="52"/>
      <c r="AA958" s="53">
        <f t="shared" si="729"/>
        <v>725.30999999942287</v>
      </c>
      <c r="AB958" s="38">
        <v>0.44</v>
      </c>
      <c r="AC958" s="38"/>
      <c r="AD958" s="38"/>
      <c r="AE958" s="54">
        <f t="shared" si="730"/>
        <v>725.74999999942293</v>
      </c>
      <c r="AF958" s="53"/>
      <c r="AG958" s="53">
        <f t="shared" si="704"/>
        <v>321225.16000000009</v>
      </c>
      <c r="AH958" s="38">
        <v>0.91</v>
      </c>
      <c r="AI958" s="38">
        <v>-321000</v>
      </c>
      <c r="AJ958" s="38">
        <v>-75</v>
      </c>
      <c r="AK958" s="54">
        <f t="shared" si="705"/>
        <v>151.07000000006519</v>
      </c>
      <c r="AL958" s="53"/>
      <c r="AM958" s="53">
        <f t="shared" si="719"/>
        <v>0</v>
      </c>
      <c r="AN958" s="38"/>
      <c r="AO958" s="38"/>
      <c r="AP958" s="38"/>
      <c r="AQ958" s="54">
        <f t="shared" si="720"/>
        <v>0</v>
      </c>
      <c r="AR958" s="53"/>
      <c r="AS958" s="29">
        <f t="shared" si="706"/>
        <v>2642902.3300000015</v>
      </c>
      <c r="AT958" s="29">
        <f t="shared" si="707"/>
        <v>620608.35</v>
      </c>
      <c r="AU958" s="29">
        <f t="shared" si="708"/>
        <v>0</v>
      </c>
      <c r="AV958" s="29">
        <f t="shared" si="709"/>
        <v>-68125.37</v>
      </c>
      <c r="AW958" s="29"/>
      <c r="AX958" s="29">
        <f t="shared" si="710"/>
        <v>3516610.4700000016</v>
      </c>
      <c r="AY958" s="29">
        <f t="shared" si="711"/>
        <v>9300000</v>
      </c>
      <c r="AZ958" s="29">
        <f t="shared" si="712"/>
        <v>12816610.470000003</v>
      </c>
    </row>
    <row r="959" spans="2:52" x14ac:dyDescent="0.3">
      <c r="B959" s="99">
        <f t="shared" si="713"/>
        <v>45505</v>
      </c>
      <c r="C959" s="44">
        <f t="shared" si="722"/>
        <v>731604.21000000171</v>
      </c>
      <c r="D959" s="38">
        <v>8017.45</v>
      </c>
      <c r="E959" s="38"/>
      <c r="F959" s="38"/>
      <c r="G959" s="45">
        <f t="shared" si="702"/>
        <v>739621.66000000166</v>
      </c>
      <c r="H959" s="44">
        <v>4300000</v>
      </c>
      <c r="I959" s="46">
        <f t="shared" si="723"/>
        <v>2781854.08</v>
      </c>
      <c r="J959" s="38"/>
      <c r="K959" s="38">
        <v>130000</v>
      </c>
      <c r="L959" s="38">
        <v>-195520.81</v>
      </c>
      <c r="M959" s="47">
        <f t="shared" si="724"/>
        <v>2716333.27</v>
      </c>
      <c r="N959" s="46">
        <v>5000000</v>
      </c>
      <c r="O959" s="48">
        <f t="shared" si="725"/>
        <v>2225.4200000003912</v>
      </c>
      <c r="P959" s="38">
        <v>152785.53</v>
      </c>
      <c r="Q959" s="38">
        <v>-130000</v>
      </c>
      <c r="R959" s="38">
        <v>-16059.12</v>
      </c>
      <c r="S959" s="55">
        <f t="shared" si="726"/>
        <v>8951.8300000003892</v>
      </c>
      <c r="T959" s="48"/>
      <c r="U959" s="49">
        <f t="shared" si="727"/>
        <v>49.940000000118744</v>
      </c>
      <c r="V959" s="38"/>
      <c r="W959" s="38"/>
      <c r="X959" s="38"/>
      <c r="Y959" s="51">
        <f t="shared" si="728"/>
        <v>49.940000000118744</v>
      </c>
      <c r="Z959" s="52"/>
      <c r="AA959" s="53">
        <f t="shared" si="729"/>
        <v>725.74999999942293</v>
      </c>
      <c r="AB959" s="38"/>
      <c r="AC959" s="38"/>
      <c r="AD959" s="38"/>
      <c r="AE959" s="54">
        <f t="shared" si="730"/>
        <v>725.74999999942293</v>
      </c>
      <c r="AF959" s="53"/>
      <c r="AG959" s="53">
        <f t="shared" si="704"/>
        <v>151.07000000006519</v>
      </c>
      <c r="AH959" s="38"/>
      <c r="AI959" s="38"/>
      <c r="AJ959" s="38">
        <v>-9.9</v>
      </c>
      <c r="AK959" s="54">
        <f t="shared" si="705"/>
        <v>141.17000000006519</v>
      </c>
      <c r="AL959" s="53"/>
      <c r="AM959" s="53">
        <f t="shared" si="719"/>
        <v>0</v>
      </c>
      <c r="AN959" s="38"/>
      <c r="AO959" s="38"/>
      <c r="AP959" s="38"/>
      <c r="AQ959" s="54">
        <f t="shared" si="720"/>
        <v>0</v>
      </c>
      <c r="AR959" s="53"/>
      <c r="AS959" s="29">
        <f t="shared" si="706"/>
        <v>3516459.4000000018</v>
      </c>
      <c r="AT959" s="29">
        <f t="shared" si="707"/>
        <v>160802.98000000001</v>
      </c>
      <c r="AU959" s="29">
        <f t="shared" si="708"/>
        <v>0</v>
      </c>
      <c r="AV959" s="29">
        <f t="shared" si="709"/>
        <v>-211589.83</v>
      </c>
      <c r="AW959" s="29"/>
      <c r="AX959" s="29">
        <f t="shared" si="710"/>
        <v>3465823.6200000015</v>
      </c>
      <c r="AY959" s="29">
        <f t="shared" si="711"/>
        <v>9300000</v>
      </c>
      <c r="AZ959" s="29">
        <f t="shared" si="712"/>
        <v>12765823.620000001</v>
      </c>
    </row>
    <row r="960" spans="2:52" x14ac:dyDescent="0.3">
      <c r="B960" s="99">
        <f t="shared" si="713"/>
        <v>45506</v>
      </c>
      <c r="C960" s="44">
        <f t="shared" si="722"/>
        <v>739621.66000000166</v>
      </c>
      <c r="D960" s="38">
        <v>45305.14</v>
      </c>
      <c r="E960" s="38">
        <v>-400000</v>
      </c>
      <c r="F960" s="38">
        <v>-183638.82</v>
      </c>
      <c r="G960" s="45">
        <f t="shared" si="702"/>
        <v>201287.98000000167</v>
      </c>
      <c r="H960" s="44">
        <v>4300000</v>
      </c>
      <c r="I960" s="46">
        <f t="shared" si="723"/>
        <v>2716333.27</v>
      </c>
      <c r="J960" s="38">
        <v>48187.06</v>
      </c>
      <c r="K960" s="38">
        <v>400000</v>
      </c>
      <c r="L960" s="38">
        <v>-3044314.89</v>
      </c>
      <c r="M960" s="47">
        <f t="shared" si="724"/>
        <v>120205.43999999994</v>
      </c>
      <c r="N960" s="46">
        <v>5000000</v>
      </c>
      <c r="O960" s="48">
        <f t="shared" si="725"/>
        <v>8951.8300000003892</v>
      </c>
      <c r="P960" s="38"/>
      <c r="Q960" s="38"/>
      <c r="R960" s="38">
        <v>-5724.64</v>
      </c>
      <c r="S960" s="55">
        <f t="shared" si="726"/>
        <v>3227.1900000003889</v>
      </c>
      <c r="T960" s="48"/>
      <c r="U960" s="49">
        <f t="shared" si="727"/>
        <v>49.940000000118744</v>
      </c>
      <c r="V960" s="38"/>
      <c r="W960" s="38"/>
      <c r="X960" s="38">
        <v>-49.94</v>
      </c>
      <c r="Y960" s="51">
        <f t="shared" si="728"/>
        <v>1.1874590200022794E-10</v>
      </c>
      <c r="Z960" s="52"/>
      <c r="AA960" s="53">
        <f t="shared" si="729"/>
        <v>725.74999999942293</v>
      </c>
      <c r="AB960" s="38"/>
      <c r="AC960" s="38"/>
      <c r="AD960" s="38"/>
      <c r="AE960" s="54">
        <f t="shared" si="730"/>
        <v>725.74999999942293</v>
      </c>
      <c r="AF960" s="53"/>
      <c r="AG960" s="53">
        <f t="shared" si="704"/>
        <v>141.17000000006519</v>
      </c>
      <c r="AH960" s="38"/>
      <c r="AI960" s="38"/>
      <c r="AJ960" s="38"/>
      <c r="AK960" s="54">
        <f t="shared" si="705"/>
        <v>141.17000000006519</v>
      </c>
      <c r="AL960" s="53"/>
      <c r="AM960" s="53">
        <f t="shared" si="719"/>
        <v>0</v>
      </c>
      <c r="AN960" s="38"/>
      <c r="AO960" s="38"/>
      <c r="AP960" s="38"/>
      <c r="AQ960" s="54">
        <f t="shared" si="720"/>
        <v>0</v>
      </c>
      <c r="AR960" s="53"/>
      <c r="AS960" s="29">
        <f t="shared" si="706"/>
        <v>3465682.4500000016</v>
      </c>
      <c r="AT960" s="29">
        <f t="shared" si="707"/>
        <v>93492.2</v>
      </c>
      <c r="AU960" s="29">
        <f t="shared" si="708"/>
        <v>0</v>
      </c>
      <c r="AV960" s="29">
        <f t="shared" si="709"/>
        <v>-3233728.29</v>
      </c>
      <c r="AW960" s="29"/>
      <c r="AX960" s="29">
        <f t="shared" si="710"/>
        <v>325587.5300000016</v>
      </c>
      <c r="AY960" s="29">
        <f t="shared" si="711"/>
        <v>9300000</v>
      </c>
      <c r="AZ960" s="29">
        <f t="shared" si="712"/>
        <v>9625587.5300000012</v>
      </c>
    </row>
    <row r="961" spans="2:52" x14ac:dyDescent="0.3">
      <c r="B961" s="99">
        <f t="shared" ref="B961" si="732">B960+3</f>
        <v>45509</v>
      </c>
      <c r="C961" s="44">
        <f t="shared" si="722"/>
        <v>201287.98000000167</v>
      </c>
      <c r="D961" s="38"/>
      <c r="E961" s="38">
        <v>-600000</v>
      </c>
      <c r="F961" s="38">
        <v>-891797.93</v>
      </c>
      <c r="G961" s="45">
        <f t="shared" si="702"/>
        <v>-1290509.9499999983</v>
      </c>
      <c r="H961" s="44">
        <v>4300000</v>
      </c>
      <c r="I961" s="46">
        <f t="shared" si="723"/>
        <v>120205.43999999994</v>
      </c>
      <c r="J961" s="38">
        <v>128325.77</v>
      </c>
      <c r="K961" s="38">
        <v>600000</v>
      </c>
      <c r="L961" s="38">
        <v>-682047.1</v>
      </c>
      <c r="M961" s="47">
        <f t="shared" si="724"/>
        <v>166484.10999999999</v>
      </c>
      <c r="N961" s="46">
        <v>5000000</v>
      </c>
      <c r="O961" s="48">
        <f t="shared" si="725"/>
        <v>3227.1900000003889</v>
      </c>
      <c r="P961" s="38"/>
      <c r="Q961" s="38">
        <v>-50</v>
      </c>
      <c r="R961" s="38">
        <v>-2600</v>
      </c>
      <c r="S961" s="55">
        <f t="shared" si="726"/>
        <v>577.19000000038886</v>
      </c>
      <c r="T961" s="48"/>
      <c r="U961" s="49">
        <f t="shared" si="727"/>
        <v>1.1874590200022794E-10</v>
      </c>
      <c r="V961" s="38"/>
      <c r="W961" s="38">
        <v>50</v>
      </c>
      <c r="X961" s="38">
        <v>-17.059999999999999</v>
      </c>
      <c r="Y961" s="51">
        <f t="shared" si="728"/>
        <v>32.940000000118744</v>
      </c>
      <c r="Z961" s="52"/>
      <c r="AA961" s="53">
        <f t="shared" si="729"/>
        <v>725.74999999942293</v>
      </c>
      <c r="AB961" s="38"/>
      <c r="AC961" s="38"/>
      <c r="AD961" s="38">
        <v>-392.08</v>
      </c>
      <c r="AE961" s="54">
        <f t="shared" si="730"/>
        <v>333.66999999942294</v>
      </c>
      <c r="AF961" s="53"/>
      <c r="AG961" s="53">
        <f t="shared" si="704"/>
        <v>141.17000000006519</v>
      </c>
      <c r="AH961" s="38"/>
      <c r="AI961" s="38"/>
      <c r="AJ961" s="38"/>
      <c r="AK961" s="54">
        <f t="shared" si="705"/>
        <v>141.17000000006519</v>
      </c>
      <c r="AL961" s="53"/>
      <c r="AM961" s="53">
        <f t="shared" si="719"/>
        <v>0</v>
      </c>
      <c r="AN961" s="38"/>
      <c r="AO961" s="38"/>
      <c r="AP961" s="38"/>
      <c r="AQ961" s="54">
        <f t="shared" si="720"/>
        <v>0</v>
      </c>
      <c r="AR961" s="53"/>
      <c r="AS961" s="29">
        <f t="shared" si="706"/>
        <v>325446.36000000156</v>
      </c>
      <c r="AT961" s="29">
        <f t="shared" si="707"/>
        <v>128325.77</v>
      </c>
      <c r="AU961" s="29">
        <f t="shared" si="708"/>
        <v>0</v>
      </c>
      <c r="AV961" s="29">
        <f t="shared" si="709"/>
        <v>-1576854.1700000002</v>
      </c>
      <c r="AW961" s="29"/>
      <c r="AX961" s="29">
        <f t="shared" si="710"/>
        <v>-1122940.8699999982</v>
      </c>
      <c r="AY961" s="29">
        <f t="shared" si="711"/>
        <v>9300000</v>
      </c>
      <c r="AZ961" s="29">
        <f t="shared" si="712"/>
        <v>8177059.1300000018</v>
      </c>
    </row>
    <row r="962" spans="2:52" x14ac:dyDescent="0.3">
      <c r="B962" s="99">
        <f t="shared" si="713"/>
        <v>45510</v>
      </c>
      <c r="C962" s="44">
        <f t="shared" si="722"/>
        <v>-1290509.9499999983</v>
      </c>
      <c r="D962" s="38"/>
      <c r="E962" s="38"/>
      <c r="F962" s="38">
        <v>-0.21</v>
      </c>
      <c r="G962" s="45">
        <f t="shared" si="702"/>
        <v>-1290510.1599999983</v>
      </c>
      <c r="H962" s="44">
        <v>4300000</v>
      </c>
      <c r="I962" s="46">
        <f t="shared" si="723"/>
        <v>166484.10999999999</v>
      </c>
      <c r="J962" s="38">
        <v>557838.26</v>
      </c>
      <c r="K962" s="38"/>
      <c r="L962" s="38">
        <v>-5551.07</v>
      </c>
      <c r="M962" s="47">
        <f t="shared" si="724"/>
        <v>718771.3</v>
      </c>
      <c r="N962" s="46">
        <v>5000000</v>
      </c>
      <c r="O962" s="48">
        <f t="shared" si="725"/>
        <v>577.19000000038886</v>
      </c>
      <c r="P962" s="38"/>
      <c r="Q962" s="38"/>
      <c r="R962" s="38"/>
      <c r="S962" s="55">
        <f t="shared" si="726"/>
        <v>577.19000000038886</v>
      </c>
      <c r="T962" s="48"/>
      <c r="U962" s="49">
        <f t="shared" si="727"/>
        <v>32.940000000118744</v>
      </c>
      <c r="V962" s="38"/>
      <c r="W962" s="38"/>
      <c r="X962" s="38"/>
      <c r="Y962" s="51">
        <f t="shared" si="728"/>
        <v>32.940000000118744</v>
      </c>
      <c r="Z962" s="52"/>
      <c r="AA962" s="53">
        <f t="shared" si="729"/>
        <v>333.66999999942294</v>
      </c>
      <c r="AB962" s="38"/>
      <c r="AC962" s="38"/>
      <c r="AD962" s="38"/>
      <c r="AE962" s="54">
        <f t="shared" si="730"/>
        <v>333.66999999942294</v>
      </c>
      <c r="AF962" s="53"/>
      <c r="AG962" s="53">
        <f t="shared" si="704"/>
        <v>141.17000000006519</v>
      </c>
      <c r="AH962" s="38"/>
      <c r="AI962" s="38"/>
      <c r="AJ962" s="38"/>
      <c r="AK962" s="54">
        <f t="shared" si="705"/>
        <v>141.17000000006519</v>
      </c>
      <c r="AL962" s="53"/>
      <c r="AM962" s="53">
        <f t="shared" si="719"/>
        <v>0</v>
      </c>
      <c r="AN962" s="38"/>
      <c r="AO962" s="38"/>
      <c r="AP962" s="38"/>
      <c r="AQ962" s="54">
        <f t="shared" si="720"/>
        <v>0</v>
      </c>
      <c r="AR962" s="53"/>
      <c r="AS962" s="29">
        <f t="shared" si="706"/>
        <v>-1123082.0399999984</v>
      </c>
      <c r="AT962" s="29">
        <f t="shared" si="707"/>
        <v>557838.26</v>
      </c>
      <c r="AU962" s="29">
        <f t="shared" si="708"/>
        <v>0</v>
      </c>
      <c r="AV962" s="29">
        <f t="shared" si="709"/>
        <v>-5551.28</v>
      </c>
      <c r="AW962" s="29"/>
      <c r="AX962" s="29">
        <f t="shared" si="710"/>
        <v>-570653.88999999815</v>
      </c>
      <c r="AY962" s="29">
        <f t="shared" si="711"/>
        <v>9300000</v>
      </c>
      <c r="AZ962" s="29">
        <f t="shared" si="712"/>
        <v>8729346.1100000013</v>
      </c>
    </row>
    <row r="963" spans="2:52" x14ac:dyDescent="0.3">
      <c r="B963" s="99">
        <f t="shared" si="713"/>
        <v>45511</v>
      </c>
      <c r="C963" s="44">
        <f t="shared" si="722"/>
        <v>-1290510.1599999983</v>
      </c>
      <c r="D963" s="38">
        <v>1126.2</v>
      </c>
      <c r="E963" s="38"/>
      <c r="F963" s="38"/>
      <c r="G963" s="45">
        <f t="shared" si="702"/>
        <v>-1289383.9599999983</v>
      </c>
      <c r="H963" s="44">
        <v>4300000</v>
      </c>
      <c r="I963" s="46">
        <f t="shared" si="723"/>
        <v>718771.3</v>
      </c>
      <c r="J963" s="38"/>
      <c r="K963" s="38"/>
      <c r="L963" s="38">
        <v>-129389.24</v>
      </c>
      <c r="M963" s="47">
        <f t="shared" si="724"/>
        <v>589382.06000000006</v>
      </c>
      <c r="N963" s="46">
        <v>5000000</v>
      </c>
      <c r="O963" s="48">
        <f t="shared" si="725"/>
        <v>577.19000000038886</v>
      </c>
      <c r="P963" s="38">
        <v>17113.16</v>
      </c>
      <c r="Q963" s="38"/>
      <c r="R963" s="38"/>
      <c r="S963" s="55">
        <f t="shared" si="726"/>
        <v>17690.350000000388</v>
      </c>
      <c r="T963" s="48"/>
      <c r="U963" s="49">
        <f t="shared" si="727"/>
        <v>32.940000000118744</v>
      </c>
      <c r="V963" s="38"/>
      <c r="W963" s="38"/>
      <c r="X963" s="38"/>
      <c r="Y963" s="51">
        <f t="shared" si="728"/>
        <v>32.940000000118744</v>
      </c>
      <c r="Z963" s="52"/>
      <c r="AA963" s="53">
        <f t="shared" si="729"/>
        <v>333.66999999942294</v>
      </c>
      <c r="AB963" s="38"/>
      <c r="AC963" s="38"/>
      <c r="AD963" s="38"/>
      <c r="AE963" s="54">
        <f t="shared" si="730"/>
        <v>333.66999999942294</v>
      </c>
      <c r="AF963" s="53"/>
      <c r="AG963" s="53">
        <f t="shared" si="704"/>
        <v>141.17000000006519</v>
      </c>
      <c r="AH963" s="38"/>
      <c r="AI963" s="38"/>
      <c r="AJ963" s="38"/>
      <c r="AK963" s="54">
        <f t="shared" si="705"/>
        <v>141.17000000006519</v>
      </c>
      <c r="AL963" s="53"/>
      <c r="AM963" s="53">
        <f t="shared" si="719"/>
        <v>0</v>
      </c>
      <c r="AN963" s="38"/>
      <c r="AO963" s="38"/>
      <c r="AP963" s="38"/>
      <c r="AQ963" s="54">
        <f t="shared" si="720"/>
        <v>0</v>
      </c>
      <c r="AR963" s="53"/>
      <c r="AS963" s="29">
        <f t="shared" si="706"/>
        <v>-570795.05999999819</v>
      </c>
      <c r="AT963" s="29">
        <f t="shared" si="707"/>
        <v>18239.36</v>
      </c>
      <c r="AU963" s="29">
        <f t="shared" si="708"/>
        <v>0</v>
      </c>
      <c r="AV963" s="29">
        <f t="shared" si="709"/>
        <v>-129389.24</v>
      </c>
      <c r="AW963" s="29"/>
      <c r="AX963" s="29">
        <f t="shared" si="710"/>
        <v>-681803.76999999827</v>
      </c>
      <c r="AY963" s="29">
        <f t="shared" si="711"/>
        <v>9300000</v>
      </c>
      <c r="AZ963" s="29">
        <f t="shared" si="712"/>
        <v>8618196.2300000023</v>
      </c>
    </row>
    <row r="964" spans="2:52" x14ac:dyDescent="0.3">
      <c r="B964" s="99">
        <f t="shared" si="713"/>
        <v>45512</v>
      </c>
      <c r="C964" s="44">
        <f t="shared" si="722"/>
        <v>-1289383.9599999983</v>
      </c>
      <c r="D964" s="38"/>
      <c r="E964" s="38"/>
      <c r="F964" s="38">
        <v>-46.31</v>
      </c>
      <c r="G964" s="45">
        <f t="shared" si="702"/>
        <v>-1289430.2699999984</v>
      </c>
      <c r="H964" s="44">
        <v>4300000</v>
      </c>
      <c r="I964" s="46">
        <f t="shared" si="723"/>
        <v>589382.06000000006</v>
      </c>
      <c r="J964" s="38"/>
      <c r="K964" s="38"/>
      <c r="L964" s="38">
        <v>-45794.54</v>
      </c>
      <c r="M964" s="47">
        <f t="shared" si="724"/>
        <v>543587.52</v>
      </c>
      <c r="N964" s="46">
        <v>5000000</v>
      </c>
      <c r="O964" s="48">
        <f t="shared" si="725"/>
        <v>17690.350000000388</v>
      </c>
      <c r="P964" s="38">
        <v>171485.79</v>
      </c>
      <c r="Q964" s="38"/>
      <c r="R964" s="38"/>
      <c r="S964" s="55">
        <f t="shared" si="726"/>
        <v>189176.14000000039</v>
      </c>
      <c r="T964" s="48"/>
      <c r="U964" s="49">
        <f t="shared" si="727"/>
        <v>32.940000000118744</v>
      </c>
      <c r="V964" s="38"/>
      <c r="W964" s="38"/>
      <c r="X964" s="38"/>
      <c r="Y964" s="51">
        <f t="shared" si="728"/>
        <v>32.940000000118744</v>
      </c>
      <c r="Z964" s="52"/>
      <c r="AA964" s="53">
        <f t="shared" si="729"/>
        <v>333.66999999942294</v>
      </c>
      <c r="AB964" s="38"/>
      <c r="AC964" s="38"/>
      <c r="AD964" s="38"/>
      <c r="AE964" s="54">
        <f t="shared" si="730"/>
        <v>333.66999999942294</v>
      </c>
      <c r="AF964" s="53"/>
      <c r="AG964" s="53">
        <f t="shared" si="704"/>
        <v>141.17000000006519</v>
      </c>
      <c r="AH964" s="38"/>
      <c r="AI964" s="38"/>
      <c r="AJ964" s="38"/>
      <c r="AK964" s="54">
        <f t="shared" si="705"/>
        <v>141.17000000006519</v>
      </c>
      <c r="AL964" s="53"/>
      <c r="AM964" s="53">
        <f t="shared" si="719"/>
        <v>0</v>
      </c>
      <c r="AN964" s="38"/>
      <c r="AO964" s="38"/>
      <c r="AP964" s="38"/>
      <c r="AQ964" s="54">
        <f t="shared" si="720"/>
        <v>0</v>
      </c>
      <c r="AR964" s="53"/>
      <c r="AS964" s="29">
        <f t="shared" si="706"/>
        <v>-681944.93999999831</v>
      </c>
      <c r="AT964" s="29">
        <f t="shared" si="707"/>
        <v>171485.79</v>
      </c>
      <c r="AU964" s="29">
        <f t="shared" si="708"/>
        <v>0</v>
      </c>
      <c r="AV964" s="29">
        <f t="shared" si="709"/>
        <v>-45840.85</v>
      </c>
      <c r="AW964" s="29"/>
      <c r="AX964" s="29">
        <f t="shared" si="710"/>
        <v>-556158.82999999833</v>
      </c>
      <c r="AY964" s="29">
        <f t="shared" si="711"/>
        <v>9300000</v>
      </c>
      <c r="AZ964" s="29">
        <f t="shared" si="712"/>
        <v>8743841.1700000018</v>
      </c>
    </row>
    <row r="965" spans="2:52" x14ac:dyDescent="0.3">
      <c r="B965" s="99">
        <f t="shared" si="713"/>
        <v>45513</v>
      </c>
      <c r="C965" s="44">
        <f t="shared" si="722"/>
        <v>-1289430.2699999984</v>
      </c>
      <c r="D965" s="38"/>
      <c r="E965" s="38">
        <v>690000</v>
      </c>
      <c r="F965" s="38"/>
      <c r="G965" s="45">
        <f t="shared" si="702"/>
        <v>-599430.26999999839</v>
      </c>
      <c r="H965" s="44">
        <v>4300000</v>
      </c>
      <c r="I965" s="46">
        <f t="shared" si="723"/>
        <v>543587.52</v>
      </c>
      <c r="J965" s="38">
        <v>933.77</v>
      </c>
      <c r="K965" s="38"/>
      <c r="L965" s="38">
        <v>-99087.18</v>
      </c>
      <c r="M965" s="47">
        <f t="shared" si="724"/>
        <v>445434.11000000004</v>
      </c>
      <c r="N965" s="46">
        <v>5000000</v>
      </c>
      <c r="O965" s="48">
        <f t="shared" si="725"/>
        <v>189176.14000000039</v>
      </c>
      <c r="P965" s="38">
        <v>506873.37</v>
      </c>
      <c r="Q965" s="38">
        <v>-690000</v>
      </c>
      <c r="R965" s="38"/>
      <c r="S965" s="55">
        <f t="shared" si="726"/>
        <v>6049.5100000003586</v>
      </c>
      <c r="T965" s="48"/>
      <c r="U965" s="49">
        <f t="shared" si="727"/>
        <v>32.940000000118744</v>
      </c>
      <c r="V965" s="38"/>
      <c r="W965" s="38"/>
      <c r="X965" s="38"/>
      <c r="Y965" s="51">
        <f t="shared" si="728"/>
        <v>32.940000000118744</v>
      </c>
      <c r="Z965" s="52"/>
      <c r="AA965" s="53">
        <f t="shared" si="729"/>
        <v>333.66999999942294</v>
      </c>
      <c r="AB965" s="38"/>
      <c r="AC965" s="38"/>
      <c r="AD965" s="38"/>
      <c r="AE965" s="54">
        <f t="shared" si="730"/>
        <v>333.66999999942294</v>
      </c>
      <c r="AF965" s="53"/>
      <c r="AG965" s="53">
        <f t="shared" si="704"/>
        <v>141.17000000006519</v>
      </c>
      <c r="AH965" s="38"/>
      <c r="AI965" s="38"/>
      <c r="AJ965" s="38"/>
      <c r="AK965" s="54">
        <f t="shared" si="705"/>
        <v>141.17000000006519</v>
      </c>
      <c r="AL965" s="53"/>
      <c r="AM965" s="53">
        <f t="shared" si="719"/>
        <v>0</v>
      </c>
      <c r="AN965" s="38"/>
      <c r="AO965" s="38"/>
      <c r="AP965" s="38"/>
      <c r="AQ965" s="54">
        <f t="shared" si="720"/>
        <v>0</v>
      </c>
      <c r="AR965" s="53"/>
      <c r="AS965" s="29">
        <f t="shared" si="706"/>
        <v>-556299.99999999837</v>
      </c>
      <c r="AT965" s="29">
        <f t="shared" si="707"/>
        <v>507807.14</v>
      </c>
      <c r="AU965" s="29">
        <f t="shared" si="708"/>
        <v>0</v>
      </c>
      <c r="AV965" s="29">
        <f t="shared" si="709"/>
        <v>-99087.18</v>
      </c>
      <c r="AW965" s="29"/>
      <c r="AX965" s="29">
        <f t="shared" si="710"/>
        <v>-147438.86999999837</v>
      </c>
      <c r="AY965" s="29">
        <f t="shared" si="711"/>
        <v>9300000</v>
      </c>
      <c r="AZ965" s="29">
        <f t="shared" si="712"/>
        <v>9152561.1300000008</v>
      </c>
    </row>
    <row r="966" spans="2:52" x14ac:dyDescent="0.3">
      <c r="B966" s="99">
        <f t="shared" ref="B966" si="733">B965+3</f>
        <v>45516</v>
      </c>
      <c r="C966" s="44">
        <f t="shared" si="722"/>
        <v>-599430.26999999839</v>
      </c>
      <c r="D966" s="38">
        <v>240562.62</v>
      </c>
      <c r="E966" s="38"/>
      <c r="F966" s="38">
        <v>-13476.88</v>
      </c>
      <c r="G966" s="45">
        <f t="shared" si="702"/>
        <v>-372344.5299999984</v>
      </c>
      <c r="H966" s="44">
        <v>4300000</v>
      </c>
      <c r="I966" s="46">
        <f t="shared" si="723"/>
        <v>445434.11000000004</v>
      </c>
      <c r="J966" s="38"/>
      <c r="K966" s="38"/>
      <c r="L966" s="38">
        <v>-318309.5</v>
      </c>
      <c r="M966" s="47">
        <f t="shared" si="724"/>
        <v>127124.61000000004</v>
      </c>
      <c r="N966" s="46">
        <v>5000000</v>
      </c>
      <c r="O966" s="48">
        <f t="shared" si="725"/>
        <v>6049.5100000003586</v>
      </c>
      <c r="P966" s="38"/>
      <c r="Q966" s="38"/>
      <c r="R966" s="38">
        <v>-1786.47</v>
      </c>
      <c r="S966" s="55">
        <f t="shared" si="726"/>
        <v>4263.0400000003583</v>
      </c>
      <c r="T966" s="48"/>
      <c r="U966" s="49">
        <f t="shared" si="727"/>
        <v>32.940000000118744</v>
      </c>
      <c r="V966" s="38"/>
      <c r="W966" s="38"/>
      <c r="X966" s="38"/>
      <c r="Y966" s="51">
        <f t="shared" si="728"/>
        <v>32.940000000118744</v>
      </c>
      <c r="Z966" s="52"/>
      <c r="AA966" s="53">
        <f t="shared" si="729"/>
        <v>333.66999999942294</v>
      </c>
      <c r="AB966" s="38"/>
      <c r="AC966" s="38"/>
      <c r="AD966" s="38"/>
      <c r="AE966" s="54">
        <f t="shared" si="730"/>
        <v>333.66999999942294</v>
      </c>
      <c r="AF966" s="53"/>
      <c r="AG966" s="53">
        <f t="shared" si="704"/>
        <v>141.17000000006519</v>
      </c>
      <c r="AH966" s="38"/>
      <c r="AI966" s="38"/>
      <c r="AJ966" s="38"/>
      <c r="AK966" s="54">
        <f t="shared" si="705"/>
        <v>141.17000000006519</v>
      </c>
      <c r="AL966" s="53"/>
      <c r="AM966" s="53">
        <f t="shared" si="719"/>
        <v>0</v>
      </c>
      <c r="AN966" s="38"/>
      <c r="AO966" s="38"/>
      <c r="AP966" s="38"/>
      <c r="AQ966" s="54">
        <f t="shared" si="720"/>
        <v>0</v>
      </c>
      <c r="AR966" s="53"/>
      <c r="AS966" s="29">
        <f t="shared" si="706"/>
        <v>-147580.03999999844</v>
      </c>
      <c r="AT966" s="29">
        <f t="shared" si="707"/>
        <v>240562.62</v>
      </c>
      <c r="AU966" s="29">
        <f t="shared" si="708"/>
        <v>0</v>
      </c>
      <c r="AV966" s="29">
        <f t="shared" si="709"/>
        <v>-333572.84999999998</v>
      </c>
      <c r="AW966" s="29"/>
      <c r="AX966" s="29">
        <f t="shared" si="710"/>
        <v>-240449.09999999838</v>
      </c>
      <c r="AY966" s="29">
        <f t="shared" si="711"/>
        <v>9300000</v>
      </c>
      <c r="AZ966" s="29">
        <f t="shared" si="712"/>
        <v>9059550.9000000022</v>
      </c>
    </row>
    <row r="967" spans="2:52" x14ac:dyDescent="0.3">
      <c r="B967" s="99">
        <f t="shared" si="713"/>
        <v>45517</v>
      </c>
      <c r="C967" s="44">
        <f t="shared" si="722"/>
        <v>-372344.5299999984</v>
      </c>
      <c r="D967" s="38"/>
      <c r="E967" s="38"/>
      <c r="F967" s="38">
        <v>-576.29999999999995</v>
      </c>
      <c r="G967" s="45">
        <f t="shared" si="702"/>
        <v>-372920.82999999839</v>
      </c>
      <c r="H967" s="44">
        <v>4300000</v>
      </c>
      <c r="I967" s="46">
        <f t="shared" si="723"/>
        <v>127124.61000000004</v>
      </c>
      <c r="J967" s="38"/>
      <c r="K967" s="38"/>
      <c r="L967" s="38">
        <v>-18194.41</v>
      </c>
      <c r="M967" s="47">
        <f t="shared" si="724"/>
        <v>108930.20000000004</v>
      </c>
      <c r="N967" s="46">
        <v>5000000</v>
      </c>
      <c r="O967" s="48">
        <f t="shared" si="725"/>
        <v>4263.0400000003583</v>
      </c>
      <c r="P967" s="38"/>
      <c r="Q967" s="38"/>
      <c r="R967" s="38"/>
      <c r="S967" s="55">
        <f t="shared" si="726"/>
        <v>4263.0400000003583</v>
      </c>
      <c r="T967" s="48"/>
      <c r="U967" s="49">
        <f t="shared" si="727"/>
        <v>32.940000000118744</v>
      </c>
      <c r="V967" s="38"/>
      <c r="W967" s="38"/>
      <c r="X967" s="38"/>
      <c r="Y967" s="51">
        <f t="shared" si="728"/>
        <v>32.940000000118744</v>
      </c>
      <c r="Z967" s="52"/>
      <c r="AA967" s="53">
        <f t="shared" si="729"/>
        <v>333.66999999942294</v>
      </c>
      <c r="AB967" s="38"/>
      <c r="AC967" s="38"/>
      <c r="AD967" s="38"/>
      <c r="AE967" s="54">
        <f t="shared" si="730"/>
        <v>333.66999999942294</v>
      </c>
      <c r="AF967" s="53"/>
      <c r="AG967" s="53">
        <f t="shared" si="704"/>
        <v>141.17000000006519</v>
      </c>
      <c r="AH967" s="38"/>
      <c r="AI967" s="38"/>
      <c r="AJ967" s="38"/>
      <c r="AK967" s="54">
        <f t="shared" si="705"/>
        <v>141.17000000006519</v>
      </c>
      <c r="AL967" s="53"/>
      <c r="AM967" s="53">
        <f t="shared" si="719"/>
        <v>0</v>
      </c>
      <c r="AN967" s="38"/>
      <c r="AO967" s="38"/>
      <c r="AP967" s="38"/>
      <c r="AQ967" s="54">
        <f t="shared" si="720"/>
        <v>0</v>
      </c>
      <c r="AR967" s="53"/>
      <c r="AS967" s="29">
        <f t="shared" si="706"/>
        <v>-240590.26999999845</v>
      </c>
      <c r="AT967" s="29">
        <f t="shared" si="707"/>
        <v>0</v>
      </c>
      <c r="AU967" s="29">
        <f t="shared" si="708"/>
        <v>0</v>
      </c>
      <c r="AV967" s="29">
        <f t="shared" si="709"/>
        <v>-18770.71</v>
      </c>
      <c r="AW967" s="29"/>
      <c r="AX967" s="29">
        <f t="shared" si="710"/>
        <v>-259219.8099999984</v>
      </c>
      <c r="AY967" s="29">
        <f t="shared" si="711"/>
        <v>9300000</v>
      </c>
      <c r="AZ967" s="29">
        <f t="shared" si="712"/>
        <v>9040780.1900000013</v>
      </c>
    </row>
    <row r="968" spans="2:52" x14ac:dyDescent="0.3">
      <c r="B968" s="99">
        <f t="shared" si="713"/>
        <v>45518</v>
      </c>
      <c r="C968" s="44">
        <f t="shared" si="722"/>
        <v>-372920.82999999839</v>
      </c>
      <c r="D968" s="38"/>
      <c r="E968" s="38"/>
      <c r="F968" s="38">
        <v>-23043.84</v>
      </c>
      <c r="G968" s="45">
        <f t="shared" si="702"/>
        <v>-395964.66999999841</v>
      </c>
      <c r="H968" s="44">
        <v>4300000</v>
      </c>
      <c r="I968" s="46">
        <f t="shared" si="723"/>
        <v>108930.20000000004</v>
      </c>
      <c r="J968" s="38"/>
      <c r="K968" s="38"/>
      <c r="L968" s="38">
        <v>-43023.199999999997</v>
      </c>
      <c r="M968" s="47">
        <f t="shared" si="724"/>
        <v>65907.000000000044</v>
      </c>
      <c r="N968" s="46">
        <v>5000000</v>
      </c>
      <c r="O968" s="48">
        <f t="shared" si="725"/>
        <v>4263.0400000003583</v>
      </c>
      <c r="P968" s="38"/>
      <c r="Q968" s="38"/>
      <c r="R968" s="38"/>
      <c r="S968" s="55">
        <f t="shared" si="726"/>
        <v>4263.0400000003583</v>
      </c>
      <c r="T968" s="48"/>
      <c r="U968" s="49">
        <f t="shared" si="727"/>
        <v>32.940000000118744</v>
      </c>
      <c r="V968" s="38"/>
      <c r="W968" s="38"/>
      <c r="X968" s="38"/>
      <c r="Y968" s="51">
        <f t="shared" si="728"/>
        <v>32.940000000118744</v>
      </c>
      <c r="Z968" s="52"/>
      <c r="AA968" s="53">
        <f t="shared" si="729"/>
        <v>333.66999999942294</v>
      </c>
      <c r="AB968" s="38"/>
      <c r="AC968" s="38"/>
      <c r="AD968" s="38"/>
      <c r="AE968" s="54">
        <f t="shared" si="730"/>
        <v>333.66999999942294</v>
      </c>
      <c r="AF968" s="53"/>
      <c r="AG968" s="53">
        <f t="shared" si="704"/>
        <v>141.17000000006519</v>
      </c>
      <c r="AH968" s="38"/>
      <c r="AI968" s="38"/>
      <c r="AJ968" s="38"/>
      <c r="AK968" s="54">
        <f t="shared" si="705"/>
        <v>141.17000000006519</v>
      </c>
      <c r="AL968" s="53"/>
      <c r="AM968" s="53">
        <f t="shared" si="719"/>
        <v>0</v>
      </c>
      <c r="AN968" s="38"/>
      <c r="AO968" s="38"/>
      <c r="AP968" s="38"/>
      <c r="AQ968" s="54">
        <f t="shared" si="720"/>
        <v>0</v>
      </c>
      <c r="AR968" s="53"/>
      <c r="AS968" s="29">
        <f t="shared" si="706"/>
        <v>-259360.97999999847</v>
      </c>
      <c r="AT968" s="29">
        <f t="shared" si="707"/>
        <v>0</v>
      </c>
      <c r="AU968" s="29">
        <f t="shared" si="708"/>
        <v>0</v>
      </c>
      <c r="AV968" s="29">
        <f t="shared" si="709"/>
        <v>-66067.039999999994</v>
      </c>
      <c r="AW968" s="29"/>
      <c r="AX968" s="29">
        <f t="shared" si="710"/>
        <v>-325286.84999999841</v>
      </c>
      <c r="AY968" s="29">
        <f t="shared" si="711"/>
        <v>9300000</v>
      </c>
      <c r="AZ968" s="29">
        <f t="shared" si="712"/>
        <v>8974713.1500000022</v>
      </c>
    </row>
    <row r="969" spans="2:52" x14ac:dyDescent="0.3">
      <c r="B969" s="99">
        <f t="shared" si="713"/>
        <v>45519</v>
      </c>
      <c r="C969" s="44">
        <f t="shared" si="722"/>
        <v>-395964.66999999841</v>
      </c>
      <c r="D969" s="38">
        <v>35213.9</v>
      </c>
      <c r="E969" s="38"/>
      <c r="F969" s="38">
        <v>-32855.74</v>
      </c>
      <c r="G969" s="45">
        <f t="shared" si="702"/>
        <v>-393606.50999999838</v>
      </c>
      <c r="H969" s="44">
        <v>4300000</v>
      </c>
      <c r="I969" s="46">
        <f t="shared" si="723"/>
        <v>65907.000000000044</v>
      </c>
      <c r="J969" s="38">
        <v>262597.11</v>
      </c>
      <c r="K969" s="38">
        <v>80000</v>
      </c>
      <c r="L969" s="38">
        <v>-147297.09</v>
      </c>
      <c r="M969" s="47">
        <f t="shared" si="724"/>
        <v>261207.02000000005</v>
      </c>
      <c r="N969" s="46">
        <v>5000000</v>
      </c>
      <c r="O969" s="48">
        <f t="shared" si="725"/>
        <v>4263.0400000003583</v>
      </c>
      <c r="P969" s="38">
        <v>79220</v>
      </c>
      <c r="Q969" s="38">
        <v>-80000</v>
      </c>
      <c r="R969" s="38"/>
      <c r="S969" s="55">
        <f t="shared" si="726"/>
        <v>3483.0400000003574</v>
      </c>
      <c r="T969" s="48"/>
      <c r="U969" s="49">
        <f t="shared" si="727"/>
        <v>32.940000000118744</v>
      </c>
      <c r="V969" s="38"/>
      <c r="W969" s="38"/>
      <c r="X969" s="38"/>
      <c r="Y969" s="51">
        <f t="shared" si="728"/>
        <v>32.940000000118744</v>
      </c>
      <c r="Z969" s="52"/>
      <c r="AA969" s="53">
        <f t="shared" si="729"/>
        <v>333.66999999942294</v>
      </c>
      <c r="AB969" s="38"/>
      <c r="AC969" s="38"/>
      <c r="AD969" s="38"/>
      <c r="AE969" s="54">
        <f t="shared" si="730"/>
        <v>333.66999999942294</v>
      </c>
      <c r="AF969" s="53"/>
      <c r="AG969" s="53">
        <f t="shared" si="704"/>
        <v>141.17000000006519</v>
      </c>
      <c r="AH969" s="38"/>
      <c r="AI969" s="38"/>
      <c r="AJ969" s="38"/>
      <c r="AK969" s="54">
        <f t="shared" si="705"/>
        <v>141.17000000006519</v>
      </c>
      <c r="AL969" s="53"/>
      <c r="AM969" s="53">
        <f t="shared" si="719"/>
        <v>0</v>
      </c>
      <c r="AN969" s="38"/>
      <c r="AO969" s="38"/>
      <c r="AP969" s="38"/>
      <c r="AQ969" s="54">
        <f t="shared" si="720"/>
        <v>0</v>
      </c>
      <c r="AR969" s="53"/>
      <c r="AS969" s="29">
        <f t="shared" si="706"/>
        <v>-325428.01999999845</v>
      </c>
      <c r="AT969" s="29">
        <f t="shared" si="707"/>
        <v>377031.01</v>
      </c>
      <c r="AU969" s="29">
        <f t="shared" si="708"/>
        <v>0</v>
      </c>
      <c r="AV969" s="29">
        <f t="shared" si="709"/>
        <v>-180152.83</v>
      </c>
      <c r="AW969" s="29"/>
      <c r="AX969" s="29">
        <f t="shared" si="710"/>
        <v>-128408.66999999837</v>
      </c>
      <c r="AY969" s="29">
        <f t="shared" si="711"/>
        <v>9300000</v>
      </c>
      <c r="AZ969" s="29">
        <f t="shared" si="712"/>
        <v>9171591.3300000019</v>
      </c>
    </row>
    <row r="970" spans="2:52" x14ac:dyDescent="0.3">
      <c r="B970" s="99">
        <f t="shared" si="713"/>
        <v>45520</v>
      </c>
      <c r="C970" s="44">
        <f t="shared" si="722"/>
        <v>-393606.50999999838</v>
      </c>
      <c r="D970" s="38">
        <v>1289218.3799999999</v>
      </c>
      <c r="E970" s="38">
        <v>-350000</v>
      </c>
      <c r="F970" s="38">
        <v>-3097576.41</v>
      </c>
      <c r="G970" s="45">
        <f t="shared" si="702"/>
        <v>-2551964.5399999986</v>
      </c>
      <c r="H970" s="44">
        <v>4300000</v>
      </c>
      <c r="I970" s="46">
        <f t="shared" si="723"/>
        <v>261207.02000000005</v>
      </c>
      <c r="J970" s="38"/>
      <c r="K970" s="38">
        <v>350000</v>
      </c>
      <c r="L970" s="38">
        <v>-563248.01</v>
      </c>
      <c r="M970" s="47">
        <f t="shared" si="724"/>
        <v>47959.010000000009</v>
      </c>
      <c r="N970" s="46">
        <v>5000000</v>
      </c>
      <c r="O970" s="48">
        <f t="shared" si="725"/>
        <v>3483.0400000003574</v>
      </c>
      <c r="P970" s="38"/>
      <c r="Q970" s="38"/>
      <c r="R970" s="38">
        <v>-10</v>
      </c>
      <c r="S970" s="55">
        <f t="shared" si="726"/>
        <v>3473.0400000003574</v>
      </c>
      <c r="T970" s="48"/>
      <c r="U970" s="49">
        <f t="shared" si="727"/>
        <v>32.940000000118744</v>
      </c>
      <c r="V970" s="38"/>
      <c r="W970" s="38"/>
      <c r="X970" s="38"/>
      <c r="Y970" s="51">
        <f t="shared" si="728"/>
        <v>32.940000000118744</v>
      </c>
      <c r="Z970" s="52"/>
      <c r="AA970" s="53">
        <f t="shared" si="729"/>
        <v>333.66999999942294</v>
      </c>
      <c r="AB970" s="38"/>
      <c r="AC970" s="38"/>
      <c r="AD970" s="38"/>
      <c r="AE970" s="54">
        <f t="shared" si="730"/>
        <v>333.66999999942294</v>
      </c>
      <c r="AF970" s="53"/>
      <c r="AG970" s="53">
        <f t="shared" si="704"/>
        <v>141.17000000006519</v>
      </c>
      <c r="AH970" s="38"/>
      <c r="AI970" s="38"/>
      <c r="AJ970" s="38"/>
      <c r="AK970" s="54">
        <f t="shared" si="705"/>
        <v>141.17000000006519</v>
      </c>
      <c r="AL970" s="53"/>
      <c r="AM970" s="53">
        <f t="shared" si="719"/>
        <v>0</v>
      </c>
      <c r="AN970" s="38"/>
      <c r="AO970" s="38"/>
      <c r="AP970" s="38"/>
      <c r="AQ970" s="54">
        <f t="shared" si="720"/>
        <v>0</v>
      </c>
      <c r="AR970" s="53"/>
      <c r="AS970" s="29">
        <f t="shared" si="706"/>
        <v>-128549.83999999844</v>
      </c>
      <c r="AT970" s="29">
        <f t="shared" si="707"/>
        <v>1289218.3799999999</v>
      </c>
      <c r="AU970" s="29">
        <f t="shared" si="708"/>
        <v>0</v>
      </c>
      <c r="AV970" s="29">
        <f t="shared" si="709"/>
        <v>-3660834.42</v>
      </c>
      <c r="AW970" s="29"/>
      <c r="AX970" s="29">
        <f t="shared" si="710"/>
        <v>-2500024.7099999986</v>
      </c>
      <c r="AY970" s="29">
        <f t="shared" si="711"/>
        <v>9300000</v>
      </c>
      <c r="AZ970" s="29">
        <f t="shared" si="712"/>
        <v>6799975.290000001</v>
      </c>
    </row>
    <row r="971" spans="2:52" x14ac:dyDescent="0.3">
      <c r="B971" s="99">
        <f t="shared" ref="B971" si="734">B970+3</f>
        <v>45523</v>
      </c>
      <c r="C971" s="44">
        <f t="shared" si="722"/>
        <v>-2551964.5399999986</v>
      </c>
      <c r="D971" s="38">
        <v>57234.92</v>
      </c>
      <c r="E971" s="38">
        <v>-200000</v>
      </c>
      <c r="F971" s="38"/>
      <c r="G971" s="45">
        <f t="shared" si="702"/>
        <v>-2694729.6199999987</v>
      </c>
      <c r="H971" s="44">
        <v>4300000</v>
      </c>
      <c r="I971" s="46">
        <f t="shared" si="723"/>
        <v>47959.010000000009</v>
      </c>
      <c r="J971" s="38"/>
      <c r="K971" s="38">
        <v>280000</v>
      </c>
      <c r="L971" s="38">
        <v>-313899.17</v>
      </c>
      <c r="M971" s="47">
        <f t="shared" si="724"/>
        <v>14059.840000000026</v>
      </c>
      <c r="N971" s="46">
        <v>5000000</v>
      </c>
      <c r="O971" s="48">
        <f t="shared" si="725"/>
        <v>3473.0400000003574</v>
      </c>
      <c r="P971" s="38">
        <v>79832.399999999994</v>
      </c>
      <c r="Q971" s="38">
        <v>-80000</v>
      </c>
      <c r="R971" s="38"/>
      <c r="S971" s="55">
        <f t="shared" si="726"/>
        <v>3305.4400000003516</v>
      </c>
      <c r="T971" s="48"/>
      <c r="U971" s="49">
        <f t="shared" si="727"/>
        <v>32.940000000118744</v>
      </c>
      <c r="V971" s="38"/>
      <c r="W971" s="38"/>
      <c r="X971" s="38"/>
      <c r="Y971" s="51">
        <f t="shared" si="728"/>
        <v>32.940000000118744</v>
      </c>
      <c r="Z971" s="52"/>
      <c r="AA971" s="53">
        <f t="shared" si="729"/>
        <v>333.66999999942294</v>
      </c>
      <c r="AB971" s="38"/>
      <c r="AC971" s="38"/>
      <c r="AD971" s="38"/>
      <c r="AE971" s="54">
        <f t="shared" si="730"/>
        <v>333.66999999942294</v>
      </c>
      <c r="AF971" s="53"/>
      <c r="AG971" s="53">
        <f t="shared" si="704"/>
        <v>141.17000000006519</v>
      </c>
      <c r="AH971" s="38"/>
      <c r="AI971" s="38"/>
      <c r="AJ971" s="38"/>
      <c r="AK971" s="54">
        <f t="shared" si="705"/>
        <v>141.17000000006519</v>
      </c>
      <c r="AL971" s="53"/>
      <c r="AM971" s="53">
        <f t="shared" si="719"/>
        <v>0</v>
      </c>
      <c r="AN971" s="38"/>
      <c r="AO971" s="38"/>
      <c r="AP971" s="38"/>
      <c r="AQ971" s="54">
        <f t="shared" si="720"/>
        <v>0</v>
      </c>
      <c r="AR971" s="53"/>
      <c r="AS971" s="29">
        <f t="shared" si="706"/>
        <v>-2500165.8799999985</v>
      </c>
      <c r="AT971" s="29">
        <f t="shared" si="707"/>
        <v>137067.32</v>
      </c>
      <c r="AU971" s="29">
        <f t="shared" si="708"/>
        <v>0</v>
      </c>
      <c r="AV971" s="29">
        <f t="shared" si="709"/>
        <v>-313899.17</v>
      </c>
      <c r="AW971" s="29"/>
      <c r="AX971" s="29">
        <f t="shared" si="710"/>
        <v>-2676856.5599999991</v>
      </c>
      <c r="AY971" s="29">
        <f t="shared" si="711"/>
        <v>9300000</v>
      </c>
      <c r="AZ971" s="29">
        <f t="shared" si="712"/>
        <v>6623143.4400000013</v>
      </c>
    </row>
    <row r="972" spans="2:52" x14ac:dyDescent="0.3">
      <c r="B972" s="99">
        <f t="shared" si="713"/>
        <v>45524</v>
      </c>
      <c r="C972" s="44">
        <f t="shared" si="722"/>
        <v>-2694729.6199999987</v>
      </c>
      <c r="D972" s="38"/>
      <c r="E972" s="38">
        <v>-100000</v>
      </c>
      <c r="F972" s="38">
        <v>-727620.44</v>
      </c>
      <c r="G972" s="45">
        <f t="shared" si="702"/>
        <v>-3522350.0599999987</v>
      </c>
      <c r="H972" s="44">
        <v>4300000</v>
      </c>
      <c r="I972" s="46">
        <f t="shared" si="723"/>
        <v>14059.840000000026</v>
      </c>
      <c r="J972" s="38"/>
      <c r="K972" s="38">
        <v>100000</v>
      </c>
      <c r="L972" s="38">
        <v>-28340.2</v>
      </c>
      <c r="M972" s="47">
        <f t="shared" si="724"/>
        <v>85719.640000000029</v>
      </c>
      <c r="N972" s="46">
        <v>5000000</v>
      </c>
      <c r="O972" s="48">
        <f t="shared" si="725"/>
        <v>3305.4400000003516</v>
      </c>
      <c r="P972" s="38"/>
      <c r="Q972" s="38"/>
      <c r="R972" s="38">
        <v>-10</v>
      </c>
      <c r="S972" s="55">
        <f t="shared" si="726"/>
        <v>3295.4400000003516</v>
      </c>
      <c r="T972" s="48"/>
      <c r="U972" s="49">
        <f t="shared" si="727"/>
        <v>32.940000000118744</v>
      </c>
      <c r="V972" s="38"/>
      <c r="W972" s="38"/>
      <c r="X972" s="38"/>
      <c r="Y972" s="51">
        <f t="shared" si="728"/>
        <v>32.940000000118744</v>
      </c>
      <c r="Z972" s="52"/>
      <c r="AA972" s="53">
        <f t="shared" si="729"/>
        <v>333.66999999942294</v>
      </c>
      <c r="AB972" s="38">
        <v>1638309.18</v>
      </c>
      <c r="AC972" s="38"/>
      <c r="AD972" s="38">
        <v>-460</v>
      </c>
      <c r="AE972" s="54">
        <f t="shared" si="730"/>
        <v>1638182.8499999994</v>
      </c>
      <c r="AF972" s="53"/>
      <c r="AG972" s="53">
        <f t="shared" si="704"/>
        <v>141.17000000006519</v>
      </c>
      <c r="AH972" s="38"/>
      <c r="AI972" s="38"/>
      <c r="AJ972" s="38"/>
      <c r="AK972" s="54">
        <f t="shared" si="705"/>
        <v>141.17000000006519</v>
      </c>
      <c r="AL972" s="53"/>
      <c r="AM972" s="53">
        <f t="shared" si="719"/>
        <v>0</v>
      </c>
      <c r="AN972" s="38"/>
      <c r="AO972" s="38"/>
      <c r="AP972" s="38"/>
      <c r="AQ972" s="54">
        <f t="shared" si="720"/>
        <v>0</v>
      </c>
      <c r="AR972" s="53"/>
      <c r="AS972" s="29">
        <f t="shared" si="706"/>
        <v>-2676997.7299999991</v>
      </c>
      <c r="AT972" s="29">
        <f t="shared" si="707"/>
        <v>1638309.18</v>
      </c>
      <c r="AU972" s="29">
        <f t="shared" si="708"/>
        <v>0</v>
      </c>
      <c r="AV972" s="29">
        <f t="shared" si="709"/>
        <v>-756430.6399999999</v>
      </c>
      <c r="AW972" s="29"/>
      <c r="AX972" s="29">
        <f t="shared" si="710"/>
        <v>-1794978.0199999986</v>
      </c>
      <c r="AY972" s="29">
        <f t="shared" si="711"/>
        <v>9300000</v>
      </c>
      <c r="AZ972" s="29">
        <f t="shared" si="712"/>
        <v>7505021.9800000014</v>
      </c>
    </row>
    <row r="973" spans="2:52" x14ac:dyDescent="0.3">
      <c r="B973" s="99">
        <f t="shared" si="713"/>
        <v>45525</v>
      </c>
      <c r="C973" s="44">
        <f t="shared" si="722"/>
        <v>-3522350.0599999987</v>
      </c>
      <c r="D973" s="38"/>
      <c r="E973" s="38">
        <v>1638000</v>
      </c>
      <c r="F973" s="38">
        <v>-0.21</v>
      </c>
      <c r="G973" s="45">
        <f t="shared" si="702"/>
        <v>-1884350.2699999986</v>
      </c>
      <c r="H973" s="44">
        <v>4300000</v>
      </c>
      <c r="I973" s="46">
        <f t="shared" si="723"/>
        <v>85719.640000000029</v>
      </c>
      <c r="J973" s="38">
        <v>9755.7000000000007</v>
      </c>
      <c r="K973" s="38">
        <v>205000</v>
      </c>
      <c r="L973" s="38">
        <v>-109215.36</v>
      </c>
      <c r="M973" s="47">
        <f t="shared" si="724"/>
        <v>191259.98000000004</v>
      </c>
      <c r="N973" s="46">
        <v>5000000</v>
      </c>
      <c r="O973" s="48">
        <f t="shared" si="725"/>
        <v>3295.4400000003516</v>
      </c>
      <c r="P973" s="38">
        <v>207279.96</v>
      </c>
      <c r="Q973" s="38">
        <v>-205000</v>
      </c>
      <c r="R973" s="38">
        <v>-1560.93</v>
      </c>
      <c r="S973" s="55">
        <f t="shared" si="726"/>
        <v>4014.4700000003431</v>
      </c>
      <c r="T973" s="48"/>
      <c r="U973" s="49">
        <f t="shared" si="727"/>
        <v>32.940000000118744</v>
      </c>
      <c r="V973" s="38"/>
      <c r="W973" s="38"/>
      <c r="X973" s="38"/>
      <c r="Y973" s="51">
        <f t="shared" si="728"/>
        <v>32.940000000118744</v>
      </c>
      <c r="Z973" s="52"/>
      <c r="AA973" s="53">
        <f t="shared" si="729"/>
        <v>1638182.8499999994</v>
      </c>
      <c r="AB973" s="38"/>
      <c r="AC973" s="38">
        <v>-1638000</v>
      </c>
      <c r="AD973" s="38"/>
      <c r="AE973" s="54">
        <f t="shared" si="730"/>
        <v>182.84999999939464</v>
      </c>
      <c r="AF973" s="53"/>
      <c r="AG973" s="53">
        <f t="shared" si="704"/>
        <v>141.17000000006519</v>
      </c>
      <c r="AH973" s="38"/>
      <c r="AI973" s="38"/>
      <c r="AJ973" s="38"/>
      <c r="AK973" s="54">
        <f t="shared" si="705"/>
        <v>141.17000000006519</v>
      </c>
      <c r="AL973" s="53"/>
      <c r="AM973" s="53">
        <f t="shared" si="719"/>
        <v>0</v>
      </c>
      <c r="AN973" s="38"/>
      <c r="AO973" s="38"/>
      <c r="AP973" s="38"/>
      <c r="AQ973" s="54">
        <f t="shared" si="720"/>
        <v>0</v>
      </c>
      <c r="AR973" s="53"/>
      <c r="AS973" s="29">
        <f t="shared" si="706"/>
        <v>-1795119.1899999988</v>
      </c>
      <c r="AT973" s="29">
        <f t="shared" si="707"/>
        <v>217035.66</v>
      </c>
      <c r="AU973" s="29">
        <f t="shared" si="708"/>
        <v>0</v>
      </c>
      <c r="AV973" s="29">
        <f t="shared" si="709"/>
        <v>-110776.5</v>
      </c>
      <c r="AW973" s="29"/>
      <c r="AX973" s="29">
        <f t="shared" si="710"/>
        <v>-1688718.8599999985</v>
      </c>
      <c r="AY973" s="29">
        <f t="shared" si="711"/>
        <v>9300000</v>
      </c>
      <c r="AZ973" s="29">
        <f t="shared" si="712"/>
        <v>7611281.1400000015</v>
      </c>
    </row>
    <row r="974" spans="2:52" x14ac:dyDescent="0.3">
      <c r="B974" s="99">
        <f t="shared" si="713"/>
        <v>45526</v>
      </c>
      <c r="C974" s="44">
        <f t="shared" si="722"/>
        <v>-1884350.2699999986</v>
      </c>
      <c r="D974" s="38">
        <v>4991.21</v>
      </c>
      <c r="E974" s="38"/>
      <c r="F974" s="38">
        <v>-375.42</v>
      </c>
      <c r="G974" s="45">
        <f t="shared" si="702"/>
        <v>-1879734.4799999986</v>
      </c>
      <c r="H974" s="44">
        <v>4300000</v>
      </c>
      <c r="I974" s="46">
        <f t="shared" si="723"/>
        <v>191259.98000000004</v>
      </c>
      <c r="J974" s="38"/>
      <c r="K974" s="38">
        <v>35000</v>
      </c>
      <c r="L974" s="38">
        <v>-47432.74</v>
      </c>
      <c r="M974" s="47">
        <f t="shared" si="724"/>
        <v>178827.24000000005</v>
      </c>
      <c r="N974" s="46">
        <v>5000000</v>
      </c>
      <c r="O974" s="48">
        <f t="shared" si="725"/>
        <v>4014.4700000003431</v>
      </c>
      <c r="P974" s="38">
        <f>9627.84+24812.79</f>
        <v>34440.630000000005</v>
      </c>
      <c r="Q974" s="38">
        <v>-35000</v>
      </c>
      <c r="R974" s="38">
        <v>-260</v>
      </c>
      <c r="S974" s="55">
        <f t="shared" si="726"/>
        <v>3195.1000000003478</v>
      </c>
      <c r="T974" s="48"/>
      <c r="U974" s="49">
        <f t="shared" si="727"/>
        <v>32.940000000118744</v>
      </c>
      <c r="V974" s="38"/>
      <c r="W974" s="38"/>
      <c r="X974" s="38"/>
      <c r="Y974" s="51">
        <f t="shared" si="728"/>
        <v>32.940000000118744</v>
      </c>
      <c r="Z974" s="52"/>
      <c r="AA974" s="53">
        <f t="shared" si="729"/>
        <v>182.84999999939464</v>
      </c>
      <c r="AB974" s="38"/>
      <c r="AC974" s="38"/>
      <c r="AD974" s="38"/>
      <c r="AE974" s="54">
        <f t="shared" si="730"/>
        <v>182.84999999939464</v>
      </c>
      <c r="AF974" s="53"/>
      <c r="AG974" s="53">
        <f t="shared" si="704"/>
        <v>141.17000000006519</v>
      </c>
      <c r="AH974" s="38"/>
      <c r="AI974" s="38"/>
      <c r="AJ974" s="38"/>
      <c r="AK974" s="54">
        <f t="shared" si="705"/>
        <v>141.17000000006519</v>
      </c>
      <c r="AL974" s="53"/>
      <c r="AM974" s="53">
        <f t="shared" si="719"/>
        <v>0</v>
      </c>
      <c r="AN974" s="38"/>
      <c r="AO974" s="38"/>
      <c r="AP974" s="38"/>
      <c r="AQ974" s="54">
        <f t="shared" si="720"/>
        <v>0</v>
      </c>
      <c r="AR974" s="53"/>
      <c r="AS974" s="29">
        <f t="shared" si="706"/>
        <v>-1688860.0299999986</v>
      </c>
      <c r="AT974" s="29">
        <f t="shared" si="707"/>
        <v>39431.840000000004</v>
      </c>
      <c r="AU974" s="29">
        <f t="shared" si="708"/>
        <v>0</v>
      </c>
      <c r="AV974" s="29">
        <f t="shared" si="709"/>
        <v>-48068.159999999996</v>
      </c>
      <c r="AW974" s="29"/>
      <c r="AX974" s="29">
        <f t="shared" si="710"/>
        <v>-1697355.1799999985</v>
      </c>
      <c r="AY974" s="29">
        <f t="shared" si="711"/>
        <v>9300000</v>
      </c>
      <c r="AZ974" s="29">
        <f t="shared" si="712"/>
        <v>7602644.8200000012</v>
      </c>
    </row>
    <row r="975" spans="2:52" x14ac:dyDescent="0.3">
      <c r="B975" s="99">
        <f t="shared" si="713"/>
        <v>45527</v>
      </c>
      <c r="C975" s="44">
        <f t="shared" si="722"/>
        <v>-1879734.4799999986</v>
      </c>
      <c r="D975" s="38"/>
      <c r="E975" s="38">
        <v>-350000</v>
      </c>
      <c r="F975" s="38">
        <v>-5206.3999999999996</v>
      </c>
      <c r="G975" s="45">
        <f t="shared" si="702"/>
        <v>-2234940.8799999985</v>
      </c>
      <c r="H975" s="44">
        <v>4300000</v>
      </c>
      <c r="I975" s="46">
        <f t="shared" si="723"/>
        <v>178827.24000000005</v>
      </c>
      <c r="J975" s="38">
        <v>503739.14</v>
      </c>
      <c r="K975" s="38">
        <v>350000</v>
      </c>
      <c r="L975" s="38">
        <v>-415476.76</v>
      </c>
      <c r="M975" s="47">
        <f t="shared" si="724"/>
        <v>617089.62000000011</v>
      </c>
      <c r="N975" s="46">
        <v>5000000</v>
      </c>
      <c r="O975" s="48">
        <f t="shared" si="725"/>
        <v>3195.1000000003478</v>
      </c>
      <c r="P975" s="38">
        <v>128.61000000000001</v>
      </c>
      <c r="Q975" s="38"/>
      <c r="R975" s="38">
        <v>-10</v>
      </c>
      <c r="S975" s="55">
        <f t="shared" si="726"/>
        <v>3313.7100000003479</v>
      </c>
      <c r="T975" s="48"/>
      <c r="U975" s="49">
        <f t="shared" si="727"/>
        <v>32.940000000118744</v>
      </c>
      <c r="V975" s="38"/>
      <c r="W975" s="38"/>
      <c r="X975" s="38"/>
      <c r="Y975" s="51">
        <f t="shared" si="728"/>
        <v>32.940000000118744</v>
      </c>
      <c r="Z975" s="52"/>
      <c r="AA975" s="53">
        <f t="shared" si="729"/>
        <v>182.84999999939464</v>
      </c>
      <c r="AB975" s="38"/>
      <c r="AC975" s="38"/>
      <c r="AD975" s="38"/>
      <c r="AE975" s="54">
        <f t="shared" si="730"/>
        <v>182.84999999939464</v>
      </c>
      <c r="AF975" s="53"/>
      <c r="AG975" s="53">
        <f t="shared" si="704"/>
        <v>141.17000000006519</v>
      </c>
      <c r="AH975" s="38"/>
      <c r="AI975" s="38"/>
      <c r="AJ975" s="38"/>
      <c r="AK975" s="54">
        <f t="shared" si="705"/>
        <v>141.17000000006519</v>
      </c>
      <c r="AL975" s="53"/>
      <c r="AM975" s="53">
        <f t="shared" si="719"/>
        <v>0</v>
      </c>
      <c r="AN975" s="38"/>
      <c r="AO975" s="38"/>
      <c r="AP975" s="38"/>
      <c r="AQ975" s="54">
        <f t="shared" si="720"/>
        <v>0</v>
      </c>
      <c r="AR975" s="53"/>
      <c r="AS975" s="29">
        <f t="shared" si="706"/>
        <v>-1697496.3499999987</v>
      </c>
      <c r="AT975" s="29">
        <f t="shared" si="707"/>
        <v>503867.75</v>
      </c>
      <c r="AU975" s="29">
        <f t="shared" si="708"/>
        <v>0</v>
      </c>
      <c r="AV975" s="29">
        <f t="shared" si="709"/>
        <v>-420693.16000000003</v>
      </c>
      <c r="AW975" s="29"/>
      <c r="AX975" s="29">
        <f t="shared" si="710"/>
        <v>-1614180.5899999982</v>
      </c>
      <c r="AY975" s="29">
        <f t="shared" si="711"/>
        <v>9300000</v>
      </c>
      <c r="AZ975" s="29">
        <f t="shared" si="712"/>
        <v>7685819.410000002</v>
      </c>
    </row>
    <row r="976" spans="2:52" x14ac:dyDescent="0.3">
      <c r="B976" s="99">
        <f t="shared" ref="B976" si="735">B975+3</f>
        <v>45530</v>
      </c>
      <c r="C976" s="44">
        <f t="shared" si="722"/>
        <v>-2234940.8799999985</v>
      </c>
      <c r="D976" s="38">
        <v>337603.96</v>
      </c>
      <c r="E976" s="38"/>
      <c r="F976" s="38">
        <v>-57912.67</v>
      </c>
      <c r="G976" s="45">
        <f t="shared" si="702"/>
        <v>-1955249.5899999985</v>
      </c>
      <c r="H976" s="44">
        <v>4300000</v>
      </c>
      <c r="I976" s="46">
        <f t="shared" si="723"/>
        <v>617089.62000000011</v>
      </c>
      <c r="J976" s="38"/>
      <c r="K976" s="38"/>
      <c r="L976" s="38">
        <v>-102088.89</v>
      </c>
      <c r="M976" s="47">
        <f t="shared" si="724"/>
        <v>515000.7300000001</v>
      </c>
      <c r="N976" s="46">
        <v>5000000</v>
      </c>
      <c r="O976" s="48">
        <f t="shared" si="725"/>
        <v>3313.7100000003479</v>
      </c>
      <c r="P976" s="38">
        <v>87.23</v>
      </c>
      <c r="Q976" s="38"/>
      <c r="R976" s="38">
        <v>-187.1</v>
      </c>
      <c r="S976" s="55">
        <f t="shared" si="726"/>
        <v>3213.840000000348</v>
      </c>
      <c r="T976" s="48"/>
      <c r="U976" s="49">
        <f t="shared" si="727"/>
        <v>32.940000000118744</v>
      </c>
      <c r="V976" s="38">
        <v>1483286.21</v>
      </c>
      <c r="W976" s="38"/>
      <c r="X976" s="38"/>
      <c r="Y976" s="51">
        <f t="shared" si="728"/>
        <v>1483319.1500000001</v>
      </c>
      <c r="Z976" s="52"/>
      <c r="AA976" s="53">
        <f t="shared" si="729"/>
        <v>182.84999999939464</v>
      </c>
      <c r="AB976" s="38"/>
      <c r="AC976" s="38"/>
      <c r="AD976" s="38"/>
      <c r="AE976" s="54">
        <f t="shared" si="730"/>
        <v>182.84999999939464</v>
      </c>
      <c r="AF976" s="53"/>
      <c r="AG976" s="53">
        <f t="shared" si="704"/>
        <v>141.17000000006519</v>
      </c>
      <c r="AH976" s="38"/>
      <c r="AI976" s="38"/>
      <c r="AJ976" s="38"/>
      <c r="AK976" s="54">
        <f t="shared" si="705"/>
        <v>141.17000000006519</v>
      </c>
      <c r="AL976" s="53"/>
      <c r="AM976" s="53">
        <f t="shared" si="719"/>
        <v>0</v>
      </c>
      <c r="AN976" s="38"/>
      <c r="AO976" s="38"/>
      <c r="AP976" s="38"/>
      <c r="AQ976" s="54">
        <f t="shared" si="720"/>
        <v>0</v>
      </c>
      <c r="AR976" s="53"/>
      <c r="AS976" s="29">
        <f t="shared" si="706"/>
        <v>-1614321.7599999984</v>
      </c>
      <c r="AT976" s="29">
        <f t="shared" si="707"/>
        <v>1820977.4</v>
      </c>
      <c r="AU976" s="29">
        <f t="shared" si="708"/>
        <v>0</v>
      </c>
      <c r="AV976" s="29">
        <f t="shared" si="709"/>
        <v>-160188.66</v>
      </c>
      <c r="AW976" s="29"/>
      <c r="AX976" s="29">
        <f t="shared" si="710"/>
        <v>46608.150000001442</v>
      </c>
      <c r="AY976" s="29">
        <f t="shared" si="711"/>
        <v>9300000</v>
      </c>
      <c r="AZ976" s="29">
        <f t="shared" si="712"/>
        <v>9346608.1500000022</v>
      </c>
    </row>
    <row r="977" spans="2:52" x14ac:dyDescent="0.3">
      <c r="B977" s="99">
        <f t="shared" si="713"/>
        <v>45531</v>
      </c>
      <c r="C977" s="44">
        <f t="shared" si="722"/>
        <v>-1955249.5899999985</v>
      </c>
      <c r="D977" s="38">
        <v>247627.04</v>
      </c>
      <c r="E977" s="38">
        <v>2000000</v>
      </c>
      <c r="F977" s="38">
        <v>-1639.21</v>
      </c>
      <c r="G977" s="45">
        <f t="shared" si="702"/>
        <v>290738.24000000156</v>
      </c>
      <c r="H977" s="44">
        <v>4300000</v>
      </c>
      <c r="I977" s="46">
        <f t="shared" si="723"/>
        <v>515000.7300000001</v>
      </c>
      <c r="J977" s="38"/>
      <c r="K977" s="38"/>
      <c r="L977" s="38">
        <v>-338112.13</v>
      </c>
      <c r="M977" s="47">
        <f t="shared" si="724"/>
        <v>176888.60000000009</v>
      </c>
      <c r="N977" s="46">
        <v>5000000</v>
      </c>
      <c r="O977" s="48">
        <f t="shared" si="725"/>
        <v>3213.840000000348</v>
      </c>
      <c r="P977" s="38">
        <f>203875+353531.65+21270.6</f>
        <v>578677.25</v>
      </c>
      <c r="Q977" s="38">
        <f>1483200-2000000</f>
        <v>-516800</v>
      </c>
      <c r="R977" s="38">
        <v>-1228.5</v>
      </c>
      <c r="S977" s="55">
        <f t="shared" si="726"/>
        <v>63862.590000000317</v>
      </c>
      <c r="T977" s="48"/>
      <c r="U977" s="49">
        <f t="shared" si="727"/>
        <v>1483319.1500000001</v>
      </c>
      <c r="V977" s="38"/>
      <c r="W977" s="38">
        <v>-1483200</v>
      </c>
      <c r="X977" s="38">
        <v>-1.5</v>
      </c>
      <c r="Y977" s="51">
        <f t="shared" si="728"/>
        <v>117.6500000001397</v>
      </c>
      <c r="Z977" s="52"/>
      <c r="AA977" s="53">
        <f t="shared" si="729"/>
        <v>182.84999999939464</v>
      </c>
      <c r="AB977" s="38"/>
      <c r="AC977" s="38"/>
      <c r="AD977" s="38"/>
      <c r="AE977" s="54">
        <f t="shared" si="730"/>
        <v>182.84999999939464</v>
      </c>
      <c r="AF977" s="53"/>
      <c r="AG977" s="53">
        <f t="shared" si="704"/>
        <v>141.17000000006519</v>
      </c>
      <c r="AH977" s="38"/>
      <c r="AI977" s="38"/>
      <c r="AJ977" s="38"/>
      <c r="AK977" s="54">
        <f t="shared" si="705"/>
        <v>141.17000000006519</v>
      </c>
      <c r="AL977" s="53"/>
      <c r="AM977" s="53">
        <f t="shared" si="719"/>
        <v>0</v>
      </c>
      <c r="AN977" s="38"/>
      <c r="AO977" s="38"/>
      <c r="AP977" s="38"/>
      <c r="AQ977" s="54">
        <f t="shared" si="720"/>
        <v>0</v>
      </c>
      <c r="AR977" s="53"/>
      <c r="AS977" s="29">
        <f t="shared" si="706"/>
        <v>46466.980000001378</v>
      </c>
      <c r="AT977" s="29">
        <f t="shared" si="707"/>
        <v>826304.29</v>
      </c>
      <c r="AU977" s="29">
        <f t="shared" si="708"/>
        <v>0</v>
      </c>
      <c r="AV977" s="29">
        <f t="shared" si="709"/>
        <v>-340981.34</v>
      </c>
      <c r="AW977" s="29"/>
      <c r="AX977" s="29">
        <f t="shared" si="710"/>
        <v>531931.10000000161</v>
      </c>
      <c r="AY977" s="29">
        <f t="shared" si="711"/>
        <v>9300000</v>
      </c>
      <c r="AZ977" s="29">
        <f t="shared" si="712"/>
        <v>9831931.1000000015</v>
      </c>
    </row>
    <row r="978" spans="2:52" x14ac:dyDescent="0.3">
      <c r="B978" s="99">
        <f t="shared" si="713"/>
        <v>45532</v>
      </c>
      <c r="C978" s="44">
        <f t="shared" si="722"/>
        <v>290738.24000000156</v>
      </c>
      <c r="D978" s="38">
        <v>190201.42</v>
      </c>
      <c r="E978" s="38"/>
      <c r="F978" s="38"/>
      <c r="G978" s="45">
        <f t="shared" si="702"/>
        <v>480939.66000000155</v>
      </c>
      <c r="H978" s="44">
        <v>4300000</v>
      </c>
      <c r="I978" s="46">
        <f t="shared" si="723"/>
        <v>176888.60000000009</v>
      </c>
      <c r="J978" s="38"/>
      <c r="K978" s="38">
        <f>26540+1400000</f>
        <v>1426540</v>
      </c>
      <c r="L978" s="38">
        <v>-95881.09</v>
      </c>
      <c r="M978" s="47">
        <f t="shared" si="724"/>
        <v>1507547.51</v>
      </c>
      <c r="N978" s="46">
        <v>5000000</v>
      </c>
      <c r="O978" s="48">
        <f t="shared" si="725"/>
        <v>63862.590000000317</v>
      </c>
      <c r="P978" s="38">
        <v>1345966.19</v>
      </c>
      <c r="Q978" s="38">
        <v>-1400000</v>
      </c>
      <c r="R978" s="38">
        <v>-10</v>
      </c>
      <c r="S978" s="55">
        <f t="shared" si="726"/>
        <v>9818.7800000002608</v>
      </c>
      <c r="T978" s="48"/>
      <c r="U978" s="49">
        <f t="shared" si="727"/>
        <v>117.6500000001397</v>
      </c>
      <c r="V978" s="38">
        <v>26526.18</v>
      </c>
      <c r="W978" s="38">
        <v>-26540</v>
      </c>
      <c r="X978" s="38"/>
      <c r="Y978" s="51">
        <f t="shared" si="728"/>
        <v>103.83000000013999</v>
      </c>
      <c r="Z978" s="52"/>
      <c r="AA978" s="53">
        <f t="shared" si="729"/>
        <v>182.84999999939464</v>
      </c>
      <c r="AB978" s="38"/>
      <c r="AC978" s="38"/>
      <c r="AD978" s="38"/>
      <c r="AE978" s="54">
        <f t="shared" si="730"/>
        <v>182.84999999939464</v>
      </c>
      <c r="AF978" s="53"/>
      <c r="AG978" s="53">
        <f t="shared" si="704"/>
        <v>141.17000000006519</v>
      </c>
      <c r="AH978" s="38"/>
      <c r="AI978" s="38"/>
      <c r="AJ978" s="38"/>
      <c r="AK978" s="54">
        <f t="shared" si="705"/>
        <v>141.17000000006519</v>
      </c>
      <c r="AL978" s="53"/>
      <c r="AM978" s="53">
        <f t="shared" si="719"/>
        <v>0</v>
      </c>
      <c r="AN978" s="38"/>
      <c r="AO978" s="38"/>
      <c r="AP978" s="38"/>
      <c r="AQ978" s="54">
        <f t="shared" si="720"/>
        <v>0</v>
      </c>
      <c r="AR978" s="53"/>
      <c r="AS978" s="29">
        <f t="shared" si="706"/>
        <v>531789.93000000156</v>
      </c>
      <c r="AT978" s="29">
        <f t="shared" si="707"/>
        <v>1562693.7899999998</v>
      </c>
      <c r="AU978" s="29">
        <f t="shared" si="708"/>
        <v>0</v>
      </c>
      <c r="AV978" s="29">
        <f t="shared" si="709"/>
        <v>-95891.09</v>
      </c>
      <c r="AW978" s="29"/>
      <c r="AX978" s="29">
        <f t="shared" si="710"/>
        <v>1998733.8000000014</v>
      </c>
      <c r="AY978" s="29">
        <f t="shared" si="711"/>
        <v>9300000</v>
      </c>
      <c r="AZ978" s="29">
        <f t="shared" si="712"/>
        <v>11298733.800000001</v>
      </c>
    </row>
    <row r="979" spans="2:52" x14ac:dyDescent="0.3">
      <c r="B979" s="99">
        <f t="shared" si="713"/>
        <v>45533</v>
      </c>
      <c r="C979" s="44">
        <f t="shared" si="722"/>
        <v>480939.66000000155</v>
      </c>
      <c r="D979" s="38">
        <v>228658.82</v>
      </c>
      <c r="E979" s="38"/>
      <c r="F979" s="38"/>
      <c r="G979" s="45">
        <f t="shared" si="702"/>
        <v>709598.48000000161</v>
      </c>
      <c r="H979" s="44">
        <v>4300000</v>
      </c>
      <c r="I979" s="46">
        <f t="shared" si="723"/>
        <v>1507547.51</v>
      </c>
      <c r="J979" s="38"/>
      <c r="K979" s="38">
        <v>333000</v>
      </c>
      <c r="L979" s="38"/>
      <c r="M979" s="47">
        <f t="shared" si="724"/>
        <v>1840547.51</v>
      </c>
      <c r="N979" s="46">
        <v>5000000</v>
      </c>
      <c r="O979" s="48">
        <f t="shared" si="725"/>
        <v>9818.7800000002608</v>
      </c>
      <c r="P979" s="38"/>
      <c r="Q979" s="38"/>
      <c r="R979" s="38">
        <v>-10</v>
      </c>
      <c r="S979" s="55">
        <f t="shared" si="726"/>
        <v>9808.7800000002608</v>
      </c>
      <c r="T979" s="48"/>
      <c r="U979" s="49">
        <f t="shared" si="727"/>
        <v>103.83000000013999</v>
      </c>
      <c r="V979" s="38"/>
      <c r="W979" s="38"/>
      <c r="X979" s="38">
        <v>-10</v>
      </c>
      <c r="Y979" s="51">
        <f t="shared" si="728"/>
        <v>93.830000000139989</v>
      </c>
      <c r="Z979" s="52"/>
      <c r="AA979" s="53">
        <f t="shared" si="729"/>
        <v>182.84999999939464</v>
      </c>
      <c r="AB979" s="38"/>
      <c r="AC979" s="38"/>
      <c r="AD979" s="38"/>
      <c r="AE979" s="54">
        <f t="shared" si="730"/>
        <v>182.84999999939464</v>
      </c>
      <c r="AF979" s="53"/>
      <c r="AG979" s="53">
        <f t="shared" si="704"/>
        <v>141.17000000006519</v>
      </c>
      <c r="AH979" s="38">
        <f>62832.96+270914.08</f>
        <v>333747.04000000004</v>
      </c>
      <c r="AI979" s="38">
        <v>-333000</v>
      </c>
      <c r="AJ979" s="38">
        <v>-80</v>
      </c>
      <c r="AK979" s="54">
        <f t="shared" si="705"/>
        <v>808.21000000007916</v>
      </c>
      <c r="AL979" s="53"/>
      <c r="AM979" s="53">
        <f t="shared" si="719"/>
        <v>0</v>
      </c>
      <c r="AN979" s="38"/>
      <c r="AO979" s="38"/>
      <c r="AP979" s="38"/>
      <c r="AQ979" s="54">
        <f t="shared" si="720"/>
        <v>0</v>
      </c>
      <c r="AR979" s="53"/>
      <c r="AS979" s="29">
        <f t="shared" si="706"/>
        <v>1998592.6300000013</v>
      </c>
      <c r="AT979" s="29">
        <f t="shared" si="707"/>
        <v>562405.8600000001</v>
      </c>
      <c r="AU979" s="29">
        <f t="shared" si="708"/>
        <v>0</v>
      </c>
      <c r="AV979" s="29">
        <f t="shared" si="709"/>
        <v>-100</v>
      </c>
      <c r="AW979" s="29"/>
      <c r="AX979" s="29">
        <f t="shared" si="710"/>
        <v>2561039.6600000011</v>
      </c>
      <c r="AY979" s="29">
        <f t="shared" si="711"/>
        <v>9300000</v>
      </c>
      <c r="AZ979" s="29">
        <f t="shared" si="712"/>
        <v>11861039.66</v>
      </c>
    </row>
    <row r="980" spans="2:52" x14ac:dyDescent="0.3">
      <c r="B980" s="99">
        <f t="shared" si="713"/>
        <v>45534</v>
      </c>
      <c r="C980" s="44">
        <f t="shared" si="722"/>
        <v>709598.48000000161</v>
      </c>
      <c r="D980" s="38">
        <v>630723.78</v>
      </c>
      <c r="E980" s="38"/>
      <c r="F980" s="38">
        <f>-68521.23+5.89</f>
        <v>-68515.34</v>
      </c>
      <c r="G980" s="45">
        <f t="shared" si="702"/>
        <v>1271806.9200000016</v>
      </c>
      <c r="H980" s="44">
        <v>4300000</v>
      </c>
      <c r="I980" s="46">
        <f t="shared" si="723"/>
        <v>1840547.51</v>
      </c>
      <c r="J980" s="38">
        <v>710842.2</v>
      </c>
      <c r="K980" s="38">
        <v>160000</v>
      </c>
      <c r="L980" s="38"/>
      <c r="M980" s="47">
        <f t="shared" si="724"/>
        <v>2711389.71</v>
      </c>
      <c r="N980" s="46">
        <v>5000000</v>
      </c>
      <c r="O980" s="48">
        <f t="shared" si="725"/>
        <v>9808.7800000002608</v>
      </c>
      <c r="P980" s="38">
        <v>1095043.25</v>
      </c>
      <c r="Q980" s="38">
        <f>76800-160000</f>
        <v>-83200</v>
      </c>
      <c r="R980" s="38"/>
      <c r="S980" s="55">
        <f t="shared" si="726"/>
        <v>1021652.0300000003</v>
      </c>
      <c r="T980" s="48"/>
      <c r="U980" s="49">
        <f t="shared" si="727"/>
        <v>93.830000000139989</v>
      </c>
      <c r="V980" s="38">
        <v>76863.149999999994</v>
      </c>
      <c r="W980" s="38">
        <v>-76800</v>
      </c>
      <c r="X980" s="38">
        <v>-1.5</v>
      </c>
      <c r="Y980" s="51">
        <f t="shared" si="728"/>
        <v>155.48000000012689</v>
      </c>
      <c r="Z980" s="52"/>
      <c r="AA980" s="53">
        <f t="shared" si="729"/>
        <v>182.84999999939464</v>
      </c>
      <c r="AB980" s="38">
        <v>0.46</v>
      </c>
      <c r="AC980" s="38"/>
      <c r="AD980" s="38"/>
      <c r="AE980" s="54">
        <f t="shared" si="730"/>
        <v>183.30999999939465</v>
      </c>
      <c r="AF980" s="53"/>
      <c r="AG980" s="53">
        <f t="shared" si="704"/>
        <v>808.21000000007916</v>
      </c>
      <c r="AH980" s="38"/>
      <c r="AI980" s="38"/>
      <c r="AJ980" s="38">
        <v>-9.8699999999999992</v>
      </c>
      <c r="AK980" s="54">
        <f t="shared" si="705"/>
        <v>798.34000000007916</v>
      </c>
      <c r="AL980" s="53"/>
      <c r="AM980" s="53">
        <f t="shared" si="719"/>
        <v>0</v>
      </c>
      <c r="AN980" s="38"/>
      <c r="AO980" s="38"/>
      <c r="AP980" s="38"/>
      <c r="AQ980" s="54">
        <f t="shared" si="720"/>
        <v>0</v>
      </c>
      <c r="AR980" s="53"/>
      <c r="AS980" s="29">
        <f t="shared" si="706"/>
        <v>2560231.4500000011</v>
      </c>
      <c r="AT980" s="29">
        <f t="shared" si="707"/>
        <v>2513472.84</v>
      </c>
      <c r="AU980" s="29">
        <f t="shared" si="708"/>
        <v>0</v>
      </c>
      <c r="AV980" s="29">
        <f t="shared" si="709"/>
        <v>-68526.709999999992</v>
      </c>
      <c r="AW980" s="29"/>
      <c r="AX980" s="29">
        <f t="shared" si="710"/>
        <v>5005985.7900000019</v>
      </c>
      <c r="AY980" s="29">
        <f t="shared" si="711"/>
        <v>9300000</v>
      </c>
      <c r="AZ980" s="29">
        <f t="shared" si="712"/>
        <v>14305985.790000003</v>
      </c>
    </row>
    <row r="981" spans="2:52" x14ac:dyDescent="0.3">
      <c r="B981" s="99">
        <f t="shared" ref="B981" si="736">B980+3</f>
        <v>45537</v>
      </c>
      <c r="C981" s="44">
        <f t="shared" si="722"/>
        <v>1271806.9200000016</v>
      </c>
      <c r="D981" s="38">
        <f>45305.14</f>
        <v>45305.14</v>
      </c>
      <c r="E981" s="38"/>
      <c r="F981" s="38">
        <f>-133328.48-565.06-500</f>
        <v>-134393.54</v>
      </c>
      <c r="G981" s="45">
        <f t="shared" ref="G981:G1044" si="737">SUM(C981:F981)</f>
        <v>1182718.5200000014</v>
      </c>
      <c r="H981" s="44">
        <v>4300000</v>
      </c>
      <c r="I981" s="46">
        <f t="shared" si="723"/>
        <v>2711389.71</v>
      </c>
      <c r="J981" s="38"/>
      <c r="K981" s="38">
        <v>1240000</v>
      </c>
      <c r="L981" s="38">
        <v>-60769.9</v>
      </c>
      <c r="M981" s="47">
        <f t="shared" si="724"/>
        <v>3890619.81</v>
      </c>
      <c r="N981" s="46">
        <v>5000000</v>
      </c>
      <c r="O981" s="48">
        <f t="shared" si="725"/>
        <v>1021652.0300000003</v>
      </c>
      <c r="P981" s="38">
        <f>67104.76+118695.61+104011.41</f>
        <v>289811.78000000003</v>
      </c>
      <c r="Q981" s="38">
        <v>-1240000</v>
      </c>
      <c r="R981" s="38">
        <v>-63948.35</v>
      </c>
      <c r="S981" s="55">
        <f t="shared" si="726"/>
        <v>7515.4600000002902</v>
      </c>
      <c r="T981" s="48"/>
      <c r="U981" s="49">
        <f t="shared" si="727"/>
        <v>155.48000000012689</v>
      </c>
      <c r="V981" s="38"/>
      <c r="W981" s="38"/>
      <c r="X981" s="38"/>
      <c r="Y981" s="51">
        <f t="shared" si="728"/>
        <v>155.48000000012689</v>
      </c>
      <c r="Z981" s="52"/>
      <c r="AA981" s="53">
        <f t="shared" si="729"/>
        <v>183.30999999939465</v>
      </c>
      <c r="AB981" s="38"/>
      <c r="AC981" s="38"/>
      <c r="AD981" s="38"/>
      <c r="AE981" s="54">
        <f t="shared" si="730"/>
        <v>183.30999999939465</v>
      </c>
      <c r="AF981" s="53"/>
      <c r="AG981" s="53">
        <f t="shared" si="704"/>
        <v>798.34000000007916</v>
      </c>
      <c r="AH981" s="38"/>
      <c r="AI981" s="38"/>
      <c r="AJ981" s="38"/>
      <c r="AK981" s="54">
        <f t="shared" si="705"/>
        <v>798.34000000007916</v>
      </c>
      <c r="AL981" s="53"/>
      <c r="AM981" s="53">
        <f t="shared" si="719"/>
        <v>0</v>
      </c>
      <c r="AN981" s="38"/>
      <c r="AO981" s="38"/>
      <c r="AP981" s="38"/>
      <c r="AQ981" s="54">
        <f t="shared" si="720"/>
        <v>0</v>
      </c>
      <c r="AR981" s="53"/>
      <c r="AS981" s="29">
        <f t="shared" si="706"/>
        <v>5005187.450000002</v>
      </c>
      <c r="AT981" s="29">
        <f t="shared" si="707"/>
        <v>335116.92000000004</v>
      </c>
      <c r="AU981" s="29">
        <f t="shared" si="708"/>
        <v>0</v>
      </c>
      <c r="AV981" s="29">
        <f t="shared" si="709"/>
        <v>-259111.79</v>
      </c>
      <c r="AW981" s="29"/>
      <c r="AX981" s="29">
        <f t="shared" si="710"/>
        <v>5081990.9200000018</v>
      </c>
      <c r="AY981" s="29">
        <f t="shared" si="711"/>
        <v>9300000</v>
      </c>
      <c r="AZ981" s="29">
        <f t="shared" si="712"/>
        <v>14381990.920000002</v>
      </c>
    </row>
    <row r="982" spans="2:52" x14ac:dyDescent="0.3">
      <c r="B982" s="99">
        <f t="shared" si="713"/>
        <v>45538</v>
      </c>
      <c r="C982" s="44">
        <f t="shared" si="722"/>
        <v>1182718.5200000014</v>
      </c>
      <c r="D982" s="38"/>
      <c r="E982" s="38"/>
      <c r="F982" s="38">
        <v>-36562.85</v>
      </c>
      <c r="G982" s="45">
        <f t="shared" si="737"/>
        <v>1146155.6700000013</v>
      </c>
      <c r="H982" s="44">
        <v>4300000</v>
      </c>
      <c r="I982" s="46">
        <f t="shared" si="723"/>
        <v>3890619.81</v>
      </c>
      <c r="J982" s="38">
        <v>708.54</v>
      </c>
      <c r="K982" s="38">
        <v>470000</v>
      </c>
      <c r="L982" s="38">
        <v>-109095.79</v>
      </c>
      <c r="M982" s="47">
        <f t="shared" si="724"/>
        <v>4252232.5599999996</v>
      </c>
      <c r="N982" s="46">
        <v>5000000</v>
      </c>
      <c r="O982" s="48">
        <f t="shared" si="725"/>
        <v>7515.4600000002902</v>
      </c>
      <c r="P982" s="38">
        <v>467397.77</v>
      </c>
      <c r="Q982" s="38">
        <v>-470000</v>
      </c>
      <c r="R982" s="38">
        <v>-10</v>
      </c>
      <c r="S982" s="55">
        <f t="shared" si="726"/>
        <v>4903.2300000003306</v>
      </c>
      <c r="T982" s="48"/>
      <c r="U982" s="49">
        <f t="shared" si="727"/>
        <v>155.48000000012689</v>
      </c>
      <c r="V982" s="38"/>
      <c r="W982" s="38"/>
      <c r="X982" s="38">
        <v>-67</v>
      </c>
      <c r="Y982" s="51">
        <f t="shared" si="728"/>
        <v>88.480000000126893</v>
      </c>
      <c r="Z982" s="52"/>
      <c r="AA982" s="53">
        <f t="shared" si="729"/>
        <v>183.30999999939465</v>
      </c>
      <c r="AB982" s="38"/>
      <c r="AC982" s="38"/>
      <c r="AD982" s="38"/>
      <c r="AE982" s="54">
        <f t="shared" si="730"/>
        <v>183.30999999939465</v>
      </c>
      <c r="AF982" s="53"/>
      <c r="AG982" s="53">
        <f t="shared" si="704"/>
        <v>798.34000000007916</v>
      </c>
      <c r="AH982" s="38"/>
      <c r="AI982" s="38"/>
      <c r="AJ982" s="38"/>
      <c r="AK982" s="54">
        <f t="shared" si="705"/>
        <v>798.34000000007916</v>
      </c>
      <c r="AL982" s="53"/>
      <c r="AM982" s="53">
        <f t="shared" si="719"/>
        <v>0</v>
      </c>
      <c r="AN982" s="38"/>
      <c r="AO982" s="38"/>
      <c r="AP982" s="38"/>
      <c r="AQ982" s="54">
        <f t="shared" si="720"/>
        <v>0</v>
      </c>
      <c r="AR982" s="53"/>
      <c r="AS982" s="29">
        <f t="shared" si="706"/>
        <v>5081192.5800000019</v>
      </c>
      <c r="AT982" s="29">
        <f t="shared" si="707"/>
        <v>468106.31</v>
      </c>
      <c r="AU982" s="29">
        <f t="shared" si="708"/>
        <v>0</v>
      </c>
      <c r="AV982" s="29">
        <f t="shared" si="709"/>
        <v>-145735.63999999998</v>
      </c>
      <c r="AW982" s="29"/>
      <c r="AX982" s="29">
        <f t="shared" si="710"/>
        <v>5404361.5900000008</v>
      </c>
      <c r="AY982" s="29">
        <f t="shared" si="711"/>
        <v>9300000</v>
      </c>
      <c r="AZ982" s="29">
        <f t="shared" si="712"/>
        <v>14704361.59</v>
      </c>
    </row>
    <row r="983" spans="2:52" x14ac:dyDescent="0.3">
      <c r="B983" s="99">
        <f t="shared" si="713"/>
        <v>45539</v>
      </c>
      <c r="C983" s="44">
        <f t="shared" si="722"/>
        <v>1146155.6700000013</v>
      </c>
      <c r="D983" s="38"/>
      <c r="E983" s="38"/>
      <c r="F983" s="38">
        <v>-21561.32</v>
      </c>
      <c r="G983" s="45">
        <f t="shared" si="737"/>
        <v>1124594.3500000013</v>
      </c>
      <c r="H983" s="44">
        <v>4300000</v>
      </c>
      <c r="I983" s="46">
        <f t="shared" si="723"/>
        <v>4252232.5599999996</v>
      </c>
      <c r="J983" s="38"/>
      <c r="K983" s="38">
        <v>445000</v>
      </c>
      <c r="L983" s="38">
        <v>-3215954.34</v>
      </c>
      <c r="M983" s="47">
        <f t="shared" si="724"/>
        <v>1481278.2199999997</v>
      </c>
      <c r="N983" s="46">
        <v>5000000</v>
      </c>
      <c r="O983" s="48">
        <f t="shared" si="725"/>
        <v>4903.2300000003306</v>
      </c>
      <c r="P983" s="38">
        <f>14365.1+264086.96+173340.12</f>
        <v>451792.18</v>
      </c>
      <c r="Q983" s="38">
        <v>-445000</v>
      </c>
      <c r="R983" s="38">
        <v>-6669.96</v>
      </c>
      <c r="S983" s="55">
        <f t="shared" si="726"/>
        <v>5025.4500000003236</v>
      </c>
      <c r="T983" s="48"/>
      <c r="U983" s="49">
        <f t="shared" si="727"/>
        <v>88.480000000126893</v>
      </c>
      <c r="V983" s="38"/>
      <c r="W983" s="38"/>
      <c r="X983" s="38"/>
      <c r="Y983" s="51">
        <f t="shared" si="728"/>
        <v>88.480000000126893</v>
      </c>
      <c r="Z983" s="52"/>
      <c r="AA983" s="53">
        <f t="shared" si="729"/>
        <v>183.30999999939465</v>
      </c>
      <c r="AB983" s="38"/>
      <c r="AC983" s="38"/>
      <c r="AD983" s="38"/>
      <c r="AE983" s="54">
        <f t="shared" si="730"/>
        <v>183.30999999939465</v>
      </c>
      <c r="AF983" s="53"/>
      <c r="AG983" s="53">
        <f t="shared" si="704"/>
        <v>798.34000000007916</v>
      </c>
      <c r="AH983" s="38"/>
      <c r="AI983" s="38"/>
      <c r="AJ983" s="38">
        <v>-625.79999999999995</v>
      </c>
      <c r="AK983" s="54">
        <f t="shared" si="705"/>
        <v>172.5400000000792</v>
      </c>
      <c r="AL983" s="53"/>
      <c r="AM983" s="53">
        <f t="shared" si="719"/>
        <v>0</v>
      </c>
      <c r="AN983" s="38"/>
      <c r="AO983" s="38"/>
      <c r="AP983" s="38"/>
      <c r="AQ983" s="54">
        <f t="shared" si="720"/>
        <v>0</v>
      </c>
      <c r="AR983" s="53"/>
      <c r="AS983" s="29">
        <f t="shared" si="706"/>
        <v>5403563.2500000009</v>
      </c>
      <c r="AT983" s="29">
        <f t="shared" si="707"/>
        <v>451792.18</v>
      </c>
      <c r="AU983" s="29">
        <f t="shared" si="708"/>
        <v>0</v>
      </c>
      <c r="AV983" s="29">
        <f t="shared" si="709"/>
        <v>-3244811.4199999995</v>
      </c>
      <c r="AW983" s="29"/>
      <c r="AX983" s="29">
        <f t="shared" si="710"/>
        <v>2611342.350000001</v>
      </c>
      <c r="AY983" s="29">
        <f t="shared" si="711"/>
        <v>9300000</v>
      </c>
      <c r="AZ983" s="29">
        <f t="shared" si="712"/>
        <v>11911342.350000001</v>
      </c>
    </row>
    <row r="984" spans="2:52" x14ac:dyDescent="0.3">
      <c r="B984" s="99">
        <f t="shared" si="713"/>
        <v>45540</v>
      </c>
      <c r="C984" s="44">
        <f t="shared" si="722"/>
        <v>1124594.3500000013</v>
      </c>
      <c r="D984" s="38">
        <v>38660.47</v>
      </c>
      <c r="E984" s="38"/>
      <c r="F984" s="38">
        <v>-785032.85</v>
      </c>
      <c r="G984" s="45">
        <f t="shared" si="737"/>
        <v>378221.97000000125</v>
      </c>
      <c r="H984" s="44">
        <v>4300000</v>
      </c>
      <c r="I984" s="46">
        <f t="shared" si="723"/>
        <v>1481278.2199999997</v>
      </c>
      <c r="J984" s="38"/>
      <c r="K984" s="38">
        <v>180000</v>
      </c>
      <c r="L984" s="38">
        <v>-680392.46</v>
      </c>
      <c r="M984" s="47">
        <f t="shared" si="724"/>
        <v>980885.75999999978</v>
      </c>
      <c r="N984" s="46">
        <v>5000000</v>
      </c>
      <c r="O984" s="48">
        <f t="shared" si="725"/>
        <v>5025.4500000003236</v>
      </c>
      <c r="P984" s="38">
        <f>156.76+207279.96</f>
        <v>207436.72</v>
      </c>
      <c r="Q984" s="38">
        <v>-180000</v>
      </c>
      <c r="R984" s="38">
        <v>-23668.41</v>
      </c>
      <c r="S984" s="55">
        <f t="shared" si="726"/>
        <v>8793.7600000003331</v>
      </c>
      <c r="T984" s="48"/>
      <c r="U984" s="49">
        <f t="shared" si="727"/>
        <v>88.480000000126893</v>
      </c>
      <c r="V984" s="38"/>
      <c r="W984" s="38"/>
      <c r="X984" s="38"/>
      <c r="Y984" s="51">
        <f t="shared" si="728"/>
        <v>88.480000000126893</v>
      </c>
      <c r="Z984" s="52"/>
      <c r="AA984" s="53">
        <f t="shared" si="729"/>
        <v>183.30999999939465</v>
      </c>
      <c r="AB984" s="38"/>
      <c r="AC984" s="38"/>
      <c r="AD984" s="38"/>
      <c r="AE984" s="54">
        <f t="shared" si="730"/>
        <v>183.30999999939465</v>
      </c>
      <c r="AF984" s="53"/>
      <c r="AG984" s="53">
        <f t="shared" si="704"/>
        <v>172.5400000000792</v>
      </c>
      <c r="AH984" s="38"/>
      <c r="AI984" s="38"/>
      <c r="AJ984" s="38"/>
      <c r="AK984" s="54">
        <f t="shared" si="705"/>
        <v>172.5400000000792</v>
      </c>
      <c r="AL984" s="53"/>
      <c r="AM984" s="53">
        <f t="shared" si="719"/>
        <v>0</v>
      </c>
      <c r="AN984" s="38"/>
      <c r="AO984" s="38"/>
      <c r="AP984" s="38"/>
      <c r="AQ984" s="54">
        <f t="shared" si="720"/>
        <v>0</v>
      </c>
      <c r="AR984" s="53"/>
      <c r="AS984" s="29">
        <f t="shared" si="706"/>
        <v>2611169.810000001</v>
      </c>
      <c r="AT984" s="29">
        <f t="shared" si="707"/>
        <v>246097.19</v>
      </c>
      <c r="AU984" s="29">
        <f t="shared" si="708"/>
        <v>0</v>
      </c>
      <c r="AV984" s="29">
        <f t="shared" si="709"/>
        <v>-1489093.72</v>
      </c>
      <c r="AW984" s="29"/>
      <c r="AX984" s="29">
        <f t="shared" si="710"/>
        <v>1368345.8200000008</v>
      </c>
      <c r="AY984" s="29">
        <f t="shared" si="711"/>
        <v>9300000</v>
      </c>
      <c r="AZ984" s="29">
        <f t="shared" si="712"/>
        <v>10668345.82</v>
      </c>
    </row>
    <row r="985" spans="2:52" x14ac:dyDescent="0.3">
      <c r="B985" s="99">
        <f t="shared" si="713"/>
        <v>45541</v>
      </c>
      <c r="C985" s="44">
        <f t="shared" si="722"/>
        <v>378221.97000000125</v>
      </c>
      <c r="D985" s="38">
        <v>1126.2</v>
      </c>
      <c r="E985" s="38"/>
      <c r="F985" s="38">
        <v>-4500</v>
      </c>
      <c r="G985" s="45">
        <f t="shared" si="737"/>
        <v>374848.17000000126</v>
      </c>
      <c r="H985" s="44">
        <v>4300000</v>
      </c>
      <c r="I985" s="46">
        <f t="shared" si="723"/>
        <v>980885.75999999978</v>
      </c>
      <c r="J985" s="38">
        <v>100</v>
      </c>
      <c r="K985" s="38">
        <v>236000</v>
      </c>
      <c r="L985" s="38">
        <v>-54674.21</v>
      </c>
      <c r="M985" s="47">
        <f t="shared" si="724"/>
        <v>1162311.5499999998</v>
      </c>
      <c r="N985" s="46">
        <v>5000000</v>
      </c>
      <c r="O985" s="48">
        <f t="shared" si="725"/>
        <v>8793.7600000003331</v>
      </c>
      <c r="P985" s="38"/>
      <c r="Q985" s="38"/>
      <c r="R985" s="38">
        <v>-2610</v>
      </c>
      <c r="S985" s="55">
        <f t="shared" si="726"/>
        <v>6183.7600000003331</v>
      </c>
      <c r="T985" s="48"/>
      <c r="U985" s="49">
        <f t="shared" si="727"/>
        <v>88.480000000126893</v>
      </c>
      <c r="V985" s="38"/>
      <c r="W985" s="38"/>
      <c r="X985" s="38"/>
      <c r="Y985" s="51">
        <f t="shared" si="728"/>
        <v>88.480000000126893</v>
      </c>
      <c r="Z985" s="52"/>
      <c r="AA985" s="53">
        <f t="shared" si="729"/>
        <v>183.30999999939465</v>
      </c>
      <c r="AB985" s="38"/>
      <c r="AC985" s="38"/>
      <c r="AD985" s="38"/>
      <c r="AE985" s="54">
        <f t="shared" si="730"/>
        <v>183.30999999939465</v>
      </c>
      <c r="AF985" s="53"/>
      <c r="AG985" s="53">
        <f t="shared" ref="AG985:AG1048" si="738">AK984</f>
        <v>172.5400000000792</v>
      </c>
      <c r="AH985" s="38">
        <v>236431.77</v>
      </c>
      <c r="AI985" s="38">
        <v>-236000</v>
      </c>
      <c r="AJ985" s="38"/>
      <c r="AK985" s="54">
        <f t="shared" ref="AK985:AK1048" si="739">SUM(AG985:AJ985)</f>
        <v>604.31000000005588</v>
      </c>
      <c r="AL985" s="53"/>
      <c r="AM985" s="53">
        <f t="shared" si="719"/>
        <v>0</v>
      </c>
      <c r="AN985" s="38"/>
      <c r="AO985" s="38"/>
      <c r="AP985" s="38"/>
      <c r="AQ985" s="54">
        <f t="shared" si="720"/>
        <v>0</v>
      </c>
      <c r="AR985" s="53"/>
      <c r="AS985" s="29">
        <f t="shared" ref="AS985:AS1048" si="740">SUM(C985,I985,O985,U985,AA985,)</f>
        <v>1368173.2800000007</v>
      </c>
      <c r="AT985" s="29">
        <f t="shared" ref="AT985:AT1048" si="741">SUM(D985,J985,P985,V985,AB985,AH985)</f>
        <v>237657.97</v>
      </c>
      <c r="AU985" s="29">
        <f t="shared" ref="AU985:AU1048" si="742">SUM(E985,K985,Q985,W985,AC985,AI985)</f>
        <v>0</v>
      </c>
      <c r="AV985" s="29">
        <f t="shared" ref="AV985:AV1048" si="743">SUM(F985,L985,R985,X985,AD985,AJ985)</f>
        <v>-61784.21</v>
      </c>
      <c r="AW985" s="29"/>
      <c r="AX985" s="29">
        <f t="shared" ref="AX985:AX1048" si="744">SUM(G985,M985,S985,Y985,AE985,AK985)</f>
        <v>1544219.580000001</v>
      </c>
      <c r="AY985" s="29">
        <f t="shared" ref="AY985:AY1048" si="745">SUM(H985,N985,T985,Z985,AF985,AL985)</f>
        <v>9300000</v>
      </c>
      <c r="AZ985" s="29">
        <f t="shared" ref="AZ985:AZ1048" si="746">AX985+AY985</f>
        <v>10844219.580000002</v>
      </c>
    </row>
    <row r="986" spans="2:52" x14ac:dyDescent="0.3">
      <c r="B986" s="99">
        <f t="shared" ref="B986" si="747">B985+3</f>
        <v>45544</v>
      </c>
      <c r="C986" s="44">
        <f t="shared" si="722"/>
        <v>374848.17000000126</v>
      </c>
      <c r="D986" s="38">
        <f>344700.75+59400.7</f>
        <v>404101.45</v>
      </c>
      <c r="E986" s="38"/>
      <c r="F986" s="38">
        <f>-775-159.94-46.1</f>
        <v>-981.04000000000008</v>
      </c>
      <c r="G986" s="45">
        <f t="shared" si="737"/>
        <v>777968.58000000124</v>
      </c>
      <c r="H986" s="44">
        <v>4300000</v>
      </c>
      <c r="I986" s="46">
        <f t="shared" si="723"/>
        <v>1162311.5499999998</v>
      </c>
      <c r="J986" s="38">
        <v>3845.83</v>
      </c>
      <c r="K986" s="38"/>
      <c r="L986" s="38">
        <v>-232412.98</v>
      </c>
      <c r="M986" s="47">
        <f t="shared" si="724"/>
        <v>933744.39999999991</v>
      </c>
      <c r="N986" s="46">
        <v>5000000</v>
      </c>
      <c r="O986" s="48">
        <f t="shared" si="725"/>
        <v>6183.7600000003331</v>
      </c>
      <c r="P986" s="38"/>
      <c r="Q986" s="38"/>
      <c r="R986" s="38"/>
      <c r="S986" s="55">
        <f t="shared" si="726"/>
        <v>6183.7600000003331</v>
      </c>
      <c r="T986" s="48"/>
      <c r="U986" s="49">
        <f t="shared" si="727"/>
        <v>88.480000000126893</v>
      </c>
      <c r="V986" s="38"/>
      <c r="W986" s="38"/>
      <c r="X986" s="38"/>
      <c r="Y986" s="51">
        <f t="shared" si="728"/>
        <v>88.480000000126893</v>
      </c>
      <c r="Z986" s="52"/>
      <c r="AA986" s="53">
        <f t="shared" si="729"/>
        <v>183.30999999939465</v>
      </c>
      <c r="AB986" s="38"/>
      <c r="AC986" s="38"/>
      <c r="AD986" s="38"/>
      <c r="AE986" s="54">
        <f t="shared" si="730"/>
        <v>183.30999999939465</v>
      </c>
      <c r="AF986" s="53"/>
      <c r="AG986" s="53">
        <f t="shared" si="738"/>
        <v>604.31000000005588</v>
      </c>
      <c r="AH986" s="38"/>
      <c r="AI986" s="38"/>
      <c r="AJ986" s="38">
        <v>-9.9</v>
      </c>
      <c r="AK986" s="54">
        <f t="shared" si="739"/>
        <v>594.4100000000559</v>
      </c>
      <c r="AL986" s="53"/>
      <c r="AM986" s="53">
        <f t="shared" si="719"/>
        <v>0</v>
      </c>
      <c r="AN986" s="38"/>
      <c r="AO986" s="38"/>
      <c r="AP986" s="38"/>
      <c r="AQ986" s="54">
        <f t="shared" si="720"/>
        <v>0</v>
      </c>
      <c r="AR986" s="53"/>
      <c r="AS986" s="29">
        <f t="shared" si="740"/>
        <v>1543615.2700000009</v>
      </c>
      <c r="AT986" s="29">
        <f t="shared" si="741"/>
        <v>407947.28</v>
      </c>
      <c r="AU986" s="29">
        <f t="shared" si="742"/>
        <v>0</v>
      </c>
      <c r="AV986" s="29">
        <f t="shared" si="743"/>
        <v>-233403.92</v>
      </c>
      <c r="AW986" s="29"/>
      <c r="AX986" s="29">
        <f t="shared" si="744"/>
        <v>1718762.9400000011</v>
      </c>
      <c r="AY986" s="29">
        <f t="shared" si="745"/>
        <v>9300000</v>
      </c>
      <c r="AZ986" s="29">
        <f t="shared" si="746"/>
        <v>11018762.940000001</v>
      </c>
    </row>
    <row r="987" spans="2:52" x14ac:dyDescent="0.3">
      <c r="B987" s="99">
        <f t="shared" si="713"/>
        <v>45545</v>
      </c>
      <c r="C987" s="44">
        <f t="shared" si="722"/>
        <v>777968.58000000124</v>
      </c>
      <c r="D987" s="38">
        <v>504348.88</v>
      </c>
      <c r="E987" s="38"/>
      <c r="F987" s="38">
        <v>-41.14</v>
      </c>
      <c r="G987" s="45">
        <f t="shared" si="737"/>
        <v>1282276.3200000015</v>
      </c>
      <c r="H987" s="44">
        <v>4300000</v>
      </c>
      <c r="I987" s="46">
        <f t="shared" si="723"/>
        <v>933744.39999999991</v>
      </c>
      <c r="J987" s="38"/>
      <c r="K987" s="38">
        <v>265000</v>
      </c>
      <c r="L987" s="38">
        <v>-195367.67999999999</v>
      </c>
      <c r="M987" s="47">
        <f t="shared" si="724"/>
        <v>1003376.72</v>
      </c>
      <c r="N987" s="46">
        <v>5000000</v>
      </c>
      <c r="O987" s="48">
        <f t="shared" si="725"/>
        <v>6183.7600000003331</v>
      </c>
      <c r="P987" s="38">
        <v>285809.68</v>
      </c>
      <c r="Q987" s="38">
        <v>-265000</v>
      </c>
      <c r="R987" s="38">
        <v>-21610.34</v>
      </c>
      <c r="S987" s="55">
        <f t="shared" si="726"/>
        <v>5383.1000000003514</v>
      </c>
      <c r="T987" s="48"/>
      <c r="U987" s="49">
        <f t="shared" si="727"/>
        <v>88.480000000126893</v>
      </c>
      <c r="V987" s="38"/>
      <c r="W987" s="38"/>
      <c r="X987" s="38"/>
      <c r="Y987" s="51">
        <f t="shared" si="728"/>
        <v>88.480000000126893</v>
      </c>
      <c r="Z987" s="52"/>
      <c r="AA987" s="53">
        <f t="shared" si="729"/>
        <v>183.30999999939465</v>
      </c>
      <c r="AB987" s="38"/>
      <c r="AC987" s="38"/>
      <c r="AD987" s="38"/>
      <c r="AE987" s="54">
        <f t="shared" si="730"/>
        <v>183.30999999939465</v>
      </c>
      <c r="AF987" s="53"/>
      <c r="AG987" s="53">
        <f t="shared" si="738"/>
        <v>594.4100000000559</v>
      </c>
      <c r="AH987" s="38"/>
      <c r="AI987" s="38"/>
      <c r="AJ987" s="38"/>
      <c r="AK987" s="54">
        <f t="shared" si="739"/>
        <v>594.4100000000559</v>
      </c>
      <c r="AL987" s="53"/>
      <c r="AM987" s="53">
        <f t="shared" si="719"/>
        <v>0</v>
      </c>
      <c r="AN987" s="38"/>
      <c r="AO987" s="38"/>
      <c r="AP987" s="38"/>
      <c r="AQ987" s="54">
        <f t="shared" si="720"/>
        <v>0</v>
      </c>
      <c r="AR987" s="53"/>
      <c r="AS987" s="29">
        <f t="shared" si="740"/>
        <v>1718168.530000001</v>
      </c>
      <c r="AT987" s="29">
        <f t="shared" si="741"/>
        <v>790158.56</v>
      </c>
      <c r="AU987" s="29">
        <f t="shared" si="742"/>
        <v>0</v>
      </c>
      <c r="AV987" s="29">
        <f t="shared" si="743"/>
        <v>-217019.16</v>
      </c>
      <c r="AW987" s="29"/>
      <c r="AX987" s="29">
        <f t="shared" si="744"/>
        <v>2291902.3400000017</v>
      </c>
      <c r="AY987" s="29">
        <f t="shared" si="745"/>
        <v>9300000</v>
      </c>
      <c r="AZ987" s="29">
        <f t="shared" si="746"/>
        <v>11591902.340000002</v>
      </c>
    </row>
    <row r="988" spans="2:52" x14ac:dyDescent="0.3">
      <c r="B988" s="99">
        <f t="shared" si="713"/>
        <v>45546</v>
      </c>
      <c r="C988" s="44">
        <f t="shared" si="722"/>
        <v>1282276.3200000015</v>
      </c>
      <c r="D988" s="38"/>
      <c r="E988" s="38"/>
      <c r="F988" s="38">
        <v>-2189.69</v>
      </c>
      <c r="G988" s="45">
        <f t="shared" si="737"/>
        <v>1280086.6300000015</v>
      </c>
      <c r="H988" s="44">
        <v>4300000</v>
      </c>
      <c r="I988" s="46">
        <f t="shared" si="723"/>
        <v>1003376.72</v>
      </c>
      <c r="J988" s="38">
        <v>1390.3</v>
      </c>
      <c r="K988" s="38"/>
      <c r="L988" s="38">
        <v>-134003.17000000001</v>
      </c>
      <c r="M988" s="47">
        <f t="shared" si="724"/>
        <v>870763.85</v>
      </c>
      <c r="N988" s="46">
        <v>5000000</v>
      </c>
      <c r="O988" s="48">
        <f t="shared" si="725"/>
        <v>5383.1000000003514</v>
      </c>
      <c r="P988" s="38"/>
      <c r="Q988" s="38"/>
      <c r="R988" s="38">
        <v>-10</v>
      </c>
      <c r="S988" s="55">
        <f t="shared" si="726"/>
        <v>5373.1000000003514</v>
      </c>
      <c r="T988" s="48"/>
      <c r="U988" s="49">
        <f t="shared" si="727"/>
        <v>88.480000000126893</v>
      </c>
      <c r="V988" s="38"/>
      <c r="W988" s="38"/>
      <c r="X988" s="38"/>
      <c r="Y988" s="51">
        <f t="shared" si="728"/>
        <v>88.480000000126893</v>
      </c>
      <c r="Z988" s="52"/>
      <c r="AA988" s="53">
        <f t="shared" si="729"/>
        <v>183.30999999939465</v>
      </c>
      <c r="AB988" s="38"/>
      <c r="AC988" s="38"/>
      <c r="AD988" s="38"/>
      <c r="AE988" s="54">
        <f t="shared" si="730"/>
        <v>183.30999999939465</v>
      </c>
      <c r="AF988" s="53"/>
      <c r="AG988" s="53">
        <f t="shared" si="738"/>
        <v>594.4100000000559</v>
      </c>
      <c r="AH988" s="38"/>
      <c r="AI988" s="38"/>
      <c r="AJ988" s="38"/>
      <c r="AK988" s="54">
        <f t="shared" si="739"/>
        <v>594.4100000000559</v>
      </c>
      <c r="AL988" s="53"/>
      <c r="AM988" s="53">
        <f t="shared" si="719"/>
        <v>0</v>
      </c>
      <c r="AN988" s="38"/>
      <c r="AO988" s="38"/>
      <c r="AP988" s="38"/>
      <c r="AQ988" s="54">
        <f t="shared" si="720"/>
        <v>0</v>
      </c>
      <c r="AR988" s="53"/>
      <c r="AS988" s="29">
        <f t="shared" si="740"/>
        <v>2291307.9300000016</v>
      </c>
      <c r="AT988" s="29">
        <f t="shared" si="741"/>
        <v>1390.3</v>
      </c>
      <c r="AU988" s="29">
        <f t="shared" si="742"/>
        <v>0</v>
      </c>
      <c r="AV988" s="29">
        <f t="shared" si="743"/>
        <v>-136202.86000000002</v>
      </c>
      <c r="AW988" s="29"/>
      <c r="AX988" s="29">
        <f t="shared" si="744"/>
        <v>2157089.7800000017</v>
      </c>
      <c r="AY988" s="29">
        <f t="shared" si="745"/>
        <v>9300000</v>
      </c>
      <c r="AZ988" s="29">
        <f t="shared" si="746"/>
        <v>11457089.780000001</v>
      </c>
    </row>
    <row r="989" spans="2:52" x14ac:dyDescent="0.3">
      <c r="B989" s="99">
        <f t="shared" ref="B989:B1053" si="748">B988+1</f>
        <v>45547</v>
      </c>
      <c r="C989" s="44">
        <f t="shared" si="722"/>
        <v>1280086.6300000015</v>
      </c>
      <c r="D989" s="38">
        <f>417759.3+124793.58+8017.45</f>
        <v>550570.32999999996</v>
      </c>
      <c r="E989" s="38"/>
      <c r="F989" s="38">
        <v>-7857.65</v>
      </c>
      <c r="G989" s="45">
        <f t="shared" si="737"/>
        <v>1822799.3100000015</v>
      </c>
      <c r="H989" s="44">
        <v>4300000</v>
      </c>
      <c r="I989" s="46">
        <f t="shared" si="723"/>
        <v>870763.85</v>
      </c>
      <c r="J989" s="38"/>
      <c r="K989" s="38"/>
      <c r="L989" s="38">
        <v>-71098.34</v>
      </c>
      <c r="M989" s="47">
        <f t="shared" si="724"/>
        <v>799665.51</v>
      </c>
      <c r="N989" s="46">
        <v>5000000</v>
      </c>
      <c r="O989" s="48">
        <f t="shared" si="725"/>
        <v>5373.1000000003514</v>
      </c>
      <c r="P989" s="38"/>
      <c r="Q989" s="38"/>
      <c r="R989" s="38"/>
      <c r="S989" s="55">
        <f t="shared" si="726"/>
        <v>5373.1000000003514</v>
      </c>
      <c r="T989" s="48"/>
      <c r="U989" s="49">
        <f t="shared" si="727"/>
        <v>88.480000000126893</v>
      </c>
      <c r="V989" s="38"/>
      <c r="W989" s="38"/>
      <c r="X989" s="38"/>
      <c r="Y989" s="51">
        <f t="shared" si="728"/>
        <v>88.480000000126893</v>
      </c>
      <c r="Z989" s="52"/>
      <c r="AA989" s="53">
        <f t="shared" si="729"/>
        <v>183.30999999939465</v>
      </c>
      <c r="AB989" s="38"/>
      <c r="AC989" s="38"/>
      <c r="AD989" s="38"/>
      <c r="AE989" s="54">
        <f t="shared" si="730"/>
        <v>183.30999999939465</v>
      </c>
      <c r="AF989" s="53"/>
      <c r="AG989" s="53">
        <f t="shared" si="738"/>
        <v>594.4100000000559</v>
      </c>
      <c r="AH989" s="38"/>
      <c r="AI989" s="38"/>
      <c r="AJ989" s="38"/>
      <c r="AK989" s="54">
        <f t="shared" si="739"/>
        <v>594.4100000000559</v>
      </c>
      <c r="AL989" s="53"/>
      <c r="AM989" s="53">
        <f t="shared" si="719"/>
        <v>0</v>
      </c>
      <c r="AN989" s="38"/>
      <c r="AO989" s="38"/>
      <c r="AP989" s="38"/>
      <c r="AQ989" s="54">
        <f t="shared" si="720"/>
        <v>0</v>
      </c>
      <c r="AR989" s="53"/>
      <c r="AS989" s="29">
        <f t="shared" si="740"/>
        <v>2156495.3700000015</v>
      </c>
      <c r="AT989" s="29">
        <f t="shared" si="741"/>
        <v>550570.32999999996</v>
      </c>
      <c r="AU989" s="29">
        <f t="shared" si="742"/>
        <v>0</v>
      </c>
      <c r="AV989" s="29">
        <f t="shared" si="743"/>
        <v>-78955.989999999991</v>
      </c>
      <c r="AW989" s="29"/>
      <c r="AX989" s="29">
        <f t="shared" si="744"/>
        <v>2628704.1200000015</v>
      </c>
      <c r="AY989" s="29">
        <f t="shared" si="745"/>
        <v>9300000</v>
      </c>
      <c r="AZ989" s="29">
        <f t="shared" si="746"/>
        <v>11928704.120000001</v>
      </c>
    </row>
    <row r="990" spans="2:52" x14ac:dyDescent="0.3">
      <c r="B990" s="99">
        <f t="shared" si="748"/>
        <v>45548</v>
      </c>
      <c r="C990" s="44">
        <f t="shared" si="722"/>
        <v>1822799.3100000015</v>
      </c>
      <c r="D990" s="38"/>
      <c r="E990" s="38"/>
      <c r="F990" s="38">
        <v>-26469.14</v>
      </c>
      <c r="G990" s="45">
        <f t="shared" si="737"/>
        <v>1796330.1700000016</v>
      </c>
      <c r="H990" s="44">
        <v>4300000</v>
      </c>
      <c r="I990" s="46">
        <f t="shared" si="723"/>
        <v>799665.51</v>
      </c>
      <c r="J990" s="38"/>
      <c r="K990" s="38"/>
      <c r="L990" s="38">
        <v>-29378.95</v>
      </c>
      <c r="M990" s="47">
        <f t="shared" si="724"/>
        <v>770286.56</v>
      </c>
      <c r="N990" s="46">
        <v>5000000</v>
      </c>
      <c r="O990" s="48">
        <f t="shared" si="725"/>
        <v>5373.1000000003514</v>
      </c>
      <c r="P990" s="38"/>
      <c r="Q990" s="38"/>
      <c r="R990" s="38"/>
      <c r="S990" s="55">
        <f t="shared" si="726"/>
        <v>5373.1000000003514</v>
      </c>
      <c r="T990" s="48"/>
      <c r="U990" s="49">
        <f t="shared" si="727"/>
        <v>88.480000000126893</v>
      </c>
      <c r="V990" s="38"/>
      <c r="W990" s="38"/>
      <c r="X990" s="38"/>
      <c r="Y990" s="51">
        <f t="shared" si="728"/>
        <v>88.480000000126893</v>
      </c>
      <c r="Z990" s="52"/>
      <c r="AA990" s="53">
        <f t="shared" si="729"/>
        <v>183.30999999939465</v>
      </c>
      <c r="AB990" s="38"/>
      <c r="AC990" s="38"/>
      <c r="AD990" s="38"/>
      <c r="AE990" s="54">
        <f t="shared" si="730"/>
        <v>183.30999999939465</v>
      </c>
      <c r="AF990" s="53"/>
      <c r="AG990" s="53">
        <f t="shared" si="738"/>
        <v>594.4100000000559</v>
      </c>
      <c r="AH990" s="38"/>
      <c r="AI990" s="38"/>
      <c r="AJ990" s="38"/>
      <c r="AK990" s="54">
        <f t="shared" si="739"/>
        <v>594.4100000000559</v>
      </c>
      <c r="AL990" s="53"/>
      <c r="AM990" s="53">
        <f t="shared" si="719"/>
        <v>0</v>
      </c>
      <c r="AN990" s="38"/>
      <c r="AO990" s="38"/>
      <c r="AP990" s="38"/>
      <c r="AQ990" s="54">
        <f t="shared" si="720"/>
        <v>0</v>
      </c>
      <c r="AR990" s="53"/>
      <c r="AS990" s="29">
        <f t="shared" si="740"/>
        <v>2628109.7100000014</v>
      </c>
      <c r="AT990" s="29">
        <f t="shared" si="741"/>
        <v>0</v>
      </c>
      <c r="AU990" s="29">
        <f t="shared" si="742"/>
        <v>0</v>
      </c>
      <c r="AV990" s="29">
        <f t="shared" si="743"/>
        <v>-55848.09</v>
      </c>
      <c r="AW990" s="29"/>
      <c r="AX990" s="29">
        <f t="shared" si="744"/>
        <v>2572856.0300000017</v>
      </c>
      <c r="AY990" s="29">
        <f t="shared" si="745"/>
        <v>9300000</v>
      </c>
      <c r="AZ990" s="29">
        <f t="shared" si="746"/>
        <v>11872856.030000001</v>
      </c>
    </row>
    <row r="991" spans="2:52" x14ac:dyDescent="0.3">
      <c r="B991" s="99">
        <f t="shared" ref="B991" si="749">B990+3</f>
        <v>45551</v>
      </c>
      <c r="C991" s="44">
        <f t="shared" si="722"/>
        <v>1796330.1700000016</v>
      </c>
      <c r="D991" s="38"/>
      <c r="E991" s="38"/>
      <c r="F991" s="38">
        <v>-27791.45</v>
      </c>
      <c r="G991" s="45">
        <f t="shared" si="737"/>
        <v>1768538.7200000016</v>
      </c>
      <c r="H991" s="44">
        <v>4300000</v>
      </c>
      <c r="I991" s="46">
        <f t="shared" si="723"/>
        <v>770286.56</v>
      </c>
      <c r="J991" s="38"/>
      <c r="K991" s="38"/>
      <c r="L991" s="38">
        <v>-248094.09</v>
      </c>
      <c r="M991" s="47">
        <f t="shared" si="724"/>
        <v>522192.47000000009</v>
      </c>
      <c r="N991" s="46">
        <v>5000000</v>
      </c>
      <c r="O991" s="48">
        <f t="shared" si="725"/>
        <v>5373.1000000003514</v>
      </c>
      <c r="P991" s="38">
        <v>14889.43</v>
      </c>
      <c r="Q991" s="38"/>
      <c r="R991" s="38">
        <v>-106.08</v>
      </c>
      <c r="S991" s="55">
        <f t="shared" si="726"/>
        <v>20156.45000000035</v>
      </c>
      <c r="T991" s="48"/>
      <c r="U991" s="49">
        <f t="shared" si="727"/>
        <v>88.480000000126893</v>
      </c>
      <c r="V991" s="38"/>
      <c r="W991" s="38"/>
      <c r="X991" s="38"/>
      <c r="Y991" s="51">
        <f t="shared" si="728"/>
        <v>88.480000000126893</v>
      </c>
      <c r="Z991" s="52"/>
      <c r="AA991" s="53">
        <f t="shared" si="729"/>
        <v>183.30999999939465</v>
      </c>
      <c r="AB991" s="38"/>
      <c r="AC991" s="38"/>
      <c r="AD991" s="38"/>
      <c r="AE991" s="54">
        <f t="shared" si="730"/>
        <v>183.30999999939465</v>
      </c>
      <c r="AF991" s="53"/>
      <c r="AG991" s="53">
        <f t="shared" si="738"/>
        <v>594.4100000000559</v>
      </c>
      <c r="AH991" s="38"/>
      <c r="AI991" s="38"/>
      <c r="AJ991" s="38"/>
      <c r="AK991" s="54">
        <f t="shared" si="739"/>
        <v>594.4100000000559</v>
      </c>
      <c r="AL991" s="53"/>
      <c r="AM991" s="53">
        <f t="shared" si="719"/>
        <v>0</v>
      </c>
      <c r="AN991" s="38"/>
      <c r="AO991" s="38"/>
      <c r="AP991" s="38"/>
      <c r="AQ991" s="54">
        <f t="shared" si="720"/>
        <v>0</v>
      </c>
      <c r="AR991" s="53"/>
      <c r="AS991" s="29">
        <f t="shared" si="740"/>
        <v>2572261.6200000015</v>
      </c>
      <c r="AT991" s="29">
        <f t="shared" si="741"/>
        <v>14889.43</v>
      </c>
      <c r="AU991" s="29">
        <f t="shared" si="742"/>
        <v>0</v>
      </c>
      <c r="AV991" s="29">
        <f t="shared" si="743"/>
        <v>-275991.62</v>
      </c>
      <c r="AW991" s="29"/>
      <c r="AX991" s="29">
        <f t="shared" si="744"/>
        <v>2311753.8400000017</v>
      </c>
      <c r="AY991" s="29">
        <f t="shared" si="745"/>
        <v>9300000</v>
      </c>
      <c r="AZ991" s="29">
        <f t="shared" si="746"/>
        <v>11611753.840000002</v>
      </c>
    </row>
    <row r="992" spans="2:52" x14ac:dyDescent="0.3">
      <c r="B992" s="99">
        <f t="shared" si="748"/>
        <v>45552</v>
      </c>
      <c r="C992" s="44">
        <f t="shared" si="722"/>
        <v>1768538.7200000016</v>
      </c>
      <c r="D992" s="38"/>
      <c r="E992" s="38"/>
      <c r="F992" s="38">
        <v>-94221.14</v>
      </c>
      <c r="G992" s="45">
        <f t="shared" si="737"/>
        <v>1674317.5800000017</v>
      </c>
      <c r="H992" s="44">
        <v>4300000</v>
      </c>
      <c r="I992" s="46">
        <f t="shared" si="723"/>
        <v>522192.47000000009</v>
      </c>
      <c r="J992" s="38"/>
      <c r="K992" s="38"/>
      <c r="L992" s="38">
        <v>-12987.86</v>
      </c>
      <c r="M992" s="47">
        <f t="shared" si="724"/>
        <v>509204.6100000001</v>
      </c>
      <c r="N992" s="46">
        <v>5000000</v>
      </c>
      <c r="O992" s="48">
        <f t="shared" si="725"/>
        <v>20156.45000000035</v>
      </c>
      <c r="P992" s="38">
        <v>81768.63</v>
      </c>
      <c r="Q992" s="38"/>
      <c r="R992" s="38"/>
      <c r="S992" s="55">
        <f t="shared" si="726"/>
        <v>101925.08000000035</v>
      </c>
      <c r="T992" s="48"/>
      <c r="U992" s="49">
        <f t="shared" si="727"/>
        <v>88.480000000126893</v>
      </c>
      <c r="V992" s="38"/>
      <c r="W992" s="38"/>
      <c r="X992" s="38"/>
      <c r="Y992" s="51">
        <f t="shared" si="728"/>
        <v>88.480000000126893</v>
      </c>
      <c r="Z992" s="52"/>
      <c r="AA992" s="53">
        <f t="shared" si="729"/>
        <v>183.30999999939465</v>
      </c>
      <c r="AB992" s="38"/>
      <c r="AC992" s="38"/>
      <c r="AD992" s="38"/>
      <c r="AE992" s="54">
        <f t="shared" si="730"/>
        <v>183.30999999939465</v>
      </c>
      <c r="AF992" s="53"/>
      <c r="AG992" s="53">
        <f t="shared" si="738"/>
        <v>594.4100000000559</v>
      </c>
      <c r="AH992" s="38"/>
      <c r="AI992" s="38"/>
      <c r="AJ992" s="38"/>
      <c r="AK992" s="54">
        <f t="shared" si="739"/>
        <v>594.4100000000559</v>
      </c>
      <c r="AL992" s="53"/>
      <c r="AM992" s="53">
        <f t="shared" si="719"/>
        <v>0</v>
      </c>
      <c r="AN992" s="38"/>
      <c r="AO992" s="38"/>
      <c r="AP992" s="38"/>
      <c r="AQ992" s="54">
        <f t="shared" si="720"/>
        <v>0</v>
      </c>
      <c r="AR992" s="53"/>
      <c r="AS992" s="29">
        <f t="shared" si="740"/>
        <v>2311159.4300000016</v>
      </c>
      <c r="AT992" s="29">
        <f t="shared" si="741"/>
        <v>81768.63</v>
      </c>
      <c r="AU992" s="29">
        <f t="shared" si="742"/>
        <v>0</v>
      </c>
      <c r="AV992" s="29">
        <f t="shared" si="743"/>
        <v>-107209</v>
      </c>
      <c r="AW992" s="29"/>
      <c r="AX992" s="29">
        <f t="shared" si="744"/>
        <v>2286313.4700000021</v>
      </c>
      <c r="AY992" s="29">
        <f t="shared" si="745"/>
        <v>9300000</v>
      </c>
      <c r="AZ992" s="29">
        <f t="shared" si="746"/>
        <v>11586313.470000003</v>
      </c>
    </row>
    <row r="993" spans="2:52" x14ac:dyDescent="0.3">
      <c r="B993" s="99">
        <f t="shared" si="748"/>
        <v>45553</v>
      </c>
      <c r="C993" s="44">
        <f t="shared" si="722"/>
        <v>1674317.5800000017</v>
      </c>
      <c r="D993" s="38">
        <v>60446.49</v>
      </c>
      <c r="E993" s="38"/>
      <c r="F993" s="38">
        <v>-2395651.14</v>
      </c>
      <c r="G993" s="45">
        <f t="shared" si="737"/>
        <v>-660887.06999999844</v>
      </c>
      <c r="H993" s="44">
        <v>4300000</v>
      </c>
      <c r="I993" s="46">
        <f t="shared" si="723"/>
        <v>509204.6100000001</v>
      </c>
      <c r="J993" s="38"/>
      <c r="K993" s="38">
        <v>280000</v>
      </c>
      <c r="L993" s="38">
        <v>-692213.27</v>
      </c>
      <c r="M993" s="47">
        <f t="shared" si="724"/>
        <v>96991.340000000084</v>
      </c>
      <c r="N993" s="46">
        <v>5000000</v>
      </c>
      <c r="O993" s="48">
        <f t="shared" si="725"/>
        <v>101925.08000000035</v>
      </c>
      <c r="P993" s="38">
        <f>104011.41+79220</f>
        <v>183231.41</v>
      </c>
      <c r="Q993" s="38">
        <v>-280000</v>
      </c>
      <c r="R993" s="38"/>
      <c r="S993" s="55">
        <f t="shared" si="726"/>
        <v>5156.4900000003399</v>
      </c>
      <c r="T993" s="48"/>
      <c r="U993" s="49">
        <f t="shared" si="727"/>
        <v>88.480000000126893</v>
      </c>
      <c r="V993" s="38"/>
      <c r="W993" s="38"/>
      <c r="X993" s="38"/>
      <c r="Y993" s="51">
        <f t="shared" si="728"/>
        <v>88.480000000126893</v>
      </c>
      <c r="Z993" s="52"/>
      <c r="AA993" s="53">
        <f t="shared" si="729"/>
        <v>183.30999999939465</v>
      </c>
      <c r="AB993" s="38"/>
      <c r="AC993" s="38"/>
      <c r="AD993" s="38"/>
      <c r="AE993" s="54">
        <f t="shared" si="730"/>
        <v>183.30999999939465</v>
      </c>
      <c r="AF993" s="53"/>
      <c r="AG993" s="53">
        <f t="shared" si="738"/>
        <v>594.4100000000559</v>
      </c>
      <c r="AH993" s="38"/>
      <c r="AI993" s="38"/>
      <c r="AJ993" s="38"/>
      <c r="AK993" s="54">
        <f t="shared" si="739"/>
        <v>594.4100000000559</v>
      </c>
      <c r="AL993" s="53"/>
      <c r="AM993" s="53">
        <f t="shared" si="719"/>
        <v>0</v>
      </c>
      <c r="AN993" s="38"/>
      <c r="AO993" s="38"/>
      <c r="AP993" s="38"/>
      <c r="AQ993" s="54">
        <f t="shared" si="720"/>
        <v>0</v>
      </c>
      <c r="AR993" s="53"/>
      <c r="AS993" s="29">
        <f t="shared" si="740"/>
        <v>2285719.0600000019</v>
      </c>
      <c r="AT993" s="29">
        <f t="shared" si="741"/>
        <v>243677.9</v>
      </c>
      <c r="AU993" s="29">
        <f t="shared" si="742"/>
        <v>0</v>
      </c>
      <c r="AV993" s="29">
        <f t="shared" si="743"/>
        <v>-3087864.41</v>
      </c>
      <c r="AW993" s="29"/>
      <c r="AX993" s="29">
        <f t="shared" si="744"/>
        <v>-557873.03999999852</v>
      </c>
      <c r="AY993" s="29">
        <f t="shared" si="745"/>
        <v>9300000</v>
      </c>
      <c r="AZ993" s="29">
        <f t="shared" si="746"/>
        <v>8742126.9600000009</v>
      </c>
    </row>
    <row r="994" spans="2:52" x14ac:dyDescent="0.3">
      <c r="B994" s="99">
        <f t="shared" si="748"/>
        <v>45554</v>
      </c>
      <c r="C994" s="44">
        <f t="shared" si="722"/>
        <v>-660887.06999999844</v>
      </c>
      <c r="D994" s="38"/>
      <c r="E994" s="38"/>
      <c r="F994" s="38"/>
      <c r="G994" s="45">
        <f t="shared" si="737"/>
        <v>-660887.06999999844</v>
      </c>
      <c r="H994" s="44">
        <v>4300000</v>
      </c>
      <c r="I994" s="46">
        <f t="shared" si="723"/>
        <v>96991.340000000084</v>
      </c>
      <c r="J994" s="38"/>
      <c r="K994" s="38">
        <v>509000</v>
      </c>
      <c r="L994" s="38">
        <v>-29444.15</v>
      </c>
      <c r="M994" s="47">
        <f t="shared" si="724"/>
        <v>576547.19000000006</v>
      </c>
      <c r="N994" s="46">
        <v>5000000</v>
      </c>
      <c r="O994" s="48">
        <f t="shared" si="725"/>
        <v>5156.4900000003399</v>
      </c>
      <c r="P994" s="38">
        <v>404505.28</v>
      </c>
      <c r="Q994" s="38">
        <f>104000-509000</f>
        <v>-405000</v>
      </c>
      <c r="R994" s="38">
        <v>-10</v>
      </c>
      <c r="S994" s="55">
        <f t="shared" si="726"/>
        <v>4651.7700000003679</v>
      </c>
      <c r="T994" s="48"/>
      <c r="U994" s="49">
        <f t="shared" si="727"/>
        <v>88.480000000126893</v>
      </c>
      <c r="V994" s="38">
        <v>104043.54</v>
      </c>
      <c r="W994" s="38">
        <v>-104000</v>
      </c>
      <c r="X994" s="38">
        <v>-1.5</v>
      </c>
      <c r="Y994" s="51">
        <f t="shared" si="728"/>
        <v>130.52000000012049</v>
      </c>
      <c r="Z994" s="52"/>
      <c r="AA994" s="53">
        <f t="shared" si="729"/>
        <v>183.30999999939465</v>
      </c>
      <c r="AB994" s="38"/>
      <c r="AC994" s="38"/>
      <c r="AD994" s="38"/>
      <c r="AE994" s="54">
        <f t="shared" si="730"/>
        <v>183.30999999939465</v>
      </c>
      <c r="AF994" s="53"/>
      <c r="AG994" s="53">
        <f t="shared" si="738"/>
        <v>594.4100000000559</v>
      </c>
      <c r="AH994" s="38"/>
      <c r="AI994" s="38"/>
      <c r="AJ994" s="38"/>
      <c r="AK994" s="54">
        <f t="shared" si="739"/>
        <v>594.4100000000559</v>
      </c>
      <c r="AL994" s="53"/>
      <c r="AM994" s="53">
        <f t="shared" si="719"/>
        <v>0</v>
      </c>
      <c r="AN994" s="38"/>
      <c r="AO994" s="38"/>
      <c r="AP994" s="38"/>
      <c r="AQ994" s="54">
        <f t="shared" si="720"/>
        <v>0</v>
      </c>
      <c r="AR994" s="53"/>
      <c r="AS994" s="29">
        <f t="shared" si="740"/>
        <v>-558467.44999999856</v>
      </c>
      <c r="AT994" s="29">
        <f t="shared" si="741"/>
        <v>508548.82</v>
      </c>
      <c r="AU994" s="29">
        <f t="shared" si="742"/>
        <v>0</v>
      </c>
      <c r="AV994" s="29">
        <f t="shared" si="743"/>
        <v>-29455.65</v>
      </c>
      <c r="AW994" s="29"/>
      <c r="AX994" s="29">
        <f t="shared" si="744"/>
        <v>-78779.869999998424</v>
      </c>
      <c r="AY994" s="29">
        <f t="shared" si="745"/>
        <v>9300000</v>
      </c>
      <c r="AZ994" s="29">
        <f t="shared" si="746"/>
        <v>9221220.1300000008</v>
      </c>
    </row>
    <row r="995" spans="2:52" x14ac:dyDescent="0.3">
      <c r="B995" s="99">
        <f t="shared" si="748"/>
        <v>45555</v>
      </c>
      <c r="C995" s="44">
        <f t="shared" si="722"/>
        <v>-660887.06999999844</v>
      </c>
      <c r="D995" s="38"/>
      <c r="E995" s="38"/>
      <c r="F995" s="38">
        <v>-701790.45</v>
      </c>
      <c r="G995" s="45">
        <f t="shared" si="737"/>
        <v>-1362677.5199999984</v>
      </c>
      <c r="H995" s="44">
        <v>4300000</v>
      </c>
      <c r="I995" s="46">
        <f t="shared" si="723"/>
        <v>576547.19000000006</v>
      </c>
      <c r="J995" s="38"/>
      <c r="K995" s="38"/>
      <c r="L995" s="38">
        <v>-96455.66</v>
      </c>
      <c r="M995" s="47">
        <f t="shared" si="724"/>
        <v>480091.53</v>
      </c>
      <c r="N995" s="46">
        <v>5000000</v>
      </c>
      <c r="O995" s="48">
        <f t="shared" si="725"/>
        <v>4651.7700000003679</v>
      </c>
      <c r="P995" s="38"/>
      <c r="Q995" s="38"/>
      <c r="R995" s="38">
        <v>-10</v>
      </c>
      <c r="S995" s="55">
        <f t="shared" si="726"/>
        <v>4641.7700000003679</v>
      </c>
      <c r="T995" s="48"/>
      <c r="U995" s="49">
        <f t="shared" si="727"/>
        <v>130.52000000012049</v>
      </c>
      <c r="V995" s="38"/>
      <c r="W995" s="38"/>
      <c r="X995" s="38"/>
      <c r="Y995" s="51">
        <f t="shared" si="728"/>
        <v>130.52000000012049</v>
      </c>
      <c r="Z995" s="52"/>
      <c r="AA995" s="53">
        <f t="shared" si="729"/>
        <v>183.30999999939465</v>
      </c>
      <c r="AB995" s="38">
        <v>1545434.54</v>
      </c>
      <c r="AC995" s="38"/>
      <c r="AD995" s="38"/>
      <c r="AE995" s="54">
        <f t="shared" si="730"/>
        <v>1545617.8499999994</v>
      </c>
      <c r="AF995" s="53"/>
      <c r="AG995" s="53">
        <f t="shared" si="738"/>
        <v>594.4100000000559</v>
      </c>
      <c r="AH995" s="38"/>
      <c r="AI995" s="38"/>
      <c r="AJ995" s="38"/>
      <c r="AK995" s="54">
        <f t="shared" si="739"/>
        <v>594.4100000000559</v>
      </c>
      <c r="AL995" s="53"/>
      <c r="AM995" s="53">
        <f t="shared" si="719"/>
        <v>0</v>
      </c>
      <c r="AN995" s="38"/>
      <c r="AO995" s="38"/>
      <c r="AP995" s="38"/>
      <c r="AQ995" s="54">
        <f t="shared" si="720"/>
        <v>0</v>
      </c>
      <c r="AR995" s="53"/>
      <c r="AS995" s="29">
        <f t="shared" si="740"/>
        <v>-79374.279999998485</v>
      </c>
      <c r="AT995" s="29">
        <f t="shared" si="741"/>
        <v>1545434.54</v>
      </c>
      <c r="AU995" s="29">
        <f t="shared" si="742"/>
        <v>0</v>
      </c>
      <c r="AV995" s="29">
        <f t="shared" si="743"/>
        <v>-798256.11</v>
      </c>
      <c r="AW995" s="29"/>
      <c r="AX995" s="29">
        <f t="shared" si="744"/>
        <v>668398.56000000157</v>
      </c>
      <c r="AY995" s="29">
        <f t="shared" si="745"/>
        <v>9300000</v>
      </c>
      <c r="AZ995" s="29">
        <f t="shared" si="746"/>
        <v>9968398.5600000024</v>
      </c>
    </row>
    <row r="996" spans="2:52" x14ac:dyDescent="0.3">
      <c r="B996" s="99">
        <f t="shared" ref="B996" si="750">B995+3</f>
        <v>45558</v>
      </c>
      <c r="C996" s="44">
        <f t="shared" si="722"/>
        <v>-1362677.5199999984</v>
      </c>
      <c r="D996" s="38">
        <v>100300.23</v>
      </c>
      <c r="E996" s="38">
        <v>1545000</v>
      </c>
      <c r="F996" s="38"/>
      <c r="G996" s="45">
        <f t="shared" si="737"/>
        <v>282622.71000000159</v>
      </c>
      <c r="H996" s="44">
        <v>4300000</v>
      </c>
      <c r="I996" s="46">
        <f t="shared" si="723"/>
        <v>480091.53</v>
      </c>
      <c r="J996" s="38"/>
      <c r="K996" s="38">
        <v>470000</v>
      </c>
      <c r="L996" s="38">
        <v>-37622.370000000003</v>
      </c>
      <c r="M996" s="47">
        <f t="shared" si="724"/>
        <v>912469.16</v>
      </c>
      <c r="N996" s="46">
        <v>5000000</v>
      </c>
      <c r="O996" s="48">
        <f t="shared" si="725"/>
        <v>4641.7700000003679</v>
      </c>
      <c r="P996" s="38">
        <v>475320</v>
      </c>
      <c r="Q996" s="38">
        <v>-470000</v>
      </c>
      <c r="R996" s="38"/>
      <c r="S996" s="55">
        <f t="shared" si="726"/>
        <v>9961.7700000003679</v>
      </c>
      <c r="T996" s="48"/>
      <c r="U996" s="49">
        <f t="shared" si="727"/>
        <v>130.52000000012049</v>
      </c>
      <c r="V996" s="38"/>
      <c r="W996" s="38"/>
      <c r="X996" s="38"/>
      <c r="Y996" s="51">
        <f t="shared" si="728"/>
        <v>130.52000000012049</v>
      </c>
      <c r="Z996" s="52"/>
      <c r="AA996" s="53">
        <f t="shared" si="729"/>
        <v>1545617.8499999994</v>
      </c>
      <c r="AB996" s="38"/>
      <c r="AC996" s="38">
        <v>-1545000</v>
      </c>
      <c r="AD996" s="38">
        <v>-460</v>
      </c>
      <c r="AE996" s="54">
        <f t="shared" si="730"/>
        <v>157.84999999939464</v>
      </c>
      <c r="AF996" s="53"/>
      <c r="AG996" s="53">
        <f t="shared" si="738"/>
        <v>594.4100000000559</v>
      </c>
      <c r="AH996" s="38"/>
      <c r="AI996" s="38"/>
      <c r="AJ996" s="38"/>
      <c r="AK996" s="54">
        <f t="shared" si="739"/>
        <v>594.4100000000559</v>
      </c>
      <c r="AL996" s="53"/>
      <c r="AM996" s="53">
        <f t="shared" si="719"/>
        <v>0</v>
      </c>
      <c r="AN996" s="38"/>
      <c r="AO996" s="38"/>
      <c r="AP996" s="38"/>
      <c r="AQ996" s="54">
        <f t="shared" si="720"/>
        <v>0</v>
      </c>
      <c r="AR996" s="53"/>
      <c r="AS996" s="29">
        <f t="shared" si="740"/>
        <v>667804.15000000154</v>
      </c>
      <c r="AT996" s="29">
        <f t="shared" si="741"/>
        <v>575620.23</v>
      </c>
      <c r="AU996" s="29">
        <f t="shared" si="742"/>
        <v>0</v>
      </c>
      <c r="AV996" s="29">
        <f t="shared" si="743"/>
        <v>-38082.370000000003</v>
      </c>
      <c r="AW996" s="29"/>
      <c r="AX996" s="29">
        <f t="shared" si="744"/>
        <v>1205936.4200000016</v>
      </c>
      <c r="AY996" s="29">
        <f t="shared" si="745"/>
        <v>9300000</v>
      </c>
      <c r="AZ996" s="29">
        <f t="shared" si="746"/>
        <v>10505936.420000002</v>
      </c>
    </row>
    <row r="997" spans="2:52" x14ac:dyDescent="0.3">
      <c r="B997" s="99">
        <f t="shared" si="748"/>
        <v>45559</v>
      </c>
      <c r="C997" s="44">
        <f t="shared" si="722"/>
        <v>282622.71000000159</v>
      </c>
      <c r="D997" s="38">
        <v>160252.13</v>
      </c>
      <c r="E997" s="38"/>
      <c r="F997" s="38">
        <f>-391.32-259.6</f>
        <v>-650.92000000000007</v>
      </c>
      <c r="G997" s="45">
        <f t="shared" si="737"/>
        <v>442223.92000000161</v>
      </c>
      <c r="H997" s="44">
        <v>4300000</v>
      </c>
      <c r="I997" s="46">
        <f t="shared" si="723"/>
        <v>912469.16</v>
      </c>
      <c r="J997" s="38"/>
      <c r="K997" s="38"/>
      <c r="L997" s="38">
        <v>-58556.03</v>
      </c>
      <c r="M997" s="47">
        <f t="shared" si="724"/>
        <v>853913.13</v>
      </c>
      <c r="N997" s="46">
        <v>5000000</v>
      </c>
      <c r="O997" s="48">
        <f t="shared" si="725"/>
        <v>9961.7700000003679</v>
      </c>
      <c r="P997" s="38">
        <v>76381.73</v>
      </c>
      <c r="Q997" s="38"/>
      <c r="R997" s="38">
        <v>-10</v>
      </c>
      <c r="S997" s="55">
        <f t="shared" si="726"/>
        <v>86333.500000000364</v>
      </c>
      <c r="T997" s="48"/>
      <c r="U997" s="49">
        <f t="shared" si="727"/>
        <v>130.52000000012049</v>
      </c>
      <c r="V997" s="38"/>
      <c r="W997" s="38"/>
      <c r="X997" s="38"/>
      <c r="Y997" s="51">
        <f t="shared" si="728"/>
        <v>130.52000000012049</v>
      </c>
      <c r="Z997" s="52"/>
      <c r="AA997" s="53">
        <f t="shared" si="729"/>
        <v>157.84999999939464</v>
      </c>
      <c r="AB997" s="38">
        <v>1</v>
      </c>
      <c r="AC997" s="38"/>
      <c r="AD997" s="38"/>
      <c r="AE997" s="54">
        <f t="shared" si="730"/>
        <v>158.84999999939464</v>
      </c>
      <c r="AF997" s="53"/>
      <c r="AG997" s="53">
        <f t="shared" si="738"/>
        <v>594.4100000000559</v>
      </c>
      <c r="AH997" s="38"/>
      <c r="AI997" s="38"/>
      <c r="AJ997" s="38"/>
      <c r="AK997" s="54">
        <f t="shared" si="739"/>
        <v>594.4100000000559</v>
      </c>
      <c r="AL997" s="53"/>
      <c r="AM997" s="53">
        <f t="shared" si="719"/>
        <v>0</v>
      </c>
      <c r="AN997" s="38"/>
      <c r="AO997" s="38"/>
      <c r="AP997" s="38"/>
      <c r="AQ997" s="54">
        <f t="shared" si="720"/>
        <v>0</v>
      </c>
      <c r="AR997" s="53"/>
      <c r="AS997" s="29">
        <f t="shared" si="740"/>
        <v>1205342.0100000014</v>
      </c>
      <c r="AT997" s="29">
        <f t="shared" si="741"/>
        <v>236634.86</v>
      </c>
      <c r="AU997" s="29">
        <f t="shared" si="742"/>
        <v>0</v>
      </c>
      <c r="AV997" s="29">
        <f t="shared" si="743"/>
        <v>-59216.95</v>
      </c>
      <c r="AW997" s="29"/>
      <c r="AX997" s="29">
        <f t="shared" si="744"/>
        <v>1383354.3300000017</v>
      </c>
      <c r="AY997" s="29">
        <f t="shared" si="745"/>
        <v>9300000</v>
      </c>
      <c r="AZ997" s="29">
        <f t="shared" si="746"/>
        <v>10683354.330000002</v>
      </c>
    </row>
    <row r="998" spans="2:52" x14ac:dyDescent="0.3">
      <c r="B998" s="99">
        <f t="shared" si="748"/>
        <v>45560</v>
      </c>
      <c r="C998" s="44">
        <f t="shared" si="722"/>
        <v>442223.92000000161</v>
      </c>
      <c r="D998" s="38">
        <v>308155.39999999799</v>
      </c>
      <c r="E998" s="38"/>
      <c r="F998" s="38">
        <v>-81638.789999999994</v>
      </c>
      <c r="G998" s="45">
        <f t="shared" si="737"/>
        <v>668740.52999999956</v>
      </c>
      <c r="H998" s="44">
        <v>4300000</v>
      </c>
      <c r="I998" s="46">
        <f t="shared" si="723"/>
        <v>853913.13</v>
      </c>
      <c r="J998" s="38">
        <f>9755.7+59360.77+2125.23+419551.35+94978.3+6505.35</f>
        <v>592276.69999999995</v>
      </c>
      <c r="K998" s="38">
        <v>1030000</v>
      </c>
      <c r="L998" s="38">
        <v>-77385.870000000097</v>
      </c>
      <c r="M998" s="47">
        <f t="shared" si="724"/>
        <v>2398803.96</v>
      </c>
      <c r="N998" s="46">
        <v>5000000</v>
      </c>
      <c r="O998" s="48">
        <f t="shared" si="725"/>
        <v>86333.500000000364</v>
      </c>
      <c r="P998" s="38">
        <f>212497.92+746133.72</f>
        <v>958631.64</v>
      </c>
      <c r="Q998" s="38">
        <v>-1030000</v>
      </c>
      <c r="R998" s="38">
        <f>-122.3-9626.54-1508.86</f>
        <v>-11257.7</v>
      </c>
      <c r="S998" s="55">
        <f t="shared" si="726"/>
        <v>3707.4400000003625</v>
      </c>
      <c r="T998" s="48"/>
      <c r="U998" s="49">
        <f t="shared" si="727"/>
        <v>130.52000000012049</v>
      </c>
      <c r="V998" s="38"/>
      <c r="W998" s="38"/>
      <c r="X998" s="38"/>
      <c r="Y998" s="51">
        <f t="shared" si="728"/>
        <v>130.52000000012049</v>
      </c>
      <c r="Z998" s="52"/>
      <c r="AA998" s="53">
        <f t="shared" si="729"/>
        <v>158.84999999939464</v>
      </c>
      <c r="AB998" s="38"/>
      <c r="AC998" s="38"/>
      <c r="AD998" s="38"/>
      <c r="AE998" s="54">
        <f t="shared" si="730"/>
        <v>158.84999999939464</v>
      </c>
      <c r="AF998" s="53"/>
      <c r="AG998" s="53">
        <f t="shared" si="738"/>
        <v>594.4100000000559</v>
      </c>
      <c r="AH998" s="38"/>
      <c r="AI998" s="38"/>
      <c r="AJ998" s="38">
        <v>-338.5</v>
      </c>
      <c r="AK998" s="54">
        <f t="shared" si="739"/>
        <v>255.9100000000559</v>
      </c>
      <c r="AL998" s="53"/>
      <c r="AM998" s="53">
        <f t="shared" si="719"/>
        <v>0</v>
      </c>
      <c r="AN998" s="38"/>
      <c r="AO998" s="38"/>
      <c r="AP998" s="38"/>
      <c r="AQ998" s="54">
        <f t="shared" si="720"/>
        <v>0</v>
      </c>
      <c r="AR998" s="53"/>
      <c r="AS998" s="29">
        <f t="shared" si="740"/>
        <v>1382759.9200000016</v>
      </c>
      <c r="AT998" s="29">
        <f t="shared" si="741"/>
        <v>1859063.7399999979</v>
      </c>
      <c r="AU998" s="29">
        <f t="shared" si="742"/>
        <v>0</v>
      </c>
      <c r="AV998" s="29">
        <f t="shared" si="743"/>
        <v>-170620.8600000001</v>
      </c>
      <c r="AW998" s="29"/>
      <c r="AX998" s="29">
        <f t="shared" si="744"/>
        <v>3071797.209999999</v>
      </c>
      <c r="AY998" s="29">
        <f t="shared" si="745"/>
        <v>9300000</v>
      </c>
      <c r="AZ998" s="29">
        <f t="shared" si="746"/>
        <v>12371797.209999999</v>
      </c>
    </row>
    <row r="999" spans="2:52" x14ac:dyDescent="0.3">
      <c r="B999" s="99">
        <f t="shared" si="748"/>
        <v>45561</v>
      </c>
      <c r="C999" s="44">
        <f t="shared" si="722"/>
        <v>668740.52999999956</v>
      </c>
      <c r="D999" s="38">
        <v>696711.93</v>
      </c>
      <c r="E999" s="38"/>
      <c r="F999" s="38">
        <v>-2299.8000000000002</v>
      </c>
      <c r="G999" s="45">
        <f t="shared" si="737"/>
        <v>1363152.6599999995</v>
      </c>
      <c r="H999" s="44">
        <v>4300000</v>
      </c>
      <c r="I999" s="46">
        <f t="shared" si="723"/>
        <v>2398803.96</v>
      </c>
      <c r="J999" s="38"/>
      <c r="K999" s="38">
        <v>1570000</v>
      </c>
      <c r="L999" s="38">
        <v>-434899.47</v>
      </c>
      <c r="M999" s="47">
        <f t="shared" si="724"/>
        <v>3533904.49</v>
      </c>
      <c r="N999" s="46">
        <v>5000000</v>
      </c>
      <c r="O999" s="48">
        <f t="shared" si="725"/>
        <v>3707.4400000003625</v>
      </c>
      <c r="P999" s="38">
        <v>670198.31999999995</v>
      </c>
      <c r="Q999" s="38">
        <f>-1570000+903000</f>
        <v>-667000</v>
      </c>
      <c r="R999" s="38">
        <f>-10-377.2-225.4-203.76-742.9</f>
        <v>-1559.26</v>
      </c>
      <c r="S999" s="55">
        <f t="shared" si="726"/>
        <v>5346.5000000003583</v>
      </c>
      <c r="T999" s="48"/>
      <c r="U999" s="49">
        <f t="shared" si="727"/>
        <v>130.52000000012049</v>
      </c>
      <c r="V999" s="38">
        <v>903004.69</v>
      </c>
      <c r="W999" s="38">
        <v>-903000</v>
      </c>
      <c r="X999" s="38">
        <v>-1.5</v>
      </c>
      <c r="Y999" s="51">
        <f t="shared" si="728"/>
        <v>133.71000000007916</v>
      </c>
      <c r="Z999" s="52"/>
      <c r="AA999" s="53">
        <f t="shared" si="729"/>
        <v>158.84999999939464</v>
      </c>
      <c r="AB999" s="38"/>
      <c r="AC999" s="38"/>
      <c r="AD999" s="38"/>
      <c r="AE999" s="54">
        <f t="shared" si="730"/>
        <v>158.84999999939464</v>
      </c>
      <c r="AF999" s="53"/>
      <c r="AG999" s="53">
        <f t="shared" si="738"/>
        <v>255.9100000000559</v>
      </c>
      <c r="AH999" s="38"/>
      <c r="AI999" s="38"/>
      <c r="AJ999" s="38"/>
      <c r="AK999" s="54">
        <f t="shared" si="739"/>
        <v>255.9100000000559</v>
      </c>
      <c r="AL999" s="53"/>
      <c r="AM999" s="53">
        <f t="shared" si="719"/>
        <v>0</v>
      </c>
      <c r="AN999" s="38"/>
      <c r="AO999" s="38"/>
      <c r="AP999" s="38"/>
      <c r="AQ999" s="54">
        <f t="shared" si="720"/>
        <v>0</v>
      </c>
      <c r="AR999" s="53"/>
      <c r="AS999" s="29">
        <f t="shared" si="740"/>
        <v>3071541.2999999989</v>
      </c>
      <c r="AT999" s="29">
        <f t="shared" si="741"/>
        <v>2269914.94</v>
      </c>
      <c r="AU999" s="29">
        <f t="shared" si="742"/>
        <v>0</v>
      </c>
      <c r="AV999" s="29">
        <f t="shared" si="743"/>
        <v>-438760.02999999997</v>
      </c>
      <c r="AW999" s="29"/>
      <c r="AX999" s="29">
        <f t="shared" si="744"/>
        <v>4902952.1199999992</v>
      </c>
      <c r="AY999" s="29">
        <f t="shared" si="745"/>
        <v>9300000</v>
      </c>
      <c r="AZ999" s="29">
        <f t="shared" si="746"/>
        <v>14202952.119999999</v>
      </c>
    </row>
    <row r="1000" spans="2:52" x14ac:dyDescent="0.3">
      <c r="B1000" s="99">
        <f t="shared" si="748"/>
        <v>45562</v>
      </c>
      <c r="C1000" s="44">
        <f t="shared" si="722"/>
        <v>1363152.6599999995</v>
      </c>
      <c r="D1000" s="38">
        <f>25484.9+23963.96+29956.45+53784.61+897.05</f>
        <v>134086.96999999997</v>
      </c>
      <c r="E1000" s="38"/>
      <c r="F1000" s="38"/>
      <c r="G1000" s="45">
        <f t="shared" si="737"/>
        <v>1497239.6299999994</v>
      </c>
      <c r="H1000" s="44">
        <v>4300000</v>
      </c>
      <c r="I1000" s="46">
        <f t="shared" si="723"/>
        <v>3533904.49</v>
      </c>
      <c r="J1000" s="38">
        <v>247685.79</v>
      </c>
      <c r="K1000" s="38">
        <v>353000</v>
      </c>
      <c r="L1000" s="38"/>
      <c r="M1000" s="47">
        <f t="shared" si="724"/>
        <v>4134590.2800000003</v>
      </c>
      <c r="N1000" s="46">
        <v>5000000</v>
      </c>
      <c r="O1000" s="48">
        <f t="shared" si="725"/>
        <v>5346.5000000003583</v>
      </c>
      <c r="P1000" s="38">
        <f>353376.02+29956.92</f>
        <v>383332.94</v>
      </c>
      <c r="Q1000" s="38"/>
      <c r="R1000" s="38"/>
      <c r="S1000" s="55">
        <f t="shared" si="726"/>
        <v>388679.44000000035</v>
      </c>
      <c r="T1000" s="48"/>
      <c r="U1000" s="49">
        <f t="shared" si="727"/>
        <v>133.71000000007916</v>
      </c>
      <c r="V1000" s="38"/>
      <c r="W1000" s="38"/>
      <c r="X1000" s="38"/>
      <c r="Y1000" s="51">
        <f t="shared" si="728"/>
        <v>133.71000000007916</v>
      </c>
      <c r="Z1000" s="52"/>
      <c r="AA1000" s="53">
        <f t="shared" si="729"/>
        <v>158.84999999939464</v>
      </c>
      <c r="AB1000" s="38"/>
      <c r="AC1000" s="38"/>
      <c r="AD1000" s="38"/>
      <c r="AE1000" s="54">
        <f t="shared" si="730"/>
        <v>158.84999999939464</v>
      </c>
      <c r="AF1000" s="53"/>
      <c r="AG1000" s="53">
        <f t="shared" si="738"/>
        <v>255.9100000000559</v>
      </c>
      <c r="AH1000" s="38">
        <f>64260.98+288780.8</f>
        <v>353041.77999999997</v>
      </c>
      <c r="AI1000" s="38">
        <v>-353000</v>
      </c>
      <c r="AJ1000" s="38"/>
      <c r="AK1000" s="54">
        <f t="shared" si="739"/>
        <v>297.69000000000233</v>
      </c>
      <c r="AL1000" s="53"/>
      <c r="AM1000" s="53">
        <f t="shared" si="719"/>
        <v>0</v>
      </c>
      <c r="AN1000" s="38"/>
      <c r="AO1000" s="38"/>
      <c r="AP1000" s="38"/>
      <c r="AQ1000" s="54">
        <f t="shared" si="720"/>
        <v>0</v>
      </c>
      <c r="AR1000" s="53"/>
      <c r="AS1000" s="29">
        <f t="shared" si="740"/>
        <v>4902696.209999999</v>
      </c>
      <c r="AT1000" s="29">
        <f t="shared" si="741"/>
        <v>1118147.48</v>
      </c>
      <c r="AU1000" s="29">
        <f t="shared" si="742"/>
        <v>0</v>
      </c>
      <c r="AV1000" s="29">
        <f t="shared" si="743"/>
        <v>0</v>
      </c>
      <c r="AW1000" s="29"/>
      <c r="AX1000" s="29">
        <f t="shared" si="744"/>
        <v>6021099.6000000006</v>
      </c>
      <c r="AY1000" s="29">
        <f t="shared" si="745"/>
        <v>9300000</v>
      </c>
      <c r="AZ1000" s="29">
        <f t="shared" si="746"/>
        <v>15321099.600000001</v>
      </c>
    </row>
    <row r="1001" spans="2:52" x14ac:dyDescent="0.3">
      <c r="B1001" s="99">
        <f t="shared" ref="B1001" si="751">B1000+3</f>
        <v>45565</v>
      </c>
      <c r="C1001" s="44">
        <f t="shared" si="722"/>
        <v>1497239.6299999994</v>
      </c>
      <c r="D1001" s="38">
        <v>143168.48000000001</v>
      </c>
      <c r="E1001" s="38"/>
      <c r="F1001" s="38">
        <f>-69067.42+95</f>
        <v>-68972.42</v>
      </c>
      <c r="G1001" s="45">
        <f t="shared" si="737"/>
        <v>1571435.6899999995</v>
      </c>
      <c r="H1001" s="44">
        <v>4300000</v>
      </c>
      <c r="I1001" s="46">
        <f t="shared" si="723"/>
        <v>4134590.2800000003</v>
      </c>
      <c r="J1001" s="38">
        <v>422709.93</v>
      </c>
      <c r="K1001" s="38"/>
      <c r="L1001" s="38"/>
      <c r="M1001" s="47">
        <f t="shared" si="724"/>
        <v>4557300.21</v>
      </c>
      <c r="N1001" s="46">
        <v>5000000</v>
      </c>
      <c r="O1001" s="48">
        <f t="shared" si="725"/>
        <v>388679.44000000035</v>
      </c>
      <c r="P1001" s="38">
        <v>1125187.48</v>
      </c>
      <c r="Q1001" s="38"/>
      <c r="R1001" s="38"/>
      <c r="S1001" s="55">
        <f t="shared" si="726"/>
        <v>1513866.9200000004</v>
      </c>
      <c r="T1001" s="48"/>
      <c r="U1001" s="49">
        <f t="shared" si="727"/>
        <v>133.71000000007916</v>
      </c>
      <c r="V1001" s="38">
        <f>65882.7+176444.42</f>
        <v>242327.12</v>
      </c>
      <c r="W1001" s="38"/>
      <c r="X1001" s="38"/>
      <c r="Y1001" s="51">
        <f t="shared" si="728"/>
        <v>242460.83000000007</v>
      </c>
      <c r="Z1001" s="52"/>
      <c r="AA1001" s="53">
        <f t="shared" si="729"/>
        <v>158.84999999939464</v>
      </c>
      <c r="AB1001" s="38"/>
      <c r="AC1001" s="38"/>
      <c r="AD1001" s="38"/>
      <c r="AE1001" s="54">
        <f t="shared" si="730"/>
        <v>158.84999999939464</v>
      </c>
      <c r="AF1001" s="53"/>
      <c r="AG1001" s="53">
        <f t="shared" si="738"/>
        <v>297.69000000000233</v>
      </c>
      <c r="AH1001" s="38"/>
      <c r="AI1001" s="38"/>
      <c r="AJ1001" s="38">
        <v>-9.9</v>
      </c>
      <c r="AK1001" s="54">
        <f t="shared" si="739"/>
        <v>287.79000000000235</v>
      </c>
      <c r="AL1001" s="53"/>
      <c r="AM1001" s="53">
        <f t="shared" si="719"/>
        <v>0</v>
      </c>
      <c r="AN1001" s="38"/>
      <c r="AO1001" s="38"/>
      <c r="AP1001" s="38"/>
      <c r="AQ1001" s="54">
        <f t="shared" si="720"/>
        <v>0</v>
      </c>
      <c r="AR1001" s="53"/>
      <c r="AS1001" s="29">
        <f t="shared" si="740"/>
        <v>6020801.9100000001</v>
      </c>
      <c r="AT1001" s="29">
        <f t="shared" si="741"/>
        <v>1933393.0100000002</v>
      </c>
      <c r="AU1001" s="29">
        <f t="shared" si="742"/>
        <v>0</v>
      </c>
      <c r="AV1001" s="29">
        <f t="shared" si="743"/>
        <v>-68982.319999999992</v>
      </c>
      <c r="AW1001" s="29"/>
      <c r="AX1001" s="29">
        <f t="shared" si="744"/>
        <v>7885510.29</v>
      </c>
      <c r="AY1001" s="29">
        <f t="shared" si="745"/>
        <v>9300000</v>
      </c>
      <c r="AZ1001" s="29">
        <f t="shared" si="746"/>
        <v>17185510.289999999</v>
      </c>
    </row>
    <row r="1002" spans="2:52" x14ac:dyDescent="0.3">
      <c r="B1002" s="99">
        <f t="shared" si="748"/>
        <v>45566</v>
      </c>
      <c r="C1002" s="44">
        <f t="shared" si="722"/>
        <v>1571435.6899999995</v>
      </c>
      <c r="D1002" s="38"/>
      <c r="E1002" s="38"/>
      <c r="F1002" s="38">
        <v>-2532.5899999993899</v>
      </c>
      <c r="G1002" s="45">
        <f t="shared" si="737"/>
        <v>1568903.1</v>
      </c>
      <c r="H1002" s="44">
        <v>4300000</v>
      </c>
      <c r="I1002" s="46">
        <f t="shared" si="723"/>
        <v>4557300.21</v>
      </c>
      <c r="J1002" s="38"/>
      <c r="K1002" s="38">
        <v>1750000</v>
      </c>
      <c r="L1002" s="38">
        <v>-157933.26</v>
      </c>
      <c r="M1002" s="47">
        <f t="shared" si="724"/>
        <v>6149366.9500000002</v>
      </c>
      <c r="N1002" s="46">
        <v>5000000</v>
      </c>
      <c r="O1002" s="48">
        <f t="shared" si="725"/>
        <v>1513866.9200000004</v>
      </c>
      <c r="P1002" s="38"/>
      <c r="Q1002" s="38">
        <f>-1750000+242400</f>
        <v>-1507600</v>
      </c>
      <c r="R1002" s="38">
        <f>-125*2-889.14</f>
        <v>-1139.1399999999999</v>
      </c>
      <c r="S1002" s="55">
        <f t="shared" si="726"/>
        <v>5127.7800000003917</v>
      </c>
      <c r="T1002" s="48"/>
      <c r="U1002" s="49">
        <f t="shared" si="727"/>
        <v>242460.83000000007</v>
      </c>
      <c r="V1002" s="38"/>
      <c r="W1002" s="38">
        <v>-242400</v>
      </c>
      <c r="X1002" s="38">
        <v>-1.5</v>
      </c>
      <c r="Y1002" s="51">
        <f t="shared" si="728"/>
        <v>59.330000000074506</v>
      </c>
      <c r="Z1002" s="52"/>
      <c r="AA1002" s="53">
        <f t="shared" si="729"/>
        <v>158.84999999939464</v>
      </c>
      <c r="AB1002" s="38"/>
      <c r="AC1002" s="38"/>
      <c r="AD1002" s="38"/>
      <c r="AE1002" s="54">
        <f t="shared" si="730"/>
        <v>158.84999999939464</v>
      </c>
      <c r="AF1002" s="53"/>
      <c r="AG1002" s="53">
        <f t="shared" si="738"/>
        <v>287.79000000000235</v>
      </c>
      <c r="AH1002" s="38"/>
      <c r="AI1002" s="38"/>
      <c r="AJ1002" s="38">
        <v>-80</v>
      </c>
      <c r="AK1002" s="54">
        <f t="shared" si="739"/>
        <v>207.79000000000235</v>
      </c>
      <c r="AL1002" s="53"/>
      <c r="AM1002" s="53">
        <f t="shared" si="719"/>
        <v>0</v>
      </c>
      <c r="AN1002" s="38"/>
      <c r="AO1002" s="38"/>
      <c r="AP1002" s="38"/>
      <c r="AQ1002" s="54">
        <f t="shared" si="720"/>
        <v>0</v>
      </c>
      <c r="AR1002" s="53"/>
      <c r="AS1002" s="29">
        <f t="shared" si="740"/>
        <v>7885222.5</v>
      </c>
      <c r="AT1002" s="29">
        <f t="shared" si="741"/>
        <v>0</v>
      </c>
      <c r="AU1002" s="29">
        <f t="shared" si="742"/>
        <v>0</v>
      </c>
      <c r="AV1002" s="29">
        <f t="shared" si="743"/>
        <v>-161686.48999999941</v>
      </c>
      <c r="AW1002" s="29"/>
      <c r="AX1002" s="29">
        <f t="shared" si="744"/>
        <v>7723823.8000000007</v>
      </c>
      <c r="AY1002" s="29">
        <f t="shared" si="745"/>
        <v>9300000</v>
      </c>
      <c r="AZ1002" s="29">
        <f t="shared" si="746"/>
        <v>17023823.800000001</v>
      </c>
    </row>
    <row r="1003" spans="2:52" x14ac:dyDescent="0.3">
      <c r="B1003" s="99">
        <f t="shared" si="748"/>
        <v>45567</v>
      </c>
      <c r="C1003" s="44">
        <f t="shared" si="722"/>
        <v>1568903.1</v>
      </c>
      <c r="D1003" s="38">
        <v>4.83</v>
      </c>
      <c r="E1003" s="38"/>
      <c r="F1003" s="38">
        <v>-145631.79999999999</v>
      </c>
      <c r="G1003" s="45">
        <f t="shared" si="737"/>
        <v>1423276.1300000001</v>
      </c>
      <c r="H1003" s="44">
        <v>4300000</v>
      </c>
      <c r="I1003" s="46">
        <f t="shared" si="723"/>
        <v>6149366.9500000002</v>
      </c>
      <c r="J1003" s="38">
        <v>23219.24</v>
      </c>
      <c r="K1003" s="38"/>
      <c r="L1003" s="38">
        <v>-121446.5</v>
      </c>
      <c r="M1003" s="47">
        <f t="shared" si="724"/>
        <v>6051139.6900000004</v>
      </c>
      <c r="N1003" s="46">
        <v>5000000</v>
      </c>
      <c r="O1003" s="48">
        <f t="shared" si="725"/>
        <v>5127.7800000003917</v>
      </c>
      <c r="P1003" s="38"/>
      <c r="Q1003" s="38"/>
      <c r="R1003" s="38">
        <v>-4399.3600000003898</v>
      </c>
      <c r="S1003" s="55">
        <f t="shared" si="726"/>
        <v>728.42000000000189</v>
      </c>
      <c r="T1003" s="48"/>
      <c r="U1003" s="49">
        <f t="shared" si="727"/>
        <v>59.330000000074506</v>
      </c>
      <c r="V1003" s="38"/>
      <c r="W1003" s="38"/>
      <c r="X1003" s="38">
        <v>-59.33</v>
      </c>
      <c r="Y1003" s="51">
        <f t="shared" si="728"/>
        <v>7.4507511271804105E-11</v>
      </c>
      <c r="Z1003" s="52"/>
      <c r="AA1003" s="53">
        <f t="shared" si="729"/>
        <v>158.84999999939464</v>
      </c>
      <c r="AB1003" s="38"/>
      <c r="AC1003" s="38"/>
      <c r="AD1003" s="38"/>
      <c r="AE1003" s="54">
        <f t="shared" si="730"/>
        <v>158.84999999939464</v>
      </c>
      <c r="AF1003" s="53"/>
      <c r="AG1003" s="53">
        <f t="shared" si="738"/>
        <v>207.79000000000235</v>
      </c>
      <c r="AH1003" s="38"/>
      <c r="AI1003" s="38"/>
      <c r="AJ1003" s="38"/>
      <c r="AK1003" s="54">
        <f t="shared" si="739"/>
        <v>207.79000000000235</v>
      </c>
      <c r="AL1003" s="53"/>
      <c r="AM1003" s="53">
        <f t="shared" si="719"/>
        <v>0</v>
      </c>
      <c r="AN1003" s="38"/>
      <c r="AO1003" s="38"/>
      <c r="AP1003" s="38"/>
      <c r="AQ1003" s="54">
        <f t="shared" si="720"/>
        <v>0</v>
      </c>
      <c r="AR1003" s="53"/>
      <c r="AS1003" s="29">
        <f t="shared" si="740"/>
        <v>7723616.0100000007</v>
      </c>
      <c r="AT1003" s="29">
        <f t="shared" si="741"/>
        <v>23224.070000000003</v>
      </c>
      <c r="AU1003" s="29">
        <f t="shared" si="742"/>
        <v>0</v>
      </c>
      <c r="AV1003" s="29">
        <f t="shared" si="743"/>
        <v>-271536.9900000004</v>
      </c>
      <c r="AW1003" s="29"/>
      <c r="AX1003" s="29">
        <f t="shared" si="744"/>
        <v>7475510.8799999999</v>
      </c>
      <c r="AY1003" s="29">
        <f t="shared" si="745"/>
        <v>9300000</v>
      </c>
      <c r="AZ1003" s="29">
        <f t="shared" si="746"/>
        <v>16775510.879999999</v>
      </c>
    </row>
    <row r="1004" spans="2:52" x14ac:dyDescent="0.3">
      <c r="B1004" s="99">
        <f t="shared" si="748"/>
        <v>45568</v>
      </c>
      <c r="C1004" s="44">
        <f t="shared" si="722"/>
        <v>1423276.1300000001</v>
      </c>
      <c r="D1004" s="38"/>
      <c r="E1004" s="38"/>
      <c r="F1004" s="38">
        <v>-27211.380000000099</v>
      </c>
      <c r="G1004" s="45">
        <f t="shared" si="737"/>
        <v>1396064.75</v>
      </c>
      <c r="H1004" s="44">
        <v>4300000</v>
      </c>
      <c r="I1004" s="46">
        <f t="shared" si="723"/>
        <v>6051139.6900000004</v>
      </c>
      <c r="J1004" s="38"/>
      <c r="K1004" s="38"/>
      <c r="L1004" s="38">
        <v>-3316305.85</v>
      </c>
      <c r="M1004" s="47">
        <f t="shared" si="724"/>
        <v>2734833.8400000003</v>
      </c>
      <c r="N1004" s="46">
        <v>5000000</v>
      </c>
      <c r="O1004" s="48">
        <f t="shared" si="725"/>
        <v>728.42000000000189</v>
      </c>
      <c r="P1004" s="38"/>
      <c r="Q1004" s="38">
        <v>-50</v>
      </c>
      <c r="R1004" s="38"/>
      <c r="S1004" s="55">
        <f t="shared" si="726"/>
        <v>678.42000000000189</v>
      </c>
      <c r="T1004" s="48"/>
      <c r="U1004" s="49">
        <f t="shared" si="727"/>
        <v>7.4507511271804105E-11</v>
      </c>
      <c r="V1004" s="38"/>
      <c r="W1004" s="38">
        <v>50</v>
      </c>
      <c r="X1004" s="38">
        <v>-7.67</v>
      </c>
      <c r="Y1004" s="51">
        <f t="shared" si="728"/>
        <v>42.330000000074506</v>
      </c>
      <c r="Z1004" s="52"/>
      <c r="AA1004" s="53">
        <f t="shared" si="729"/>
        <v>158.84999999939464</v>
      </c>
      <c r="AB1004" s="38"/>
      <c r="AC1004" s="38"/>
      <c r="AD1004" s="38"/>
      <c r="AE1004" s="54">
        <f t="shared" si="730"/>
        <v>158.84999999939464</v>
      </c>
      <c r="AF1004" s="53"/>
      <c r="AG1004" s="53">
        <f t="shared" si="738"/>
        <v>207.79000000000235</v>
      </c>
      <c r="AH1004" s="38"/>
      <c r="AI1004" s="38"/>
      <c r="AJ1004" s="38"/>
      <c r="AK1004" s="54">
        <f t="shared" si="739"/>
        <v>207.79000000000235</v>
      </c>
      <c r="AL1004" s="53"/>
      <c r="AM1004" s="53">
        <f t="shared" si="719"/>
        <v>0</v>
      </c>
      <c r="AN1004" s="38"/>
      <c r="AO1004" s="38"/>
      <c r="AP1004" s="38"/>
      <c r="AQ1004" s="54">
        <f t="shared" si="720"/>
        <v>0</v>
      </c>
      <c r="AR1004" s="53"/>
      <c r="AS1004" s="29">
        <f t="shared" si="740"/>
        <v>7475303.0899999999</v>
      </c>
      <c r="AT1004" s="29">
        <f t="shared" si="741"/>
        <v>0</v>
      </c>
      <c r="AU1004" s="29">
        <f t="shared" si="742"/>
        <v>0</v>
      </c>
      <c r="AV1004" s="29">
        <f t="shared" si="743"/>
        <v>-3343524.9</v>
      </c>
      <c r="AW1004" s="29"/>
      <c r="AX1004" s="29">
        <f t="shared" si="744"/>
        <v>4131985.9799999995</v>
      </c>
      <c r="AY1004" s="29">
        <f t="shared" si="745"/>
        <v>9300000</v>
      </c>
      <c r="AZ1004" s="29">
        <f t="shared" si="746"/>
        <v>13431985.98</v>
      </c>
    </row>
    <row r="1005" spans="2:52" x14ac:dyDescent="0.3">
      <c r="B1005" s="99">
        <f t="shared" si="748"/>
        <v>45569</v>
      </c>
      <c r="C1005" s="44">
        <f t="shared" si="722"/>
        <v>1396064.75</v>
      </c>
      <c r="D1005" s="38">
        <v>45305.14</v>
      </c>
      <c r="E1005" s="38"/>
      <c r="F1005" s="38">
        <v>-495</v>
      </c>
      <c r="G1005" s="45">
        <f t="shared" si="737"/>
        <v>1440874.89</v>
      </c>
      <c r="H1005" s="44">
        <v>4300000</v>
      </c>
      <c r="I1005" s="46">
        <f t="shared" si="723"/>
        <v>2734833.8400000003</v>
      </c>
      <c r="J1005" s="38">
        <v>28451.19</v>
      </c>
      <c r="K1005" s="38"/>
      <c r="L1005" s="38">
        <v>-616434.89</v>
      </c>
      <c r="M1005" s="47">
        <f t="shared" si="724"/>
        <v>2146850.14</v>
      </c>
      <c r="N1005" s="46">
        <v>5000000</v>
      </c>
      <c r="O1005" s="48">
        <f t="shared" si="725"/>
        <v>678.42000000000189</v>
      </c>
      <c r="P1005" s="38">
        <v>184</v>
      </c>
      <c r="Q1005" s="38"/>
      <c r="R1005" s="38"/>
      <c r="S1005" s="55">
        <f t="shared" si="726"/>
        <v>862.42000000000189</v>
      </c>
      <c r="T1005" s="48"/>
      <c r="U1005" s="49">
        <f t="shared" si="727"/>
        <v>42.330000000074506</v>
      </c>
      <c r="V1005" s="38"/>
      <c r="W1005" s="38"/>
      <c r="X1005" s="38"/>
      <c r="Y1005" s="51">
        <f t="shared" si="728"/>
        <v>42.330000000074506</v>
      </c>
      <c r="Z1005" s="52"/>
      <c r="AA1005" s="53">
        <f t="shared" si="729"/>
        <v>158.84999999939464</v>
      </c>
      <c r="AB1005" s="38">
        <v>9569.18</v>
      </c>
      <c r="AC1005" s="38"/>
      <c r="AD1005" s="38"/>
      <c r="AE1005" s="54">
        <f t="shared" si="730"/>
        <v>9728.0299999993949</v>
      </c>
      <c r="AF1005" s="53"/>
      <c r="AG1005" s="53">
        <f t="shared" si="738"/>
        <v>207.79000000000235</v>
      </c>
      <c r="AH1005" s="38"/>
      <c r="AI1005" s="38"/>
      <c r="AJ1005" s="38"/>
      <c r="AK1005" s="54">
        <f t="shared" si="739"/>
        <v>207.79000000000235</v>
      </c>
      <c r="AL1005" s="53"/>
      <c r="AM1005" s="53">
        <f t="shared" si="719"/>
        <v>0</v>
      </c>
      <c r="AN1005" s="38"/>
      <c r="AO1005" s="38"/>
      <c r="AP1005" s="38"/>
      <c r="AQ1005" s="54">
        <f t="shared" si="720"/>
        <v>0</v>
      </c>
      <c r="AR1005" s="53"/>
      <c r="AS1005" s="29">
        <f t="shared" si="740"/>
        <v>4131778.1899999995</v>
      </c>
      <c r="AT1005" s="29">
        <f t="shared" si="741"/>
        <v>83509.510000000009</v>
      </c>
      <c r="AU1005" s="29">
        <f t="shared" si="742"/>
        <v>0</v>
      </c>
      <c r="AV1005" s="29">
        <f t="shared" si="743"/>
        <v>-616929.89</v>
      </c>
      <c r="AW1005" s="29"/>
      <c r="AX1005" s="29">
        <f t="shared" si="744"/>
        <v>3598565.5999999996</v>
      </c>
      <c r="AY1005" s="29">
        <f t="shared" si="745"/>
        <v>9300000</v>
      </c>
      <c r="AZ1005" s="29">
        <f t="shared" si="746"/>
        <v>12898565.6</v>
      </c>
    </row>
    <row r="1006" spans="2:52" x14ac:dyDescent="0.3">
      <c r="B1006" s="99">
        <f t="shared" ref="B1006" si="752">B1005+3</f>
        <v>45572</v>
      </c>
      <c r="C1006" s="44">
        <f t="shared" si="722"/>
        <v>1440874.89</v>
      </c>
      <c r="D1006" s="38">
        <v>55497.87</v>
      </c>
      <c r="E1006" s="38"/>
      <c r="F1006" s="38"/>
      <c r="G1006" s="45">
        <f t="shared" si="737"/>
        <v>1496372.76</v>
      </c>
      <c r="H1006" s="44">
        <v>4300000</v>
      </c>
      <c r="I1006" s="46">
        <f t="shared" si="723"/>
        <v>2146850.14</v>
      </c>
      <c r="J1006" s="38">
        <v>209759.63</v>
      </c>
      <c r="K1006" s="38">
        <f>33000+255000+9000</f>
        <v>297000</v>
      </c>
      <c r="L1006" s="38">
        <v>-353312.21</v>
      </c>
      <c r="M1006" s="47">
        <f t="shared" si="724"/>
        <v>2300297.56</v>
      </c>
      <c r="N1006" s="46">
        <v>5000000</v>
      </c>
      <c r="O1006" s="48">
        <f t="shared" si="725"/>
        <v>862.42000000000189</v>
      </c>
      <c r="P1006" s="38">
        <v>259415.31</v>
      </c>
      <c r="Q1006" s="38">
        <v>-255000</v>
      </c>
      <c r="R1006" s="38"/>
      <c r="S1006" s="55">
        <f t="shared" si="726"/>
        <v>5277.7300000000105</v>
      </c>
      <c r="T1006" s="48"/>
      <c r="U1006" s="49">
        <f t="shared" si="727"/>
        <v>42.330000000074506</v>
      </c>
      <c r="V1006" s="38"/>
      <c r="W1006" s="38"/>
      <c r="X1006" s="38"/>
      <c r="Y1006" s="51">
        <f t="shared" si="728"/>
        <v>42.330000000074506</v>
      </c>
      <c r="Z1006" s="52"/>
      <c r="AA1006" s="53">
        <f t="shared" si="729"/>
        <v>9728.0299999993949</v>
      </c>
      <c r="AB1006" s="38"/>
      <c r="AC1006" s="38">
        <v>-9000</v>
      </c>
      <c r="AD1006" s="38"/>
      <c r="AE1006" s="54">
        <f t="shared" si="730"/>
        <v>728.02999999939493</v>
      </c>
      <c r="AF1006" s="53"/>
      <c r="AG1006" s="53">
        <f t="shared" si="738"/>
        <v>207.79000000000235</v>
      </c>
      <c r="AH1006" s="38">
        <v>33775.97</v>
      </c>
      <c r="AI1006" s="38">
        <v>-33000</v>
      </c>
      <c r="AJ1006" s="38"/>
      <c r="AK1006" s="54">
        <f t="shared" si="739"/>
        <v>983.76000000000204</v>
      </c>
      <c r="AL1006" s="53"/>
      <c r="AM1006" s="53">
        <f t="shared" si="719"/>
        <v>0</v>
      </c>
      <c r="AN1006" s="38"/>
      <c r="AO1006" s="38"/>
      <c r="AP1006" s="38"/>
      <c r="AQ1006" s="54">
        <f t="shared" si="720"/>
        <v>0</v>
      </c>
      <c r="AR1006" s="53"/>
      <c r="AS1006" s="29">
        <f t="shared" si="740"/>
        <v>3598357.8099999996</v>
      </c>
      <c r="AT1006" s="29">
        <f t="shared" si="741"/>
        <v>558448.78</v>
      </c>
      <c r="AU1006" s="29">
        <f t="shared" si="742"/>
        <v>0</v>
      </c>
      <c r="AV1006" s="29">
        <f t="shared" si="743"/>
        <v>-353312.21</v>
      </c>
      <c r="AW1006" s="29"/>
      <c r="AX1006" s="29">
        <f t="shared" si="744"/>
        <v>3803702.1699999995</v>
      </c>
      <c r="AY1006" s="29">
        <f t="shared" si="745"/>
        <v>9300000</v>
      </c>
      <c r="AZ1006" s="29">
        <f t="shared" si="746"/>
        <v>13103702.17</v>
      </c>
    </row>
    <row r="1007" spans="2:52" x14ac:dyDescent="0.3">
      <c r="B1007" s="99">
        <f t="shared" si="748"/>
        <v>45573</v>
      </c>
      <c r="C1007" s="44">
        <f t="shared" si="722"/>
        <v>1496372.76</v>
      </c>
      <c r="D1007" s="38"/>
      <c r="E1007" s="38"/>
      <c r="F1007" s="38">
        <v>-4308.13</v>
      </c>
      <c r="G1007" s="45">
        <f t="shared" si="737"/>
        <v>1492064.6300000001</v>
      </c>
      <c r="H1007" s="44">
        <v>4300000</v>
      </c>
      <c r="I1007" s="46">
        <f t="shared" si="723"/>
        <v>2300297.56</v>
      </c>
      <c r="J1007" s="38"/>
      <c r="K1007" s="38">
        <v>190000</v>
      </c>
      <c r="L1007" s="38">
        <v>-226852.46</v>
      </c>
      <c r="M1007" s="47">
        <f t="shared" si="724"/>
        <v>2263445.1</v>
      </c>
      <c r="N1007" s="46">
        <v>5000000</v>
      </c>
      <c r="O1007" s="48">
        <f t="shared" si="725"/>
        <v>5277.7300000000105</v>
      </c>
      <c r="P1007" s="38">
        <v>201061.55</v>
      </c>
      <c r="Q1007" s="38">
        <v>-190000</v>
      </c>
      <c r="R1007" s="38">
        <v>-6723.17</v>
      </c>
      <c r="S1007" s="55">
        <f t="shared" si="726"/>
        <v>9616.1099999999988</v>
      </c>
      <c r="T1007" s="48"/>
      <c r="U1007" s="49">
        <f t="shared" si="727"/>
        <v>42.330000000074506</v>
      </c>
      <c r="V1007" s="38"/>
      <c r="W1007" s="38"/>
      <c r="X1007" s="38"/>
      <c r="Y1007" s="51">
        <f t="shared" si="728"/>
        <v>42.330000000074506</v>
      </c>
      <c r="Z1007" s="52"/>
      <c r="AA1007" s="53">
        <f t="shared" si="729"/>
        <v>728.02999999939493</v>
      </c>
      <c r="AB1007" s="38"/>
      <c r="AC1007" s="38"/>
      <c r="AD1007" s="38"/>
      <c r="AE1007" s="54">
        <f t="shared" si="730"/>
        <v>728.02999999939493</v>
      </c>
      <c r="AF1007" s="53"/>
      <c r="AG1007" s="53">
        <f t="shared" si="738"/>
        <v>983.76000000000204</v>
      </c>
      <c r="AH1007" s="38"/>
      <c r="AI1007" s="38"/>
      <c r="AJ1007" s="38">
        <v>-9.9</v>
      </c>
      <c r="AK1007" s="54">
        <f t="shared" si="739"/>
        <v>973.86000000000206</v>
      </c>
      <c r="AL1007" s="53"/>
      <c r="AM1007" s="53">
        <f t="shared" si="719"/>
        <v>0</v>
      </c>
      <c r="AN1007" s="38"/>
      <c r="AO1007" s="38"/>
      <c r="AP1007" s="38"/>
      <c r="AQ1007" s="54">
        <f t="shared" si="720"/>
        <v>0</v>
      </c>
      <c r="AR1007" s="53"/>
      <c r="AS1007" s="29">
        <f t="shared" si="740"/>
        <v>3802718.4099999997</v>
      </c>
      <c r="AT1007" s="29">
        <f t="shared" si="741"/>
        <v>201061.55</v>
      </c>
      <c r="AU1007" s="29">
        <f t="shared" si="742"/>
        <v>0</v>
      </c>
      <c r="AV1007" s="29">
        <f t="shared" si="743"/>
        <v>-237893.66</v>
      </c>
      <c r="AW1007" s="29"/>
      <c r="AX1007" s="29">
        <f t="shared" si="744"/>
        <v>3766870.0599999996</v>
      </c>
      <c r="AY1007" s="29">
        <f t="shared" si="745"/>
        <v>9300000</v>
      </c>
      <c r="AZ1007" s="29">
        <f t="shared" si="746"/>
        <v>13066870.059999999</v>
      </c>
    </row>
    <row r="1008" spans="2:52" x14ac:dyDescent="0.3">
      <c r="B1008" s="99">
        <f t="shared" si="748"/>
        <v>45574</v>
      </c>
      <c r="C1008" s="44">
        <f t="shared" si="722"/>
        <v>1492064.6300000001</v>
      </c>
      <c r="D1008" s="38"/>
      <c r="E1008" s="38"/>
      <c r="F1008" s="38"/>
      <c r="G1008" s="45">
        <f t="shared" si="737"/>
        <v>1492064.6300000001</v>
      </c>
      <c r="H1008" s="44">
        <v>4300000</v>
      </c>
      <c r="I1008" s="46">
        <f t="shared" si="723"/>
        <v>2263445.1</v>
      </c>
      <c r="J1008" s="38"/>
      <c r="K1008" s="38"/>
      <c r="L1008" s="38">
        <v>-56808.51</v>
      </c>
      <c r="M1008" s="47">
        <f t="shared" si="724"/>
        <v>2206636.5900000003</v>
      </c>
      <c r="N1008" s="46">
        <v>5000000</v>
      </c>
      <c r="O1008" s="48">
        <f t="shared" si="725"/>
        <v>9616.1099999999988</v>
      </c>
      <c r="P1008" s="38"/>
      <c r="Q1008" s="38"/>
      <c r="R1008" s="38">
        <v>-1786.47</v>
      </c>
      <c r="S1008" s="55">
        <f t="shared" si="726"/>
        <v>7829.6399999999985</v>
      </c>
      <c r="T1008" s="48"/>
      <c r="U1008" s="49">
        <f t="shared" si="727"/>
        <v>42.330000000074506</v>
      </c>
      <c r="V1008" s="38"/>
      <c r="W1008" s="38"/>
      <c r="X1008" s="38"/>
      <c r="Y1008" s="51">
        <f t="shared" si="728"/>
        <v>42.330000000074506</v>
      </c>
      <c r="Z1008" s="52"/>
      <c r="AA1008" s="53">
        <f t="shared" si="729"/>
        <v>728.02999999939493</v>
      </c>
      <c r="AB1008" s="38"/>
      <c r="AC1008" s="38"/>
      <c r="AD1008" s="38"/>
      <c r="AE1008" s="54">
        <f t="shared" si="730"/>
        <v>728.02999999939493</v>
      </c>
      <c r="AF1008" s="53"/>
      <c r="AG1008" s="53">
        <f t="shared" si="738"/>
        <v>973.86000000000206</v>
      </c>
      <c r="AH1008" s="38"/>
      <c r="AI1008" s="38"/>
      <c r="AJ1008" s="38"/>
      <c r="AK1008" s="54">
        <f t="shared" si="739"/>
        <v>973.86000000000206</v>
      </c>
      <c r="AL1008" s="53"/>
      <c r="AM1008" s="53">
        <f t="shared" si="719"/>
        <v>0</v>
      </c>
      <c r="AN1008" s="38"/>
      <c r="AO1008" s="38"/>
      <c r="AP1008" s="38"/>
      <c r="AQ1008" s="54">
        <f t="shared" si="720"/>
        <v>0</v>
      </c>
      <c r="AR1008" s="53"/>
      <c r="AS1008" s="29">
        <f t="shared" si="740"/>
        <v>3765896.1999999997</v>
      </c>
      <c r="AT1008" s="29">
        <f t="shared" si="741"/>
        <v>0</v>
      </c>
      <c r="AU1008" s="29">
        <f t="shared" si="742"/>
        <v>0</v>
      </c>
      <c r="AV1008" s="29">
        <f t="shared" si="743"/>
        <v>-58594.98</v>
      </c>
      <c r="AW1008" s="29"/>
      <c r="AX1008" s="29">
        <f t="shared" si="744"/>
        <v>3708275.08</v>
      </c>
      <c r="AY1008" s="29">
        <f t="shared" si="745"/>
        <v>9300000</v>
      </c>
      <c r="AZ1008" s="29">
        <f t="shared" si="746"/>
        <v>13008275.08</v>
      </c>
    </row>
    <row r="1009" spans="2:52" x14ac:dyDescent="0.3">
      <c r="B1009" s="99">
        <f t="shared" si="748"/>
        <v>45575</v>
      </c>
      <c r="C1009" s="44">
        <f t="shared" si="722"/>
        <v>1492064.6300000001</v>
      </c>
      <c r="D1009" s="38">
        <v>1436.4</v>
      </c>
      <c r="E1009" s="38"/>
      <c r="F1009" s="38">
        <v>-20934.189999999999</v>
      </c>
      <c r="G1009" s="45">
        <f t="shared" si="737"/>
        <v>1472566.84</v>
      </c>
      <c r="H1009" s="44">
        <v>4300000</v>
      </c>
      <c r="I1009" s="46">
        <f t="shared" si="723"/>
        <v>2206636.5900000003</v>
      </c>
      <c r="J1009" s="38"/>
      <c r="K1009" s="38"/>
      <c r="L1009" s="38">
        <v>-72677.64</v>
      </c>
      <c r="M1009" s="47">
        <f t="shared" si="724"/>
        <v>2133958.9500000002</v>
      </c>
      <c r="N1009" s="46">
        <v>5000000</v>
      </c>
      <c r="O1009" s="48">
        <f t="shared" si="725"/>
        <v>7829.6399999999985</v>
      </c>
      <c r="P1009" s="38"/>
      <c r="Q1009" s="38"/>
      <c r="R1009" s="38"/>
      <c r="S1009" s="55">
        <f t="shared" si="726"/>
        <v>7829.6399999999985</v>
      </c>
      <c r="T1009" s="48"/>
      <c r="U1009" s="49">
        <f t="shared" si="727"/>
        <v>42.330000000074506</v>
      </c>
      <c r="V1009" s="38"/>
      <c r="W1009" s="38"/>
      <c r="X1009" s="38"/>
      <c r="Y1009" s="51">
        <f t="shared" si="728"/>
        <v>42.330000000074506</v>
      </c>
      <c r="Z1009" s="52"/>
      <c r="AA1009" s="53">
        <f t="shared" si="729"/>
        <v>728.02999999939493</v>
      </c>
      <c r="AB1009" s="38"/>
      <c r="AC1009" s="38"/>
      <c r="AD1009" s="38">
        <v>-460</v>
      </c>
      <c r="AE1009" s="54">
        <f t="shared" si="730"/>
        <v>268.02999999939493</v>
      </c>
      <c r="AF1009" s="53"/>
      <c r="AG1009" s="53">
        <f t="shared" si="738"/>
        <v>973.86000000000206</v>
      </c>
      <c r="AH1009" s="38"/>
      <c r="AI1009" s="38"/>
      <c r="AJ1009" s="38"/>
      <c r="AK1009" s="54">
        <f t="shared" si="739"/>
        <v>973.86000000000206</v>
      </c>
      <c r="AL1009" s="53"/>
      <c r="AM1009" s="53">
        <f t="shared" si="719"/>
        <v>0</v>
      </c>
      <c r="AN1009" s="38"/>
      <c r="AO1009" s="38"/>
      <c r="AP1009" s="38"/>
      <c r="AQ1009" s="54">
        <f t="shared" si="720"/>
        <v>0</v>
      </c>
      <c r="AR1009" s="53"/>
      <c r="AS1009" s="29">
        <f t="shared" si="740"/>
        <v>3707301.22</v>
      </c>
      <c r="AT1009" s="29">
        <f t="shared" si="741"/>
        <v>1436.4</v>
      </c>
      <c r="AU1009" s="29">
        <f t="shared" si="742"/>
        <v>0</v>
      </c>
      <c r="AV1009" s="29">
        <f t="shared" si="743"/>
        <v>-94071.83</v>
      </c>
      <c r="AW1009" s="29"/>
      <c r="AX1009" s="29">
        <f t="shared" si="744"/>
        <v>3615639.6499999994</v>
      </c>
      <c r="AY1009" s="29">
        <f t="shared" si="745"/>
        <v>9300000</v>
      </c>
      <c r="AZ1009" s="29">
        <f t="shared" si="746"/>
        <v>12915639.649999999</v>
      </c>
    </row>
    <row r="1010" spans="2:52" x14ac:dyDescent="0.3">
      <c r="B1010" s="99">
        <f t="shared" si="748"/>
        <v>45576</v>
      </c>
      <c r="C1010" s="44">
        <f t="shared" si="722"/>
        <v>1472566.84</v>
      </c>
      <c r="D1010" s="38">
        <f>417759.3+147881.19+17900.24</f>
        <v>583540.73</v>
      </c>
      <c r="E1010" s="38"/>
      <c r="F1010" s="38">
        <v>-8527.07</v>
      </c>
      <c r="G1010" s="45">
        <f t="shared" si="737"/>
        <v>2047580.5</v>
      </c>
      <c r="H1010" s="44">
        <v>4300000</v>
      </c>
      <c r="I1010" s="46">
        <f t="shared" si="723"/>
        <v>2133958.9500000002</v>
      </c>
      <c r="J1010" s="38">
        <v>3845.8</v>
      </c>
      <c r="K1010" s="38"/>
      <c r="L1010" s="38">
        <v>-41843.83</v>
      </c>
      <c r="M1010" s="47">
        <f t="shared" si="724"/>
        <v>2095960.92</v>
      </c>
      <c r="N1010" s="46">
        <v>5000000</v>
      </c>
      <c r="O1010" s="48">
        <f t="shared" si="725"/>
        <v>7829.6399999999985</v>
      </c>
      <c r="P1010" s="38"/>
      <c r="Q1010" s="38"/>
      <c r="R1010" s="38"/>
      <c r="S1010" s="55">
        <f t="shared" si="726"/>
        <v>7829.6399999999985</v>
      </c>
      <c r="T1010" s="48"/>
      <c r="U1010" s="49">
        <f t="shared" si="727"/>
        <v>42.330000000074506</v>
      </c>
      <c r="V1010" s="38"/>
      <c r="W1010" s="38"/>
      <c r="X1010" s="38"/>
      <c r="Y1010" s="51">
        <f t="shared" si="728"/>
        <v>42.330000000074506</v>
      </c>
      <c r="Z1010" s="52"/>
      <c r="AA1010" s="53">
        <f t="shared" si="729"/>
        <v>268.02999999939493</v>
      </c>
      <c r="AB1010" s="38"/>
      <c r="AC1010" s="38"/>
      <c r="AD1010" s="38"/>
      <c r="AE1010" s="54">
        <f t="shared" si="730"/>
        <v>268.02999999939493</v>
      </c>
      <c r="AF1010" s="53"/>
      <c r="AG1010" s="53">
        <f t="shared" si="738"/>
        <v>973.86000000000206</v>
      </c>
      <c r="AH1010" s="38"/>
      <c r="AI1010" s="38"/>
      <c r="AJ1010" s="38"/>
      <c r="AK1010" s="54">
        <f t="shared" si="739"/>
        <v>973.86000000000206</v>
      </c>
      <c r="AL1010" s="53"/>
      <c r="AM1010" s="53">
        <f t="shared" si="719"/>
        <v>0</v>
      </c>
      <c r="AN1010" s="38"/>
      <c r="AO1010" s="38"/>
      <c r="AP1010" s="38"/>
      <c r="AQ1010" s="54">
        <f t="shared" si="720"/>
        <v>0</v>
      </c>
      <c r="AR1010" s="53"/>
      <c r="AS1010" s="29">
        <f t="shared" si="740"/>
        <v>3614665.7899999996</v>
      </c>
      <c r="AT1010" s="29">
        <f t="shared" si="741"/>
        <v>587386.53</v>
      </c>
      <c r="AU1010" s="29">
        <f t="shared" si="742"/>
        <v>0</v>
      </c>
      <c r="AV1010" s="29">
        <f t="shared" si="743"/>
        <v>-50370.9</v>
      </c>
      <c r="AW1010" s="29"/>
      <c r="AX1010" s="29">
        <f t="shared" si="744"/>
        <v>4152655.2799999993</v>
      </c>
      <c r="AY1010" s="29">
        <f t="shared" si="745"/>
        <v>9300000</v>
      </c>
      <c r="AZ1010" s="29">
        <f t="shared" si="746"/>
        <v>13452655.279999999</v>
      </c>
    </row>
    <row r="1011" spans="2:52" x14ac:dyDescent="0.3">
      <c r="B1011" s="99">
        <f t="shared" ref="B1011" si="753">B1010+3</f>
        <v>45579</v>
      </c>
      <c r="C1011" s="44">
        <f t="shared" si="722"/>
        <v>2047580.5</v>
      </c>
      <c r="D1011" s="38"/>
      <c r="E1011" s="38"/>
      <c r="F1011" s="38">
        <v>-6548.09</v>
      </c>
      <c r="G1011" s="45">
        <f t="shared" si="737"/>
        <v>2041032.41</v>
      </c>
      <c r="H1011" s="44">
        <v>4300000</v>
      </c>
      <c r="I1011" s="46">
        <f t="shared" si="723"/>
        <v>2095960.92</v>
      </c>
      <c r="J1011" s="38"/>
      <c r="K1011" s="38">
        <v>120000</v>
      </c>
      <c r="L1011" s="38">
        <v>-141598.87</v>
      </c>
      <c r="M1011" s="47">
        <f t="shared" si="724"/>
        <v>2074362.0499999998</v>
      </c>
      <c r="N1011" s="46">
        <v>5000000</v>
      </c>
      <c r="O1011" s="48">
        <f t="shared" si="725"/>
        <v>7829.6399999999985</v>
      </c>
      <c r="P1011" s="38"/>
      <c r="Q1011" s="38"/>
      <c r="R1011" s="38"/>
      <c r="S1011" s="55">
        <f t="shared" si="726"/>
        <v>7829.6399999999985</v>
      </c>
      <c r="T1011" s="48"/>
      <c r="U1011" s="49">
        <f t="shared" si="727"/>
        <v>42.330000000074506</v>
      </c>
      <c r="V1011" s="38"/>
      <c r="W1011" s="38"/>
      <c r="X1011" s="38"/>
      <c r="Y1011" s="51">
        <f t="shared" si="728"/>
        <v>42.330000000074506</v>
      </c>
      <c r="Z1011" s="52"/>
      <c r="AA1011" s="53">
        <f t="shared" si="729"/>
        <v>268.02999999939493</v>
      </c>
      <c r="AB1011" s="38"/>
      <c r="AC1011" s="38"/>
      <c r="AD1011" s="38"/>
      <c r="AE1011" s="54">
        <f t="shared" si="730"/>
        <v>268.02999999939493</v>
      </c>
      <c r="AF1011" s="53"/>
      <c r="AG1011" s="53">
        <f t="shared" si="738"/>
        <v>973.86000000000206</v>
      </c>
      <c r="AH1011" s="38">
        <v>155297.35</v>
      </c>
      <c r="AI1011" s="38">
        <v>-120000</v>
      </c>
      <c r="AJ1011" s="38">
        <v>-36125</v>
      </c>
      <c r="AK1011" s="54">
        <f t="shared" si="739"/>
        <v>146.21000000002095</v>
      </c>
      <c r="AL1011" s="53"/>
      <c r="AM1011" s="53">
        <f t="shared" si="719"/>
        <v>0</v>
      </c>
      <c r="AN1011" s="38"/>
      <c r="AO1011" s="38"/>
      <c r="AP1011" s="38"/>
      <c r="AQ1011" s="54">
        <f t="shared" si="720"/>
        <v>0</v>
      </c>
      <c r="AR1011" s="53"/>
      <c r="AS1011" s="29">
        <f t="shared" si="740"/>
        <v>4151681.4199999995</v>
      </c>
      <c r="AT1011" s="29">
        <f t="shared" si="741"/>
        <v>155297.35</v>
      </c>
      <c r="AU1011" s="29">
        <f t="shared" si="742"/>
        <v>0</v>
      </c>
      <c r="AV1011" s="29">
        <f t="shared" si="743"/>
        <v>-184271.96</v>
      </c>
      <c r="AW1011" s="29"/>
      <c r="AX1011" s="29">
        <f t="shared" si="744"/>
        <v>4123680.6699999995</v>
      </c>
      <c r="AY1011" s="29">
        <f t="shared" si="745"/>
        <v>9300000</v>
      </c>
      <c r="AZ1011" s="29">
        <f t="shared" si="746"/>
        <v>13423680.67</v>
      </c>
    </row>
    <row r="1012" spans="2:52" x14ac:dyDescent="0.3">
      <c r="B1012" s="99">
        <f t="shared" si="748"/>
        <v>45580</v>
      </c>
      <c r="C1012" s="44">
        <f t="shared" si="722"/>
        <v>2041032.41</v>
      </c>
      <c r="D1012" s="38">
        <v>1986.68</v>
      </c>
      <c r="E1012" s="38"/>
      <c r="F1012" s="38">
        <v>-25898.87</v>
      </c>
      <c r="G1012" s="45">
        <f t="shared" si="737"/>
        <v>2017120.2199999997</v>
      </c>
      <c r="H1012" s="44">
        <v>4300000</v>
      </c>
      <c r="I1012" s="46">
        <f t="shared" si="723"/>
        <v>2074362.0499999998</v>
      </c>
      <c r="J1012" s="38">
        <v>207038.98</v>
      </c>
      <c r="K1012" s="38"/>
      <c r="L1012" s="38">
        <v>-104925.39</v>
      </c>
      <c r="M1012" s="47">
        <f t="shared" si="724"/>
        <v>2176475.6399999997</v>
      </c>
      <c r="N1012" s="46">
        <v>5000000</v>
      </c>
      <c r="O1012" s="48">
        <f t="shared" si="725"/>
        <v>7829.6399999999985</v>
      </c>
      <c r="P1012" s="38"/>
      <c r="Q1012" s="38"/>
      <c r="R1012" s="38">
        <v>-47.06</v>
      </c>
      <c r="S1012" s="55">
        <f t="shared" si="726"/>
        <v>7782.5799999999981</v>
      </c>
      <c r="T1012" s="48"/>
      <c r="U1012" s="49">
        <f t="shared" si="727"/>
        <v>42.330000000074506</v>
      </c>
      <c r="V1012" s="38"/>
      <c r="W1012" s="38"/>
      <c r="X1012" s="38"/>
      <c r="Y1012" s="51">
        <f t="shared" si="728"/>
        <v>42.330000000074506</v>
      </c>
      <c r="Z1012" s="52"/>
      <c r="AA1012" s="53">
        <f t="shared" si="729"/>
        <v>268.02999999939493</v>
      </c>
      <c r="AB1012" s="38"/>
      <c r="AC1012" s="38"/>
      <c r="AD1012" s="38"/>
      <c r="AE1012" s="54">
        <f t="shared" si="730"/>
        <v>268.02999999939493</v>
      </c>
      <c r="AF1012" s="53"/>
      <c r="AG1012" s="53">
        <f t="shared" si="738"/>
        <v>146.21000000002095</v>
      </c>
      <c r="AH1012" s="38"/>
      <c r="AI1012" s="38"/>
      <c r="AJ1012" s="38">
        <v>-9.9</v>
      </c>
      <c r="AK1012" s="54">
        <f t="shared" si="739"/>
        <v>136.31000000002095</v>
      </c>
      <c r="AL1012" s="53"/>
      <c r="AM1012" s="53">
        <f t="shared" si="719"/>
        <v>0</v>
      </c>
      <c r="AN1012" s="38"/>
      <c r="AO1012" s="38"/>
      <c r="AP1012" s="38"/>
      <c r="AQ1012" s="54">
        <f t="shared" si="720"/>
        <v>0</v>
      </c>
      <c r="AR1012" s="53"/>
      <c r="AS1012" s="29">
        <f t="shared" si="740"/>
        <v>4123534.4599999995</v>
      </c>
      <c r="AT1012" s="29">
        <f t="shared" si="741"/>
        <v>209025.66</v>
      </c>
      <c r="AU1012" s="29">
        <f t="shared" si="742"/>
        <v>0</v>
      </c>
      <c r="AV1012" s="29">
        <f t="shared" si="743"/>
        <v>-130881.21999999999</v>
      </c>
      <c r="AW1012" s="29"/>
      <c r="AX1012" s="29">
        <f t="shared" si="744"/>
        <v>4201825.1099999985</v>
      </c>
      <c r="AY1012" s="29">
        <f t="shared" si="745"/>
        <v>9300000</v>
      </c>
      <c r="AZ1012" s="29">
        <f t="shared" si="746"/>
        <v>13501825.109999999</v>
      </c>
    </row>
    <row r="1013" spans="2:52" x14ac:dyDescent="0.3">
      <c r="B1013" s="99">
        <f t="shared" si="748"/>
        <v>45581</v>
      </c>
      <c r="C1013" s="44">
        <f t="shared" si="722"/>
        <v>2017120.2199999997</v>
      </c>
      <c r="D1013" s="38">
        <f>60446.49+106989+45048</f>
        <v>212483.49</v>
      </c>
      <c r="E1013" s="38"/>
      <c r="F1013" s="38"/>
      <c r="G1013" s="45">
        <f t="shared" si="737"/>
        <v>2229603.71</v>
      </c>
      <c r="H1013" s="44">
        <v>4300000</v>
      </c>
      <c r="I1013" s="46">
        <f t="shared" si="723"/>
        <v>2176475.6399999997</v>
      </c>
      <c r="J1013" s="38"/>
      <c r="K1013" s="38">
        <v>110000</v>
      </c>
      <c r="L1013" s="38">
        <v>-62390.66</v>
      </c>
      <c r="M1013" s="47">
        <f t="shared" si="724"/>
        <v>2224084.9799999995</v>
      </c>
      <c r="N1013" s="46">
        <v>5000000</v>
      </c>
      <c r="O1013" s="48">
        <f t="shared" si="725"/>
        <v>7782.5799999999981</v>
      </c>
      <c r="P1013" s="38">
        <v>104011.41</v>
      </c>
      <c r="Q1013" s="38">
        <v>-110000</v>
      </c>
      <c r="R1013" s="38"/>
      <c r="S1013" s="55">
        <f t="shared" si="726"/>
        <v>1793.9900000000052</v>
      </c>
      <c r="T1013" s="48"/>
      <c r="U1013" s="49">
        <f t="shared" si="727"/>
        <v>42.330000000074506</v>
      </c>
      <c r="V1013" s="38"/>
      <c r="W1013" s="38"/>
      <c r="X1013" s="38"/>
      <c r="Y1013" s="51">
        <f t="shared" si="728"/>
        <v>42.330000000074506</v>
      </c>
      <c r="Z1013" s="52"/>
      <c r="AA1013" s="53">
        <f t="shared" si="729"/>
        <v>268.02999999939493</v>
      </c>
      <c r="AB1013" s="38"/>
      <c r="AC1013" s="38"/>
      <c r="AD1013" s="38"/>
      <c r="AE1013" s="54">
        <f t="shared" si="730"/>
        <v>268.02999999939493</v>
      </c>
      <c r="AF1013" s="53"/>
      <c r="AG1013" s="53">
        <f t="shared" si="738"/>
        <v>136.31000000002095</v>
      </c>
      <c r="AH1013" s="38"/>
      <c r="AI1013" s="38"/>
      <c r="AJ1013" s="38"/>
      <c r="AK1013" s="54">
        <f t="shared" si="739"/>
        <v>136.31000000002095</v>
      </c>
      <c r="AL1013" s="53"/>
      <c r="AM1013" s="53">
        <f t="shared" ref="AM1013:AM1076" si="754">AQ1012</f>
        <v>0</v>
      </c>
      <c r="AN1013" s="38"/>
      <c r="AO1013" s="38"/>
      <c r="AP1013" s="38"/>
      <c r="AQ1013" s="54">
        <f t="shared" ref="AQ1013:AQ1076" si="755">SUM(AM1013:AP1013)</f>
        <v>0</v>
      </c>
      <c r="AR1013" s="53"/>
      <c r="AS1013" s="29">
        <f t="shared" si="740"/>
        <v>4201688.7999999989</v>
      </c>
      <c r="AT1013" s="29">
        <f t="shared" si="741"/>
        <v>316494.90000000002</v>
      </c>
      <c r="AU1013" s="29">
        <f t="shared" si="742"/>
        <v>0</v>
      </c>
      <c r="AV1013" s="29">
        <f t="shared" si="743"/>
        <v>-62390.66</v>
      </c>
      <c r="AW1013" s="29"/>
      <c r="AX1013" s="29">
        <f t="shared" si="744"/>
        <v>4455929.3499999987</v>
      </c>
      <c r="AY1013" s="29">
        <f t="shared" si="745"/>
        <v>9300000</v>
      </c>
      <c r="AZ1013" s="29">
        <f t="shared" si="746"/>
        <v>13755929.349999998</v>
      </c>
    </row>
    <row r="1014" spans="2:52" x14ac:dyDescent="0.3">
      <c r="B1014" s="99">
        <f t="shared" si="748"/>
        <v>45582</v>
      </c>
      <c r="C1014" s="44">
        <f t="shared" si="722"/>
        <v>2229603.71</v>
      </c>
      <c r="D1014" s="38"/>
      <c r="E1014" s="38"/>
      <c r="F1014" s="38">
        <v>-1945778.28</v>
      </c>
      <c r="G1014" s="45">
        <f t="shared" si="737"/>
        <v>283825.42999999993</v>
      </c>
      <c r="H1014" s="44">
        <v>4300000</v>
      </c>
      <c r="I1014" s="46">
        <f t="shared" si="723"/>
        <v>2224084.9799999995</v>
      </c>
      <c r="J1014" s="38"/>
      <c r="K1014" s="38"/>
      <c r="L1014" s="38">
        <v>-1153159.81</v>
      </c>
      <c r="M1014" s="47">
        <f t="shared" si="724"/>
        <v>1070925.1699999995</v>
      </c>
      <c r="N1014" s="46">
        <v>5000000</v>
      </c>
      <c r="O1014" s="48">
        <f t="shared" si="725"/>
        <v>1793.9900000000052</v>
      </c>
      <c r="P1014" s="38"/>
      <c r="Q1014" s="38"/>
      <c r="R1014" s="38">
        <v>-10</v>
      </c>
      <c r="S1014" s="55">
        <f t="shared" si="726"/>
        <v>1783.9900000000052</v>
      </c>
      <c r="T1014" s="48"/>
      <c r="U1014" s="49">
        <f t="shared" si="727"/>
        <v>42.330000000074506</v>
      </c>
      <c r="V1014" s="38"/>
      <c r="W1014" s="38"/>
      <c r="X1014" s="38"/>
      <c r="Y1014" s="51">
        <f t="shared" si="728"/>
        <v>42.330000000074506</v>
      </c>
      <c r="Z1014" s="52"/>
      <c r="AA1014" s="53">
        <f t="shared" si="729"/>
        <v>268.02999999939493</v>
      </c>
      <c r="AB1014" s="38"/>
      <c r="AC1014" s="38"/>
      <c r="AD1014" s="38"/>
      <c r="AE1014" s="54">
        <f t="shared" si="730"/>
        <v>268.02999999939493</v>
      </c>
      <c r="AF1014" s="53"/>
      <c r="AG1014" s="53">
        <f t="shared" si="738"/>
        <v>136.31000000002095</v>
      </c>
      <c r="AH1014" s="38"/>
      <c r="AI1014" s="38"/>
      <c r="AJ1014" s="38"/>
      <c r="AK1014" s="54">
        <f t="shared" si="739"/>
        <v>136.31000000002095</v>
      </c>
      <c r="AL1014" s="53"/>
      <c r="AM1014" s="53">
        <f t="shared" si="754"/>
        <v>0</v>
      </c>
      <c r="AN1014" s="38"/>
      <c r="AO1014" s="38"/>
      <c r="AP1014" s="38"/>
      <c r="AQ1014" s="54">
        <f t="shared" si="755"/>
        <v>0</v>
      </c>
      <c r="AR1014" s="53"/>
      <c r="AS1014" s="29">
        <f t="shared" si="740"/>
        <v>4455793.0399999991</v>
      </c>
      <c r="AT1014" s="29">
        <f t="shared" si="741"/>
        <v>0</v>
      </c>
      <c r="AU1014" s="29">
        <f t="shared" si="742"/>
        <v>0</v>
      </c>
      <c r="AV1014" s="29">
        <f t="shared" si="743"/>
        <v>-3098948.09</v>
      </c>
      <c r="AW1014" s="29"/>
      <c r="AX1014" s="29">
        <f t="shared" si="744"/>
        <v>1356981.2599999988</v>
      </c>
      <c r="AY1014" s="29">
        <f t="shared" si="745"/>
        <v>9300000</v>
      </c>
      <c r="AZ1014" s="29">
        <f t="shared" si="746"/>
        <v>10656981.259999998</v>
      </c>
    </row>
    <row r="1015" spans="2:52" x14ac:dyDescent="0.3">
      <c r="B1015" s="99">
        <f t="shared" si="748"/>
        <v>45583</v>
      </c>
      <c r="C1015" s="44">
        <f t="shared" si="722"/>
        <v>283825.42999999993</v>
      </c>
      <c r="D1015" s="38">
        <v>41561.089999999997</v>
      </c>
      <c r="E1015" s="38"/>
      <c r="F1015" s="38"/>
      <c r="G1015" s="45">
        <f t="shared" si="737"/>
        <v>325386.5199999999</v>
      </c>
      <c r="H1015" s="44">
        <v>4300000</v>
      </c>
      <c r="I1015" s="46">
        <f t="shared" si="723"/>
        <v>1070925.1699999995</v>
      </c>
      <c r="J1015" s="38"/>
      <c r="K1015" s="38"/>
      <c r="L1015" s="38">
        <v>-29200.080000000002</v>
      </c>
      <c r="M1015" s="47">
        <f t="shared" si="724"/>
        <v>1041725.0899999995</v>
      </c>
      <c r="N1015" s="46">
        <v>5000000</v>
      </c>
      <c r="O1015" s="48">
        <f t="shared" si="725"/>
        <v>1783.9900000000052</v>
      </c>
      <c r="P1015" s="38">
        <v>118695.61</v>
      </c>
      <c r="Q1015" s="38"/>
      <c r="R1015" s="38"/>
      <c r="S1015" s="55">
        <f t="shared" si="726"/>
        <v>120479.6</v>
      </c>
      <c r="T1015" s="48"/>
      <c r="U1015" s="49">
        <f t="shared" si="727"/>
        <v>42.330000000074506</v>
      </c>
      <c r="V1015" s="38"/>
      <c r="W1015" s="38"/>
      <c r="X1015" s="38"/>
      <c r="Y1015" s="51">
        <f t="shared" si="728"/>
        <v>42.330000000074506</v>
      </c>
      <c r="Z1015" s="52"/>
      <c r="AA1015" s="53">
        <f t="shared" si="729"/>
        <v>268.02999999939493</v>
      </c>
      <c r="AB1015" s="38"/>
      <c r="AC1015" s="38"/>
      <c r="AD1015" s="38"/>
      <c r="AE1015" s="54">
        <f t="shared" si="730"/>
        <v>268.02999999939493</v>
      </c>
      <c r="AF1015" s="53"/>
      <c r="AG1015" s="53">
        <f t="shared" si="738"/>
        <v>136.31000000002095</v>
      </c>
      <c r="AH1015" s="38"/>
      <c r="AI1015" s="38"/>
      <c r="AJ1015" s="38"/>
      <c r="AK1015" s="54">
        <f t="shared" si="739"/>
        <v>136.31000000002095</v>
      </c>
      <c r="AL1015" s="53"/>
      <c r="AM1015" s="53">
        <f t="shared" si="754"/>
        <v>0</v>
      </c>
      <c r="AN1015" s="38"/>
      <c r="AO1015" s="38"/>
      <c r="AP1015" s="38"/>
      <c r="AQ1015" s="54">
        <f t="shared" si="755"/>
        <v>0</v>
      </c>
      <c r="AR1015" s="53"/>
      <c r="AS1015" s="29">
        <f t="shared" si="740"/>
        <v>1356844.9499999988</v>
      </c>
      <c r="AT1015" s="29">
        <f t="shared" si="741"/>
        <v>160256.70000000001</v>
      </c>
      <c r="AU1015" s="29">
        <f t="shared" si="742"/>
        <v>0</v>
      </c>
      <c r="AV1015" s="29">
        <f t="shared" si="743"/>
        <v>-29200.080000000002</v>
      </c>
      <c r="AW1015" s="29"/>
      <c r="AX1015" s="29">
        <f t="shared" si="744"/>
        <v>1488037.879999999</v>
      </c>
      <c r="AY1015" s="29">
        <f t="shared" si="745"/>
        <v>9300000</v>
      </c>
      <c r="AZ1015" s="29">
        <f t="shared" si="746"/>
        <v>10788037.879999999</v>
      </c>
    </row>
    <row r="1016" spans="2:52" x14ac:dyDescent="0.3">
      <c r="B1016" s="99">
        <f t="shared" ref="B1016" si="756">B1015+3</f>
        <v>45586</v>
      </c>
      <c r="C1016" s="44">
        <f t="shared" si="722"/>
        <v>325386.5199999999</v>
      </c>
      <c r="D1016" s="38">
        <v>28673.05</v>
      </c>
      <c r="E1016" s="38">
        <f>193000+255000</f>
        <v>448000</v>
      </c>
      <c r="F1016" s="38">
        <v>-797594.72</v>
      </c>
      <c r="G1016" s="45">
        <f t="shared" si="737"/>
        <v>4464.8499999998603</v>
      </c>
      <c r="H1016" s="44">
        <v>4300000</v>
      </c>
      <c r="I1016" s="46">
        <f t="shared" si="723"/>
        <v>1041725.0899999995</v>
      </c>
      <c r="J1016" s="38"/>
      <c r="K1016" s="38">
        <v>-255000</v>
      </c>
      <c r="L1016" s="38">
        <v>-169504.03</v>
      </c>
      <c r="M1016" s="47">
        <f t="shared" si="724"/>
        <v>617221.05999999947</v>
      </c>
      <c r="N1016" s="46">
        <v>5000000</v>
      </c>
      <c r="O1016" s="48">
        <f t="shared" si="725"/>
        <v>120479.6</v>
      </c>
      <c r="P1016" s="38">
        <v>76392.929999999993</v>
      </c>
      <c r="Q1016" s="38">
        <v>-193000</v>
      </c>
      <c r="R1016" s="38">
        <v>-250</v>
      </c>
      <c r="S1016" s="55">
        <f t="shared" si="726"/>
        <v>3622.5299999999988</v>
      </c>
      <c r="T1016" s="48"/>
      <c r="U1016" s="49">
        <f t="shared" si="727"/>
        <v>42.330000000074506</v>
      </c>
      <c r="V1016" s="38"/>
      <c r="W1016" s="38"/>
      <c r="X1016" s="38"/>
      <c r="Y1016" s="51">
        <f t="shared" si="728"/>
        <v>42.330000000074506</v>
      </c>
      <c r="Z1016" s="52"/>
      <c r="AA1016" s="53">
        <f t="shared" si="729"/>
        <v>268.02999999939493</v>
      </c>
      <c r="AB1016" s="38"/>
      <c r="AC1016" s="38"/>
      <c r="AD1016" s="38"/>
      <c r="AE1016" s="54">
        <f t="shared" si="730"/>
        <v>268.02999999939493</v>
      </c>
      <c r="AF1016" s="53"/>
      <c r="AG1016" s="53">
        <f t="shared" si="738"/>
        <v>136.31000000002095</v>
      </c>
      <c r="AH1016" s="38"/>
      <c r="AI1016" s="38"/>
      <c r="AJ1016" s="38"/>
      <c r="AK1016" s="54">
        <f t="shared" si="739"/>
        <v>136.31000000002095</v>
      </c>
      <c r="AL1016" s="53"/>
      <c r="AM1016" s="53">
        <f t="shared" si="754"/>
        <v>0</v>
      </c>
      <c r="AN1016" s="38"/>
      <c r="AO1016" s="38"/>
      <c r="AP1016" s="38"/>
      <c r="AQ1016" s="54">
        <f t="shared" si="755"/>
        <v>0</v>
      </c>
      <c r="AR1016" s="53"/>
      <c r="AS1016" s="29">
        <f t="shared" si="740"/>
        <v>1487901.5699999989</v>
      </c>
      <c r="AT1016" s="29">
        <f t="shared" si="741"/>
        <v>105065.98</v>
      </c>
      <c r="AU1016" s="29">
        <f t="shared" si="742"/>
        <v>0</v>
      </c>
      <c r="AV1016" s="29">
        <f t="shared" si="743"/>
        <v>-967348.75</v>
      </c>
      <c r="AW1016" s="29"/>
      <c r="AX1016" s="29">
        <f t="shared" si="744"/>
        <v>625755.10999999894</v>
      </c>
      <c r="AY1016" s="29">
        <f t="shared" si="745"/>
        <v>9300000</v>
      </c>
      <c r="AZ1016" s="29">
        <f t="shared" si="746"/>
        <v>9925755.1099999994</v>
      </c>
    </row>
    <row r="1017" spans="2:52" x14ac:dyDescent="0.3">
      <c r="B1017" s="99">
        <f t="shared" si="748"/>
        <v>45587</v>
      </c>
      <c r="C1017" s="44">
        <f t="shared" si="722"/>
        <v>4464.8499999998603</v>
      </c>
      <c r="D1017" s="38">
        <f>32301.82+42239.37+52085.29+12204.23</f>
        <v>138830.71000000002</v>
      </c>
      <c r="E1017" s="38"/>
      <c r="F1017" s="38">
        <f>-221.19-1700</f>
        <v>-1921.19</v>
      </c>
      <c r="G1017" s="45">
        <f t="shared" si="737"/>
        <v>141374.36999999988</v>
      </c>
      <c r="H1017" s="44">
        <v>4300000</v>
      </c>
      <c r="I1017" s="46">
        <f t="shared" si="723"/>
        <v>617221.05999999947</v>
      </c>
      <c r="J1017" s="38">
        <v>210191.87</v>
      </c>
      <c r="K1017" s="38"/>
      <c r="L1017" s="38">
        <v>-129451.79</v>
      </c>
      <c r="M1017" s="47">
        <f t="shared" si="724"/>
        <v>697961.13999999943</v>
      </c>
      <c r="N1017" s="46">
        <v>5000000</v>
      </c>
      <c r="O1017" s="48">
        <f t="shared" si="725"/>
        <v>3622.5299999999988</v>
      </c>
      <c r="P1017" s="38">
        <v>276.3</v>
      </c>
      <c r="Q1017" s="38"/>
      <c r="R1017" s="38">
        <v>-10</v>
      </c>
      <c r="S1017" s="55">
        <f t="shared" si="726"/>
        <v>3888.829999999999</v>
      </c>
      <c r="T1017" s="48"/>
      <c r="U1017" s="49">
        <f t="shared" si="727"/>
        <v>42.330000000074506</v>
      </c>
      <c r="V1017" s="38"/>
      <c r="W1017" s="38"/>
      <c r="X1017" s="38"/>
      <c r="Y1017" s="51">
        <f t="shared" si="728"/>
        <v>42.330000000074506</v>
      </c>
      <c r="Z1017" s="52"/>
      <c r="AA1017" s="53">
        <f t="shared" si="729"/>
        <v>268.02999999939493</v>
      </c>
      <c r="AB1017" s="38"/>
      <c r="AC1017" s="38"/>
      <c r="AD1017" s="38"/>
      <c r="AE1017" s="54">
        <f t="shared" si="730"/>
        <v>268.02999999939493</v>
      </c>
      <c r="AF1017" s="53"/>
      <c r="AG1017" s="53">
        <f t="shared" si="738"/>
        <v>136.31000000002095</v>
      </c>
      <c r="AH1017" s="38"/>
      <c r="AI1017" s="38"/>
      <c r="AJ1017" s="38"/>
      <c r="AK1017" s="54">
        <f t="shared" si="739"/>
        <v>136.31000000002095</v>
      </c>
      <c r="AL1017" s="53"/>
      <c r="AM1017" s="53">
        <f t="shared" si="754"/>
        <v>0</v>
      </c>
      <c r="AN1017" s="38"/>
      <c r="AO1017" s="38"/>
      <c r="AP1017" s="38"/>
      <c r="AQ1017" s="54">
        <f t="shared" si="755"/>
        <v>0</v>
      </c>
      <c r="AR1017" s="53"/>
      <c r="AS1017" s="29">
        <f t="shared" si="740"/>
        <v>625618.79999999888</v>
      </c>
      <c r="AT1017" s="29">
        <f t="shared" si="741"/>
        <v>349298.88</v>
      </c>
      <c r="AU1017" s="29">
        <f t="shared" si="742"/>
        <v>0</v>
      </c>
      <c r="AV1017" s="29">
        <f t="shared" si="743"/>
        <v>-131382.97999999998</v>
      </c>
      <c r="AW1017" s="29"/>
      <c r="AX1017" s="29">
        <f t="shared" si="744"/>
        <v>843671.00999999885</v>
      </c>
      <c r="AY1017" s="29">
        <f t="shared" si="745"/>
        <v>9300000</v>
      </c>
      <c r="AZ1017" s="29">
        <f t="shared" si="746"/>
        <v>10143671.009999998</v>
      </c>
    </row>
    <row r="1018" spans="2:52" x14ac:dyDescent="0.3">
      <c r="B1018" s="99">
        <f t="shared" si="748"/>
        <v>45588</v>
      </c>
      <c r="C1018" s="44">
        <f t="shared" si="722"/>
        <v>141374.36999999988</v>
      </c>
      <c r="D1018" s="38">
        <v>63574.7</v>
      </c>
      <c r="E1018" s="38"/>
      <c r="F1018" s="38"/>
      <c r="G1018" s="45">
        <f t="shared" si="737"/>
        <v>204949.06999999989</v>
      </c>
      <c r="H1018" s="44">
        <v>4300000</v>
      </c>
      <c r="I1018" s="46">
        <f t="shared" si="723"/>
        <v>697961.13999999943</v>
      </c>
      <c r="J1018" s="38">
        <v>9755.7000000000007</v>
      </c>
      <c r="K1018" s="38"/>
      <c r="L1018" s="38">
        <v>-41743.42</v>
      </c>
      <c r="M1018" s="47">
        <f t="shared" si="724"/>
        <v>665973.41999999934</v>
      </c>
      <c r="N1018" s="46">
        <v>5000000</v>
      </c>
      <c r="O1018" s="48">
        <f t="shared" si="725"/>
        <v>3888.829999999999</v>
      </c>
      <c r="P1018" s="38">
        <v>575612.6</v>
      </c>
      <c r="Q1018" s="38"/>
      <c r="R1018" s="38"/>
      <c r="S1018" s="55">
        <f t="shared" si="726"/>
        <v>579501.42999999993</v>
      </c>
      <c r="T1018" s="48"/>
      <c r="U1018" s="49">
        <f t="shared" si="727"/>
        <v>42.330000000074506</v>
      </c>
      <c r="V1018" s="38">
        <v>325908.44</v>
      </c>
      <c r="W1018" s="38"/>
      <c r="X1018" s="38"/>
      <c r="Y1018" s="51">
        <f t="shared" si="728"/>
        <v>325950.77000000008</v>
      </c>
      <c r="Z1018" s="52"/>
      <c r="AA1018" s="53">
        <f t="shared" si="729"/>
        <v>268.02999999939493</v>
      </c>
      <c r="AB1018" s="38"/>
      <c r="AC1018" s="38"/>
      <c r="AD1018" s="38"/>
      <c r="AE1018" s="54">
        <f t="shared" si="730"/>
        <v>268.02999999939493</v>
      </c>
      <c r="AF1018" s="53"/>
      <c r="AG1018" s="53">
        <f t="shared" si="738"/>
        <v>136.31000000002095</v>
      </c>
      <c r="AH1018" s="38"/>
      <c r="AI1018" s="38"/>
      <c r="AJ1018" s="38"/>
      <c r="AK1018" s="54">
        <f t="shared" si="739"/>
        <v>136.31000000002095</v>
      </c>
      <c r="AL1018" s="53"/>
      <c r="AM1018" s="53">
        <f t="shared" si="754"/>
        <v>0</v>
      </c>
      <c r="AN1018" s="38"/>
      <c r="AO1018" s="38"/>
      <c r="AP1018" s="38"/>
      <c r="AQ1018" s="54">
        <f t="shared" si="755"/>
        <v>0</v>
      </c>
      <c r="AR1018" s="53"/>
      <c r="AS1018" s="29">
        <f t="shared" si="740"/>
        <v>843534.69999999879</v>
      </c>
      <c r="AT1018" s="29">
        <f t="shared" si="741"/>
        <v>974851.44</v>
      </c>
      <c r="AU1018" s="29">
        <f t="shared" si="742"/>
        <v>0</v>
      </c>
      <c r="AV1018" s="29">
        <f t="shared" si="743"/>
        <v>-41743.42</v>
      </c>
      <c r="AW1018" s="29"/>
      <c r="AX1018" s="29">
        <f t="shared" si="744"/>
        <v>1776779.0299999986</v>
      </c>
      <c r="AY1018" s="29">
        <f t="shared" si="745"/>
        <v>9300000</v>
      </c>
      <c r="AZ1018" s="29">
        <f t="shared" si="746"/>
        <v>11076779.029999999</v>
      </c>
    </row>
    <row r="1019" spans="2:52" x14ac:dyDescent="0.3">
      <c r="B1019" s="99">
        <f t="shared" si="748"/>
        <v>45589</v>
      </c>
      <c r="C1019" s="44">
        <f t="shared" ref="C1019:C1082" si="757">G1018</f>
        <v>204949.06999999989</v>
      </c>
      <c r="D1019" s="38"/>
      <c r="E1019" s="38"/>
      <c r="F1019" s="38"/>
      <c r="G1019" s="45">
        <f t="shared" si="737"/>
        <v>204949.06999999989</v>
      </c>
      <c r="H1019" s="44">
        <v>4300000</v>
      </c>
      <c r="I1019" s="46">
        <f t="shared" ref="I1019:I1082" si="758">M1018</f>
        <v>665973.41999999934</v>
      </c>
      <c r="J1019" s="38"/>
      <c r="K1019" s="38">
        <v>1570000</v>
      </c>
      <c r="L1019" s="38">
        <v>-12034.38</v>
      </c>
      <c r="M1019" s="47">
        <f t="shared" ref="M1019:M1082" si="759">SUM(I1019:L1019)</f>
        <v>2223939.0399999996</v>
      </c>
      <c r="N1019" s="46">
        <v>5000000</v>
      </c>
      <c r="O1019" s="48">
        <f t="shared" ref="O1019:O1082" si="760">S1018</f>
        <v>579501.42999999993</v>
      </c>
      <c r="P1019" s="38">
        <f>17940.03+285809.68+10332.2</f>
        <v>314081.90999999997</v>
      </c>
      <c r="Q1019" s="38">
        <f>686100-1570000</f>
        <v>-883900</v>
      </c>
      <c r="R1019" s="38"/>
      <c r="S1019" s="55">
        <f t="shared" ref="S1019:S1082" si="761">SUM(O1019:R1019)</f>
        <v>9683.339999999851</v>
      </c>
      <c r="T1019" s="48"/>
      <c r="U1019" s="49">
        <f t="shared" ref="U1019:U1082" si="762">Y1018</f>
        <v>325950.77000000008</v>
      </c>
      <c r="V1019" s="38">
        <v>360274.34</v>
      </c>
      <c r="W1019" s="38">
        <v>-686100</v>
      </c>
      <c r="X1019" s="38">
        <v>-1.5</v>
      </c>
      <c r="Y1019" s="51">
        <f t="shared" ref="Y1019:Y1082" si="763">SUM(U1019:X1019)</f>
        <v>123.61000000010245</v>
      </c>
      <c r="Z1019" s="52"/>
      <c r="AA1019" s="53">
        <f t="shared" ref="AA1019:AA1082" si="764">AE1018</f>
        <v>268.02999999939493</v>
      </c>
      <c r="AB1019" s="38"/>
      <c r="AC1019" s="38"/>
      <c r="AD1019" s="38"/>
      <c r="AE1019" s="54">
        <f t="shared" ref="AE1019:AE1082" si="765">SUM(AA1019:AD1019)</f>
        <v>268.02999999939493</v>
      </c>
      <c r="AF1019" s="53"/>
      <c r="AG1019" s="53">
        <f t="shared" si="738"/>
        <v>136.31000000002095</v>
      </c>
      <c r="AH1019" s="38"/>
      <c r="AI1019" s="38"/>
      <c r="AJ1019" s="38"/>
      <c r="AK1019" s="54">
        <f t="shared" si="739"/>
        <v>136.31000000002095</v>
      </c>
      <c r="AL1019" s="53"/>
      <c r="AM1019" s="53">
        <f t="shared" si="754"/>
        <v>0</v>
      </c>
      <c r="AN1019" s="38"/>
      <c r="AO1019" s="38"/>
      <c r="AP1019" s="38"/>
      <c r="AQ1019" s="54">
        <f t="shared" si="755"/>
        <v>0</v>
      </c>
      <c r="AR1019" s="53"/>
      <c r="AS1019" s="29">
        <f t="shared" si="740"/>
        <v>1776642.7199999986</v>
      </c>
      <c r="AT1019" s="29">
        <f t="shared" si="741"/>
        <v>674356.25</v>
      </c>
      <c r="AU1019" s="29">
        <f t="shared" si="742"/>
        <v>0</v>
      </c>
      <c r="AV1019" s="29">
        <f t="shared" si="743"/>
        <v>-12035.88</v>
      </c>
      <c r="AW1019" s="29"/>
      <c r="AX1019" s="29">
        <f t="shared" si="744"/>
        <v>2439099.399999999</v>
      </c>
      <c r="AY1019" s="29">
        <f t="shared" si="745"/>
        <v>9300000</v>
      </c>
      <c r="AZ1019" s="29">
        <f t="shared" si="746"/>
        <v>11739099.399999999</v>
      </c>
    </row>
    <row r="1020" spans="2:52" x14ac:dyDescent="0.3">
      <c r="B1020" s="99">
        <f t="shared" si="748"/>
        <v>45590</v>
      </c>
      <c r="C1020" s="44">
        <f t="shared" si="757"/>
        <v>204949.06999999989</v>
      </c>
      <c r="D1020" s="38">
        <f>290670.77+14918.54+8017.45+11331.94</f>
        <v>324938.7</v>
      </c>
      <c r="E1020" s="38"/>
      <c r="F1020" s="38">
        <v>-215364.32</v>
      </c>
      <c r="G1020" s="45">
        <f t="shared" si="737"/>
        <v>314523.4499999999</v>
      </c>
      <c r="H1020" s="44">
        <v>4300000</v>
      </c>
      <c r="I1020" s="46">
        <f t="shared" si="758"/>
        <v>2223939.0399999996</v>
      </c>
      <c r="J1020" s="38">
        <f>361166.27+29534.4+129951.34+242407.46</f>
        <v>763059.47</v>
      </c>
      <c r="K1020" s="38">
        <v>120000</v>
      </c>
      <c r="L1020" s="38">
        <v>-30073.39</v>
      </c>
      <c r="M1020" s="47">
        <f t="shared" si="759"/>
        <v>3076925.1199999996</v>
      </c>
      <c r="N1020" s="46">
        <v>5000000</v>
      </c>
      <c r="O1020" s="48">
        <f t="shared" si="760"/>
        <v>9683.339999999851</v>
      </c>
      <c r="P1020" s="38">
        <v>22527.5</v>
      </c>
      <c r="Q1020" s="38">
        <f>94700-120000</f>
        <v>-25300</v>
      </c>
      <c r="R1020" s="38">
        <v>-132.30000000000001</v>
      </c>
      <c r="S1020" s="55">
        <f t="shared" si="761"/>
        <v>6778.5399999998508</v>
      </c>
      <c r="T1020" s="48"/>
      <c r="U1020" s="49">
        <f t="shared" si="762"/>
        <v>123.61000000010245</v>
      </c>
      <c r="V1020" s="38">
        <v>94711.8</v>
      </c>
      <c r="W1020" s="38">
        <v>-94700</v>
      </c>
      <c r="X1020" s="38">
        <v>-66.3</v>
      </c>
      <c r="Y1020" s="51">
        <f t="shared" si="763"/>
        <v>69.110000000105359</v>
      </c>
      <c r="Z1020" s="52"/>
      <c r="AA1020" s="53">
        <f t="shared" si="764"/>
        <v>268.02999999939493</v>
      </c>
      <c r="AB1020" s="38">
        <v>2138152.61</v>
      </c>
      <c r="AC1020" s="38"/>
      <c r="AD1020" s="38"/>
      <c r="AE1020" s="54">
        <f t="shared" si="765"/>
        <v>2138420.6399999992</v>
      </c>
      <c r="AF1020" s="53"/>
      <c r="AG1020" s="53">
        <f t="shared" si="738"/>
        <v>136.31000000002095</v>
      </c>
      <c r="AH1020" s="38"/>
      <c r="AI1020" s="38"/>
      <c r="AJ1020" s="38"/>
      <c r="AK1020" s="54">
        <f t="shared" si="739"/>
        <v>136.31000000002095</v>
      </c>
      <c r="AL1020" s="53"/>
      <c r="AM1020" s="53">
        <f t="shared" si="754"/>
        <v>0</v>
      </c>
      <c r="AN1020" s="38"/>
      <c r="AO1020" s="38"/>
      <c r="AP1020" s="38"/>
      <c r="AQ1020" s="54">
        <f t="shared" si="755"/>
        <v>0</v>
      </c>
      <c r="AR1020" s="53"/>
      <c r="AS1020" s="29">
        <f t="shared" si="740"/>
        <v>2438963.0899999989</v>
      </c>
      <c r="AT1020" s="29">
        <f t="shared" si="741"/>
        <v>3343390.08</v>
      </c>
      <c r="AU1020" s="29">
        <f t="shared" si="742"/>
        <v>0</v>
      </c>
      <c r="AV1020" s="29">
        <f t="shared" si="743"/>
        <v>-245636.31</v>
      </c>
      <c r="AW1020" s="29"/>
      <c r="AX1020" s="29">
        <f t="shared" si="744"/>
        <v>5536853.169999999</v>
      </c>
      <c r="AY1020" s="29">
        <f t="shared" si="745"/>
        <v>9300000</v>
      </c>
      <c r="AZ1020" s="29">
        <f t="shared" si="746"/>
        <v>14836853.169999998</v>
      </c>
    </row>
    <row r="1021" spans="2:52" x14ac:dyDescent="0.3">
      <c r="B1021" s="99">
        <f t="shared" ref="B1021" si="766">B1020+3</f>
        <v>45593</v>
      </c>
      <c r="C1021" s="44">
        <f t="shared" si="757"/>
        <v>314523.4499999999</v>
      </c>
      <c r="D1021" s="38">
        <v>501973.1</v>
      </c>
      <c r="E1021" s="38"/>
      <c r="F1021" s="38"/>
      <c r="G1021" s="45">
        <f t="shared" si="737"/>
        <v>816496.54999999981</v>
      </c>
      <c r="H1021" s="44">
        <v>4300000</v>
      </c>
      <c r="I1021" s="46">
        <f t="shared" si="758"/>
        <v>3076925.1199999996</v>
      </c>
      <c r="J1021" s="38"/>
      <c r="K1021" s="38">
        <f>77000+2138000</f>
        <v>2215000</v>
      </c>
      <c r="L1021" s="38">
        <v>-587211</v>
      </c>
      <c r="M1021" s="47">
        <f t="shared" si="759"/>
        <v>4704714.1199999992</v>
      </c>
      <c r="N1021" s="46">
        <v>5000000</v>
      </c>
      <c r="O1021" s="48">
        <f t="shared" si="760"/>
        <v>6778.5399999998508</v>
      </c>
      <c r="P1021" s="38">
        <f>353560+203875+24107.99</f>
        <v>581542.99</v>
      </c>
      <c r="Q1021" s="38"/>
      <c r="R1021" s="38">
        <v>-10</v>
      </c>
      <c r="S1021" s="55">
        <f t="shared" si="761"/>
        <v>588311.5299999998</v>
      </c>
      <c r="T1021" s="48"/>
      <c r="U1021" s="49">
        <f t="shared" si="762"/>
        <v>69.110000000105359</v>
      </c>
      <c r="V1021" s="38">
        <v>35555.71</v>
      </c>
      <c r="W1021" s="38"/>
      <c r="X1021" s="38"/>
      <c r="Y1021" s="51">
        <f t="shared" si="763"/>
        <v>35624.820000000102</v>
      </c>
      <c r="Z1021" s="52"/>
      <c r="AA1021" s="53">
        <f t="shared" si="764"/>
        <v>2138420.6399999992</v>
      </c>
      <c r="AB1021" s="38"/>
      <c r="AC1021" s="38">
        <v>-2138000</v>
      </c>
      <c r="AD1021" s="38"/>
      <c r="AE1021" s="54">
        <f t="shared" si="765"/>
        <v>420.63999999919906</v>
      </c>
      <c r="AF1021" s="53"/>
      <c r="AG1021" s="53">
        <f t="shared" si="738"/>
        <v>136.31000000002095</v>
      </c>
      <c r="AH1021" s="38">
        <v>77648.679999999993</v>
      </c>
      <c r="AI1021" s="38">
        <v>-77000</v>
      </c>
      <c r="AJ1021" s="38"/>
      <c r="AK1021" s="54">
        <f t="shared" si="739"/>
        <v>784.99000000001979</v>
      </c>
      <c r="AL1021" s="53"/>
      <c r="AM1021" s="53">
        <f t="shared" si="754"/>
        <v>0</v>
      </c>
      <c r="AN1021" s="38"/>
      <c r="AO1021" s="38"/>
      <c r="AP1021" s="38"/>
      <c r="AQ1021" s="54">
        <f t="shared" si="755"/>
        <v>0</v>
      </c>
      <c r="AR1021" s="53"/>
      <c r="AS1021" s="29">
        <f t="shared" si="740"/>
        <v>5536716.8599999994</v>
      </c>
      <c r="AT1021" s="29">
        <f t="shared" si="741"/>
        <v>1196720.4799999997</v>
      </c>
      <c r="AU1021" s="29">
        <f t="shared" si="742"/>
        <v>0</v>
      </c>
      <c r="AV1021" s="29">
        <f t="shared" si="743"/>
        <v>-587221</v>
      </c>
      <c r="AW1021" s="29"/>
      <c r="AX1021" s="29">
        <f t="shared" si="744"/>
        <v>6146352.6499999985</v>
      </c>
      <c r="AY1021" s="29">
        <f t="shared" si="745"/>
        <v>9300000</v>
      </c>
      <c r="AZ1021" s="29">
        <f t="shared" si="746"/>
        <v>15446352.649999999</v>
      </c>
    </row>
    <row r="1022" spans="2:52" x14ac:dyDescent="0.3">
      <c r="B1022" s="99">
        <f t="shared" si="748"/>
        <v>45594</v>
      </c>
      <c r="C1022" s="44">
        <f t="shared" si="757"/>
        <v>816496.54999999981</v>
      </c>
      <c r="D1022" s="38">
        <v>739214.2</v>
      </c>
      <c r="E1022" s="38"/>
      <c r="F1022" s="38">
        <v>-4454.68</v>
      </c>
      <c r="G1022" s="45">
        <f t="shared" si="737"/>
        <v>1551256.0699999998</v>
      </c>
      <c r="H1022" s="44">
        <v>4300000</v>
      </c>
      <c r="I1022" s="46">
        <f t="shared" si="758"/>
        <v>4704714.1199999992</v>
      </c>
      <c r="J1022" s="38">
        <v>61209.65</v>
      </c>
      <c r="K1022" s="38">
        <v>1000000</v>
      </c>
      <c r="L1022" s="38">
        <v>-233461.93</v>
      </c>
      <c r="M1022" s="47">
        <f t="shared" si="759"/>
        <v>5532461.8399999999</v>
      </c>
      <c r="N1022" s="46">
        <v>5000000</v>
      </c>
      <c r="O1022" s="48">
        <f t="shared" si="760"/>
        <v>588311.5299999998</v>
      </c>
      <c r="P1022" s="38">
        <f>388177.77+513.92</f>
        <v>388691.69</v>
      </c>
      <c r="Q1022" s="38">
        <f>35600-1000000</f>
        <v>-964400</v>
      </c>
      <c r="R1022" s="38">
        <v>-1750.38</v>
      </c>
      <c r="S1022" s="55">
        <f t="shared" si="761"/>
        <v>10852.839999999738</v>
      </c>
      <c r="T1022" s="48"/>
      <c r="U1022" s="49">
        <f t="shared" si="762"/>
        <v>35624.820000000102</v>
      </c>
      <c r="V1022" s="38"/>
      <c r="W1022" s="38">
        <v>-35600</v>
      </c>
      <c r="X1022" s="38">
        <v>-1.5</v>
      </c>
      <c r="Y1022" s="51">
        <f t="shared" si="763"/>
        <v>23.320000000101572</v>
      </c>
      <c r="Z1022" s="52"/>
      <c r="AA1022" s="53">
        <f t="shared" si="764"/>
        <v>420.63999999919906</v>
      </c>
      <c r="AB1022" s="38"/>
      <c r="AC1022" s="38"/>
      <c r="AD1022" s="38">
        <v>-293.68</v>
      </c>
      <c r="AE1022" s="54">
        <f t="shared" si="765"/>
        <v>126.95999999919906</v>
      </c>
      <c r="AF1022" s="53"/>
      <c r="AG1022" s="53">
        <f t="shared" si="738"/>
        <v>784.99000000001979</v>
      </c>
      <c r="AH1022" s="38"/>
      <c r="AI1022" s="38"/>
      <c r="AJ1022" s="38">
        <v>-9.9</v>
      </c>
      <c r="AK1022" s="54">
        <f t="shared" si="739"/>
        <v>775.09000000001981</v>
      </c>
      <c r="AL1022" s="53"/>
      <c r="AM1022" s="53">
        <f t="shared" si="754"/>
        <v>0</v>
      </c>
      <c r="AN1022" s="38"/>
      <c r="AO1022" s="38"/>
      <c r="AP1022" s="38"/>
      <c r="AQ1022" s="54">
        <f t="shared" si="755"/>
        <v>0</v>
      </c>
      <c r="AR1022" s="53"/>
      <c r="AS1022" s="29">
        <f t="shared" si="740"/>
        <v>6145567.6599999983</v>
      </c>
      <c r="AT1022" s="29">
        <f t="shared" si="741"/>
        <v>1189115.54</v>
      </c>
      <c r="AU1022" s="29">
        <f t="shared" si="742"/>
        <v>0</v>
      </c>
      <c r="AV1022" s="29">
        <f t="shared" si="743"/>
        <v>-239972.06999999998</v>
      </c>
      <c r="AW1022" s="29"/>
      <c r="AX1022" s="29">
        <f t="shared" si="744"/>
        <v>7095496.1199999992</v>
      </c>
      <c r="AY1022" s="29">
        <f t="shared" si="745"/>
        <v>9300000</v>
      </c>
      <c r="AZ1022" s="29">
        <f t="shared" si="746"/>
        <v>16395496.119999999</v>
      </c>
    </row>
    <row r="1023" spans="2:52" x14ac:dyDescent="0.3">
      <c r="B1023" s="99">
        <f t="shared" si="748"/>
        <v>45595</v>
      </c>
      <c r="C1023" s="44">
        <f t="shared" si="757"/>
        <v>1551256.0699999998</v>
      </c>
      <c r="D1023" s="38">
        <f>1378.26+2067.39+3180.6+47712+26535.93+22894.75+29593.72</f>
        <v>133362.65</v>
      </c>
      <c r="E1023" s="38"/>
      <c r="F1023" s="38">
        <v>-19117.2</v>
      </c>
      <c r="G1023" s="45">
        <f t="shared" si="737"/>
        <v>1665501.5199999998</v>
      </c>
      <c r="H1023" s="44">
        <v>4300000</v>
      </c>
      <c r="I1023" s="46">
        <f t="shared" si="758"/>
        <v>5532461.8399999999</v>
      </c>
      <c r="J1023" s="38"/>
      <c r="K1023" s="38">
        <v>488000</v>
      </c>
      <c r="L1023" s="38"/>
      <c r="M1023" s="47">
        <f t="shared" si="759"/>
        <v>6020461.8399999999</v>
      </c>
      <c r="N1023" s="46">
        <v>5000000</v>
      </c>
      <c r="O1023" s="48">
        <f t="shared" si="760"/>
        <v>10852.839999999738</v>
      </c>
      <c r="P1023" s="38">
        <f>48877.08+29956.92</f>
        <v>78834</v>
      </c>
      <c r="Q1023" s="38"/>
      <c r="R1023" s="38">
        <v>-10</v>
      </c>
      <c r="S1023" s="55">
        <f t="shared" si="761"/>
        <v>89676.839999999735</v>
      </c>
      <c r="T1023" s="48"/>
      <c r="U1023" s="49">
        <f t="shared" si="762"/>
        <v>23.320000000101572</v>
      </c>
      <c r="V1023" s="38">
        <v>60430.16</v>
      </c>
      <c r="W1023" s="38"/>
      <c r="X1023" s="38"/>
      <c r="Y1023" s="51">
        <f t="shared" si="763"/>
        <v>60453.480000000105</v>
      </c>
      <c r="Z1023" s="52"/>
      <c r="AA1023" s="53">
        <f t="shared" si="764"/>
        <v>126.95999999919906</v>
      </c>
      <c r="AB1023" s="38"/>
      <c r="AC1023" s="38"/>
      <c r="AD1023" s="38"/>
      <c r="AE1023" s="54">
        <f t="shared" si="765"/>
        <v>126.95999999919906</v>
      </c>
      <c r="AF1023" s="53"/>
      <c r="AG1023" s="53">
        <f t="shared" si="738"/>
        <v>775.09000000001981</v>
      </c>
      <c r="AH1023" s="38">
        <f>4640.85+76551.16+406932.55</f>
        <v>488124.56</v>
      </c>
      <c r="AI1023" s="38">
        <v>-488000</v>
      </c>
      <c r="AJ1023" s="38">
        <v>-80</v>
      </c>
      <c r="AK1023" s="54">
        <f t="shared" si="739"/>
        <v>819.65000000002328</v>
      </c>
      <c r="AL1023" s="53"/>
      <c r="AM1023" s="53">
        <f t="shared" si="754"/>
        <v>0</v>
      </c>
      <c r="AN1023" s="38"/>
      <c r="AO1023" s="38"/>
      <c r="AP1023" s="38"/>
      <c r="AQ1023" s="54">
        <f t="shared" si="755"/>
        <v>0</v>
      </c>
      <c r="AR1023" s="53"/>
      <c r="AS1023" s="29">
        <f t="shared" si="740"/>
        <v>7094721.0299999993</v>
      </c>
      <c r="AT1023" s="29">
        <f t="shared" si="741"/>
        <v>760751.37</v>
      </c>
      <c r="AU1023" s="29">
        <f t="shared" si="742"/>
        <v>0</v>
      </c>
      <c r="AV1023" s="29">
        <f t="shared" si="743"/>
        <v>-19207.2</v>
      </c>
      <c r="AW1023" s="29"/>
      <c r="AX1023" s="29">
        <f t="shared" si="744"/>
        <v>7837040.2899999991</v>
      </c>
      <c r="AY1023" s="29">
        <f t="shared" si="745"/>
        <v>9300000</v>
      </c>
      <c r="AZ1023" s="29">
        <f t="shared" si="746"/>
        <v>17137040.289999999</v>
      </c>
    </row>
    <row r="1024" spans="2:52" x14ac:dyDescent="0.3">
      <c r="B1024" s="99">
        <f t="shared" si="748"/>
        <v>45596</v>
      </c>
      <c r="C1024" s="44">
        <f t="shared" si="757"/>
        <v>1665501.5199999998</v>
      </c>
      <c r="D1024" s="38">
        <v>35240.67</v>
      </c>
      <c r="E1024" s="38"/>
      <c r="F1024" s="38">
        <v>-69397.36</v>
      </c>
      <c r="G1024" s="45">
        <f t="shared" si="737"/>
        <v>1631344.8299999996</v>
      </c>
      <c r="H1024" s="44">
        <v>4300000</v>
      </c>
      <c r="I1024" s="46">
        <f t="shared" si="758"/>
        <v>6020461.8399999999</v>
      </c>
      <c r="J1024" s="38">
        <v>438893.12</v>
      </c>
      <c r="K1024" s="38">
        <v>145000</v>
      </c>
      <c r="L1024" s="38"/>
      <c r="M1024" s="47">
        <f t="shared" si="759"/>
        <v>6604354.96</v>
      </c>
      <c r="N1024" s="46">
        <v>5000000</v>
      </c>
      <c r="O1024" s="48">
        <f t="shared" si="760"/>
        <v>89676.839999999735</v>
      </c>
      <c r="P1024" s="38"/>
      <c r="Q1024" s="38">
        <f>60400-145000</f>
        <v>-84600</v>
      </c>
      <c r="R1024" s="38"/>
      <c r="S1024" s="55">
        <f t="shared" si="761"/>
        <v>5076.8399999997346</v>
      </c>
      <c r="T1024" s="48"/>
      <c r="U1024" s="49">
        <f t="shared" si="762"/>
        <v>60453.480000000105</v>
      </c>
      <c r="V1024" s="38"/>
      <c r="W1024" s="38">
        <v>-60400</v>
      </c>
      <c r="X1024" s="38">
        <v>-1.5</v>
      </c>
      <c r="Y1024" s="51">
        <f t="shared" si="763"/>
        <v>51.980000000105065</v>
      </c>
      <c r="Z1024" s="52"/>
      <c r="AA1024" s="53">
        <f t="shared" si="764"/>
        <v>126.95999999919906</v>
      </c>
      <c r="AB1024" s="38">
        <v>1.39</v>
      </c>
      <c r="AC1024" s="38"/>
      <c r="AD1024" s="38"/>
      <c r="AE1024" s="54">
        <f t="shared" si="765"/>
        <v>128.34999999919904</v>
      </c>
      <c r="AF1024" s="53"/>
      <c r="AG1024" s="53">
        <f t="shared" si="738"/>
        <v>819.65000000002328</v>
      </c>
      <c r="AH1024" s="38"/>
      <c r="AI1024" s="38"/>
      <c r="AJ1024" s="38">
        <v>-9.7899999999999991</v>
      </c>
      <c r="AK1024" s="54">
        <f t="shared" si="739"/>
        <v>809.86000000002332</v>
      </c>
      <c r="AL1024" s="53"/>
      <c r="AM1024" s="53">
        <f t="shared" si="754"/>
        <v>0</v>
      </c>
      <c r="AN1024" s="38"/>
      <c r="AO1024" s="38"/>
      <c r="AP1024" s="38"/>
      <c r="AQ1024" s="54">
        <f t="shared" si="755"/>
        <v>0</v>
      </c>
      <c r="AR1024" s="53"/>
      <c r="AS1024" s="29">
        <f t="shared" si="740"/>
        <v>7836220.6399999987</v>
      </c>
      <c r="AT1024" s="29">
        <f t="shared" si="741"/>
        <v>474135.18</v>
      </c>
      <c r="AU1024" s="29">
        <f t="shared" si="742"/>
        <v>0</v>
      </c>
      <c r="AV1024" s="29">
        <f t="shared" si="743"/>
        <v>-69408.649999999994</v>
      </c>
      <c r="AW1024" s="29"/>
      <c r="AX1024" s="29">
        <f t="shared" si="744"/>
        <v>8241766.8199999994</v>
      </c>
      <c r="AY1024" s="29">
        <f t="shared" si="745"/>
        <v>9300000</v>
      </c>
      <c r="AZ1024" s="29">
        <f t="shared" si="746"/>
        <v>17541766.82</v>
      </c>
    </row>
    <row r="1025" spans="2:52" x14ac:dyDescent="0.3">
      <c r="B1025" s="99">
        <f t="shared" si="748"/>
        <v>45597</v>
      </c>
      <c r="C1025" s="44">
        <f t="shared" si="757"/>
        <v>1631344.8299999996</v>
      </c>
      <c r="D1025" s="38">
        <v>12913.66</v>
      </c>
      <c r="E1025" s="38"/>
      <c r="F1025" s="38">
        <v>-69801.240000000005</v>
      </c>
      <c r="G1025" s="45">
        <f t="shared" si="737"/>
        <v>1574457.2499999995</v>
      </c>
      <c r="H1025" s="44">
        <v>4300000</v>
      </c>
      <c r="I1025" s="46">
        <f t="shared" si="758"/>
        <v>6604354.96</v>
      </c>
      <c r="J1025" s="38"/>
      <c r="K1025" s="38"/>
      <c r="L1025" s="38">
        <v>-47396.62</v>
      </c>
      <c r="M1025" s="47">
        <f t="shared" si="759"/>
        <v>6556958.3399999999</v>
      </c>
      <c r="N1025" s="46">
        <v>5000000</v>
      </c>
      <c r="O1025" s="48">
        <f t="shared" si="760"/>
        <v>5076.8399999997346</v>
      </c>
      <c r="P1025" s="38"/>
      <c r="Q1025" s="38"/>
      <c r="R1025" s="38">
        <v>-10</v>
      </c>
      <c r="S1025" s="55">
        <f t="shared" si="761"/>
        <v>5066.8399999997346</v>
      </c>
      <c r="T1025" s="48"/>
      <c r="U1025" s="49">
        <f t="shared" si="762"/>
        <v>51.980000000105065</v>
      </c>
      <c r="V1025" s="38"/>
      <c r="W1025" s="38"/>
      <c r="X1025" s="38"/>
      <c r="Y1025" s="51">
        <f t="shared" si="763"/>
        <v>51.980000000105065</v>
      </c>
      <c r="Z1025" s="52"/>
      <c r="AA1025" s="53">
        <f t="shared" si="764"/>
        <v>128.34999999919904</v>
      </c>
      <c r="AB1025" s="38"/>
      <c r="AC1025" s="38"/>
      <c r="AD1025" s="38"/>
      <c r="AE1025" s="54">
        <f t="shared" si="765"/>
        <v>128.34999999919904</v>
      </c>
      <c r="AF1025" s="53"/>
      <c r="AG1025" s="53">
        <f t="shared" si="738"/>
        <v>809.86000000002332</v>
      </c>
      <c r="AH1025" s="38"/>
      <c r="AI1025" s="38"/>
      <c r="AJ1025" s="38"/>
      <c r="AK1025" s="54">
        <f t="shared" si="739"/>
        <v>809.86000000002332</v>
      </c>
      <c r="AL1025" s="53"/>
      <c r="AM1025" s="53">
        <f t="shared" si="754"/>
        <v>0</v>
      </c>
      <c r="AN1025" s="38"/>
      <c r="AO1025" s="38"/>
      <c r="AP1025" s="38"/>
      <c r="AQ1025" s="54">
        <f t="shared" si="755"/>
        <v>0</v>
      </c>
      <c r="AR1025" s="53"/>
      <c r="AS1025" s="29">
        <f t="shared" si="740"/>
        <v>8240956.959999999</v>
      </c>
      <c r="AT1025" s="29">
        <f t="shared" si="741"/>
        <v>12913.66</v>
      </c>
      <c r="AU1025" s="29">
        <f t="shared" si="742"/>
        <v>0</v>
      </c>
      <c r="AV1025" s="29">
        <f t="shared" si="743"/>
        <v>-117207.86000000002</v>
      </c>
      <c r="AW1025" s="29"/>
      <c r="AX1025" s="29">
        <f t="shared" si="744"/>
        <v>8137472.6200000001</v>
      </c>
      <c r="AY1025" s="29">
        <f t="shared" si="745"/>
        <v>9300000</v>
      </c>
      <c r="AZ1025" s="29">
        <f t="shared" si="746"/>
        <v>17437472.620000001</v>
      </c>
    </row>
    <row r="1026" spans="2:52" x14ac:dyDescent="0.3">
      <c r="B1026" s="99">
        <f t="shared" ref="B1026:B1031" si="767">B1025+3</f>
        <v>45600</v>
      </c>
      <c r="C1026" s="44">
        <f t="shared" si="757"/>
        <v>1574457.2499999995</v>
      </c>
      <c r="D1026" s="38"/>
      <c r="E1026" s="38"/>
      <c r="F1026" s="38">
        <v>-134034.57999999999</v>
      </c>
      <c r="G1026" s="45">
        <f t="shared" si="737"/>
        <v>1440422.6699999995</v>
      </c>
      <c r="H1026" s="44">
        <v>4300000</v>
      </c>
      <c r="I1026" s="46">
        <f t="shared" si="758"/>
        <v>6556958.3399999999</v>
      </c>
      <c r="J1026" s="38"/>
      <c r="K1026" s="38">
        <v>260000</v>
      </c>
      <c r="L1026" s="38">
        <v>-149031.35</v>
      </c>
      <c r="M1026" s="47">
        <f t="shared" si="759"/>
        <v>6667926.9900000002</v>
      </c>
      <c r="N1026" s="46">
        <v>5000000</v>
      </c>
      <c r="O1026" s="48">
        <f t="shared" si="760"/>
        <v>5066.8399999997346</v>
      </c>
      <c r="P1026" s="38">
        <v>259645.4</v>
      </c>
      <c r="Q1026" s="38">
        <v>-260000</v>
      </c>
      <c r="R1026" s="38"/>
      <c r="S1026" s="55">
        <f t="shared" si="761"/>
        <v>4712.2399999997579</v>
      </c>
      <c r="T1026" s="48"/>
      <c r="U1026" s="49">
        <f t="shared" si="762"/>
        <v>51.980000000105065</v>
      </c>
      <c r="V1026" s="38"/>
      <c r="W1026" s="38"/>
      <c r="X1026" s="38">
        <v>-51.98</v>
      </c>
      <c r="Y1026" s="51">
        <f t="shared" si="763"/>
        <v>1.0506795433684601E-10</v>
      </c>
      <c r="Z1026" s="52"/>
      <c r="AA1026" s="53">
        <f t="shared" si="764"/>
        <v>128.34999999919904</v>
      </c>
      <c r="AB1026" s="38"/>
      <c r="AC1026" s="38"/>
      <c r="AD1026" s="38"/>
      <c r="AE1026" s="54">
        <f t="shared" si="765"/>
        <v>128.34999999919904</v>
      </c>
      <c r="AF1026" s="53"/>
      <c r="AG1026" s="53">
        <f t="shared" si="738"/>
        <v>809.86000000002332</v>
      </c>
      <c r="AH1026" s="38"/>
      <c r="AI1026" s="38"/>
      <c r="AJ1026" s="38"/>
      <c r="AK1026" s="54">
        <f t="shared" si="739"/>
        <v>809.86000000002332</v>
      </c>
      <c r="AL1026" s="53"/>
      <c r="AM1026" s="53">
        <f t="shared" si="754"/>
        <v>0</v>
      </c>
      <c r="AN1026" s="38"/>
      <c r="AO1026" s="38"/>
      <c r="AP1026" s="38"/>
      <c r="AQ1026" s="54">
        <f t="shared" si="755"/>
        <v>0</v>
      </c>
      <c r="AR1026" s="53"/>
      <c r="AS1026" s="29">
        <f t="shared" si="740"/>
        <v>8136662.7599999998</v>
      </c>
      <c r="AT1026" s="29">
        <f t="shared" si="741"/>
        <v>259645.4</v>
      </c>
      <c r="AU1026" s="29">
        <f t="shared" si="742"/>
        <v>0</v>
      </c>
      <c r="AV1026" s="29">
        <f t="shared" si="743"/>
        <v>-283117.90999999997</v>
      </c>
      <c r="AW1026" s="29"/>
      <c r="AX1026" s="29">
        <f t="shared" si="744"/>
        <v>8114000.1100000003</v>
      </c>
      <c r="AY1026" s="29">
        <f t="shared" si="745"/>
        <v>9300000</v>
      </c>
      <c r="AZ1026" s="29">
        <f t="shared" si="746"/>
        <v>17414000.109999999</v>
      </c>
    </row>
    <row r="1027" spans="2:52" x14ac:dyDescent="0.3">
      <c r="B1027" s="99">
        <f t="shared" si="748"/>
        <v>45601</v>
      </c>
      <c r="C1027" s="44">
        <f t="shared" si="757"/>
        <v>1440422.6699999995</v>
      </c>
      <c r="D1027" s="38"/>
      <c r="E1027" s="38"/>
      <c r="F1027" s="38">
        <v>-19989.919999999998</v>
      </c>
      <c r="G1027" s="45">
        <f t="shared" si="737"/>
        <v>1420432.7499999995</v>
      </c>
      <c r="H1027" s="44">
        <v>4300000</v>
      </c>
      <c r="I1027" s="46">
        <f t="shared" si="758"/>
        <v>6667926.9900000002</v>
      </c>
      <c r="J1027" s="38"/>
      <c r="K1027" s="38">
        <v>1020000</v>
      </c>
      <c r="L1027" s="38">
        <v>-3456345.48</v>
      </c>
      <c r="M1027" s="47">
        <f t="shared" si="759"/>
        <v>4231581.51</v>
      </c>
      <c r="N1027" s="46">
        <v>5000000</v>
      </c>
      <c r="O1027" s="48">
        <f t="shared" si="760"/>
        <v>4712.2399999997579</v>
      </c>
      <c r="P1027" s="38">
        <f>279797.76+741557.33</f>
        <v>1021355.09</v>
      </c>
      <c r="Q1027" s="38">
        <f>-1020000-67.33</f>
        <v>-1020067.33</v>
      </c>
      <c r="R1027" s="38">
        <v>-4448.84</v>
      </c>
      <c r="S1027" s="55">
        <f t="shared" si="761"/>
        <v>1551.159999999767</v>
      </c>
      <c r="T1027" s="48"/>
      <c r="U1027" s="49">
        <f t="shared" si="762"/>
        <v>1.0506795433684601E-10</v>
      </c>
      <c r="V1027" s="38">
        <v>166550.87</v>
      </c>
      <c r="W1027" s="38">
        <v>67.33</v>
      </c>
      <c r="X1027" s="38">
        <v>-15.02</v>
      </c>
      <c r="Y1027" s="51">
        <f t="shared" si="763"/>
        <v>166603.18000000011</v>
      </c>
      <c r="Z1027" s="52"/>
      <c r="AA1027" s="53">
        <f t="shared" si="764"/>
        <v>128.34999999919904</v>
      </c>
      <c r="AB1027" s="38"/>
      <c r="AC1027" s="38"/>
      <c r="AD1027" s="38"/>
      <c r="AE1027" s="54">
        <f t="shared" si="765"/>
        <v>128.34999999919904</v>
      </c>
      <c r="AF1027" s="53"/>
      <c r="AG1027" s="53">
        <f t="shared" si="738"/>
        <v>809.86000000002332</v>
      </c>
      <c r="AH1027" s="38"/>
      <c r="AI1027" s="38"/>
      <c r="AJ1027" s="38"/>
      <c r="AK1027" s="54">
        <f t="shared" si="739"/>
        <v>809.86000000002332</v>
      </c>
      <c r="AL1027" s="53"/>
      <c r="AM1027" s="53">
        <f t="shared" si="754"/>
        <v>0</v>
      </c>
      <c r="AN1027" s="38"/>
      <c r="AO1027" s="38"/>
      <c r="AP1027" s="38"/>
      <c r="AQ1027" s="54">
        <f t="shared" si="755"/>
        <v>0</v>
      </c>
      <c r="AR1027" s="53"/>
      <c r="AS1027" s="29">
        <f t="shared" si="740"/>
        <v>8113190.25</v>
      </c>
      <c r="AT1027" s="29">
        <f t="shared" si="741"/>
        <v>1187905.96</v>
      </c>
      <c r="AU1027" s="29">
        <f t="shared" si="742"/>
        <v>4.1907810555130709E-11</v>
      </c>
      <c r="AV1027" s="29">
        <f t="shared" si="743"/>
        <v>-3480799.26</v>
      </c>
      <c r="AW1027" s="29"/>
      <c r="AX1027" s="29">
        <f t="shared" si="744"/>
        <v>5821106.8099999996</v>
      </c>
      <c r="AY1027" s="29">
        <f t="shared" si="745"/>
        <v>9300000</v>
      </c>
      <c r="AZ1027" s="29">
        <f t="shared" si="746"/>
        <v>15121106.809999999</v>
      </c>
    </row>
    <row r="1028" spans="2:52" x14ac:dyDescent="0.3">
      <c r="B1028" s="99">
        <f t="shared" si="748"/>
        <v>45602</v>
      </c>
      <c r="C1028" s="44">
        <f t="shared" si="757"/>
        <v>1420432.7499999995</v>
      </c>
      <c r="D1028" s="38"/>
      <c r="E1028" s="38"/>
      <c r="F1028" s="38"/>
      <c r="G1028" s="45">
        <f t="shared" si="737"/>
        <v>1420432.7499999995</v>
      </c>
      <c r="H1028" s="44">
        <v>4300000</v>
      </c>
      <c r="I1028" s="46">
        <f t="shared" si="758"/>
        <v>4231581.51</v>
      </c>
      <c r="J1028" s="38">
        <v>3845.8</v>
      </c>
      <c r="K1028" s="38">
        <v>140000</v>
      </c>
      <c r="L1028" s="38">
        <v>-634801.98</v>
      </c>
      <c r="M1028" s="47">
        <f t="shared" si="759"/>
        <v>3740625.3299999996</v>
      </c>
      <c r="N1028" s="46">
        <v>5000000</v>
      </c>
      <c r="O1028" s="48">
        <f t="shared" si="760"/>
        <v>1551.159999999767</v>
      </c>
      <c r="P1028" s="38"/>
      <c r="Q1028" s="38">
        <f>166550-140000</f>
        <v>26550</v>
      </c>
      <c r="R1028" s="38">
        <v>-24593.91</v>
      </c>
      <c r="S1028" s="55">
        <f t="shared" si="761"/>
        <v>3507.2499999997672</v>
      </c>
      <c r="T1028" s="48"/>
      <c r="U1028" s="49">
        <f t="shared" si="762"/>
        <v>166603.18000000011</v>
      </c>
      <c r="V1028" s="38"/>
      <c r="W1028" s="38">
        <v>-166550</v>
      </c>
      <c r="X1028" s="38">
        <v>-1.5</v>
      </c>
      <c r="Y1028" s="51">
        <f t="shared" si="763"/>
        <v>51.68000000010943</v>
      </c>
      <c r="Z1028" s="52"/>
      <c r="AA1028" s="53">
        <f t="shared" si="764"/>
        <v>128.34999999919904</v>
      </c>
      <c r="AB1028" s="38"/>
      <c r="AC1028" s="38"/>
      <c r="AD1028" s="38"/>
      <c r="AE1028" s="54">
        <f t="shared" si="765"/>
        <v>128.34999999919904</v>
      </c>
      <c r="AF1028" s="53"/>
      <c r="AG1028" s="53">
        <f t="shared" si="738"/>
        <v>809.86000000002332</v>
      </c>
      <c r="AH1028" s="38"/>
      <c r="AI1028" s="38"/>
      <c r="AJ1028" s="38"/>
      <c r="AK1028" s="54">
        <f t="shared" si="739"/>
        <v>809.86000000002332</v>
      </c>
      <c r="AL1028" s="53"/>
      <c r="AM1028" s="53">
        <f t="shared" si="754"/>
        <v>0</v>
      </c>
      <c r="AN1028" s="38"/>
      <c r="AO1028" s="38"/>
      <c r="AP1028" s="38"/>
      <c r="AQ1028" s="54">
        <f t="shared" si="755"/>
        <v>0</v>
      </c>
      <c r="AR1028" s="53"/>
      <c r="AS1028" s="29">
        <f t="shared" si="740"/>
        <v>5820296.9499999993</v>
      </c>
      <c r="AT1028" s="29">
        <f t="shared" si="741"/>
        <v>3845.8</v>
      </c>
      <c r="AU1028" s="29">
        <f t="shared" si="742"/>
        <v>0</v>
      </c>
      <c r="AV1028" s="29">
        <f t="shared" si="743"/>
        <v>-659397.39</v>
      </c>
      <c r="AW1028" s="29"/>
      <c r="AX1028" s="29">
        <f t="shared" si="744"/>
        <v>5165555.2199999988</v>
      </c>
      <c r="AY1028" s="29">
        <f t="shared" si="745"/>
        <v>9300000</v>
      </c>
      <c r="AZ1028" s="29">
        <f t="shared" si="746"/>
        <v>14465555.219999999</v>
      </c>
    </row>
    <row r="1029" spans="2:52" x14ac:dyDescent="0.3">
      <c r="B1029" s="99">
        <f t="shared" si="748"/>
        <v>45603</v>
      </c>
      <c r="C1029" s="44">
        <f t="shared" si="757"/>
        <v>1420432.7499999995</v>
      </c>
      <c r="D1029" s="38">
        <v>45305.14</v>
      </c>
      <c r="E1029" s="38"/>
      <c r="F1029" s="38">
        <v>-12281.12</v>
      </c>
      <c r="G1029" s="45">
        <f t="shared" si="737"/>
        <v>1453456.7699999993</v>
      </c>
      <c r="H1029" s="44">
        <v>4300000</v>
      </c>
      <c r="I1029" s="46">
        <f t="shared" si="758"/>
        <v>3740625.3299999996</v>
      </c>
      <c r="J1029" s="38"/>
      <c r="K1029" s="38"/>
      <c r="L1029" s="38">
        <v>-157295.49</v>
      </c>
      <c r="M1029" s="47">
        <f t="shared" si="759"/>
        <v>3583329.84</v>
      </c>
      <c r="N1029" s="46">
        <v>5000000</v>
      </c>
      <c r="O1029" s="48">
        <f t="shared" si="760"/>
        <v>3507.2499999997672</v>
      </c>
      <c r="P1029" s="38"/>
      <c r="Q1029" s="38"/>
      <c r="R1029" s="38">
        <v>-40.4</v>
      </c>
      <c r="S1029" s="55">
        <f t="shared" si="761"/>
        <v>3466.8499999997671</v>
      </c>
      <c r="T1029" s="48"/>
      <c r="U1029" s="49">
        <f t="shared" si="762"/>
        <v>51.68000000010943</v>
      </c>
      <c r="V1029" s="38"/>
      <c r="W1029" s="38"/>
      <c r="X1029" s="38"/>
      <c r="Y1029" s="51">
        <f t="shared" si="763"/>
        <v>51.68000000010943</v>
      </c>
      <c r="Z1029" s="52"/>
      <c r="AA1029" s="53">
        <f t="shared" si="764"/>
        <v>128.34999999919904</v>
      </c>
      <c r="AB1029" s="38"/>
      <c r="AC1029" s="38"/>
      <c r="AD1029" s="38">
        <v>-70</v>
      </c>
      <c r="AE1029" s="54">
        <f t="shared" si="765"/>
        <v>58.349999999199042</v>
      </c>
      <c r="AF1029" s="53"/>
      <c r="AG1029" s="53">
        <f t="shared" si="738"/>
        <v>809.86000000002332</v>
      </c>
      <c r="AH1029" s="38"/>
      <c r="AI1029" s="38"/>
      <c r="AJ1029" s="38"/>
      <c r="AK1029" s="54">
        <f t="shared" si="739"/>
        <v>809.86000000002332</v>
      </c>
      <c r="AL1029" s="53"/>
      <c r="AM1029" s="53">
        <f t="shared" si="754"/>
        <v>0</v>
      </c>
      <c r="AN1029" s="38"/>
      <c r="AO1029" s="38"/>
      <c r="AP1029" s="38"/>
      <c r="AQ1029" s="54">
        <f t="shared" si="755"/>
        <v>0</v>
      </c>
      <c r="AR1029" s="53"/>
      <c r="AS1029" s="29">
        <f t="shared" si="740"/>
        <v>5164745.3599999985</v>
      </c>
      <c r="AT1029" s="29">
        <f t="shared" si="741"/>
        <v>45305.14</v>
      </c>
      <c r="AU1029" s="29">
        <f t="shared" si="742"/>
        <v>0</v>
      </c>
      <c r="AV1029" s="29">
        <f t="shared" si="743"/>
        <v>-169687.00999999998</v>
      </c>
      <c r="AW1029" s="29"/>
      <c r="AX1029" s="29">
        <f t="shared" si="744"/>
        <v>5041173.3499999987</v>
      </c>
      <c r="AY1029" s="29">
        <f t="shared" si="745"/>
        <v>9300000</v>
      </c>
      <c r="AZ1029" s="29">
        <f t="shared" si="746"/>
        <v>14341173.349999998</v>
      </c>
    </row>
    <row r="1030" spans="2:52" x14ac:dyDescent="0.3">
      <c r="B1030" s="99">
        <f t="shared" si="748"/>
        <v>45604</v>
      </c>
      <c r="C1030" s="44">
        <f t="shared" si="757"/>
        <v>1453456.7699999993</v>
      </c>
      <c r="D1030" s="38"/>
      <c r="E1030" s="38"/>
      <c r="F1030" s="38">
        <v>-362.25</v>
      </c>
      <c r="G1030" s="45">
        <f t="shared" si="737"/>
        <v>1453094.5199999993</v>
      </c>
      <c r="H1030" s="44">
        <v>4300000</v>
      </c>
      <c r="I1030" s="46">
        <f t="shared" si="758"/>
        <v>3583329.84</v>
      </c>
      <c r="J1030" s="38"/>
      <c r="K1030" s="38"/>
      <c r="L1030" s="38">
        <v>-24994.2</v>
      </c>
      <c r="M1030" s="47">
        <f t="shared" si="759"/>
        <v>3558335.6399999997</v>
      </c>
      <c r="N1030" s="46">
        <v>5000000</v>
      </c>
      <c r="O1030" s="48">
        <f t="shared" si="760"/>
        <v>3466.8499999997671</v>
      </c>
      <c r="P1030" s="38"/>
      <c r="Q1030" s="38"/>
      <c r="R1030" s="38"/>
      <c r="S1030" s="55">
        <f t="shared" si="761"/>
        <v>3466.8499999997671</v>
      </c>
      <c r="T1030" s="48"/>
      <c r="U1030" s="49">
        <f t="shared" si="762"/>
        <v>51.68000000010943</v>
      </c>
      <c r="V1030" s="38"/>
      <c r="W1030" s="38"/>
      <c r="X1030" s="38"/>
      <c r="Y1030" s="51">
        <f t="shared" si="763"/>
        <v>51.68000000010943</v>
      </c>
      <c r="Z1030" s="52"/>
      <c r="AA1030" s="53">
        <f t="shared" si="764"/>
        <v>58.349999999199042</v>
      </c>
      <c r="AB1030" s="38">
        <v>1395787.06</v>
      </c>
      <c r="AC1030" s="38"/>
      <c r="AD1030" s="38"/>
      <c r="AE1030" s="54">
        <f t="shared" si="765"/>
        <v>1395845.4099999992</v>
      </c>
      <c r="AF1030" s="53"/>
      <c r="AG1030" s="53">
        <f t="shared" si="738"/>
        <v>809.86000000002332</v>
      </c>
      <c r="AH1030" s="38"/>
      <c r="AI1030" s="38"/>
      <c r="AJ1030" s="38"/>
      <c r="AK1030" s="54">
        <f t="shared" si="739"/>
        <v>809.86000000002332</v>
      </c>
      <c r="AL1030" s="53"/>
      <c r="AM1030" s="53">
        <f t="shared" si="754"/>
        <v>0</v>
      </c>
      <c r="AN1030" s="38"/>
      <c r="AO1030" s="38"/>
      <c r="AP1030" s="38"/>
      <c r="AQ1030" s="54">
        <f t="shared" si="755"/>
        <v>0</v>
      </c>
      <c r="AR1030" s="53"/>
      <c r="AS1030" s="29">
        <f t="shared" si="740"/>
        <v>5040363.4899999984</v>
      </c>
      <c r="AT1030" s="29">
        <f t="shared" si="741"/>
        <v>1395787.06</v>
      </c>
      <c r="AU1030" s="29">
        <f t="shared" si="742"/>
        <v>0</v>
      </c>
      <c r="AV1030" s="29">
        <f t="shared" si="743"/>
        <v>-25356.45</v>
      </c>
      <c r="AW1030" s="29"/>
      <c r="AX1030" s="29">
        <f t="shared" si="744"/>
        <v>6411603.9599999981</v>
      </c>
      <c r="AY1030" s="29">
        <f t="shared" si="745"/>
        <v>9300000</v>
      </c>
      <c r="AZ1030" s="29">
        <f t="shared" si="746"/>
        <v>15711603.959999997</v>
      </c>
    </row>
    <row r="1031" spans="2:52" x14ac:dyDescent="0.3">
      <c r="B1031" s="99">
        <f t="shared" si="767"/>
        <v>45607</v>
      </c>
      <c r="C1031" s="44">
        <f t="shared" si="757"/>
        <v>1453094.5199999993</v>
      </c>
      <c r="D1031" s="38">
        <v>289185.37</v>
      </c>
      <c r="E1031" s="38"/>
      <c r="F1031" s="38">
        <v>-6454.53</v>
      </c>
      <c r="G1031" s="45">
        <f t="shared" si="737"/>
        <v>1735825.3599999992</v>
      </c>
      <c r="H1031" s="44">
        <v>4300000</v>
      </c>
      <c r="I1031" s="46">
        <f t="shared" si="758"/>
        <v>3558335.6399999997</v>
      </c>
      <c r="J1031" s="38">
        <v>22818.720000000001</v>
      </c>
      <c r="K1031" s="38"/>
      <c r="L1031" s="38">
        <v>-429246.93</v>
      </c>
      <c r="M1031" s="47">
        <f t="shared" si="759"/>
        <v>3151907.4299999997</v>
      </c>
      <c r="N1031" s="46">
        <v>5000000</v>
      </c>
      <c r="O1031" s="48">
        <f t="shared" si="760"/>
        <v>3466.8499999997671</v>
      </c>
      <c r="P1031" s="38"/>
      <c r="Q1031" s="38"/>
      <c r="R1031" s="38">
        <v>-3376.47</v>
      </c>
      <c r="S1031" s="55">
        <f t="shared" si="761"/>
        <v>90.379999999767278</v>
      </c>
      <c r="T1031" s="48"/>
      <c r="U1031" s="49">
        <f t="shared" si="762"/>
        <v>51.68000000010943</v>
      </c>
      <c r="V1031" s="38"/>
      <c r="W1031" s="38"/>
      <c r="X1031" s="38"/>
      <c r="Y1031" s="51">
        <f t="shared" si="763"/>
        <v>51.68000000010943</v>
      </c>
      <c r="Z1031" s="52"/>
      <c r="AA1031" s="53">
        <f t="shared" si="764"/>
        <v>1395845.4099999992</v>
      </c>
      <c r="AB1031" s="38"/>
      <c r="AC1031" s="38"/>
      <c r="AD1031" s="38">
        <v>-345</v>
      </c>
      <c r="AE1031" s="54">
        <f t="shared" si="765"/>
        <v>1395500.4099999992</v>
      </c>
      <c r="AF1031" s="53"/>
      <c r="AG1031" s="53">
        <f t="shared" si="738"/>
        <v>809.86000000002332</v>
      </c>
      <c r="AH1031" s="38"/>
      <c r="AI1031" s="38"/>
      <c r="AJ1031" s="38"/>
      <c r="AK1031" s="54">
        <f t="shared" si="739"/>
        <v>809.86000000002332</v>
      </c>
      <c r="AL1031" s="53"/>
      <c r="AM1031" s="53">
        <f t="shared" si="754"/>
        <v>0</v>
      </c>
      <c r="AN1031" s="38"/>
      <c r="AO1031" s="38"/>
      <c r="AP1031" s="38"/>
      <c r="AQ1031" s="54">
        <f t="shared" si="755"/>
        <v>0</v>
      </c>
      <c r="AR1031" s="53"/>
      <c r="AS1031" s="29">
        <f t="shared" si="740"/>
        <v>6410794.0999999978</v>
      </c>
      <c r="AT1031" s="29">
        <f t="shared" si="741"/>
        <v>312004.08999999997</v>
      </c>
      <c r="AU1031" s="29">
        <f t="shared" si="742"/>
        <v>0</v>
      </c>
      <c r="AV1031" s="29">
        <f t="shared" si="743"/>
        <v>-439422.93</v>
      </c>
      <c r="AW1031" s="29"/>
      <c r="AX1031" s="29">
        <f t="shared" si="744"/>
        <v>6284185.1199999982</v>
      </c>
      <c r="AY1031" s="29">
        <f t="shared" si="745"/>
        <v>9300000</v>
      </c>
      <c r="AZ1031" s="29">
        <f t="shared" si="746"/>
        <v>15584185.119999997</v>
      </c>
    </row>
    <row r="1032" spans="2:52" x14ac:dyDescent="0.3">
      <c r="B1032" s="99">
        <f t="shared" si="748"/>
        <v>45608</v>
      </c>
      <c r="C1032" s="44">
        <f t="shared" si="757"/>
        <v>1735825.3599999992</v>
      </c>
      <c r="D1032" s="38">
        <v>105494.49</v>
      </c>
      <c r="E1032" s="38"/>
      <c r="F1032" s="38">
        <v>-6482.62</v>
      </c>
      <c r="G1032" s="45">
        <f t="shared" si="737"/>
        <v>1834837.2299999991</v>
      </c>
      <c r="H1032" s="44">
        <v>4300000</v>
      </c>
      <c r="I1032" s="46">
        <f t="shared" si="758"/>
        <v>3151907.4299999997</v>
      </c>
      <c r="J1032" s="38"/>
      <c r="K1032" s="38">
        <v>1429000</v>
      </c>
      <c r="L1032" s="38">
        <v>-2669998.39</v>
      </c>
      <c r="M1032" s="47">
        <f t="shared" si="759"/>
        <v>1910909.0399999996</v>
      </c>
      <c r="N1032" s="46">
        <v>5000000</v>
      </c>
      <c r="O1032" s="48">
        <f t="shared" si="760"/>
        <v>90.379999999767278</v>
      </c>
      <c r="P1032" s="38">
        <v>21487.9</v>
      </c>
      <c r="Q1032" s="38"/>
      <c r="R1032" s="38">
        <v>-1395.27</v>
      </c>
      <c r="S1032" s="55">
        <f t="shared" si="761"/>
        <v>20183.009999999769</v>
      </c>
      <c r="T1032" s="48"/>
      <c r="U1032" s="49">
        <f t="shared" si="762"/>
        <v>51.68000000010943</v>
      </c>
      <c r="V1032" s="38"/>
      <c r="W1032" s="38"/>
      <c r="X1032" s="38"/>
      <c r="Y1032" s="51">
        <f t="shared" si="763"/>
        <v>51.68000000010943</v>
      </c>
      <c r="Z1032" s="52"/>
      <c r="AA1032" s="53">
        <f t="shared" si="764"/>
        <v>1395500.4099999992</v>
      </c>
      <c r="AB1032" s="38"/>
      <c r="AC1032" s="38">
        <v>-1395000</v>
      </c>
      <c r="AD1032" s="38"/>
      <c r="AE1032" s="54">
        <f t="shared" si="765"/>
        <v>500.40999999921769</v>
      </c>
      <c r="AF1032" s="53"/>
      <c r="AG1032" s="53">
        <f t="shared" si="738"/>
        <v>809.86000000002332</v>
      </c>
      <c r="AH1032" s="38">
        <v>33775.980000000003</v>
      </c>
      <c r="AI1032" s="38">
        <v>-34000</v>
      </c>
      <c r="AJ1032" s="38"/>
      <c r="AK1032" s="54">
        <f t="shared" si="739"/>
        <v>585.84000000002561</v>
      </c>
      <c r="AL1032" s="53"/>
      <c r="AM1032" s="53">
        <f t="shared" si="754"/>
        <v>0</v>
      </c>
      <c r="AN1032" s="38"/>
      <c r="AO1032" s="38"/>
      <c r="AP1032" s="38"/>
      <c r="AQ1032" s="54">
        <f t="shared" si="755"/>
        <v>0</v>
      </c>
      <c r="AR1032" s="53"/>
      <c r="AS1032" s="29">
        <f t="shared" si="740"/>
        <v>6283375.2599999979</v>
      </c>
      <c r="AT1032" s="29">
        <f t="shared" si="741"/>
        <v>160758.37000000002</v>
      </c>
      <c r="AU1032" s="29">
        <f t="shared" si="742"/>
        <v>0</v>
      </c>
      <c r="AV1032" s="29">
        <f t="shared" si="743"/>
        <v>-2677876.2800000003</v>
      </c>
      <c r="AW1032" s="29"/>
      <c r="AX1032" s="29">
        <f t="shared" si="744"/>
        <v>3767067.2099999976</v>
      </c>
      <c r="AY1032" s="29">
        <f t="shared" si="745"/>
        <v>9300000</v>
      </c>
      <c r="AZ1032" s="29">
        <f t="shared" si="746"/>
        <v>13067067.209999997</v>
      </c>
    </row>
    <row r="1033" spans="2:52" x14ac:dyDescent="0.3">
      <c r="B1033" s="99">
        <f t="shared" si="748"/>
        <v>45609</v>
      </c>
      <c r="C1033" s="44">
        <f t="shared" si="757"/>
        <v>1834837.2299999991</v>
      </c>
      <c r="D1033" s="38"/>
      <c r="E1033" s="38"/>
      <c r="F1033" s="38">
        <v>-20864.36</v>
      </c>
      <c r="G1033" s="45">
        <f t="shared" si="737"/>
        <v>1813972.8699999989</v>
      </c>
      <c r="H1033" s="44">
        <v>4300000</v>
      </c>
      <c r="I1033" s="46">
        <f t="shared" si="758"/>
        <v>1910909.0399999996</v>
      </c>
      <c r="J1033" s="38"/>
      <c r="K1033" s="38"/>
      <c r="L1033" s="38">
        <v>-20730.38</v>
      </c>
      <c r="M1033" s="47">
        <f t="shared" si="759"/>
        <v>1890178.6599999997</v>
      </c>
      <c r="N1033" s="46">
        <v>5000000</v>
      </c>
      <c r="O1033" s="48">
        <f t="shared" si="760"/>
        <v>20183.009999999769</v>
      </c>
      <c r="P1033" s="38"/>
      <c r="Q1033" s="38"/>
      <c r="R1033" s="38"/>
      <c r="S1033" s="55">
        <f t="shared" si="761"/>
        <v>20183.009999999769</v>
      </c>
      <c r="T1033" s="48"/>
      <c r="U1033" s="49">
        <f t="shared" si="762"/>
        <v>51.68000000010943</v>
      </c>
      <c r="V1033" s="38"/>
      <c r="W1033" s="38"/>
      <c r="X1033" s="38"/>
      <c r="Y1033" s="51">
        <f t="shared" si="763"/>
        <v>51.68000000010943</v>
      </c>
      <c r="Z1033" s="52"/>
      <c r="AA1033" s="53">
        <f t="shared" si="764"/>
        <v>500.40999999921769</v>
      </c>
      <c r="AB1033" s="38"/>
      <c r="AC1033" s="38"/>
      <c r="AD1033" s="38"/>
      <c r="AE1033" s="54">
        <f t="shared" si="765"/>
        <v>500.40999999921769</v>
      </c>
      <c r="AF1033" s="53"/>
      <c r="AG1033" s="53">
        <f t="shared" si="738"/>
        <v>585.84000000002561</v>
      </c>
      <c r="AH1033" s="38"/>
      <c r="AI1033" s="38"/>
      <c r="AJ1033" s="38">
        <v>-9.9</v>
      </c>
      <c r="AK1033" s="54">
        <f t="shared" si="739"/>
        <v>575.94000000002563</v>
      </c>
      <c r="AL1033" s="53"/>
      <c r="AM1033" s="53">
        <f t="shared" si="754"/>
        <v>0</v>
      </c>
      <c r="AN1033" s="38"/>
      <c r="AO1033" s="38"/>
      <c r="AP1033" s="38"/>
      <c r="AQ1033" s="54">
        <f t="shared" si="755"/>
        <v>0</v>
      </c>
      <c r="AR1033" s="53"/>
      <c r="AS1033" s="29">
        <f t="shared" si="740"/>
        <v>3766481.3699999978</v>
      </c>
      <c r="AT1033" s="29">
        <f t="shared" si="741"/>
        <v>0</v>
      </c>
      <c r="AU1033" s="29">
        <f t="shared" si="742"/>
        <v>0</v>
      </c>
      <c r="AV1033" s="29">
        <f t="shared" si="743"/>
        <v>-41604.640000000007</v>
      </c>
      <c r="AW1033" s="29"/>
      <c r="AX1033" s="29">
        <f t="shared" si="744"/>
        <v>3725462.5699999975</v>
      </c>
      <c r="AY1033" s="29">
        <f t="shared" si="745"/>
        <v>9300000</v>
      </c>
      <c r="AZ1033" s="29">
        <f t="shared" si="746"/>
        <v>13025462.569999997</v>
      </c>
    </row>
    <row r="1034" spans="2:52" x14ac:dyDescent="0.3">
      <c r="B1034" s="99">
        <f t="shared" si="748"/>
        <v>45610</v>
      </c>
      <c r="C1034" s="44">
        <f t="shared" si="757"/>
        <v>1813972.8699999989</v>
      </c>
      <c r="D1034" s="38">
        <v>612254.69999999995</v>
      </c>
      <c r="E1034" s="38"/>
      <c r="F1034" s="38">
        <f>-826282.55-40088</f>
        <v>-866370.55</v>
      </c>
      <c r="G1034" s="45">
        <f t="shared" si="737"/>
        <v>1559857.0199999989</v>
      </c>
      <c r="H1034" s="44">
        <v>4300000</v>
      </c>
      <c r="I1034" s="46">
        <f t="shared" si="758"/>
        <v>1890178.6599999997</v>
      </c>
      <c r="J1034" s="38">
        <f>11661.77+107283.86+7718.25</f>
        <v>126663.88</v>
      </c>
      <c r="K1034" s="38"/>
      <c r="L1034" s="38">
        <v>-8378.42</v>
      </c>
      <c r="M1034" s="47">
        <f t="shared" si="759"/>
        <v>2008464.1199999996</v>
      </c>
      <c r="N1034" s="46">
        <v>5000000</v>
      </c>
      <c r="O1034" s="48">
        <f t="shared" si="760"/>
        <v>20183.009999999769</v>
      </c>
      <c r="P1034" s="38">
        <v>182.22</v>
      </c>
      <c r="Q1034" s="38"/>
      <c r="R1034" s="38"/>
      <c r="S1034" s="55">
        <f t="shared" si="761"/>
        <v>20365.22999999977</v>
      </c>
      <c r="T1034" s="48"/>
      <c r="U1034" s="49">
        <f t="shared" si="762"/>
        <v>51.68000000010943</v>
      </c>
      <c r="V1034" s="38"/>
      <c r="W1034" s="38"/>
      <c r="X1034" s="38"/>
      <c r="Y1034" s="51">
        <f t="shared" si="763"/>
        <v>51.68000000010943</v>
      </c>
      <c r="Z1034" s="52"/>
      <c r="AA1034" s="53">
        <f t="shared" si="764"/>
        <v>500.40999999921769</v>
      </c>
      <c r="AB1034" s="38"/>
      <c r="AC1034" s="38"/>
      <c r="AD1034" s="38"/>
      <c r="AE1034" s="54">
        <f t="shared" si="765"/>
        <v>500.40999999921769</v>
      </c>
      <c r="AF1034" s="53"/>
      <c r="AG1034" s="53">
        <f t="shared" si="738"/>
        <v>575.94000000002563</v>
      </c>
      <c r="AH1034" s="38"/>
      <c r="AI1034" s="38"/>
      <c r="AJ1034" s="38"/>
      <c r="AK1034" s="54">
        <f t="shared" si="739"/>
        <v>575.94000000002563</v>
      </c>
      <c r="AL1034" s="53"/>
      <c r="AM1034" s="53">
        <f t="shared" si="754"/>
        <v>0</v>
      </c>
      <c r="AN1034" s="38"/>
      <c r="AO1034" s="38"/>
      <c r="AP1034" s="38"/>
      <c r="AQ1034" s="54">
        <f t="shared" si="755"/>
        <v>0</v>
      </c>
      <c r="AR1034" s="53"/>
      <c r="AS1034" s="29">
        <f t="shared" si="740"/>
        <v>3724886.6299999976</v>
      </c>
      <c r="AT1034" s="29">
        <f t="shared" si="741"/>
        <v>739100.79999999993</v>
      </c>
      <c r="AU1034" s="29">
        <f t="shared" si="742"/>
        <v>0</v>
      </c>
      <c r="AV1034" s="29">
        <f t="shared" si="743"/>
        <v>-874748.97000000009</v>
      </c>
      <c r="AW1034" s="29"/>
      <c r="AX1034" s="29">
        <f t="shared" si="744"/>
        <v>3589814.399999998</v>
      </c>
      <c r="AY1034" s="29">
        <f t="shared" si="745"/>
        <v>9300000</v>
      </c>
      <c r="AZ1034" s="29">
        <f t="shared" si="746"/>
        <v>12889814.399999999</v>
      </c>
    </row>
    <row r="1035" spans="2:52" x14ac:dyDescent="0.3">
      <c r="B1035" s="99">
        <f t="shared" si="748"/>
        <v>45611</v>
      </c>
      <c r="C1035" s="44">
        <f t="shared" si="757"/>
        <v>1559857.0199999989</v>
      </c>
      <c r="D1035" s="38"/>
      <c r="E1035" s="38"/>
      <c r="F1035" s="38"/>
      <c r="G1035" s="45">
        <f t="shared" si="737"/>
        <v>1559857.0199999989</v>
      </c>
      <c r="H1035" s="44">
        <v>4300000</v>
      </c>
      <c r="I1035" s="46">
        <f t="shared" si="758"/>
        <v>2008464.1199999996</v>
      </c>
      <c r="J1035" s="38"/>
      <c r="K1035" s="38"/>
      <c r="L1035" s="38"/>
      <c r="M1035" s="47">
        <f t="shared" si="759"/>
        <v>2008464.1199999996</v>
      </c>
      <c r="N1035" s="46">
        <v>5000000</v>
      </c>
      <c r="O1035" s="48">
        <f t="shared" si="760"/>
        <v>20365.22999999977</v>
      </c>
      <c r="P1035" s="38"/>
      <c r="Q1035" s="38"/>
      <c r="R1035" s="38"/>
      <c r="S1035" s="55">
        <f t="shared" si="761"/>
        <v>20365.22999999977</v>
      </c>
      <c r="T1035" s="48"/>
      <c r="U1035" s="49">
        <f t="shared" si="762"/>
        <v>51.68000000010943</v>
      </c>
      <c r="V1035" s="38"/>
      <c r="W1035" s="38"/>
      <c r="X1035" s="38"/>
      <c r="Y1035" s="51">
        <f t="shared" si="763"/>
        <v>51.68000000010943</v>
      </c>
      <c r="Z1035" s="52"/>
      <c r="AA1035" s="53">
        <f t="shared" si="764"/>
        <v>500.40999999921769</v>
      </c>
      <c r="AB1035" s="38"/>
      <c r="AC1035" s="38"/>
      <c r="AD1035" s="38"/>
      <c r="AE1035" s="54">
        <f t="shared" si="765"/>
        <v>500.40999999921769</v>
      </c>
      <c r="AF1035" s="53"/>
      <c r="AG1035" s="53">
        <f t="shared" si="738"/>
        <v>575.94000000002563</v>
      </c>
      <c r="AH1035" s="38"/>
      <c r="AI1035" s="38"/>
      <c r="AJ1035" s="38"/>
      <c r="AK1035" s="54">
        <f t="shared" si="739"/>
        <v>575.94000000002563</v>
      </c>
      <c r="AL1035" s="53"/>
      <c r="AM1035" s="53">
        <f t="shared" si="754"/>
        <v>0</v>
      </c>
      <c r="AN1035" s="38"/>
      <c r="AO1035" s="38"/>
      <c r="AP1035" s="38"/>
      <c r="AQ1035" s="54">
        <f t="shared" si="755"/>
        <v>0</v>
      </c>
      <c r="AR1035" s="53"/>
      <c r="AS1035" s="29">
        <f t="shared" si="740"/>
        <v>3589238.4599999981</v>
      </c>
      <c r="AT1035" s="29">
        <f t="shared" si="741"/>
        <v>0</v>
      </c>
      <c r="AU1035" s="29">
        <f t="shared" si="742"/>
        <v>0</v>
      </c>
      <c r="AV1035" s="29">
        <f t="shared" si="743"/>
        <v>0</v>
      </c>
      <c r="AW1035" s="29"/>
      <c r="AX1035" s="29">
        <f t="shared" si="744"/>
        <v>3589814.399999998</v>
      </c>
      <c r="AY1035" s="29">
        <f t="shared" si="745"/>
        <v>9300000</v>
      </c>
      <c r="AZ1035" s="29">
        <f t="shared" si="746"/>
        <v>12889814.399999999</v>
      </c>
    </row>
    <row r="1036" spans="2:52" x14ac:dyDescent="0.3">
      <c r="B1036" s="99">
        <f t="shared" ref="B1036" si="768">B1035+3</f>
        <v>45614</v>
      </c>
      <c r="C1036" s="44">
        <f t="shared" si="757"/>
        <v>1559857.0199999989</v>
      </c>
      <c r="D1036" s="38">
        <v>115948.06</v>
      </c>
      <c r="E1036" s="38"/>
      <c r="F1036" s="38">
        <v>-20417.580000000002</v>
      </c>
      <c r="G1036" s="45">
        <f t="shared" si="737"/>
        <v>1655387.4999999988</v>
      </c>
      <c r="H1036" s="44">
        <v>4300000</v>
      </c>
      <c r="I1036" s="46">
        <f t="shared" si="758"/>
        <v>2008464.1199999996</v>
      </c>
      <c r="J1036" s="38"/>
      <c r="K1036" s="38"/>
      <c r="L1036" s="38">
        <v>-135573.6</v>
      </c>
      <c r="M1036" s="47">
        <f t="shared" si="759"/>
        <v>1872890.5199999996</v>
      </c>
      <c r="N1036" s="46">
        <v>5000000</v>
      </c>
      <c r="O1036" s="48">
        <f t="shared" si="760"/>
        <v>20365.22999999977</v>
      </c>
      <c r="P1036" s="38">
        <v>10111.93</v>
      </c>
      <c r="Q1036" s="38"/>
      <c r="R1036" s="38"/>
      <c r="S1036" s="55">
        <f t="shared" si="761"/>
        <v>30477.159999999771</v>
      </c>
      <c r="T1036" s="48"/>
      <c r="U1036" s="49">
        <f t="shared" si="762"/>
        <v>51.68000000010943</v>
      </c>
      <c r="V1036" s="38"/>
      <c r="W1036" s="38"/>
      <c r="X1036" s="38"/>
      <c r="Y1036" s="51">
        <f t="shared" si="763"/>
        <v>51.68000000010943</v>
      </c>
      <c r="Z1036" s="52"/>
      <c r="AA1036" s="53">
        <f t="shared" si="764"/>
        <v>500.40999999921769</v>
      </c>
      <c r="AB1036" s="38"/>
      <c r="AC1036" s="38"/>
      <c r="AD1036" s="38"/>
      <c r="AE1036" s="54">
        <f t="shared" si="765"/>
        <v>500.40999999921769</v>
      </c>
      <c r="AF1036" s="53"/>
      <c r="AG1036" s="53">
        <f t="shared" si="738"/>
        <v>575.94000000002563</v>
      </c>
      <c r="AH1036" s="38"/>
      <c r="AI1036" s="38"/>
      <c r="AJ1036" s="38"/>
      <c r="AK1036" s="54">
        <f t="shared" si="739"/>
        <v>575.94000000002563</v>
      </c>
      <c r="AL1036" s="53"/>
      <c r="AM1036" s="53">
        <f t="shared" si="754"/>
        <v>0</v>
      </c>
      <c r="AN1036" s="38"/>
      <c r="AO1036" s="38"/>
      <c r="AP1036" s="38"/>
      <c r="AQ1036" s="54">
        <f t="shared" si="755"/>
        <v>0</v>
      </c>
      <c r="AR1036" s="53"/>
      <c r="AS1036" s="29">
        <f t="shared" si="740"/>
        <v>3589238.4599999981</v>
      </c>
      <c r="AT1036" s="29">
        <f t="shared" si="741"/>
        <v>126059.98999999999</v>
      </c>
      <c r="AU1036" s="29">
        <f t="shared" si="742"/>
        <v>0</v>
      </c>
      <c r="AV1036" s="29">
        <f t="shared" si="743"/>
        <v>-155991.18</v>
      </c>
      <c r="AW1036" s="29"/>
      <c r="AX1036" s="29">
        <f t="shared" si="744"/>
        <v>3559883.2099999976</v>
      </c>
      <c r="AY1036" s="29">
        <f t="shared" si="745"/>
        <v>9300000</v>
      </c>
      <c r="AZ1036" s="29">
        <f t="shared" si="746"/>
        <v>12859883.209999997</v>
      </c>
    </row>
    <row r="1037" spans="2:52" x14ac:dyDescent="0.3">
      <c r="B1037" s="99">
        <f t="shared" si="748"/>
        <v>45615</v>
      </c>
      <c r="C1037" s="44">
        <f t="shared" si="757"/>
        <v>1655387.4999999988</v>
      </c>
      <c r="D1037" s="38"/>
      <c r="E1037" s="38"/>
      <c r="F1037" s="38">
        <v>-1007084.48</v>
      </c>
      <c r="G1037" s="45">
        <f t="shared" si="737"/>
        <v>648303.01999999885</v>
      </c>
      <c r="H1037" s="44">
        <v>4300000</v>
      </c>
      <c r="I1037" s="46">
        <f t="shared" si="758"/>
        <v>1872890.5199999996</v>
      </c>
      <c r="J1037" s="38"/>
      <c r="K1037" s="38"/>
      <c r="L1037" s="38">
        <v>-1819357.7</v>
      </c>
      <c r="M1037" s="47">
        <f t="shared" si="759"/>
        <v>53532.8199999996</v>
      </c>
      <c r="N1037" s="46">
        <v>5000000</v>
      </c>
      <c r="O1037" s="48">
        <f t="shared" si="760"/>
        <v>30477.159999999771</v>
      </c>
      <c r="P1037" s="38"/>
      <c r="Q1037" s="38"/>
      <c r="R1037" s="38">
        <f>-217.8*2</f>
        <v>-435.6</v>
      </c>
      <c r="S1037" s="55">
        <f t="shared" si="761"/>
        <v>30041.559999999772</v>
      </c>
      <c r="T1037" s="48"/>
      <c r="U1037" s="49">
        <f t="shared" si="762"/>
        <v>51.68000000010943</v>
      </c>
      <c r="V1037" s="38"/>
      <c r="W1037" s="38"/>
      <c r="X1037" s="38"/>
      <c r="Y1037" s="51">
        <f t="shared" si="763"/>
        <v>51.68000000010943</v>
      </c>
      <c r="Z1037" s="52"/>
      <c r="AA1037" s="53">
        <f t="shared" si="764"/>
        <v>500.40999999921769</v>
      </c>
      <c r="AB1037" s="38"/>
      <c r="AC1037" s="38"/>
      <c r="AD1037" s="38"/>
      <c r="AE1037" s="54">
        <f t="shared" si="765"/>
        <v>500.40999999921769</v>
      </c>
      <c r="AF1037" s="53"/>
      <c r="AG1037" s="53">
        <f t="shared" si="738"/>
        <v>575.94000000002563</v>
      </c>
      <c r="AH1037" s="38"/>
      <c r="AI1037" s="38"/>
      <c r="AJ1037" s="38"/>
      <c r="AK1037" s="54">
        <f t="shared" si="739"/>
        <v>575.94000000002563</v>
      </c>
      <c r="AL1037" s="53"/>
      <c r="AM1037" s="53">
        <f t="shared" si="754"/>
        <v>0</v>
      </c>
      <c r="AN1037" s="38"/>
      <c r="AO1037" s="38"/>
      <c r="AP1037" s="38"/>
      <c r="AQ1037" s="54">
        <f t="shared" si="755"/>
        <v>0</v>
      </c>
      <c r="AR1037" s="53"/>
      <c r="AS1037" s="29">
        <f t="shared" si="740"/>
        <v>3559307.2699999977</v>
      </c>
      <c r="AT1037" s="29">
        <f t="shared" si="741"/>
        <v>0</v>
      </c>
      <c r="AU1037" s="29">
        <f t="shared" si="742"/>
        <v>0</v>
      </c>
      <c r="AV1037" s="29">
        <f t="shared" si="743"/>
        <v>-2826877.78</v>
      </c>
      <c r="AW1037" s="29"/>
      <c r="AX1037" s="29">
        <f t="shared" si="744"/>
        <v>733005.42999999772</v>
      </c>
      <c r="AY1037" s="29">
        <f t="shared" si="745"/>
        <v>9300000</v>
      </c>
      <c r="AZ1037" s="29">
        <f t="shared" si="746"/>
        <v>10033005.429999998</v>
      </c>
    </row>
    <row r="1038" spans="2:52" x14ac:dyDescent="0.3">
      <c r="B1038" s="99">
        <f t="shared" si="748"/>
        <v>45616</v>
      </c>
      <c r="C1038" s="44">
        <f t="shared" si="757"/>
        <v>648303.01999999885</v>
      </c>
      <c r="D1038" s="38"/>
      <c r="E1038" s="38"/>
      <c r="F1038" s="38"/>
      <c r="G1038" s="45">
        <f t="shared" si="737"/>
        <v>648303.01999999885</v>
      </c>
      <c r="H1038" s="44">
        <v>4300000</v>
      </c>
      <c r="I1038" s="46">
        <f t="shared" si="758"/>
        <v>53532.8199999996</v>
      </c>
      <c r="J1038" s="38"/>
      <c r="K1038" s="38"/>
      <c r="L1038" s="38"/>
      <c r="M1038" s="47">
        <f t="shared" si="759"/>
        <v>53532.8199999996</v>
      </c>
      <c r="N1038" s="46">
        <v>5000000</v>
      </c>
      <c r="O1038" s="48">
        <f t="shared" si="760"/>
        <v>30041.559999999772</v>
      </c>
      <c r="P1038" s="38"/>
      <c r="Q1038" s="38"/>
      <c r="R1038" s="38"/>
      <c r="S1038" s="55">
        <f t="shared" si="761"/>
        <v>30041.559999999772</v>
      </c>
      <c r="T1038" s="48"/>
      <c r="U1038" s="49">
        <f t="shared" si="762"/>
        <v>51.68000000010943</v>
      </c>
      <c r="V1038" s="38"/>
      <c r="W1038" s="38"/>
      <c r="X1038" s="38"/>
      <c r="Y1038" s="51">
        <f t="shared" si="763"/>
        <v>51.68000000010943</v>
      </c>
      <c r="Z1038" s="52"/>
      <c r="AA1038" s="53">
        <f t="shared" si="764"/>
        <v>500.40999999921769</v>
      </c>
      <c r="AB1038" s="38"/>
      <c r="AC1038" s="38"/>
      <c r="AD1038" s="38"/>
      <c r="AE1038" s="54">
        <f t="shared" si="765"/>
        <v>500.40999999921769</v>
      </c>
      <c r="AF1038" s="53"/>
      <c r="AG1038" s="53">
        <f t="shared" si="738"/>
        <v>575.94000000002563</v>
      </c>
      <c r="AH1038" s="38"/>
      <c r="AI1038" s="38"/>
      <c r="AJ1038" s="38"/>
      <c r="AK1038" s="54">
        <f t="shared" si="739"/>
        <v>575.94000000002563</v>
      </c>
      <c r="AL1038" s="53"/>
      <c r="AM1038" s="53">
        <f t="shared" si="754"/>
        <v>0</v>
      </c>
      <c r="AN1038" s="38"/>
      <c r="AO1038" s="38"/>
      <c r="AP1038" s="38"/>
      <c r="AQ1038" s="54">
        <f t="shared" si="755"/>
        <v>0</v>
      </c>
      <c r="AR1038" s="53"/>
      <c r="AS1038" s="29">
        <f t="shared" si="740"/>
        <v>732429.48999999766</v>
      </c>
      <c r="AT1038" s="29">
        <f t="shared" si="741"/>
        <v>0</v>
      </c>
      <c r="AU1038" s="29">
        <f t="shared" si="742"/>
        <v>0</v>
      </c>
      <c r="AV1038" s="29">
        <f t="shared" si="743"/>
        <v>0</v>
      </c>
      <c r="AW1038" s="29"/>
      <c r="AX1038" s="29">
        <f t="shared" si="744"/>
        <v>733005.42999999772</v>
      </c>
      <c r="AY1038" s="29">
        <f t="shared" si="745"/>
        <v>9300000</v>
      </c>
      <c r="AZ1038" s="29">
        <f t="shared" si="746"/>
        <v>10033005.429999998</v>
      </c>
    </row>
    <row r="1039" spans="2:52" x14ac:dyDescent="0.3">
      <c r="B1039" s="99">
        <f t="shared" si="748"/>
        <v>45617</v>
      </c>
      <c r="C1039" s="44">
        <f t="shared" si="757"/>
        <v>648303.01999999885</v>
      </c>
      <c r="D1039" s="38">
        <v>98694.86</v>
      </c>
      <c r="E1039" s="38"/>
      <c r="F1039" s="38">
        <v>-703954.88</v>
      </c>
      <c r="G1039" s="45">
        <f t="shared" si="737"/>
        <v>43042.999999998836</v>
      </c>
      <c r="H1039" s="44">
        <v>4300000</v>
      </c>
      <c r="I1039" s="46">
        <f t="shared" si="758"/>
        <v>53532.8199999996</v>
      </c>
      <c r="J1039" s="38">
        <v>9755.7000000000007</v>
      </c>
      <c r="K1039" s="38"/>
      <c r="L1039" s="38">
        <v>-56579.93</v>
      </c>
      <c r="M1039" s="47">
        <f t="shared" si="759"/>
        <v>6708.5899999995963</v>
      </c>
      <c r="N1039" s="46">
        <v>5000000</v>
      </c>
      <c r="O1039" s="48">
        <f t="shared" si="760"/>
        <v>30041.559999999772</v>
      </c>
      <c r="P1039" s="38"/>
      <c r="Q1039" s="38"/>
      <c r="R1039" s="38"/>
      <c r="S1039" s="55">
        <f t="shared" si="761"/>
        <v>30041.559999999772</v>
      </c>
      <c r="T1039" s="48"/>
      <c r="U1039" s="49">
        <f t="shared" si="762"/>
        <v>51.68000000010943</v>
      </c>
      <c r="V1039" s="38">
        <v>383150.19</v>
      </c>
      <c r="W1039" s="38"/>
      <c r="X1039" s="38"/>
      <c r="Y1039" s="51">
        <f t="shared" si="763"/>
        <v>383201.87000000011</v>
      </c>
      <c r="Z1039" s="52"/>
      <c r="AA1039" s="53">
        <f t="shared" si="764"/>
        <v>500.40999999921769</v>
      </c>
      <c r="AB1039" s="38"/>
      <c r="AC1039" s="38"/>
      <c r="AD1039" s="38"/>
      <c r="AE1039" s="54">
        <f t="shared" si="765"/>
        <v>500.40999999921769</v>
      </c>
      <c r="AF1039" s="53"/>
      <c r="AG1039" s="53">
        <f t="shared" si="738"/>
        <v>575.94000000002563</v>
      </c>
      <c r="AH1039" s="38"/>
      <c r="AI1039" s="38"/>
      <c r="AJ1039" s="38"/>
      <c r="AK1039" s="54">
        <f t="shared" si="739"/>
        <v>575.94000000002563</v>
      </c>
      <c r="AL1039" s="53"/>
      <c r="AM1039" s="53">
        <f t="shared" si="754"/>
        <v>0</v>
      </c>
      <c r="AN1039" s="38"/>
      <c r="AO1039" s="38"/>
      <c r="AP1039" s="38"/>
      <c r="AQ1039" s="54">
        <f t="shared" si="755"/>
        <v>0</v>
      </c>
      <c r="AR1039" s="53"/>
      <c r="AS1039" s="29">
        <f t="shared" si="740"/>
        <v>732429.48999999766</v>
      </c>
      <c r="AT1039" s="29">
        <f t="shared" si="741"/>
        <v>491600.75</v>
      </c>
      <c r="AU1039" s="29">
        <f t="shared" si="742"/>
        <v>0</v>
      </c>
      <c r="AV1039" s="29">
        <f t="shared" si="743"/>
        <v>-760534.81</v>
      </c>
      <c r="AW1039" s="29"/>
      <c r="AX1039" s="29">
        <f t="shared" si="744"/>
        <v>464071.36999999755</v>
      </c>
      <c r="AY1039" s="29">
        <f t="shared" si="745"/>
        <v>9300000</v>
      </c>
      <c r="AZ1039" s="29">
        <f t="shared" si="746"/>
        <v>9764071.3699999973</v>
      </c>
    </row>
    <row r="1040" spans="2:52" x14ac:dyDescent="0.3">
      <c r="B1040" s="99">
        <f t="shared" si="748"/>
        <v>45618</v>
      </c>
      <c r="C1040" s="44">
        <f t="shared" si="757"/>
        <v>43042.999999998836</v>
      </c>
      <c r="D1040" s="38">
        <v>11331.94</v>
      </c>
      <c r="E1040" s="38"/>
      <c r="F1040" s="38">
        <v>-402</v>
      </c>
      <c r="G1040" s="45">
        <f t="shared" si="737"/>
        <v>53972.939999998838</v>
      </c>
      <c r="H1040" s="44">
        <v>4300000</v>
      </c>
      <c r="I1040" s="46">
        <f t="shared" si="758"/>
        <v>6708.5899999995963</v>
      </c>
      <c r="J1040" s="38"/>
      <c r="K1040" s="38">
        <v>590000</v>
      </c>
      <c r="L1040" s="38">
        <v>-167479.78</v>
      </c>
      <c r="M1040" s="47">
        <f t="shared" si="759"/>
        <v>429228.80999999959</v>
      </c>
      <c r="N1040" s="46">
        <v>5000000</v>
      </c>
      <c r="O1040" s="48">
        <f t="shared" si="760"/>
        <v>30041.559999999772</v>
      </c>
      <c r="P1040" s="38"/>
      <c r="Q1040" s="38">
        <f>566600-590000</f>
        <v>-23400</v>
      </c>
      <c r="R1040" s="38">
        <v>-1000</v>
      </c>
      <c r="S1040" s="55">
        <f t="shared" si="761"/>
        <v>5641.5599999997721</v>
      </c>
      <c r="T1040" s="48"/>
      <c r="U1040" s="49">
        <f t="shared" si="762"/>
        <v>383201.87000000011</v>
      </c>
      <c r="V1040" s="38">
        <v>183462.86</v>
      </c>
      <c r="W1040" s="38">
        <v>-566600</v>
      </c>
      <c r="X1040" s="38">
        <v>-1.5</v>
      </c>
      <c r="Y1040" s="51">
        <f t="shared" si="763"/>
        <v>63.230000000097789</v>
      </c>
      <c r="Z1040" s="52"/>
      <c r="AA1040" s="53">
        <f t="shared" si="764"/>
        <v>500.40999999921769</v>
      </c>
      <c r="AB1040" s="38"/>
      <c r="AC1040" s="38"/>
      <c r="AD1040" s="38"/>
      <c r="AE1040" s="54">
        <f t="shared" si="765"/>
        <v>500.40999999921769</v>
      </c>
      <c r="AF1040" s="53"/>
      <c r="AG1040" s="53">
        <f t="shared" si="738"/>
        <v>575.94000000002563</v>
      </c>
      <c r="AH1040" s="38"/>
      <c r="AI1040" s="38"/>
      <c r="AJ1040" s="38"/>
      <c r="AK1040" s="54">
        <f t="shared" si="739"/>
        <v>575.94000000002563</v>
      </c>
      <c r="AL1040" s="53"/>
      <c r="AM1040" s="53">
        <f t="shared" si="754"/>
        <v>0</v>
      </c>
      <c r="AN1040" s="38"/>
      <c r="AO1040" s="38"/>
      <c r="AP1040" s="38"/>
      <c r="AQ1040" s="54">
        <f t="shared" si="755"/>
        <v>0</v>
      </c>
      <c r="AR1040" s="53"/>
      <c r="AS1040" s="29">
        <f t="shared" si="740"/>
        <v>463495.42999999755</v>
      </c>
      <c r="AT1040" s="29">
        <f t="shared" si="741"/>
        <v>194794.8</v>
      </c>
      <c r="AU1040" s="29">
        <f t="shared" si="742"/>
        <v>0</v>
      </c>
      <c r="AV1040" s="29">
        <f t="shared" si="743"/>
        <v>-168883.28</v>
      </c>
      <c r="AW1040" s="29"/>
      <c r="AX1040" s="29">
        <f t="shared" si="744"/>
        <v>489982.88999999751</v>
      </c>
      <c r="AY1040" s="29">
        <f t="shared" si="745"/>
        <v>9300000</v>
      </c>
      <c r="AZ1040" s="29">
        <f t="shared" si="746"/>
        <v>9789982.8899999969</v>
      </c>
    </row>
    <row r="1041" spans="2:52" x14ac:dyDescent="0.3">
      <c r="B1041" s="99">
        <f t="shared" ref="B1041" si="769">B1040+3</f>
        <v>45621</v>
      </c>
      <c r="C1041" s="44">
        <f t="shared" si="757"/>
        <v>53972.939999998838</v>
      </c>
      <c r="D1041" s="38">
        <v>814718.61</v>
      </c>
      <c r="E1041" s="38"/>
      <c r="F1041" s="38">
        <v>-57718.71</v>
      </c>
      <c r="G1041" s="45">
        <f t="shared" si="737"/>
        <v>810972.83999999892</v>
      </c>
      <c r="H1041" s="44">
        <v>4300000</v>
      </c>
      <c r="I1041" s="46">
        <f t="shared" si="758"/>
        <v>429228.80999999959</v>
      </c>
      <c r="J1041" s="38">
        <f>107283.86+9071.63+7718.25</f>
        <v>124073.74</v>
      </c>
      <c r="K1041" s="38">
        <v>705000</v>
      </c>
      <c r="L1041" s="38">
        <v>-107404.41</v>
      </c>
      <c r="M1041" s="47">
        <f t="shared" si="759"/>
        <v>1150898.1399999997</v>
      </c>
      <c r="N1041" s="46">
        <v>5000000</v>
      </c>
      <c r="O1041" s="48">
        <f t="shared" si="760"/>
        <v>5641.5599999997721</v>
      </c>
      <c r="P1041" s="38">
        <f>153275.39+17596.59</f>
        <v>170871.98</v>
      </c>
      <c r="Q1041" s="38">
        <f>687260-705000</f>
        <v>-17740</v>
      </c>
      <c r="R1041" s="38">
        <v>-132.30000000000001</v>
      </c>
      <c r="S1041" s="55">
        <f t="shared" si="761"/>
        <v>158641.23999999979</v>
      </c>
      <c r="T1041" s="48"/>
      <c r="U1041" s="49">
        <f t="shared" si="762"/>
        <v>63.230000000097789</v>
      </c>
      <c r="V1041" s="38">
        <v>687247.95</v>
      </c>
      <c r="W1041" s="38">
        <v>-687260</v>
      </c>
      <c r="X1041" s="38"/>
      <c r="Y1041" s="51">
        <f t="shared" si="763"/>
        <v>51.180000000051223</v>
      </c>
      <c r="Z1041" s="52"/>
      <c r="AA1041" s="53">
        <f t="shared" si="764"/>
        <v>500.40999999921769</v>
      </c>
      <c r="AB1041" s="38"/>
      <c r="AC1041" s="38"/>
      <c r="AD1041" s="38"/>
      <c r="AE1041" s="54">
        <f t="shared" si="765"/>
        <v>500.40999999921769</v>
      </c>
      <c r="AF1041" s="53"/>
      <c r="AG1041" s="53">
        <f t="shared" si="738"/>
        <v>575.94000000002563</v>
      </c>
      <c r="AH1041" s="38"/>
      <c r="AI1041" s="38"/>
      <c r="AJ1041" s="38"/>
      <c r="AK1041" s="54">
        <f t="shared" si="739"/>
        <v>575.94000000002563</v>
      </c>
      <c r="AL1041" s="53"/>
      <c r="AM1041" s="53">
        <f t="shared" si="754"/>
        <v>0</v>
      </c>
      <c r="AN1041" s="38"/>
      <c r="AO1041" s="38"/>
      <c r="AP1041" s="38"/>
      <c r="AQ1041" s="54">
        <f t="shared" si="755"/>
        <v>0</v>
      </c>
      <c r="AR1041" s="53"/>
      <c r="AS1041" s="29">
        <f t="shared" si="740"/>
        <v>489406.94999999751</v>
      </c>
      <c r="AT1041" s="29">
        <f t="shared" si="741"/>
        <v>1796912.28</v>
      </c>
      <c r="AU1041" s="29">
        <f t="shared" si="742"/>
        <v>0</v>
      </c>
      <c r="AV1041" s="29">
        <f t="shared" si="743"/>
        <v>-165255.41999999998</v>
      </c>
      <c r="AW1041" s="29"/>
      <c r="AX1041" s="29">
        <f t="shared" si="744"/>
        <v>2121639.7499999977</v>
      </c>
      <c r="AY1041" s="29">
        <f t="shared" si="745"/>
        <v>9300000</v>
      </c>
      <c r="AZ1041" s="29">
        <f t="shared" si="746"/>
        <v>11421639.749999998</v>
      </c>
    </row>
    <row r="1042" spans="2:52" x14ac:dyDescent="0.3">
      <c r="B1042" s="99">
        <f t="shared" si="748"/>
        <v>45622</v>
      </c>
      <c r="C1042" s="44">
        <f t="shared" si="757"/>
        <v>810972.83999999892</v>
      </c>
      <c r="D1042" s="38">
        <v>76899.23</v>
      </c>
      <c r="E1042" s="38"/>
      <c r="F1042" s="38"/>
      <c r="G1042" s="45">
        <f t="shared" si="737"/>
        <v>887872.0699999989</v>
      </c>
      <c r="H1042" s="44">
        <v>4300000</v>
      </c>
      <c r="I1042" s="46">
        <f t="shared" si="758"/>
        <v>1150898.1399999997</v>
      </c>
      <c r="J1042" s="38"/>
      <c r="K1042" s="38">
        <v>710000</v>
      </c>
      <c r="L1042" s="38">
        <v>-864409.51</v>
      </c>
      <c r="M1042" s="47">
        <f t="shared" si="759"/>
        <v>996488.62999999966</v>
      </c>
      <c r="N1042" s="46">
        <v>5000000</v>
      </c>
      <c r="O1042" s="48">
        <f t="shared" si="760"/>
        <v>158641.23999999979</v>
      </c>
      <c r="P1042" s="38">
        <v>557435.72</v>
      </c>
      <c r="Q1042" s="38">
        <v>-710000</v>
      </c>
      <c r="R1042" s="38">
        <v>-10</v>
      </c>
      <c r="S1042" s="55">
        <f t="shared" si="761"/>
        <v>6066.9599999997299</v>
      </c>
      <c r="T1042" s="48"/>
      <c r="U1042" s="49">
        <f t="shared" si="762"/>
        <v>51.180000000051223</v>
      </c>
      <c r="V1042" s="38"/>
      <c r="W1042" s="38"/>
      <c r="X1042" s="38">
        <v>-1.5</v>
      </c>
      <c r="Y1042" s="51">
        <f t="shared" si="763"/>
        <v>49.680000000051223</v>
      </c>
      <c r="Z1042" s="52"/>
      <c r="AA1042" s="53">
        <f t="shared" si="764"/>
        <v>500.40999999921769</v>
      </c>
      <c r="AB1042" s="38"/>
      <c r="AC1042" s="38"/>
      <c r="AD1042" s="38"/>
      <c r="AE1042" s="54">
        <f t="shared" si="765"/>
        <v>500.40999999921769</v>
      </c>
      <c r="AF1042" s="53"/>
      <c r="AG1042" s="53">
        <f t="shared" si="738"/>
        <v>575.94000000002563</v>
      </c>
      <c r="AH1042" s="38"/>
      <c r="AI1042" s="38"/>
      <c r="AJ1042" s="38"/>
      <c r="AK1042" s="54">
        <f t="shared" si="739"/>
        <v>575.94000000002563</v>
      </c>
      <c r="AL1042" s="53"/>
      <c r="AM1042" s="53">
        <f t="shared" si="754"/>
        <v>0</v>
      </c>
      <c r="AN1042" s="38"/>
      <c r="AO1042" s="38"/>
      <c r="AP1042" s="38"/>
      <c r="AQ1042" s="54">
        <f t="shared" si="755"/>
        <v>0</v>
      </c>
      <c r="AR1042" s="53"/>
      <c r="AS1042" s="29">
        <f t="shared" si="740"/>
        <v>2121063.8099999977</v>
      </c>
      <c r="AT1042" s="29">
        <f t="shared" si="741"/>
        <v>634334.94999999995</v>
      </c>
      <c r="AU1042" s="29">
        <f t="shared" si="742"/>
        <v>0</v>
      </c>
      <c r="AV1042" s="29">
        <f t="shared" si="743"/>
        <v>-864421.01</v>
      </c>
      <c r="AW1042" s="29"/>
      <c r="AX1042" s="29">
        <f t="shared" si="744"/>
        <v>1891553.6899999976</v>
      </c>
      <c r="AY1042" s="29">
        <f t="shared" si="745"/>
        <v>9300000</v>
      </c>
      <c r="AZ1042" s="29">
        <f t="shared" si="746"/>
        <v>11191553.689999998</v>
      </c>
    </row>
    <row r="1043" spans="2:52" x14ac:dyDescent="0.3">
      <c r="B1043" s="99">
        <f t="shared" si="748"/>
        <v>45623</v>
      </c>
      <c r="C1043" s="44">
        <f t="shared" si="757"/>
        <v>887872.0699999989</v>
      </c>
      <c r="D1043" s="38">
        <f>145485.47+111115.58+32136+8017.45</f>
        <v>296754.5</v>
      </c>
      <c r="E1043" s="38"/>
      <c r="F1043" s="38">
        <v>-10350.629999999999</v>
      </c>
      <c r="G1043" s="45">
        <f t="shared" si="737"/>
        <v>1174275.939999999</v>
      </c>
      <c r="H1043" s="44">
        <v>4300000</v>
      </c>
      <c r="I1043" s="46">
        <f t="shared" si="758"/>
        <v>996488.62999999966</v>
      </c>
      <c r="J1043" s="38"/>
      <c r="K1043" s="38">
        <v>700000</v>
      </c>
      <c r="L1043" s="38">
        <v>-1529881.71</v>
      </c>
      <c r="M1043" s="47">
        <f t="shared" si="759"/>
        <v>166606.91999999969</v>
      </c>
      <c r="N1043" s="46">
        <v>5000000</v>
      </c>
      <c r="O1043" s="48">
        <f t="shared" si="760"/>
        <v>6066.9599999997299</v>
      </c>
      <c r="P1043" s="38">
        <f>388177.77+207279.96+104011.41</f>
        <v>699469.14</v>
      </c>
      <c r="Q1043" s="38">
        <v>-700000</v>
      </c>
      <c r="R1043" s="38">
        <v>-884.5</v>
      </c>
      <c r="S1043" s="55">
        <f t="shared" si="761"/>
        <v>4651.5999999997439</v>
      </c>
      <c r="T1043" s="48"/>
      <c r="U1043" s="49">
        <f t="shared" si="762"/>
        <v>49.680000000051223</v>
      </c>
      <c r="V1043" s="38"/>
      <c r="W1043" s="38"/>
      <c r="X1043" s="38"/>
      <c r="Y1043" s="51">
        <f t="shared" si="763"/>
        <v>49.680000000051223</v>
      </c>
      <c r="Z1043" s="52"/>
      <c r="AA1043" s="53">
        <f t="shared" si="764"/>
        <v>500.40999999921769</v>
      </c>
      <c r="AB1043" s="38"/>
      <c r="AC1043" s="38"/>
      <c r="AD1043" s="38"/>
      <c r="AE1043" s="54">
        <f t="shared" si="765"/>
        <v>500.40999999921769</v>
      </c>
      <c r="AF1043" s="53"/>
      <c r="AG1043" s="53">
        <f t="shared" si="738"/>
        <v>575.94000000002563</v>
      </c>
      <c r="AH1043" s="38"/>
      <c r="AI1043" s="38"/>
      <c r="AJ1043" s="38"/>
      <c r="AK1043" s="54">
        <f t="shared" si="739"/>
        <v>575.94000000002563</v>
      </c>
      <c r="AL1043" s="53"/>
      <c r="AM1043" s="53">
        <f t="shared" si="754"/>
        <v>0</v>
      </c>
      <c r="AN1043" s="38"/>
      <c r="AO1043" s="38"/>
      <c r="AP1043" s="38"/>
      <c r="AQ1043" s="54">
        <f t="shared" si="755"/>
        <v>0</v>
      </c>
      <c r="AR1043" s="53"/>
      <c r="AS1043" s="29">
        <f t="shared" si="740"/>
        <v>1890977.7499999977</v>
      </c>
      <c r="AT1043" s="29">
        <f t="shared" si="741"/>
        <v>996223.64</v>
      </c>
      <c r="AU1043" s="29">
        <f t="shared" si="742"/>
        <v>0</v>
      </c>
      <c r="AV1043" s="29">
        <f t="shared" si="743"/>
        <v>-1541116.8399999999</v>
      </c>
      <c r="AW1043" s="29"/>
      <c r="AX1043" s="29">
        <f t="shared" si="744"/>
        <v>1346660.4899999979</v>
      </c>
      <c r="AY1043" s="29">
        <f t="shared" si="745"/>
        <v>9300000</v>
      </c>
      <c r="AZ1043" s="29">
        <f t="shared" si="746"/>
        <v>10646660.489999998</v>
      </c>
    </row>
    <row r="1044" spans="2:52" x14ac:dyDescent="0.3">
      <c r="B1044" s="99">
        <f t="shared" si="748"/>
        <v>45624</v>
      </c>
      <c r="C1044" s="44">
        <f t="shared" si="757"/>
        <v>1174275.939999999</v>
      </c>
      <c r="D1044" s="38">
        <f>58036.24+380974.32+177560.38</f>
        <v>616570.93999999994</v>
      </c>
      <c r="E1044" s="38"/>
      <c r="F1044" s="38">
        <f>-8087.41-10.8-50000</f>
        <v>-58098.21</v>
      </c>
      <c r="G1044" s="45">
        <f t="shared" si="737"/>
        <v>1732748.669999999</v>
      </c>
      <c r="H1044" s="44">
        <v>4300000</v>
      </c>
      <c r="I1044" s="46">
        <f t="shared" si="758"/>
        <v>166606.91999999969</v>
      </c>
      <c r="J1044" s="38">
        <v>440521.35999999993</v>
      </c>
      <c r="K1044" s="38">
        <f>1510000+866000</f>
        <v>2376000</v>
      </c>
      <c r="L1044" s="38">
        <f>-1604509.66-16653.46</f>
        <v>-1621163.1199999999</v>
      </c>
      <c r="M1044" s="47">
        <f t="shared" si="759"/>
        <v>1361965.1599999995</v>
      </c>
      <c r="N1044" s="46">
        <v>5000000</v>
      </c>
      <c r="O1044" s="48">
        <f t="shared" si="760"/>
        <v>4651.5999999997439</v>
      </c>
      <c r="P1044" s="38">
        <f>205278.29+60916.88+113107.16+285809.68+816076.8+34440.63</f>
        <v>1515629.44</v>
      </c>
      <c r="Q1044" s="38">
        <v>-1510000</v>
      </c>
      <c r="R1044" s="38">
        <f>-730.56*2-450-10</f>
        <v>-1921.12</v>
      </c>
      <c r="S1044" s="55">
        <f t="shared" si="761"/>
        <v>8359.9199999995726</v>
      </c>
      <c r="T1044" s="48"/>
      <c r="U1044" s="49">
        <f t="shared" si="762"/>
        <v>49.680000000051223</v>
      </c>
      <c r="V1044" s="38"/>
      <c r="W1044" s="38"/>
      <c r="X1044" s="38"/>
      <c r="Y1044" s="51">
        <f t="shared" si="763"/>
        <v>49.680000000051223</v>
      </c>
      <c r="Z1044" s="52"/>
      <c r="AA1044" s="53">
        <f t="shared" si="764"/>
        <v>500.40999999921769</v>
      </c>
      <c r="AB1044" s="38"/>
      <c r="AC1044" s="38"/>
      <c r="AD1044" s="38"/>
      <c r="AE1044" s="54">
        <f t="shared" si="765"/>
        <v>500.40999999921769</v>
      </c>
      <c r="AF1044" s="53"/>
      <c r="AG1044" s="53">
        <f t="shared" si="738"/>
        <v>575.94000000002563</v>
      </c>
      <c r="AH1044" s="38">
        <f>78778.49+787357.69</f>
        <v>866136.17999999993</v>
      </c>
      <c r="AI1044" s="38">
        <v>-866000</v>
      </c>
      <c r="AJ1044" s="38"/>
      <c r="AK1044" s="54">
        <f t="shared" si="739"/>
        <v>712.11999999999534</v>
      </c>
      <c r="AL1044" s="53"/>
      <c r="AM1044" s="53">
        <f t="shared" si="754"/>
        <v>0</v>
      </c>
      <c r="AN1044" s="38"/>
      <c r="AO1044" s="38"/>
      <c r="AP1044" s="38"/>
      <c r="AQ1044" s="54">
        <f t="shared" si="755"/>
        <v>0</v>
      </c>
      <c r="AR1044" s="53"/>
      <c r="AS1044" s="29">
        <f t="shared" si="740"/>
        <v>1346084.549999998</v>
      </c>
      <c r="AT1044" s="29">
        <f t="shared" si="741"/>
        <v>3438857.92</v>
      </c>
      <c r="AU1044" s="29">
        <f t="shared" si="742"/>
        <v>0</v>
      </c>
      <c r="AV1044" s="29">
        <f t="shared" si="743"/>
        <v>-1681182.45</v>
      </c>
      <c r="AW1044" s="29"/>
      <c r="AX1044" s="29">
        <f t="shared" si="744"/>
        <v>3104335.9599999972</v>
      </c>
      <c r="AY1044" s="29">
        <f t="shared" si="745"/>
        <v>9300000</v>
      </c>
      <c r="AZ1044" s="29">
        <f t="shared" si="746"/>
        <v>12404335.959999997</v>
      </c>
    </row>
    <row r="1045" spans="2:52" x14ac:dyDescent="0.3">
      <c r="B1045" s="99">
        <f t="shared" si="748"/>
        <v>45625</v>
      </c>
      <c r="C1045" s="44">
        <f t="shared" si="757"/>
        <v>1732748.669999999</v>
      </c>
      <c r="D1045" s="38">
        <v>141155.74</v>
      </c>
      <c r="E1045" s="38"/>
      <c r="F1045" s="38">
        <v>-69867.149999999994</v>
      </c>
      <c r="G1045" s="45">
        <f t="shared" ref="G1045:G1108" si="770">SUM(C1045:F1045)</f>
        <v>1804037.2599999991</v>
      </c>
      <c r="H1045" s="44">
        <v>4300000</v>
      </c>
      <c r="I1045" s="46">
        <f t="shared" si="758"/>
        <v>1361965.1599999995</v>
      </c>
      <c r="J1045" s="38">
        <v>251709.02</v>
      </c>
      <c r="K1045" s="38"/>
      <c r="L1045" s="38"/>
      <c r="M1045" s="47">
        <f t="shared" si="759"/>
        <v>1613674.1799999995</v>
      </c>
      <c r="N1045" s="46">
        <v>5000000</v>
      </c>
      <c r="O1045" s="48">
        <f t="shared" si="760"/>
        <v>8359.9199999995726</v>
      </c>
      <c r="P1045" s="38">
        <v>338403.31</v>
      </c>
      <c r="Q1045" s="38"/>
      <c r="R1045" s="38"/>
      <c r="S1045" s="55">
        <f t="shared" si="761"/>
        <v>346763.22999999957</v>
      </c>
      <c r="T1045" s="48"/>
      <c r="U1045" s="49">
        <f t="shared" si="762"/>
        <v>49.680000000051223</v>
      </c>
      <c r="V1045" s="38">
        <v>84050.49</v>
      </c>
      <c r="W1045" s="38"/>
      <c r="X1045" s="38"/>
      <c r="Y1045" s="51">
        <f t="shared" si="763"/>
        <v>84100.170000000056</v>
      </c>
      <c r="Z1045" s="52"/>
      <c r="AA1045" s="53">
        <f t="shared" si="764"/>
        <v>500.40999999921769</v>
      </c>
      <c r="AB1045" s="38">
        <v>2.59</v>
      </c>
      <c r="AC1045" s="38"/>
      <c r="AD1045" s="38"/>
      <c r="AE1045" s="54">
        <f t="shared" si="765"/>
        <v>502.99999999921766</v>
      </c>
      <c r="AF1045" s="53"/>
      <c r="AG1045" s="53">
        <f t="shared" si="738"/>
        <v>712.11999999999534</v>
      </c>
      <c r="AH1045" s="38"/>
      <c r="AI1045" s="38"/>
      <c r="AJ1045" s="38">
        <f>-89.9+0.08</f>
        <v>-89.820000000000007</v>
      </c>
      <c r="AK1045" s="54">
        <f t="shared" si="739"/>
        <v>622.29999999999529</v>
      </c>
      <c r="AL1045" s="53"/>
      <c r="AM1045" s="53">
        <f t="shared" si="754"/>
        <v>0</v>
      </c>
      <c r="AN1045" s="38"/>
      <c r="AO1045" s="38"/>
      <c r="AP1045" s="38"/>
      <c r="AQ1045" s="54">
        <f t="shared" si="755"/>
        <v>0</v>
      </c>
      <c r="AR1045" s="53"/>
      <c r="AS1045" s="29">
        <f t="shared" si="740"/>
        <v>3103623.8399999971</v>
      </c>
      <c r="AT1045" s="29">
        <f t="shared" si="741"/>
        <v>815321.15</v>
      </c>
      <c r="AU1045" s="29">
        <f t="shared" si="742"/>
        <v>0</v>
      </c>
      <c r="AV1045" s="29">
        <f t="shared" si="743"/>
        <v>-69956.97</v>
      </c>
      <c r="AW1045" s="29"/>
      <c r="AX1045" s="29">
        <f t="shared" si="744"/>
        <v>3849700.1399999969</v>
      </c>
      <c r="AY1045" s="29">
        <f t="shared" si="745"/>
        <v>9300000</v>
      </c>
      <c r="AZ1045" s="29">
        <f t="shared" si="746"/>
        <v>13149700.139999997</v>
      </c>
    </row>
    <row r="1046" spans="2:52" x14ac:dyDescent="0.3">
      <c r="B1046" s="99">
        <f t="shared" ref="B1046" si="771">B1045+3</f>
        <v>45628</v>
      </c>
      <c r="C1046" s="44">
        <f t="shared" si="757"/>
        <v>1804037.2599999991</v>
      </c>
      <c r="D1046" s="38">
        <v>47712</v>
      </c>
      <c r="E1046" s="38"/>
      <c r="F1046" s="38">
        <v>-145841.51</v>
      </c>
      <c r="G1046" s="45">
        <f t="shared" si="770"/>
        <v>1705907.7499999991</v>
      </c>
      <c r="H1046" s="44">
        <v>4300000</v>
      </c>
      <c r="I1046" s="46">
        <f t="shared" si="758"/>
        <v>1613674.1799999995</v>
      </c>
      <c r="J1046" s="38">
        <f>7274.95+142468.06+1165.99+498.28+106608.52+24229.2+224052.66</f>
        <v>506297.66000000003</v>
      </c>
      <c r="K1046" s="38">
        <v>612000</v>
      </c>
      <c r="L1046" s="38">
        <v>-186267.62</v>
      </c>
      <c r="M1046" s="47">
        <f t="shared" si="759"/>
        <v>2545704.2199999993</v>
      </c>
      <c r="N1046" s="46">
        <v>5000000</v>
      </c>
      <c r="O1046" s="48">
        <f t="shared" si="760"/>
        <v>346763.22999999957</v>
      </c>
      <c r="P1046" s="38">
        <f>157945.69+314400.21+79220</f>
        <v>551565.9</v>
      </c>
      <c r="Q1046" s="38">
        <f>84000-500000</f>
        <v>-416000</v>
      </c>
      <c r="R1046" s="38">
        <v>-2860</v>
      </c>
      <c r="S1046" s="55">
        <f t="shared" si="761"/>
        <v>479469.12999999966</v>
      </c>
      <c r="T1046" s="48"/>
      <c r="U1046" s="49">
        <f t="shared" si="762"/>
        <v>84100.170000000056</v>
      </c>
      <c r="V1046" s="38"/>
      <c r="W1046" s="38">
        <v>-84000</v>
      </c>
      <c r="X1046" s="38"/>
      <c r="Y1046" s="51">
        <f t="shared" si="763"/>
        <v>100.17000000005646</v>
      </c>
      <c r="Z1046" s="52"/>
      <c r="AA1046" s="53">
        <f t="shared" si="764"/>
        <v>502.99999999921766</v>
      </c>
      <c r="AB1046" s="38">
        <v>1293576.8899999999</v>
      </c>
      <c r="AC1046" s="38"/>
      <c r="AD1046" s="38">
        <v>-75.040000000000006</v>
      </c>
      <c r="AE1046" s="54">
        <f t="shared" si="765"/>
        <v>1294004.8499999992</v>
      </c>
      <c r="AF1046" s="53"/>
      <c r="AG1046" s="53">
        <f t="shared" si="738"/>
        <v>622.29999999999529</v>
      </c>
      <c r="AH1046" s="38">
        <f>33775.98+77648.68</f>
        <v>111424.66</v>
      </c>
      <c r="AI1046" s="38">
        <v>-112000</v>
      </c>
      <c r="AJ1046" s="38"/>
      <c r="AK1046" s="54">
        <f t="shared" si="739"/>
        <v>46.959999999991851</v>
      </c>
      <c r="AL1046" s="53"/>
      <c r="AM1046" s="53">
        <f t="shared" si="754"/>
        <v>0</v>
      </c>
      <c r="AN1046" s="38"/>
      <c r="AO1046" s="38"/>
      <c r="AP1046" s="38"/>
      <c r="AQ1046" s="54">
        <f t="shared" si="755"/>
        <v>0</v>
      </c>
      <c r="AR1046" s="53"/>
      <c r="AS1046" s="29">
        <f t="shared" si="740"/>
        <v>3849077.8399999971</v>
      </c>
      <c r="AT1046" s="29">
        <f t="shared" si="741"/>
        <v>2510577.1100000003</v>
      </c>
      <c r="AU1046" s="29">
        <f t="shared" si="742"/>
        <v>0</v>
      </c>
      <c r="AV1046" s="29">
        <f t="shared" si="743"/>
        <v>-335044.17</v>
      </c>
      <c r="AW1046" s="29"/>
      <c r="AX1046" s="29">
        <f t="shared" si="744"/>
        <v>6025233.0799999973</v>
      </c>
      <c r="AY1046" s="29">
        <f t="shared" si="745"/>
        <v>9300000</v>
      </c>
      <c r="AZ1046" s="29">
        <f t="shared" si="746"/>
        <v>15325233.079999998</v>
      </c>
    </row>
    <row r="1047" spans="2:52" x14ac:dyDescent="0.3">
      <c r="B1047" s="99">
        <f t="shared" si="748"/>
        <v>45629</v>
      </c>
      <c r="C1047" s="44">
        <f t="shared" si="757"/>
        <v>1705907.7499999991</v>
      </c>
      <c r="D1047" s="38"/>
      <c r="E1047" s="38"/>
      <c r="F1047" s="38">
        <v>-160</v>
      </c>
      <c r="G1047" s="45">
        <f t="shared" si="770"/>
        <v>1705747.7499999991</v>
      </c>
      <c r="H1047" s="44">
        <v>4300000</v>
      </c>
      <c r="I1047" s="46">
        <f t="shared" si="758"/>
        <v>2545704.2199999993</v>
      </c>
      <c r="J1047" s="38"/>
      <c r="K1047" s="38">
        <f>1293000+470000</f>
        <v>1763000</v>
      </c>
      <c r="L1047" s="38">
        <v>-45634.53</v>
      </c>
      <c r="M1047" s="47">
        <f t="shared" si="759"/>
        <v>4263069.6899999985</v>
      </c>
      <c r="N1047" s="46">
        <v>5000000</v>
      </c>
      <c r="O1047" s="48">
        <f t="shared" si="760"/>
        <v>479469.12999999966</v>
      </c>
      <c r="P1047" s="38"/>
      <c r="Q1047" s="38">
        <v>-470000</v>
      </c>
      <c r="R1047" s="38">
        <v>-10</v>
      </c>
      <c r="S1047" s="55">
        <f t="shared" si="761"/>
        <v>9459.1299999996554</v>
      </c>
      <c r="T1047" s="48"/>
      <c r="U1047" s="49">
        <f t="shared" si="762"/>
        <v>100.17000000005646</v>
      </c>
      <c r="V1047" s="38"/>
      <c r="W1047" s="38"/>
      <c r="X1047" s="38">
        <v>-68.5</v>
      </c>
      <c r="Y1047" s="51">
        <f t="shared" si="763"/>
        <v>31.670000000056461</v>
      </c>
      <c r="Z1047" s="52"/>
      <c r="AA1047" s="53">
        <f t="shared" si="764"/>
        <v>1294004.8499999992</v>
      </c>
      <c r="AB1047" s="38"/>
      <c r="AC1047" s="38">
        <v>-1293000</v>
      </c>
      <c r="AD1047" s="38">
        <v>-660</v>
      </c>
      <c r="AE1047" s="54">
        <f t="shared" si="765"/>
        <v>344.84999999916181</v>
      </c>
      <c r="AF1047" s="53"/>
      <c r="AG1047" s="53">
        <f t="shared" si="738"/>
        <v>46.959999999991851</v>
      </c>
      <c r="AH1047" s="38"/>
      <c r="AI1047" s="38"/>
      <c r="AJ1047" s="38">
        <v>-9.9</v>
      </c>
      <c r="AK1047" s="54">
        <f t="shared" si="739"/>
        <v>37.059999999991852</v>
      </c>
      <c r="AL1047" s="53"/>
      <c r="AM1047" s="53">
        <f t="shared" si="754"/>
        <v>0</v>
      </c>
      <c r="AN1047" s="38"/>
      <c r="AO1047" s="38"/>
      <c r="AP1047" s="38"/>
      <c r="AQ1047" s="54">
        <f t="shared" si="755"/>
        <v>0</v>
      </c>
      <c r="AR1047" s="53"/>
      <c r="AS1047" s="29">
        <f t="shared" si="740"/>
        <v>6025186.1199999973</v>
      </c>
      <c r="AT1047" s="29">
        <f t="shared" si="741"/>
        <v>0</v>
      </c>
      <c r="AU1047" s="29">
        <f t="shared" si="742"/>
        <v>0</v>
      </c>
      <c r="AV1047" s="29">
        <f t="shared" si="743"/>
        <v>-46542.93</v>
      </c>
      <c r="AW1047" s="29"/>
      <c r="AX1047" s="29">
        <f t="shared" si="744"/>
        <v>5978690.1499999957</v>
      </c>
      <c r="AY1047" s="29">
        <f t="shared" si="745"/>
        <v>9300000</v>
      </c>
      <c r="AZ1047" s="29">
        <f t="shared" si="746"/>
        <v>15278690.149999995</v>
      </c>
    </row>
    <row r="1048" spans="2:52" x14ac:dyDescent="0.3">
      <c r="B1048" s="99">
        <f t="shared" si="748"/>
        <v>45630</v>
      </c>
      <c r="C1048" s="44">
        <f t="shared" si="757"/>
        <v>1705747.7499999991</v>
      </c>
      <c r="D1048" s="38"/>
      <c r="E1048" s="38"/>
      <c r="F1048" s="38">
        <v>-62695.25</v>
      </c>
      <c r="G1048" s="45">
        <f t="shared" si="770"/>
        <v>1643052.4999999991</v>
      </c>
      <c r="H1048" s="44">
        <v>4300000</v>
      </c>
      <c r="I1048" s="46">
        <f t="shared" si="758"/>
        <v>4263069.6899999985</v>
      </c>
      <c r="J1048" s="38"/>
      <c r="K1048" s="38"/>
      <c r="L1048" s="38">
        <v>-3511043.69</v>
      </c>
      <c r="M1048" s="47">
        <f t="shared" si="759"/>
        <v>752025.9999999986</v>
      </c>
      <c r="N1048" s="46">
        <v>5000000</v>
      </c>
      <c r="O1048" s="48">
        <f t="shared" si="760"/>
        <v>9459.1299999996554</v>
      </c>
      <c r="P1048" s="38"/>
      <c r="Q1048" s="38"/>
      <c r="R1048" s="38">
        <v>-5391.21</v>
      </c>
      <c r="S1048" s="55">
        <f t="shared" si="761"/>
        <v>4067.9199999996554</v>
      </c>
      <c r="T1048" s="48"/>
      <c r="U1048" s="49">
        <f t="shared" si="762"/>
        <v>31.670000000056461</v>
      </c>
      <c r="V1048" s="38"/>
      <c r="W1048" s="38"/>
      <c r="X1048" s="38"/>
      <c r="Y1048" s="51">
        <f t="shared" si="763"/>
        <v>31.670000000056461</v>
      </c>
      <c r="Z1048" s="52"/>
      <c r="AA1048" s="53">
        <f t="shared" si="764"/>
        <v>344.84999999916181</v>
      </c>
      <c r="AB1048" s="38"/>
      <c r="AC1048" s="38"/>
      <c r="AD1048" s="38">
        <v>-100</v>
      </c>
      <c r="AE1048" s="54">
        <f t="shared" si="765"/>
        <v>244.84999999916181</v>
      </c>
      <c r="AF1048" s="53"/>
      <c r="AG1048" s="53">
        <f t="shared" si="738"/>
        <v>37.059999999991852</v>
      </c>
      <c r="AH1048" s="38"/>
      <c r="AI1048" s="38"/>
      <c r="AJ1048" s="38"/>
      <c r="AK1048" s="54">
        <f t="shared" si="739"/>
        <v>37.059999999991852</v>
      </c>
      <c r="AL1048" s="53"/>
      <c r="AM1048" s="53">
        <f t="shared" si="754"/>
        <v>0</v>
      </c>
      <c r="AN1048" s="38"/>
      <c r="AO1048" s="38"/>
      <c r="AP1048" s="38"/>
      <c r="AQ1048" s="54">
        <f t="shared" si="755"/>
        <v>0</v>
      </c>
      <c r="AR1048" s="53"/>
      <c r="AS1048" s="29">
        <f t="shared" si="740"/>
        <v>5978653.0899999961</v>
      </c>
      <c r="AT1048" s="29">
        <f t="shared" si="741"/>
        <v>0</v>
      </c>
      <c r="AU1048" s="29">
        <f t="shared" si="742"/>
        <v>0</v>
      </c>
      <c r="AV1048" s="29">
        <f t="shared" si="743"/>
        <v>-3579230.15</v>
      </c>
      <c r="AW1048" s="29"/>
      <c r="AX1048" s="29">
        <f t="shared" si="744"/>
        <v>2399459.9999999963</v>
      </c>
      <c r="AY1048" s="29">
        <f t="shared" si="745"/>
        <v>9300000</v>
      </c>
      <c r="AZ1048" s="29">
        <f t="shared" si="746"/>
        <v>11699459.999999996</v>
      </c>
    </row>
    <row r="1049" spans="2:52" x14ac:dyDescent="0.3">
      <c r="B1049" s="99">
        <f t="shared" si="748"/>
        <v>45631</v>
      </c>
      <c r="C1049" s="44">
        <f t="shared" si="757"/>
        <v>1643052.4999999991</v>
      </c>
      <c r="D1049" s="38">
        <v>45305.14</v>
      </c>
      <c r="E1049" s="38"/>
      <c r="F1049" s="38">
        <f>-3605599.23+24.92</f>
        <v>-3605574.31</v>
      </c>
      <c r="G1049" s="45">
        <f t="shared" si="770"/>
        <v>-1917216.6700000011</v>
      </c>
      <c r="H1049" s="44">
        <v>4300000</v>
      </c>
      <c r="I1049" s="46">
        <f t="shared" si="758"/>
        <v>752025.9999999986</v>
      </c>
      <c r="J1049" s="38">
        <v>22070.16</v>
      </c>
      <c r="K1049" s="38"/>
      <c r="L1049" s="38">
        <v>-588388.15</v>
      </c>
      <c r="M1049" s="47">
        <f t="shared" si="759"/>
        <v>185708.00999999861</v>
      </c>
      <c r="N1049" s="46">
        <v>5000000</v>
      </c>
      <c r="O1049" s="48">
        <f t="shared" si="760"/>
        <v>4067.9199999996554</v>
      </c>
      <c r="P1049" s="38">
        <v>27845.05</v>
      </c>
      <c r="Q1049" s="38"/>
      <c r="R1049" s="38">
        <v>-24668.07</v>
      </c>
      <c r="S1049" s="55">
        <f t="shared" si="761"/>
        <v>7244.8999999996558</v>
      </c>
      <c r="T1049" s="48"/>
      <c r="U1049" s="49">
        <f t="shared" si="762"/>
        <v>31.670000000056461</v>
      </c>
      <c r="V1049" s="38"/>
      <c r="W1049" s="38"/>
      <c r="X1049" s="38"/>
      <c r="Y1049" s="51">
        <f t="shared" si="763"/>
        <v>31.670000000056461</v>
      </c>
      <c r="Z1049" s="52"/>
      <c r="AA1049" s="53">
        <f t="shared" si="764"/>
        <v>244.84999999916181</v>
      </c>
      <c r="AB1049" s="38"/>
      <c r="AC1049" s="38"/>
      <c r="AD1049" s="38"/>
      <c r="AE1049" s="54">
        <f t="shared" si="765"/>
        <v>244.84999999916181</v>
      </c>
      <c r="AF1049" s="53"/>
      <c r="AG1049" s="53">
        <f t="shared" ref="AG1049:AG1112" si="772">AK1048</f>
        <v>37.059999999991852</v>
      </c>
      <c r="AH1049" s="38"/>
      <c r="AI1049" s="38"/>
      <c r="AJ1049" s="38"/>
      <c r="AK1049" s="54">
        <f t="shared" ref="AK1049:AK1112" si="773">SUM(AG1049:AJ1049)</f>
        <v>37.059999999991852</v>
      </c>
      <c r="AL1049" s="53"/>
      <c r="AM1049" s="53">
        <f t="shared" si="754"/>
        <v>0</v>
      </c>
      <c r="AN1049" s="38"/>
      <c r="AO1049" s="38"/>
      <c r="AP1049" s="38"/>
      <c r="AQ1049" s="54">
        <f t="shared" si="755"/>
        <v>0</v>
      </c>
      <c r="AR1049" s="53"/>
      <c r="AS1049" s="29">
        <f t="shared" ref="AS1049:AS1112" si="774">SUM(C1049,I1049,O1049,U1049,AA1049,)</f>
        <v>2399422.9399999962</v>
      </c>
      <c r="AT1049" s="29">
        <f t="shared" ref="AT1049:AT1112" si="775">SUM(D1049,J1049,P1049,V1049,AB1049,AH1049)</f>
        <v>95220.35</v>
      </c>
      <c r="AU1049" s="29">
        <f t="shared" ref="AU1049:AU1112" si="776">SUM(E1049,K1049,Q1049,W1049,AC1049,AI1049)</f>
        <v>0</v>
      </c>
      <c r="AV1049" s="29">
        <f t="shared" ref="AV1049:AV1112" si="777">SUM(F1049,L1049,R1049,X1049,AD1049,AJ1049)</f>
        <v>-4218630.53</v>
      </c>
      <c r="AW1049" s="29"/>
      <c r="AX1049" s="29">
        <f t="shared" ref="AX1049:AX1112" si="778">SUM(G1049,M1049,S1049,Y1049,AE1049,AK1049)</f>
        <v>-1723950.1800000034</v>
      </c>
      <c r="AY1049" s="29">
        <f t="shared" ref="AY1049:AY1112" si="779">SUM(H1049,N1049,T1049,Z1049,AF1049,AL1049)</f>
        <v>9300000</v>
      </c>
      <c r="AZ1049" s="29">
        <f t="shared" ref="AZ1049:AZ1112" si="780">AX1049+AY1049</f>
        <v>7576049.8199999966</v>
      </c>
    </row>
    <row r="1050" spans="2:52" x14ac:dyDescent="0.3">
      <c r="B1050" s="99">
        <f t="shared" si="748"/>
        <v>45632</v>
      </c>
      <c r="C1050" s="44">
        <f t="shared" si="757"/>
        <v>-1917216.6700000011</v>
      </c>
      <c r="D1050" s="38">
        <v>445621.7</v>
      </c>
      <c r="E1050" s="38"/>
      <c r="F1050" s="38">
        <v>-500</v>
      </c>
      <c r="G1050" s="45">
        <f t="shared" si="770"/>
        <v>-1472094.9700000011</v>
      </c>
      <c r="H1050" s="44">
        <v>4300000</v>
      </c>
      <c r="I1050" s="46">
        <f t="shared" si="758"/>
        <v>185708.00999999861</v>
      </c>
      <c r="J1050" s="38">
        <v>258645.25</v>
      </c>
      <c r="K1050" s="38">
        <v>270000</v>
      </c>
      <c r="L1050" s="38">
        <v>-86052.77</v>
      </c>
      <c r="M1050" s="47">
        <f t="shared" si="759"/>
        <v>628300.48999999859</v>
      </c>
      <c r="N1050" s="46">
        <v>5000000</v>
      </c>
      <c r="O1050" s="48">
        <f t="shared" si="760"/>
        <v>7244.8999999996558</v>
      </c>
      <c r="P1050" s="38">
        <v>264086.96000000002</v>
      </c>
      <c r="Q1050" s="38">
        <v>-270000</v>
      </c>
      <c r="R1050" s="38">
        <v>-853.57</v>
      </c>
      <c r="S1050" s="55">
        <f t="shared" si="761"/>
        <v>478.28999999969494</v>
      </c>
      <c r="T1050" s="48"/>
      <c r="U1050" s="49">
        <f t="shared" si="762"/>
        <v>31.670000000056461</v>
      </c>
      <c r="V1050" s="38"/>
      <c r="W1050" s="38"/>
      <c r="X1050" s="38"/>
      <c r="Y1050" s="51">
        <f t="shared" si="763"/>
        <v>31.670000000056461</v>
      </c>
      <c r="Z1050" s="52"/>
      <c r="AA1050" s="53">
        <f t="shared" si="764"/>
        <v>244.84999999916181</v>
      </c>
      <c r="AB1050" s="38"/>
      <c r="AC1050" s="38"/>
      <c r="AD1050" s="38"/>
      <c r="AE1050" s="54">
        <f t="shared" si="765"/>
        <v>244.84999999916181</v>
      </c>
      <c r="AF1050" s="53"/>
      <c r="AG1050" s="53">
        <f t="shared" si="772"/>
        <v>37.059999999991852</v>
      </c>
      <c r="AH1050" s="38"/>
      <c r="AI1050" s="38"/>
      <c r="AJ1050" s="38"/>
      <c r="AK1050" s="54">
        <f t="shared" si="773"/>
        <v>37.059999999991852</v>
      </c>
      <c r="AL1050" s="53"/>
      <c r="AM1050" s="53">
        <f t="shared" si="754"/>
        <v>0</v>
      </c>
      <c r="AN1050" s="38"/>
      <c r="AO1050" s="38"/>
      <c r="AP1050" s="38"/>
      <c r="AQ1050" s="54">
        <f t="shared" si="755"/>
        <v>0</v>
      </c>
      <c r="AR1050" s="53"/>
      <c r="AS1050" s="29">
        <f t="shared" si="774"/>
        <v>-1723987.2400000035</v>
      </c>
      <c r="AT1050" s="29">
        <f t="shared" si="775"/>
        <v>968353.90999999992</v>
      </c>
      <c r="AU1050" s="29">
        <f t="shared" si="776"/>
        <v>0</v>
      </c>
      <c r="AV1050" s="29">
        <f t="shared" si="777"/>
        <v>-87406.340000000011</v>
      </c>
      <c r="AW1050" s="29"/>
      <c r="AX1050" s="29">
        <f t="shared" si="778"/>
        <v>-843002.61000000371</v>
      </c>
      <c r="AY1050" s="29">
        <f t="shared" si="779"/>
        <v>9300000</v>
      </c>
      <c r="AZ1050" s="29">
        <f t="shared" si="780"/>
        <v>8456997.3899999969</v>
      </c>
    </row>
    <row r="1051" spans="2:52" x14ac:dyDescent="0.3">
      <c r="B1051" s="99">
        <f t="shared" ref="B1051" si="781">B1050+3</f>
        <v>45635</v>
      </c>
      <c r="C1051" s="44">
        <f t="shared" si="757"/>
        <v>-1472094.9700000011</v>
      </c>
      <c r="D1051" s="38">
        <v>57352.05</v>
      </c>
      <c r="E1051" s="38"/>
      <c r="F1051" s="38">
        <v>-4298.6000000000004</v>
      </c>
      <c r="G1051" s="45">
        <f t="shared" si="770"/>
        <v>-1419041.5200000012</v>
      </c>
      <c r="H1051" s="44">
        <v>4300000</v>
      </c>
      <c r="I1051" s="46">
        <f t="shared" si="758"/>
        <v>628300.48999999859</v>
      </c>
      <c r="J1051" s="38">
        <v>125938.92</v>
      </c>
      <c r="K1051" s="38"/>
      <c r="L1051" s="38">
        <v>-261270.22</v>
      </c>
      <c r="M1051" s="47">
        <f t="shared" si="759"/>
        <v>492969.18999999866</v>
      </c>
      <c r="N1051" s="46">
        <v>5000000</v>
      </c>
      <c r="O1051" s="48">
        <f t="shared" si="760"/>
        <v>478.28999999969494</v>
      </c>
      <c r="P1051" s="38"/>
      <c r="Q1051" s="38"/>
      <c r="R1051" s="38">
        <v>-10</v>
      </c>
      <c r="S1051" s="55">
        <f t="shared" si="761"/>
        <v>468.28999999969494</v>
      </c>
      <c r="T1051" s="48"/>
      <c r="U1051" s="49">
        <f t="shared" si="762"/>
        <v>31.670000000056461</v>
      </c>
      <c r="V1051" s="38"/>
      <c r="W1051" s="38"/>
      <c r="X1051" s="38"/>
      <c r="Y1051" s="51">
        <f t="shared" si="763"/>
        <v>31.670000000056461</v>
      </c>
      <c r="Z1051" s="52"/>
      <c r="AA1051" s="53">
        <f t="shared" si="764"/>
        <v>244.84999999916181</v>
      </c>
      <c r="AB1051" s="38"/>
      <c r="AC1051" s="38"/>
      <c r="AD1051" s="38"/>
      <c r="AE1051" s="54">
        <f t="shared" si="765"/>
        <v>244.84999999916181</v>
      </c>
      <c r="AF1051" s="53"/>
      <c r="AG1051" s="53">
        <f t="shared" si="772"/>
        <v>37.059999999991852</v>
      </c>
      <c r="AH1051" s="38"/>
      <c r="AI1051" s="38"/>
      <c r="AJ1051" s="38"/>
      <c r="AK1051" s="54">
        <f t="shared" si="773"/>
        <v>37.059999999991852</v>
      </c>
      <c r="AL1051" s="53"/>
      <c r="AM1051" s="53">
        <f t="shared" si="754"/>
        <v>0</v>
      </c>
      <c r="AN1051" s="38"/>
      <c r="AO1051" s="38"/>
      <c r="AP1051" s="38"/>
      <c r="AQ1051" s="54">
        <f t="shared" si="755"/>
        <v>0</v>
      </c>
      <c r="AR1051" s="53"/>
      <c r="AS1051" s="29">
        <f t="shared" si="774"/>
        <v>-843039.67000000365</v>
      </c>
      <c r="AT1051" s="29">
        <f t="shared" si="775"/>
        <v>183290.97</v>
      </c>
      <c r="AU1051" s="29">
        <f t="shared" si="776"/>
        <v>0</v>
      </c>
      <c r="AV1051" s="29">
        <f t="shared" si="777"/>
        <v>-265578.82</v>
      </c>
      <c r="AW1051" s="29"/>
      <c r="AX1051" s="29">
        <f t="shared" si="778"/>
        <v>-925290.46000000369</v>
      </c>
      <c r="AY1051" s="29">
        <f t="shared" si="779"/>
        <v>9300000</v>
      </c>
      <c r="AZ1051" s="29">
        <f t="shared" si="780"/>
        <v>8374709.5399999963</v>
      </c>
    </row>
    <row r="1052" spans="2:52" x14ac:dyDescent="0.3">
      <c r="B1052" s="99">
        <f t="shared" si="748"/>
        <v>45636</v>
      </c>
      <c r="C1052" s="44">
        <f t="shared" si="757"/>
        <v>-1419041.5200000012</v>
      </c>
      <c r="D1052" s="38">
        <v>212015.86</v>
      </c>
      <c r="E1052" s="38"/>
      <c r="F1052" s="38">
        <v>-115.38</v>
      </c>
      <c r="G1052" s="45">
        <f t="shared" si="770"/>
        <v>-1207141.040000001</v>
      </c>
      <c r="H1052" s="44">
        <v>4300000</v>
      </c>
      <c r="I1052" s="46">
        <f t="shared" si="758"/>
        <v>492969.18999999866</v>
      </c>
      <c r="J1052" s="38">
        <v>860672.28</v>
      </c>
      <c r="K1052" s="38"/>
      <c r="L1052" s="38">
        <v>-305604.56</v>
      </c>
      <c r="M1052" s="47">
        <f t="shared" si="759"/>
        <v>1048036.9099999988</v>
      </c>
      <c r="N1052" s="46">
        <v>5000000</v>
      </c>
      <c r="O1052" s="48">
        <f t="shared" si="760"/>
        <v>468.28999999969494</v>
      </c>
      <c r="P1052" s="38"/>
      <c r="Q1052" s="38"/>
      <c r="R1052" s="38"/>
      <c r="S1052" s="55">
        <f t="shared" si="761"/>
        <v>468.28999999969494</v>
      </c>
      <c r="T1052" s="48"/>
      <c r="U1052" s="49">
        <f t="shared" si="762"/>
        <v>31.670000000056461</v>
      </c>
      <c r="V1052" s="38"/>
      <c r="W1052" s="38"/>
      <c r="X1052" s="38"/>
      <c r="Y1052" s="51">
        <f t="shared" si="763"/>
        <v>31.670000000056461</v>
      </c>
      <c r="Z1052" s="52"/>
      <c r="AA1052" s="53">
        <f t="shared" si="764"/>
        <v>244.84999999916181</v>
      </c>
      <c r="AB1052" s="38"/>
      <c r="AC1052" s="38"/>
      <c r="AD1052" s="38">
        <v>-230</v>
      </c>
      <c r="AE1052" s="54">
        <f t="shared" si="765"/>
        <v>14.84999999916181</v>
      </c>
      <c r="AF1052" s="53"/>
      <c r="AG1052" s="53">
        <f t="shared" si="772"/>
        <v>37.059999999991852</v>
      </c>
      <c r="AH1052" s="38"/>
      <c r="AI1052" s="38"/>
      <c r="AJ1052" s="38"/>
      <c r="AK1052" s="54">
        <f t="shared" si="773"/>
        <v>37.059999999991852</v>
      </c>
      <c r="AL1052" s="53"/>
      <c r="AM1052" s="53">
        <f t="shared" si="754"/>
        <v>0</v>
      </c>
      <c r="AN1052" s="38"/>
      <c r="AO1052" s="38"/>
      <c r="AP1052" s="38"/>
      <c r="AQ1052" s="54">
        <f t="shared" si="755"/>
        <v>0</v>
      </c>
      <c r="AR1052" s="53"/>
      <c r="AS1052" s="29">
        <f t="shared" si="774"/>
        <v>-925327.52000000363</v>
      </c>
      <c r="AT1052" s="29">
        <f t="shared" si="775"/>
        <v>1072688.1400000001</v>
      </c>
      <c r="AU1052" s="29">
        <f t="shared" si="776"/>
        <v>0</v>
      </c>
      <c r="AV1052" s="29">
        <f t="shared" si="777"/>
        <v>-305949.94</v>
      </c>
      <c r="AW1052" s="29"/>
      <c r="AX1052" s="29">
        <f t="shared" si="778"/>
        <v>-158552.26000000333</v>
      </c>
      <c r="AY1052" s="29">
        <f t="shared" si="779"/>
        <v>9300000</v>
      </c>
      <c r="AZ1052" s="29">
        <f t="shared" si="780"/>
        <v>9141447.7399999965</v>
      </c>
    </row>
    <row r="1053" spans="2:52" x14ac:dyDescent="0.3">
      <c r="B1053" s="99">
        <f t="shared" si="748"/>
        <v>45637</v>
      </c>
      <c r="C1053" s="44">
        <f t="shared" si="757"/>
        <v>-1207141.040000001</v>
      </c>
      <c r="D1053" s="38"/>
      <c r="E1053" s="38">
        <v>1300000</v>
      </c>
      <c r="F1053" s="38">
        <f>-2674.73-189.03</f>
        <v>-2863.76</v>
      </c>
      <c r="G1053" s="45">
        <f t="shared" si="770"/>
        <v>89995.199999999037</v>
      </c>
      <c r="H1053" s="44">
        <v>4300000</v>
      </c>
      <c r="I1053" s="46">
        <f t="shared" si="758"/>
        <v>1048036.9099999988</v>
      </c>
      <c r="J1053" s="38">
        <v>1848833.86</v>
      </c>
      <c r="K1053" s="38">
        <v>-1300000</v>
      </c>
      <c r="L1053" s="38">
        <v>-230112.93</v>
      </c>
      <c r="M1053" s="47">
        <f t="shared" si="759"/>
        <v>1366757.8399999987</v>
      </c>
      <c r="N1053" s="46">
        <v>5000000</v>
      </c>
      <c r="O1053" s="48">
        <f t="shared" si="760"/>
        <v>468.28999999969494</v>
      </c>
      <c r="P1053" s="38"/>
      <c r="Q1053" s="38"/>
      <c r="R1053" s="38">
        <v>-80</v>
      </c>
      <c r="S1053" s="55">
        <f t="shared" si="761"/>
        <v>388.28999999969494</v>
      </c>
      <c r="T1053" s="48"/>
      <c r="U1053" s="49">
        <f t="shared" si="762"/>
        <v>31.670000000056461</v>
      </c>
      <c r="V1053" s="38"/>
      <c r="W1053" s="38"/>
      <c r="X1053" s="38"/>
      <c r="Y1053" s="51">
        <f t="shared" si="763"/>
        <v>31.670000000056461</v>
      </c>
      <c r="Z1053" s="52"/>
      <c r="AA1053" s="53">
        <f t="shared" si="764"/>
        <v>14.84999999916181</v>
      </c>
      <c r="AB1053" s="38"/>
      <c r="AC1053" s="38"/>
      <c r="AD1053" s="38"/>
      <c r="AE1053" s="54">
        <f t="shared" si="765"/>
        <v>14.84999999916181</v>
      </c>
      <c r="AF1053" s="53"/>
      <c r="AG1053" s="53">
        <f t="shared" si="772"/>
        <v>37.059999999991852</v>
      </c>
      <c r="AH1053" s="38"/>
      <c r="AI1053" s="38"/>
      <c r="AJ1053" s="38"/>
      <c r="AK1053" s="54">
        <f t="shared" si="773"/>
        <v>37.059999999991852</v>
      </c>
      <c r="AL1053" s="53"/>
      <c r="AM1053" s="53">
        <f t="shared" si="754"/>
        <v>0</v>
      </c>
      <c r="AN1053" s="38"/>
      <c r="AO1053" s="38"/>
      <c r="AP1053" s="38"/>
      <c r="AQ1053" s="54">
        <f t="shared" si="755"/>
        <v>0</v>
      </c>
      <c r="AR1053" s="53"/>
      <c r="AS1053" s="29">
        <f t="shared" si="774"/>
        <v>-158589.32000000332</v>
      </c>
      <c r="AT1053" s="29">
        <f t="shared" si="775"/>
        <v>1848833.86</v>
      </c>
      <c r="AU1053" s="29">
        <f t="shared" si="776"/>
        <v>0</v>
      </c>
      <c r="AV1053" s="29">
        <f t="shared" si="777"/>
        <v>-233056.69</v>
      </c>
      <c r="AW1053" s="29"/>
      <c r="AX1053" s="29">
        <f t="shared" si="778"/>
        <v>1457224.9099999969</v>
      </c>
      <c r="AY1053" s="29">
        <f t="shared" si="779"/>
        <v>9300000</v>
      </c>
      <c r="AZ1053" s="29">
        <f t="shared" si="780"/>
        <v>10757224.909999996</v>
      </c>
    </row>
    <row r="1054" spans="2:52" x14ac:dyDescent="0.3">
      <c r="B1054" s="99">
        <f t="shared" ref="B1054:B1117" si="782">B1053+1</f>
        <v>45638</v>
      </c>
      <c r="C1054" s="44">
        <f t="shared" si="757"/>
        <v>89995.199999999037</v>
      </c>
      <c r="D1054" s="38"/>
      <c r="E1054" s="38">
        <v>250000</v>
      </c>
      <c r="F1054" s="38">
        <f>-6621.63-3528</f>
        <v>-10149.630000000001</v>
      </c>
      <c r="G1054" s="45">
        <f t="shared" si="770"/>
        <v>329845.56999999902</v>
      </c>
      <c r="H1054" s="44">
        <v>4300000</v>
      </c>
      <c r="I1054" s="46">
        <f t="shared" si="758"/>
        <v>1366757.8399999987</v>
      </c>
      <c r="J1054" s="38">
        <v>108565.68</v>
      </c>
      <c r="K1054" s="38">
        <v>28000</v>
      </c>
      <c r="L1054" s="38">
        <v>-63446.48</v>
      </c>
      <c r="M1054" s="47">
        <f t="shared" si="759"/>
        <v>1439877.0399999986</v>
      </c>
      <c r="N1054" s="46">
        <v>5000000</v>
      </c>
      <c r="O1054" s="48">
        <f t="shared" si="760"/>
        <v>388.28999999969494</v>
      </c>
      <c r="P1054" s="38">
        <f>203875+118695.6</f>
        <v>322570.59999999998</v>
      </c>
      <c r="Q1054" s="38">
        <f>-250000-28000</f>
        <v>-278000</v>
      </c>
      <c r="R1054" s="38">
        <v>-34762.089999999997</v>
      </c>
      <c r="S1054" s="55">
        <f t="shared" si="761"/>
        <v>10196.799999999668</v>
      </c>
      <c r="T1054" s="48"/>
      <c r="U1054" s="49">
        <f t="shared" si="762"/>
        <v>31.670000000056461</v>
      </c>
      <c r="V1054" s="38"/>
      <c r="W1054" s="38"/>
      <c r="X1054" s="38"/>
      <c r="Y1054" s="51">
        <f t="shared" si="763"/>
        <v>31.670000000056461</v>
      </c>
      <c r="Z1054" s="52"/>
      <c r="AA1054" s="53">
        <f t="shared" si="764"/>
        <v>14.84999999916181</v>
      </c>
      <c r="AB1054" s="38"/>
      <c r="AC1054" s="38"/>
      <c r="AD1054" s="38"/>
      <c r="AE1054" s="54">
        <f t="shared" si="765"/>
        <v>14.84999999916181</v>
      </c>
      <c r="AF1054" s="53"/>
      <c r="AG1054" s="53">
        <f t="shared" si="772"/>
        <v>37.059999999991852</v>
      </c>
      <c r="AH1054" s="38"/>
      <c r="AI1054" s="38"/>
      <c r="AJ1054" s="38"/>
      <c r="AK1054" s="54">
        <f t="shared" si="773"/>
        <v>37.059999999991852</v>
      </c>
      <c r="AL1054" s="53"/>
      <c r="AM1054" s="53">
        <f t="shared" si="754"/>
        <v>0</v>
      </c>
      <c r="AN1054" s="38"/>
      <c r="AO1054" s="38"/>
      <c r="AP1054" s="38"/>
      <c r="AQ1054" s="54">
        <f t="shared" si="755"/>
        <v>0</v>
      </c>
      <c r="AR1054" s="53"/>
      <c r="AS1054" s="29">
        <f t="shared" si="774"/>
        <v>1457187.8499999968</v>
      </c>
      <c r="AT1054" s="29">
        <f t="shared" si="775"/>
        <v>431136.27999999997</v>
      </c>
      <c r="AU1054" s="29">
        <f t="shared" si="776"/>
        <v>0</v>
      </c>
      <c r="AV1054" s="29">
        <f t="shared" si="777"/>
        <v>-108358.2</v>
      </c>
      <c r="AW1054" s="29"/>
      <c r="AX1054" s="29">
        <f t="shared" si="778"/>
        <v>1780002.9899999965</v>
      </c>
      <c r="AY1054" s="29">
        <f t="shared" si="779"/>
        <v>9300000</v>
      </c>
      <c r="AZ1054" s="29">
        <f t="shared" si="780"/>
        <v>11080002.989999996</v>
      </c>
    </row>
    <row r="1055" spans="2:52" x14ac:dyDescent="0.3">
      <c r="B1055" s="99">
        <f t="shared" si="782"/>
        <v>45639</v>
      </c>
      <c r="C1055" s="44">
        <f t="shared" si="757"/>
        <v>329845.56999999902</v>
      </c>
      <c r="D1055" s="38">
        <v>54175.63</v>
      </c>
      <c r="E1055" s="38"/>
      <c r="F1055" s="38">
        <v>-21634.51</v>
      </c>
      <c r="G1055" s="45">
        <f t="shared" si="770"/>
        <v>362386.68999999901</v>
      </c>
      <c r="H1055" s="44">
        <v>4300000</v>
      </c>
      <c r="I1055" s="46">
        <f t="shared" si="758"/>
        <v>1439877.0399999986</v>
      </c>
      <c r="J1055" s="38">
        <v>759071.43</v>
      </c>
      <c r="K1055" s="38"/>
      <c r="L1055" s="38">
        <v>-255735.11</v>
      </c>
      <c r="M1055" s="47">
        <f t="shared" si="759"/>
        <v>1943213.3599999989</v>
      </c>
      <c r="N1055" s="46">
        <v>5000000</v>
      </c>
      <c r="O1055" s="48">
        <f t="shared" si="760"/>
        <v>10196.799999999668</v>
      </c>
      <c r="P1055" s="38">
        <v>227745.98</v>
      </c>
      <c r="Q1055" s="38"/>
      <c r="R1055" s="38"/>
      <c r="S1055" s="55">
        <f t="shared" si="761"/>
        <v>237942.77999999968</v>
      </c>
      <c r="T1055" s="48"/>
      <c r="U1055" s="49">
        <f t="shared" si="762"/>
        <v>31.670000000056461</v>
      </c>
      <c r="V1055" s="38"/>
      <c r="W1055" s="38"/>
      <c r="X1055" s="38"/>
      <c r="Y1055" s="51">
        <f t="shared" si="763"/>
        <v>31.670000000056461</v>
      </c>
      <c r="Z1055" s="52"/>
      <c r="AA1055" s="53">
        <f t="shared" si="764"/>
        <v>14.84999999916181</v>
      </c>
      <c r="AB1055" s="38">
        <v>1476244.03</v>
      </c>
      <c r="AC1055" s="38"/>
      <c r="AD1055" s="38"/>
      <c r="AE1055" s="54">
        <f t="shared" si="765"/>
        <v>1476258.8799999992</v>
      </c>
      <c r="AF1055" s="53"/>
      <c r="AG1055" s="53">
        <f t="shared" si="772"/>
        <v>37.059999999991852</v>
      </c>
      <c r="AH1055" s="38"/>
      <c r="AI1055" s="38"/>
      <c r="AJ1055" s="38"/>
      <c r="AK1055" s="54">
        <f t="shared" si="773"/>
        <v>37.059999999991852</v>
      </c>
      <c r="AL1055" s="53"/>
      <c r="AM1055" s="53">
        <f t="shared" si="754"/>
        <v>0</v>
      </c>
      <c r="AN1055" s="38"/>
      <c r="AO1055" s="38"/>
      <c r="AP1055" s="38"/>
      <c r="AQ1055" s="54">
        <f t="shared" si="755"/>
        <v>0</v>
      </c>
      <c r="AR1055" s="53"/>
      <c r="AS1055" s="29">
        <f t="shared" si="774"/>
        <v>1779965.9299999964</v>
      </c>
      <c r="AT1055" s="29">
        <f t="shared" si="775"/>
        <v>2517237.0700000003</v>
      </c>
      <c r="AU1055" s="29">
        <f t="shared" si="776"/>
        <v>0</v>
      </c>
      <c r="AV1055" s="29">
        <f t="shared" si="777"/>
        <v>-277369.62</v>
      </c>
      <c r="AW1055" s="29"/>
      <c r="AX1055" s="29">
        <f t="shared" si="778"/>
        <v>4019870.4399999972</v>
      </c>
      <c r="AY1055" s="29">
        <f t="shared" si="779"/>
        <v>9300000</v>
      </c>
      <c r="AZ1055" s="29">
        <f t="shared" si="780"/>
        <v>13319870.439999998</v>
      </c>
    </row>
    <row r="1056" spans="2:52" x14ac:dyDescent="0.3">
      <c r="B1056" s="99">
        <f t="shared" ref="B1056" si="783">B1055+3</f>
        <v>45642</v>
      </c>
      <c r="C1056" s="44">
        <f t="shared" si="757"/>
        <v>362386.68999999901</v>
      </c>
      <c r="D1056" s="38">
        <v>450</v>
      </c>
      <c r="E1056" s="38"/>
      <c r="F1056" s="38">
        <v>-22940.93</v>
      </c>
      <c r="G1056" s="45">
        <f t="shared" si="770"/>
        <v>339895.75999999902</v>
      </c>
      <c r="H1056" s="44">
        <v>4300000</v>
      </c>
      <c r="I1056" s="46">
        <f t="shared" si="758"/>
        <v>1943213.3599999989</v>
      </c>
      <c r="J1056" s="38">
        <v>210191.87</v>
      </c>
      <c r="K1056" s="38">
        <f>2000000+1476000</f>
        <v>3476000</v>
      </c>
      <c r="L1056" s="38">
        <v>-119670.29</v>
      </c>
      <c r="M1056" s="47">
        <f t="shared" si="759"/>
        <v>5509734.9399999985</v>
      </c>
      <c r="N1056" s="46">
        <v>5000000</v>
      </c>
      <c r="O1056" s="48">
        <f t="shared" si="760"/>
        <v>237942.77999999968</v>
      </c>
      <c r="P1056" s="38">
        <v>2606324.88</v>
      </c>
      <c r="Q1056" s="38">
        <v>-2000000</v>
      </c>
      <c r="R1056" s="38">
        <v>-10</v>
      </c>
      <c r="S1056" s="55">
        <f t="shared" si="761"/>
        <v>844257.65999999968</v>
      </c>
      <c r="T1056" s="48"/>
      <c r="U1056" s="49">
        <f t="shared" si="762"/>
        <v>31.670000000056461</v>
      </c>
      <c r="V1056" s="38"/>
      <c r="W1056" s="38"/>
      <c r="X1056" s="38"/>
      <c r="Y1056" s="51">
        <f t="shared" si="763"/>
        <v>31.670000000056461</v>
      </c>
      <c r="Z1056" s="52"/>
      <c r="AA1056" s="53">
        <f t="shared" si="764"/>
        <v>1476258.8799999992</v>
      </c>
      <c r="AB1056" s="38"/>
      <c r="AC1056" s="38">
        <v>-1476000</v>
      </c>
      <c r="AD1056" s="38"/>
      <c r="AE1056" s="54">
        <f t="shared" si="765"/>
        <v>258.87999999918975</v>
      </c>
      <c r="AF1056" s="53"/>
      <c r="AG1056" s="53">
        <f t="shared" si="772"/>
        <v>37.059999999991852</v>
      </c>
      <c r="AH1056" s="38"/>
      <c r="AI1056" s="38"/>
      <c r="AJ1056" s="38"/>
      <c r="AK1056" s="54">
        <f t="shared" si="773"/>
        <v>37.059999999991852</v>
      </c>
      <c r="AL1056" s="53"/>
      <c r="AM1056" s="53">
        <f t="shared" si="754"/>
        <v>0</v>
      </c>
      <c r="AN1056" s="38"/>
      <c r="AO1056" s="38"/>
      <c r="AP1056" s="38"/>
      <c r="AQ1056" s="54">
        <f t="shared" si="755"/>
        <v>0</v>
      </c>
      <c r="AR1056" s="53"/>
      <c r="AS1056" s="29">
        <f t="shared" si="774"/>
        <v>4019833.3799999971</v>
      </c>
      <c r="AT1056" s="29">
        <f t="shared" si="775"/>
        <v>2816966.75</v>
      </c>
      <c r="AU1056" s="29">
        <f t="shared" si="776"/>
        <v>0</v>
      </c>
      <c r="AV1056" s="29">
        <f t="shared" si="777"/>
        <v>-142621.22</v>
      </c>
      <c r="AW1056" s="29"/>
      <c r="AX1056" s="29">
        <f t="shared" si="778"/>
        <v>6694215.969999996</v>
      </c>
      <c r="AY1056" s="29">
        <f t="shared" si="779"/>
        <v>9300000</v>
      </c>
      <c r="AZ1056" s="29">
        <f t="shared" si="780"/>
        <v>15994215.969999995</v>
      </c>
    </row>
    <row r="1057" spans="2:52" x14ac:dyDescent="0.3">
      <c r="B1057" s="99">
        <f t="shared" si="782"/>
        <v>45643</v>
      </c>
      <c r="C1057" s="44">
        <f t="shared" si="757"/>
        <v>339895.75999999902</v>
      </c>
      <c r="D1057" s="38">
        <v>156955.35</v>
      </c>
      <c r="E1057" s="38"/>
      <c r="F1057" s="38"/>
      <c r="G1057" s="45">
        <f t="shared" si="770"/>
        <v>496851.10999999905</v>
      </c>
      <c r="H1057" s="44">
        <v>4300000</v>
      </c>
      <c r="I1057" s="46">
        <f t="shared" si="758"/>
        <v>5509734.9399999985</v>
      </c>
      <c r="J1057" s="38"/>
      <c r="K1057" s="38">
        <v>970000</v>
      </c>
      <c r="L1057" s="38">
        <v>-200957.1</v>
      </c>
      <c r="M1057" s="47">
        <f t="shared" si="759"/>
        <v>6278777.8399999989</v>
      </c>
      <c r="N1057" s="46">
        <v>5000000</v>
      </c>
      <c r="O1057" s="48">
        <f t="shared" si="760"/>
        <v>844257.65999999968</v>
      </c>
      <c r="P1057" s="38">
        <v>129674.52</v>
      </c>
      <c r="Q1057" s="38">
        <v>-970000</v>
      </c>
      <c r="R1057" s="38">
        <v>-855.24</v>
      </c>
      <c r="S1057" s="55">
        <f t="shared" si="761"/>
        <v>3076.9399999997022</v>
      </c>
      <c r="T1057" s="48"/>
      <c r="U1057" s="49">
        <f t="shared" si="762"/>
        <v>31.670000000056461</v>
      </c>
      <c r="V1057" s="38"/>
      <c r="W1057" s="38"/>
      <c r="X1057" s="38"/>
      <c r="Y1057" s="51">
        <f t="shared" si="763"/>
        <v>31.670000000056461</v>
      </c>
      <c r="Z1057" s="52"/>
      <c r="AA1057" s="53">
        <f t="shared" si="764"/>
        <v>258.87999999918975</v>
      </c>
      <c r="AB1057" s="38"/>
      <c r="AC1057" s="38"/>
      <c r="AD1057" s="38"/>
      <c r="AE1057" s="54">
        <f t="shared" si="765"/>
        <v>258.87999999918975</v>
      </c>
      <c r="AF1057" s="53"/>
      <c r="AG1057" s="53">
        <f t="shared" si="772"/>
        <v>37.059999999991852</v>
      </c>
      <c r="AH1057" s="38"/>
      <c r="AI1057" s="38"/>
      <c r="AJ1057" s="38"/>
      <c r="AK1057" s="54">
        <f t="shared" si="773"/>
        <v>37.059999999991852</v>
      </c>
      <c r="AL1057" s="53"/>
      <c r="AM1057" s="53">
        <f t="shared" si="754"/>
        <v>0</v>
      </c>
      <c r="AN1057" s="38"/>
      <c r="AO1057" s="38"/>
      <c r="AP1057" s="38"/>
      <c r="AQ1057" s="54">
        <f t="shared" si="755"/>
        <v>0</v>
      </c>
      <c r="AR1057" s="53"/>
      <c r="AS1057" s="29">
        <f t="shared" si="774"/>
        <v>6694178.9099999964</v>
      </c>
      <c r="AT1057" s="29">
        <f t="shared" si="775"/>
        <v>286629.87</v>
      </c>
      <c r="AU1057" s="29">
        <f t="shared" si="776"/>
        <v>0</v>
      </c>
      <c r="AV1057" s="29">
        <f t="shared" si="777"/>
        <v>-201812.34</v>
      </c>
      <c r="AW1057" s="29"/>
      <c r="AX1057" s="29">
        <f t="shared" si="778"/>
        <v>6779033.4999999963</v>
      </c>
      <c r="AY1057" s="29">
        <f t="shared" si="779"/>
        <v>9300000</v>
      </c>
      <c r="AZ1057" s="29">
        <f t="shared" si="780"/>
        <v>16079033.499999996</v>
      </c>
    </row>
    <row r="1058" spans="2:52" x14ac:dyDescent="0.3">
      <c r="B1058" s="99">
        <f t="shared" si="782"/>
        <v>45644</v>
      </c>
      <c r="C1058" s="44">
        <f t="shared" si="757"/>
        <v>496851.10999999905</v>
      </c>
      <c r="D1058" s="38">
        <f>60446.49+283685.98</f>
        <v>344132.47</v>
      </c>
      <c r="E1058" s="38"/>
      <c r="F1058" s="38">
        <f>-949.06-1331.58-1139.29</f>
        <v>-3419.93</v>
      </c>
      <c r="G1058" s="45">
        <f t="shared" si="770"/>
        <v>837563.64999999898</v>
      </c>
      <c r="H1058" s="44">
        <v>4300000</v>
      </c>
      <c r="I1058" s="46">
        <f t="shared" si="758"/>
        <v>6278777.8399999989</v>
      </c>
      <c r="J1058" s="38">
        <v>209733.06</v>
      </c>
      <c r="K1058" s="38">
        <v>640000</v>
      </c>
      <c r="L1058" s="38">
        <v>-880845.79</v>
      </c>
      <c r="M1058" s="47">
        <f t="shared" si="759"/>
        <v>6247665.1099999985</v>
      </c>
      <c r="N1058" s="46">
        <v>5000000</v>
      </c>
      <c r="O1058" s="48">
        <f t="shared" si="760"/>
        <v>3076.9399999997022</v>
      </c>
      <c r="P1058" s="38">
        <f>48079.17+79220+144041.29+374488.63</f>
        <v>645829.09000000008</v>
      </c>
      <c r="Q1058" s="38">
        <v>-640000</v>
      </c>
      <c r="R1058" s="38">
        <f>-1331.58-10</f>
        <v>-1341.58</v>
      </c>
      <c r="S1058" s="55">
        <f t="shared" si="761"/>
        <v>7564.4499999997952</v>
      </c>
      <c r="T1058" s="48"/>
      <c r="U1058" s="49">
        <f t="shared" si="762"/>
        <v>31.670000000056461</v>
      </c>
      <c r="V1058" s="38"/>
      <c r="W1058" s="38"/>
      <c r="X1058" s="38"/>
      <c r="Y1058" s="51">
        <f t="shared" si="763"/>
        <v>31.670000000056461</v>
      </c>
      <c r="Z1058" s="52"/>
      <c r="AA1058" s="53">
        <f t="shared" si="764"/>
        <v>258.87999999918975</v>
      </c>
      <c r="AB1058" s="38"/>
      <c r="AC1058" s="38"/>
      <c r="AD1058" s="38"/>
      <c r="AE1058" s="54">
        <f t="shared" si="765"/>
        <v>258.87999999918975</v>
      </c>
      <c r="AF1058" s="53"/>
      <c r="AG1058" s="53">
        <f t="shared" si="772"/>
        <v>37.059999999991852</v>
      </c>
      <c r="AH1058" s="38"/>
      <c r="AI1058" s="38"/>
      <c r="AJ1058" s="38"/>
      <c r="AK1058" s="54">
        <f t="shared" si="773"/>
        <v>37.059999999991852</v>
      </c>
      <c r="AL1058" s="53"/>
      <c r="AM1058" s="53">
        <f t="shared" si="754"/>
        <v>0</v>
      </c>
      <c r="AN1058" s="38"/>
      <c r="AO1058" s="38"/>
      <c r="AP1058" s="38"/>
      <c r="AQ1058" s="54">
        <f t="shared" si="755"/>
        <v>0</v>
      </c>
      <c r="AR1058" s="53"/>
      <c r="AS1058" s="29">
        <f t="shared" si="774"/>
        <v>6778996.4399999967</v>
      </c>
      <c r="AT1058" s="29">
        <f t="shared" si="775"/>
        <v>1199694.6200000001</v>
      </c>
      <c r="AU1058" s="29">
        <f t="shared" si="776"/>
        <v>0</v>
      </c>
      <c r="AV1058" s="29">
        <f t="shared" si="777"/>
        <v>-885607.3</v>
      </c>
      <c r="AW1058" s="29"/>
      <c r="AX1058" s="29">
        <f t="shared" si="778"/>
        <v>7093120.8199999966</v>
      </c>
      <c r="AY1058" s="29">
        <f t="shared" si="779"/>
        <v>9300000</v>
      </c>
      <c r="AZ1058" s="29">
        <f t="shared" si="780"/>
        <v>16393120.819999997</v>
      </c>
    </row>
    <row r="1059" spans="2:52" x14ac:dyDescent="0.3">
      <c r="B1059" s="99">
        <f t="shared" si="782"/>
        <v>45645</v>
      </c>
      <c r="C1059" s="44">
        <f t="shared" si="757"/>
        <v>837563.64999999898</v>
      </c>
      <c r="D1059" s="38">
        <v>659218.53</v>
      </c>
      <c r="E1059" s="38"/>
      <c r="F1059" s="38">
        <v>-8259.7999999999993</v>
      </c>
      <c r="G1059" s="45">
        <f t="shared" si="770"/>
        <v>1488522.379999999</v>
      </c>
      <c r="H1059" s="44">
        <v>4300000</v>
      </c>
      <c r="I1059" s="46">
        <f t="shared" si="758"/>
        <v>6247665.1099999985</v>
      </c>
      <c r="J1059" s="38">
        <v>50000</v>
      </c>
      <c r="K1059" s="38">
        <v>1640000</v>
      </c>
      <c r="L1059" s="38">
        <v>-1530740.61</v>
      </c>
      <c r="M1059" s="47">
        <f t="shared" si="759"/>
        <v>6406924.4999999981</v>
      </c>
      <c r="N1059" s="46">
        <v>5000000</v>
      </c>
      <c r="O1059" s="48">
        <f t="shared" si="760"/>
        <v>7564.4499999997952</v>
      </c>
      <c r="P1059" s="38">
        <v>1238679.3400000001</v>
      </c>
      <c r="Q1059" s="38">
        <f>401700-1640000</f>
        <v>-1238300</v>
      </c>
      <c r="R1059" s="38">
        <v>-2054</v>
      </c>
      <c r="S1059" s="55">
        <f t="shared" si="761"/>
        <v>5889.7899999998044</v>
      </c>
      <c r="T1059" s="48"/>
      <c r="U1059" s="49">
        <f t="shared" si="762"/>
        <v>31.670000000056461</v>
      </c>
      <c r="V1059" s="38">
        <v>401737.31</v>
      </c>
      <c r="W1059" s="38">
        <v>-401700</v>
      </c>
      <c r="X1059" s="38">
        <v>-1.5</v>
      </c>
      <c r="Y1059" s="51">
        <f t="shared" si="763"/>
        <v>67.480000000039581</v>
      </c>
      <c r="Z1059" s="52"/>
      <c r="AA1059" s="53">
        <f t="shared" si="764"/>
        <v>258.87999999918975</v>
      </c>
      <c r="AB1059" s="38"/>
      <c r="AC1059" s="38"/>
      <c r="AD1059" s="38"/>
      <c r="AE1059" s="54">
        <f t="shared" si="765"/>
        <v>258.87999999918975</v>
      </c>
      <c r="AF1059" s="53"/>
      <c r="AG1059" s="53">
        <f t="shared" si="772"/>
        <v>37.059999999991852</v>
      </c>
      <c r="AH1059" s="38"/>
      <c r="AI1059" s="38"/>
      <c r="AJ1059" s="38"/>
      <c r="AK1059" s="54">
        <f t="shared" si="773"/>
        <v>37.059999999991852</v>
      </c>
      <c r="AL1059" s="53"/>
      <c r="AM1059" s="53">
        <f t="shared" si="754"/>
        <v>0</v>
      </c>
      <c r="AN1059" s="38"/>
      <c r="AO1059" s="38"/>
      <c r="AP1059" s="38"/>
      <c r="AQ1059" s="54">
        <f t="shared" si="755"/>
        <v>0</v>
      </c>
      <c r="AR1059" s="53"/>
      <c r="AS1059" s="29">
        <f t="shared" si="774"/>
        <v>7093083.759999997</v>
      </c>
      <c r="AT1059" s="29">
        <f t="shared" si="775"/>
        <v>2349635.1800000002</v>
      </c>
      <c r="AU1059" s="29">
        <f t="shared" si="776"/>
        <v>0</v>
      </c>
      <c r="AV1059" s="29">
        <f t="shared" si="777"/>
        <v>-1541055.9100000001</v>
      </c>
      <c r="AW1059" s="29"/>
      <c r="AX1059" s="29">
        <f t="shared" si="778"/>
        <v>7901700.0899999961</v>
      </c>
      <c r="AY1059" s="29">
        <f t="shared" si="779"/>
        <v>9300000</v>
      </c>
      <c r="AZ1059" s="29">
        <f t="shared" si="780"/>
        <v>17201700.089999996</v>
      </c>
    </row>
    <row r="1060" spans="2:52" x14ac:dyDescent="0.3">
      <c r="B1060" s="99">
        <f t="shared" si="782"/>
        <v>45646</v>
      </c>
      <c r="C1060" s="44">
        <f t="shared" si="757"/>
        <v>1488522.379999999</v>
      </c>
      <c r="D1060" s="38">
        <v>1101830.6299999999</v>
      </c>
      <c r="E1060" s="38"/>
      <c r="F1060" s="38">
        <v>-732969.5</v>
      </c>
      <c r="G1060" s="45">
        <f t="shared" si="770"/>
        <v>1857383.5099999988</v>
      </c>
      <c r="H1060" s="44">
        <v>4300000</v>
      </c>
      <c r="I1060" s="46">
        <f t="shared" si="758"/>
        <v>6406924.4999999981</v>
      </c>
      <c r="J1060" s="38">
        <f>5888.39+2856.59</f>
        <v>8744.98</v>
      </c>
      <c r="K1060" s="38">
        <f>2070000+1433000</f>
        <v>3503000</v>
      </c>
      <c r="L1060" s="38">
        <v>-791892.26</v>
      </c>
      <c r="M1060" s="47">
        <f t="shared" si="759"/>
        <v>9126777.2199999988</v>
      </c>
      <c r="N1060" s="46">
        <v>5000000</v>
      </c>
      <c r="O1060" s="48">
        <f t="shared" si="760"/>
        <v>5889.7899999998044</v>
      </c>
      <c r="P1060" s="38"/>
      <c r="Q1060" s="38">
        <f>1433900-1433000</f>
        <v>900</v>
      </c>
      <c r="R1060" s="38"/>
      <c r="S1060" s="55">
        <f t="shared" si="761"/>
        <v>6789.7899999998044</v>
      </c>
      <c r="T1060" s="48"/>
      <c r="U1060" s="49">
        <f t="shared" si="762"/>
        <v>67.480000000039581</v>
      </c>
      <c r="V1060" s="38">
        <v>1433894.48</v>
      </c>
      <c r="W1060" s="38">
        <v>-1433900</v>
      </c>
      <c r="X1060" s="38">
        <v>-1.5</v>
      </c>
      <c r="Y1060" s="51">
        <f t="shared" si="763"/>
        <v>60.459999999962747</v>
      </c>
      <c r="Z1060" s="52"/>
      <c r="AA1060" s="53">
        <f t="shared" si="764"/>
        <v>258.87999999918975</v>
      </c>
      <c r="AB1060" s="38"/>
      <c r="AC1060" s="38"/>
      <c r="AD1060" s="38"/>
      <c r="AE1060" s="54">
        <f t="shared" si="765"/>
        <v>258.87999999918975</v>
      </c>
      <c r="AF1060" s="53"/>
      <c r="AG1060" s="53">
        <f t="shared" si="772"/>
        <v>37.059999999991852</v>
      </c>
      <c r="AH1060" s="38">
        <f>286019.78+1786006.42</f>
        <v>2072026.2</v>
      </c>
      <c r="AI1060" s="38">
        <v>-2070000</v>
      </c>
      <c r="AJ1060" s="38"/>
      <c r="AK1060" s="54">
        <f t="shared" si="773"/>
        <v>2063.2600000000093</v>
      </c>
      <c r="AL1060" s="53"/>
      <c r="AM1060" s="53">
        <f t="shared" si="754"/>
        <v>0</v>
      </c>
      <c r="AN1060" s="38"/>
      <c r="AO1060" s="38"/>
      <c r="AP1060" s="38"/>
      <c r="AQ1060" s="54">
        <f t="shared" si="755"/>
        <v>0</v>
      </c>
      <c r="AR1060" s="53"/>
      <c r="AS1060" s="29">
        <f t="shared" si="774"/>
        <v>7901663.0299999965</v>
      </c>
      <c r="AT1060" s="29">
        <f t="shared" si="775"/>
        <v>4616496.29</v>
      </c>
      <c r="AU1060" s="29">
        <f t="shared" si="776"/>
        <v>0</v>
      </c>
      <c r="AV1060" s="29">
        <f t="shared" si="777"/>
        <v>-1524863.26</v>
      </c>
      <c r="AW1060" s="29"/>
      <c r="AX1060" s="29">
        <f t="shared" si="778"/>
        <v>10993333.119999995</v>
      </c>
      <c r="AY1060" s="29">
        <f t="shared" si="779"/>
        <v>9300000</v>
      </c>
      <c r="AZ1060" s="29">
        <f t="shared" si="780"/>
        <v>20293333.119999997</v>
      </c>
    </row>
    <row r="1061" spans="2:52" x14ac:dyDescent="0.3">
      <c r="B1061" s="99">
        <f t="shared" ref="B1061" si="784">B1060+3</f>
        <v>45649</v>
      </c>
      <c r="C1061" s="44">
        <f t="shared" si="757"/>
        <v>1857383.5099999988</v>
      </c>
      <c r="D1061" s="38"/>
      <c r="E1061" s="38"/>
      <c r="F1061" s="38">
        <v>-50896.72</v>
      </c>
      <c r="G1061" s="45">
        <f>SUM(C1061:F1061)</f>
        <v>1806486.7899999989</v>
      </c>
      <c r="H1061" s="44">
        <v>4300000</v>
      </c>
      <c r="I1061" s="46">
        <f t="shared" si="758"/>
        <v>9126777.2199999988</v>
      </c>
      <c r="J1061" s="38">
        <v>4448.8</v>
      </c>
      <c r="K1061" s="38">
        <v>640000</v>
      </c>
      <c r="L1061" s="38">
        <v>-273917.46000000002</v>
      </c>
      <c r="M1061" s="47">
        <f t="shared" si="759"/>
        <v>9497308.5599999987</v>
      </c>
      <c r="N1061" s="46">
        <v>5000000</v>
      </c>
      <c r="O1061" s="48">
        <f t="shared" si="760"/>
        <v>6789.7899999998044</v>
      </c>
      <c r="P1061" s="38">
        <v>34440.629999999997</v>
      </c>
      <c r="Q1061" s="38">
        <f>609900-640000</f>
        <v>-30100</v>
      </c>
      <c r="R1061" s="38">
        <v>-1856.41</v>
      </c>
      <c r="S1061" s="55">
        <f t="shared" si="761"/>
        <v>9274.0099999998019</v>
      </c>
      <c r="T1061" s="48"/>
      <c r="U1061" s="49">
        <f t="shared" si="762"/>
        <v>60.459999999962747</v>
      </c>
      <c r="V1061" s="38">
        <v>609901.24</v>
      </c>
      <c r="W1061" s="38">
        <v>-609900</v>
      </c>
      <c r="X1061" s="38"/>
      <c r="Y1061" s="51">
        <f t="shared" si="763"/>
        <v>61.699999999953434</v>
      </c>
      <c r="Z1061" s="52"/>
      <c r="AA1061" s="53">
        <f t="shared" si="764"/>
        <v>258.87999999918975</v>
      </c>
      <c r="AB1061" s="38"/>
      <c r="AC1061" s="38"/>
      <c r="AD1061" s="38"/>
      <c r="AE1061" s="54">
        <f t="shared" si="765"/>
        <v>258.87999999918975</v>
      </c>
      <c r="AF1061" s="53"/>
      <c r="AG1061" s="53">
        <f t="shared" si="772"/>
        <v>2063.2600000000093</v>
      </c>
      <c r="AH1061" s="38"/>
      <c r="AI1061" s="38"/>
      <c r="AJ1061" s="38">
        <v>-9.9</v>
      </c>
      <c r="AK1061" s="54">
        <f t="shared" si="773"/>
        <v>2053.3600000000092</v>
      </c>
      <c r="AL1061" s="53"/>
      <c r="AM1061" s="53">
        <f t="shared" si="754"/>
        <v>0</v>
      </c>
      <c r="AN1061" s="38"/>
      <c r="AO1061" s="38"/>
      <c r="AP1061" s="38"/>
      <c r="AQ1061" s="54">
        <f t="shared" si="755"/>
        <v>0</v>
      </c>
      <c r="AR1061" s="53"/>
      <c r="AS1061" s="29">
        <f t="shared" si="774"/>
        <v>10991269.859999996</v>
      </c>
      <c r="AT1061" s="29">
        <f>SUM(D1061,J1061,P1061,V1061,AB1061,AH1061)</f>
        <v>648790.67000000004</v>
      </c>
      <c r="AU1061" s="29">
        <f t="shared" si="776"/>
        <v>0</v>
      </c>
      <c r="AV1061" s="29">
        <f>SUM(F1061,L1061,R1061,X1061,AD1061,AJ1061)</f>
        <v>-326680.49000000005</v>
      </c>
      <c r="AW1061" s="29"/>
      <c r="AX1061" s="29">
        <f t="shared" si="778"/>
        <v>11315443.299999995</v>
      </c>
      <c r="AY1061" s="29">
        <f t="shared" si="779"/>
        <v>9300000</v>
      </c>
      <c r="AZ1061" s="29">
        <f t="shared" si="780"/>
        <v>20615443.299999997</v>
      </c>
    </row>
    <row r="1062" spans="2:52" x14ac:dyDescent="0.3">
      <c r="B1062" s="99">
        <f t="shared" si="782"/>
        <v>45650</v>
      </c>
      <c r="C1062" s="44">
        <f t="shared" si="757"/>
        <v>1806486.7899999989</v>
      </c>
      <c r="D1062" s="38">
        <v>415188.76</v>
      </c>
      <c r="E1062" s="38"/>
      <c r="F1062" s="38"/>
      <c r="G1062" s="45">
        <f t="shared" si="770"/>
        <v>2221675.5499999989</v>
      </c>
      <c r="H1062" s="44">
        <v>4300000</v>
      </c>
      <c r="I1062" s="46">
        <f t="shared" si="758"/>
        <v>9497308.5599999987</v>
      </c>
      <c r="J1062" s="38"/>
      <c r="K1062" s="38">
        <v>530000</v>
      </c>
      <c r="L1062" s="38">
        <f>-827.98-168.31</f>
        <v>-996.29</v>
      </c>
      <c r="M1062" s="47">
        <f t="shared" si="759"/>
        <v>10026312.27</v>
      </c>
      <c r="N1062" s="46">
        <v>5000000</v>
      </c>
      <c r="O1062" s="48">
        <f t="shared" si="760"/>
        <v>9274.0099999998019</v>
      </c>
      <c r="P1062" s="38">
        <f>222213.25+1179.43+195+2006.76+299703.42</f>
        <v>525297.86</v>
      </c>
      <c r="Q1062" s="38">
        <v>-530000</v>
      </c>
      <c r="R1062" s="38">
        <v>-10</v>
      </c>
      <c r="S1062" s="55">
        <f t="shared" si="761"/>
        <v>4561.8699999997625</v>
      </c>
      <c r="T1062" s="48"/>
      <c r="U1062" s="49">
        <f t="shared" si="762"/>
        <v>61.699999999953434</v>
      </c>
      <c r="V1062" s="38"/>
      <c r="W1062" s="38"/>
      <c r="X1062" s="38">
        <v>-1.5</v>
      </c>
      <c r="Y1062" s="51">
        <f t="shared" si="763"/>
        <v>60.199999999953434</v>
      </c>
      <c r="Z1062" s="52"/>
      <c r="AA1062" s="53">
        <f t="shared" si="764"/>
        <v>258.87999999918975</v>
      </c>
      <c r="AB1062" s="38"/>
      <c r="AC1062" s="38"/>
      <c r="AD1062" s="38"/>
      <c r="AE1062" s="54">
        <f t="shared" si="765"/>
        <v>258.87999999918975</v>
      </c>
      <c r="AF1062" s="53"/>
      <c r="AG1062" s="53">
        <f t="shared" si="772"/>
        <v>2053.3600000000092</v>
      </c>
      <c r="AH1062" s="38"/>
      <c r="AI1062" s="38"/>
      <c r="AJ1062" s="38"/>
      <c r="AK1062" s="54">
        <f t="shared" si="773"/>
        <v>2053.3600000000092</v>
      </c>
      <c r="AL1062" s="53"/>
      <c r="AM1062" s="53">
        <f t="shared" si="754"/>
        <v>0</v>
      </c>
      <c r="AN1062" s="38"/>
      <c r="AO1062" s="38"/>
      <c r="AP1062" s="38"/>
      <c r="AQ1062" s="54">
        <f t="shared" si="755"/>
        <v>0</v>
      </c>
      <c r="AR1062" s="53"/>
      <c r="AS1062" s="29">
        <f t="shared" si="774"/>
        <v>11313389.939999996</v>
      </c>
      <c r="AT1062" s="29">
        <f t="shared" si="775"/>
        <v>940486.62</v>
      </c>
      <c r="AU1062" s="29">
        <f t="shared" si="776"/>
        <v>0</v>
      </c>
      <c r="AV1062" s="29">
        <f t="shared" si="777"/>
        <v>-1007.79</v>
      </c>
      <c r="AW1062" s="29"/>
      <c r="AX1062" s="29">
        <f t="shared" si="778"/>
        <v>12254922.129999995</v>
      </c>
      <c r="AY1062" s="29">
        <f t="shared" si="779"/>
        <v>9300000</v>
      </c>
      <c r="AZ1062" s="29">
        <f t="shared" si="780"/>
        <v>21554922.129999995</v>
      </c>
    </row>
    <row r="1063" spans="2:52" x14ac:dyDescent="0.3">
      <c r="B1063" s="99">
        <f t="shared" si="782"/>
        <v>45651</v>
      </c>
      <c r="C1063" s="44">
        <f t="shared" si="757"/>
        <v>2221675.5499999989</v>
      </c>
      <c r="D1063" s="38"/>
      <c r="E1063" s="38"/>
      <c r="F1063" s="38"/>
      <c r="G1063" s="45">
        <f t="shared" si="770"/>
        <v>2221675.5499999989</v>
      </c>
      <c r="H1063" s="44">
        <v>4300000</v>
      </c>
      <c r="I1063" s="46">
        <f t="shared" si="758"/>
        <v>10026312.27</v>
      </c>
      <c r="J1063" s="38"/>
      <c r="K1063" s="38"/>
      <c r="L1063" s="38"/>
      <c r="M1063" s="47">
        <f t="shared" si="759"/>
        <v>10026312.27</v>
      </c>
      <c r="N1063" s="46">
        <v>5000000</v>
      </c>
      <c r="O1063" s="48">
        <f t="shared" si="760"/>
        <v>4561.8699999997625</v>
      </c>
      <c r="P1063" s="38"/>
      <c r="Q1063" s="38"/>
      <c r="R1063" s="38"/>
      <c r="S1063" s="55">
        <f t="shared" si="761"/>
        <v>4561.8699999997625</v>
      </c>
      <c r="T1063" s="48"/>
      <c r="U1063" s="49">
        <f t="shared" si="762"/>
        <v>60.199999999953434</v>
      </c>
      <c r="V1063" s="38"/>
      <c r="W1063" s="38"/>
      <c r="X1063" s="38"/>
      <c r="Y1063" s="51">
        <f t="shared" si="763"/>
        <v>60.199999999953434</v>
      </c>
      <c r="Z1063" s="52"/>
      <c r="AA1063" s="53">
        <f t="shared" si="764"/>
        <v>258.87999999918975</v>
      </c>
      <c r="AB1063" s="38"/>
      <c r="AC1063" s="38"/>
      <c r="AD1063" s="38"/>
      <c r="AE1063" s="54">
        <f t="shared" si="765"/>
        <v>258.87999999918975</v>
      </c>
      <c r="AF1063" s="53"/>
      <c r="AG1063" s="53">
        <f t="shared" si="772"/>
        <v>2053.3600000000092</v>
      </c>
      <c r="AH1063" s="38"/>
      <c r="AI1063" s="38"/>
      <c r="AJ1063" s="38"/>
      <c r="AK1063" s="54">
        <f t="shared" si="773"/>
        <v>2053.3600000000092</v>
      </c>
      <c r="AL1063" s="53"/>
      <c r="AM1063" s="53">
        <f t="shared" si="754"/>
        <v>0</v>
      </c>
      <c r="AN1063" s="38"/>
      <c r="AO1063" s="38"/>
      <c r="AP1063" s="38"/>
      <c r="AQ1063" s="54">
        <f t="shared" si="755"/>
        <v>0</v>
      </c>
      <c r="AR1063" s="53"/>
      <c r="AS1063" s="29">
        <f t="shared" si="774"/>
        <v>12252868.769999996</v>
      </c>
      <c r="AT1063" s="29">
        <f t="shared" si="775"/>
        <v>0</v>
      </c>
      <c r="AU1063" s="29">
        <f t="shared" si="776"/>
        <v>0</v>
      </c>
      <c r="AV1063" s="29">
        <f t="shared" si="777"/>
        <v>0</v>
      </c>
      <c r="AW1063" s="29"/>
      <c r="AX1063" s="29">
        <f t="shared" si="778"/>
        <v>12254922.129999995</v>
      </c>
      <c r="AY1063" s="29">
        <f t="shared" si="779"/>
        <v>9300000</v>
      </c>
      <c r="AZ1063" s="29">
        <f t="shared" si="780"/>
        <v>21554922.129999995</v>
      </c>
    </row>
    <row r="1064" spans="2:52" x14ac:dyDescent="0.3">
      <c r="B1064" s="99">
        <f t="shared" si="782"/>
        <v>45652</v>
      </c>
      <c r="C1064" s="44">
        <f t="shared" si="757"/>
        <v>2221675.5499999989</v>
      </c>
      <c r="D1064" s="38">
        <v>1054088.58</v>
      </c>
      <c r="E1064" s="38"/>
      <c r="F1064" s="38">
        <v>-68116.55</v>
      </c>
      <c r="G1064" s="45">
        <f t="shared" si="770"/>
        <v>3207647.5799999991</v>
      </c>
      <c r="H1064" s="44">
        <v>4300000</v>
      </c>
      <c r="I1064" s="46">
        <f t="shared" si="758"/>
        <v>10026312.27</v>
      </c>
      <c r="J1064" s="38">
        <v>9755.7000000000007</v>
      </c>
      <c r="K1064" s="38">
        <v>80000</v>
      </c>
      <c r="L1064" s="38">
        <v>-389624.17</v>
      </c>
      <c r="M1064" s="47">
        <f t="shared" si="759"/>
        <v>9726443.7999999989</v>
      </c>
      <c r="N1064" s="46">
        <v>5000000</v>
      </c>
      <c r="O1064" s="48">
        <f t="shared" si="760"/>
        <v>4561.8699999997625</v>
      </c>
      <c r="P1064" s="38">
        <f>7869.14+76392.93</f>
        <v>84262.069999999992</v>
      </c>
      <c r="Q1064" s="38">
        <v>-80000</v>
      </c>
      <c r="R1064" s="38">
        <v>-1058.5</v>
      </c>
      <c r="S1064" s="55">
        <f t="shared" si="761"/>
        <v>7765.4399999997549</v>
      </c>
      <c r="T1064" s="48"/>
      <c r="U1064" s="49">
        <f t="shared" si="762"/>
        <v>60.199999999953434</v>
      </c>
      <c r="V1064" s="38"/>
      <c r="W1064" s="38"/>
      <c r="X1064" s="38"/>
      <c r="Y1064" s="51">
        <f t="shared" si="763"/>
        <v>60.199999999953434</v>
      </c>
      <c r="Z1064" s="52"/>
      <c r="AA1064" s="53">
        <f t="shared" si="764"/>
        <v>258.87999999918975</v>
      </c>
      <c r="AB1064" s="38"/>
      <c r="AC1064" s="38"/>
      <c r="AD1064" s="38"/>
      <c r="AE1064" s="54">
        <f t="shared" si="765"/>
        <v>258.87999999918975</v>
      </c>
      <c r="AF1064" s="53"/>
      <c r="AG1064" s="53">
        <f t="shared" si="772"/>
        <v>2053.3600000000092</v>
      </c>
      <c r="AH1064" s="38"/>
      <c r="AI1064" s="38"/>
      <c r="AJ1064" s="38"/>
      <c r="AK1064" s="54">
        <f t="shared" si="773"/>
        <v>2053.3600000000092</v>
      </c>
      <c r="AL1064" s="53"/>
      <c r="AM1064" s="53">
        <f t="shared" si="754"/>
        <v>0</v>
      </c>
      <c r="AN1064" s="38"/>
      <c r="AO1064" s="38"/>
      <c r="AP1064" s="38"/>
      <c r="AQ1064" s="54">
        <f t="shared" si="755"/>
        <v>0</v>
      </c>
      <c r="AR1064" s="53"/>
      <c r="AS1064" s="29">
        <f t="shared" si="774"/>
        <v>12252868.769999996</v>
      </c>
      <c r="AT1064" s="29">
        <f t="shared" si="775"/>
        <v>1148106.3500000001</v>
      </c>
      <c r="AU1064" s="29">
        <f t="shared" si="776"/>
        <v>0</v>
      </c>
      <c r="AV1064" s="29">
        <f t="shared" si="777"/>
        <v>-458799.22</v>
      </c>
      <c r="AW1064" s="29"/>
      <c r="AX1064" s="29">
        <f t="shared" si="778"/>
        <v>12944229.259999996</v>
      </c>
      <c r="AY1064" s="29">
        <f t="shared" si="779"/>
        <v>9300000</v>
      </c>
      <c r="AZ1064" s="29">
        <f t="shared" si="780"/>
        <v>22244229.259999998</v>
      </c>
    </row>
    <row r="1065" spans="2:52" x14ac:dyDescent="0.3">
      <c r="B1065" s="99">
        <f t="shared" si="782"/>
        <v>45653</v>
      </c>
      <c r="C1065" s="44">
        <f t="shared" si="757"/>
        <v>3207647.5799999991</v>
      </c>
      <c r="D1065" s="38">
        <v>80780.84</v>
      </c>
      <c r="E1065" s="38"/>
      <c r="F1065" s="38"/>
      <c r="G1065" s="45">
        <f t="shared" si="770"/>
        <v>3288428.419999999</v>
      </c>
      <c r="H1065" s="44">
        <v>4300000</v>
      </c>
      <c r="I1065" s="46">
        <f t="shared" si="758"/>
        <v>9726443.7999999989</v>
      </c>
      <c r="J1065" s="38">
        <v>40118.080000000002</v>
      </c>
      <c r="K1065" s="38">
        <v>147000</v>
      </c>
      <c r="L1065" s="38"/>
      <c r="M1065" s="47">
        <f t="shared" si="759"/>
        <v>9913561.879999999</v>
      </c>
      <c r="N1065" s="46">
        <v>5000000</v>
      </c>
      <c r="O1065" s="48">
        <f t="shared" si="760"/>
        <v>7765.4399999997549</v>
      </c>
      <c r="P1065" s="38"/>
      <c r="Q1065" s="38"/>
      <c r="R1065" s="38"/>
      <c r="S1065" s="55">
        <f t="shared" si="761"/>
        <v>7765.4399999997549</v>
      </c>
      <c r="T1065" s="48"/>
      <c r="U1065" s="49">
        <f t="shared" si="762"/>
        <v>60.199999999953434</v>
      </c>
      <c r="V1065" s="38"/>
      <c r="W1065" s="38"/>
      <c r="X1065" s="38"/>
      <c r="Y1065" s="51">
        <f t="shared" si="763"/>
        <v>60.199999999953434</v>
      </c>
      <c r="Z1065" s="52"/>
      <c r="AA1065" s="53">
        <f t="shared" si="764"/>
        <v>258.87999999918975</v>
      </c>
      <c r="AB1065" s="38"/>
      <c r="AC1065" s="38"/>
      <c r="AD1065" s="38"/>
      <c r="AE1065" s="54">
        <f t="shared" si="765"/>
        <v>258.87999999918975</v>
      </c>
      <c r="AF1065" s="53"/>
      <c r="AG1065" s="53">
        <f t="shared" si="772"/>
        <v>2053.3600000000092</v>
      </c>
      <c r="AH1065" s="38">
        <v>145200.67000000001</v>
      </c>
      <c r="AI1065" s="38">
        <v>-147000</v>
      </c>
      <c r="AJ1065" s="38"/>
      <c r="AK1065" s="54">
        <f t="shared" si="773"/>
        <v>254.03000000002794</v>
      </c>
      <c r="AL1065" s="53"/>
      <c r="AM1065" s="53">
        <f t="shared" si="754"/>
        <v>0</v>
      </c>
      <c r="AN1065" s="38"/>
      <c r="AO1065" s="38"/>
      <c r="AP1065" s="38"/>
      <c r="AQ1065" s="54">
        <f t="shared" si="755"/>
        <v>0</v>
      </c>
      <c r="AR1065" s="53"/>
      <c r="AS1065" s="29">
        <f t="shared" si="774"/>
        <v>12942175.899999997</v>
      </c>
      <c r="AT1065" s="29">
        <f t="shared" si="775"/>
        <v>266099.59000000003</v>
      </c>
      <c r="AU1065" s="29">
        <f t="shared" si="776"/>
        <v>0</v>
      </c>
      <c r="AV1065" s="29">
        <f t="shared" si="777"/>
        <v>0</v>
      </c>
      <c r="AW1065" s="29"/>
      <c r="AX1065" s="29">
        <f t="shared" si="778"/>
        <v>13210328.849999994</v>
      </c>
      <c r="AY1065" s="29">
        <f t="shared" si="779"/>
        <v>9300000</v>
      </c>
      <c r="AZ1065" s="29">
        <f t="shared" si="780"/>
        <v>22510328.849999994</v>
      </c>
    </row>
    <row r="1066" spans="2:52" x14ac:dyDescent="0.3">
      <c r="B1066" s="99">
        <f t="shared" ref="B1066" si="785">B1065+3</f>
        <v>45656</v>
      </c>
      <c r="C1066" s="44">
        <f t="shared" si="757"/>
        <v>3288428.419999999</v>
      </c>
      <c r="D1066" s="38">
        <v>574490.51</v>
      </c>
      <c r="E1066" s="38"/>
      <c r="F1066" s="38">
        <v>-70271.05</v>
      </c>
      <c r="G1066" s="45">
        <f t="shared" si="770"/>
        <v>3792647.879999999</v>
      </c>
      <c r="H1066" s="44">
        <v>4300000</v>
      </c>
      <c r="I1066" s="46">
        <f t="shared" si="758"/>
        <v>9913561.879999999</v>
      </c>
      <c r="J1066" s="38">
        <v>373106.29</v>
      </c>
      <c r="K1066" s="38"/>
      <c r="L1066" s="38"/>
      <c r="M1066" s="47">
        <f t="shared" si="759"/>
        <v>10286668.169999998</v>
      </c>
      <c r="N1066" s="46">
        <v>5000000</v>
      </c>
      <c r="O1066" s="48">
        <f t="shared" si="760"/>
        <v>7765.4399999997549</v>
      </c>
      <c r="P1066" s="38">
        <v>2065161.42</v>
      </c>
      <c r="Q1066" s="38"/>
      <c r="R1066" s="38"/>
      <c r="S1066" s="55">
        <f t="shared" si="761"/>
        <v>2072926.8599999996</v>
      </c>
      <c r="T1066" s="48"/>
      <c r="U1066" s="49">
        <f t="shared" si="762"/>
        <v>60.199999999953434</v>
      </c>
      <c r="V1066" s="38"/>
      <c r="W1066" s="38"/>
      <c r="X1066" s="38"/>
      <c r="Y1066" s="51">
        <f t="shared" si="763"/>
        <v>60.199999999953434</v>
      </c>
      <c r="Z1066" s="52"/>
      <c r="AA1066" s="53">
        <f t="shared" si="764"/>
        <v>258.87999999918975</v>
      </c>
      <c r="AB1066" s="38"/>
      <c r="AC1066" s="38"/>
      <c r="AD1066" s="38"/>
      <c r="AE1066" s="54">
        <f t="shared" si="765"/>
        <v>258.87999999918975</v>
      </c>
      <c r="AF1066" s="53"/>
      <c r="AG1066" s="53">
        <f t="shared" si="772"/>
        <v>254.03000000002794</v>
      </c>
      <c r="AH1066" s="38"/>
      <c r="AI1066" s="38"/>
      <c r="AJ1066" s="38">
        <v>-9.9</v>
      </c>
      <c r="AK1066" s="54">
        <f t="shared" si="773"/>
        <v>244.13000000002793</v>
      </c>
      <c r="AL1066" s="53"/>
      <c r="AM1066" s="53">
        <f t="shared" si="754"/>
        <v>0</v>
      </c>
      <c r="AN1066" s="38"/>
      <c r="AO1066" s="38"/>
      <c r="AP1066" s="38"/>
      <c r="AQ1066" s="54">
        <f t="shared" si="755"/>
        <v>0</v>
      </c>
      <c r="AR1066" s="53"/>
      <c r="AS1066" s="29">
        <f t="shared" si="774"/>
        <v>13210074.819999995</v>
      </c>
      <c r="AT1066" s="29">
        <f t="shared" si="775"/>
        <v>3012758.2199999997</v>
      </c>
      <c r="AU1066" s="29">
        <f t="shared" si="776"/>
        <v>0</v>
      </c>
      <c r="AV1066" s="29">
        <f t="shared" si="777"/>
        <v>-70280.95</v>
      </c>
      <c r="AW1066" s="29"/>
      <c r="AX1066" s="29">
        <f t="shared" si="778"/>
        <v>16152806.119999995</v>
      </c>
      <c r="AY1066" s="29">
        <f t="shared" si="779"/>
        <v>9300000</v>
      </c>
      <c r="AZ1066" s="29">
        <f t="shared" si="780"/>
        <v>25452806.119999997</v>
      </c>
    </row>
    <row r="1067" spans="2:52" x14ac:dyDescent="0.3">
      <c r="B1067" s="99">
        <f t="shared" si="782"/>
        <v>45657</v>
      </c>
      <c r="C1067" s="44">
        <f t="shared" si="757"/>
        <v>3792647.879999999</v>
      </c>
      <c r="D1067" s="38">
        <v>46.75</v>
      </c>
      <c r="E1067" s="38"/>
      <c r="F1067" s="38"/>
      <c r="G1067" s="45">
        <f t="shared" si="770"/>
        <v>3792694.629999999</v>
      </c>
      <c r="H1067" s="44">
        <v>4300000</v>
      </c>
      <c r="I1067" s="46">
        <f t="shared" si="758"/>
        <v>10286668.169999998</v>
      </c>
      <c r="J1067" s="38"/>
      <c r="K1067" s="38"/>
      <c r="L1067" s="38"/>
      <c r="M1067" s="47">
        <f t="shared" si="759"/>
        <v>10286668.169999998</v>
      </c>
      <c r="N1067" s="46">
        <v>5000000</v>
      </c>
      <c r="O1067" s="48">
        <f t="shared" si="760"/>
        <v>2072926.8599999996</v>
      </c>
      <c r="P1067" s="38">
        <v>44850.080000000002</v>
      </c>
      <c r="Q1067" s="38"/>
      <c r="R1067" s="38"/>
      <c r="S1067" s="55">
        <f t="shared" si="761"/>
        <v>2117776.9399999995</v>
      </c>
      <c r="T1067" s="48"/>
      <c r="U1067" s="49">
        <f t="shared" si="762"/>
        <v>60.199999999953434</v>
      </c>
      <c r="V1067" s="38"/>
      <c r="W1067" s="38"/>
      <c r="X1067" s="38"/>
      <c r="Y1067" s="51">
        <f t="shared" si="763"/>
        <v>60.199999999953434</v>
      </c>
      <c r="Z1067" s="52"/>
      <c r="AA1067" s="53">
        <f t="shared" si="764"/>
        <v>258.87999999918975</v>
      </c>
      <c r="AB1067" s="38">
        <v>1.44</v>
      </c>
      <c r="AC1067" s="38"/>
      <c r="AD1067" s="38"/>
      <c r="AE1067" s="54">
        <f t="shared" si="765"/>
        <v>260.31999999918975</v>
      </c>
      <c r="AF1067" s="53"/>
      <c r="AG1067" s="53">
        <f t="shared" si="772"/>
        <v>244.13000000002793</v>
      </c>
      <c r="AH1067" s="38">
        <v>-80</v>
      </c>
      <c r="AI1067" s="38"/>
      <c r="AJ1067" s="38"/>
      <c r="AK1067" s="54">
        <f t="shared" si="773"/>
        <v>164.13000000002793</v>
      </c>
      <c r="AL1067" s="53"/>
      <c r="AM1067" s="53">
        <f t="shared" si="754"/>
        <v>0</v>
      </c>
      <c r="AN1067" s="38"/>
      <c r="AO1067" s="38"/>
      <c r="AP1067" s="38"/>
      <c r="AQ1067" s="54">
        <f t="shared" si="755"/>
        <v>0</v>
      </c>
      <c r="AR1067" s="53"/>
      <c r="AS1067" s="29">
        <f t="shared" si="774"/>
        <v>16152561.989999995</v>
      </c>
      <c r="AT1067" s="29">
        <f t="shared" si="775"/>
        <v>44818.270000000004</v>
      </c>
      <c r="AU1067" s="29">
        <f t="shared" si="776"/>
        <v>0</v>
      </c>
      <c r="AV1067" s="29">
        <f t="shared" si="777"/>
        <v>0</v>
      </c>
      <c r="AW1067" s="29"/>
      <c r="AX1067" s="29">
        <f t="shared" si="778"/>
        <v>16197624.389999995</v>
      </c>
      <c r="AY1067" s="29">
        <f t="shared" si="779"/>
        <v>9300000</v>
      </c>
      <c r="AZ1067" s="29">
        <f t="shared" si="780"/>
        <v>25497624.389999993</v>
      </c>
    </row>
    <row r="1068" spans="2:52" x14ac:dyDescent="0.3">
      <c r="B1068" s="99">
        <f>B1067+2</f>
        <v>45659</v>
      </c>
      <c r="C1068" s="44">
        <f t="shared" si="757"/>
        <v>3792694.629999999</v>
      </c>
      <c r="D1068" s="38"/>
      <c r="E1068" s="38"/>
      <c r="F1068" s="38">
        <f>-7.95-133328.48</f>
        <v>-133336.43000000002</v>
      </c>
      <c r="G1068" s="45">
        <f t="shared" si="770"/>
        <v>3659358.1999999988</v>
      </c>
      <c r="H1068" s="44">
        <v>4300000</v>
      </c>
      <c r="I1068" s="46">
        <f t="shared" si="758"/>
        <v>10286668.169999998</v>
      </c>
      <c r="J1068" s="38"/>
      <c r="K1068" s="38">
        <v>2000000</v>
      </c>
      <c r="L1068" s="38">
        <v>-411527.04</v>
      </c>
      <c r="M1068" s="47">
        <f t="shared" si="759"/>
        <v>11875141.129999999</v>
      </c>
      <c r="N1068" s="46">
        <v>5000000</v>
      </c>
      <c r="O1068" s="48">
        <f t="shared" si="760"/>
        <v>2117776.9399999995</v>
      </c>
      <c r="P1068" s="38"/>
      <c r="Q1068" s="38">
        <v>-2000000</v>
      </c>
      <c r="R1068" s="38">
        <v>-10</v>
      </c>
      <c r="S1068" s="55">
        <f t="shared" si="761"/>
        <v>117766.93999999948</v>
      </c>
      <c r="T1068" s="48"/>
      <c r="U1068" s="49">
        <f t="shared" si="762"/>
        <v>60.199999999953434</v>
      </c>
      <c r="V1068" s="38"/>
      <c r="W1068" s="38"/>
      <c r="X1068" s="38"/>
      <c r="Y1068" s="51">
        <f t="shared" si="763"/>
        <v>60.199999999953434</v>
      </c>
      <c r="Z1068" s="52"/>
      <c r="AA1068" s="53">
        <f t="shared" si="764"/>
        <v>260.31999999918975</v>
      </c>
      <c r="AB1068" s="38"/>
      <c r="AC1068" s="38"/>
      <c r="AD1068" s="38"/>
      <c r="AE1068" s="54">
        <f t="shared" si="765"/>
        <v>260.31999999918975</v>
      </c>
      <c r="AF1068" s="53"/>
      <c r="AG1068" s="53">
        <f t="shared" si="772"/>
        <v>164.13000000002793</v>
      </c>
      <c r="AH1068" s="38"/>
      <c r="AI1068" s="38"/>
      <c r="AJ1068" s="38"/>
      <c r="AK1068" s="54">
        <f t="shared" si="773"/>
        <v>164.13000000002793</v>
      </c>
      <c r="AL1068" s="53"/>
      <c r="AM1068" s="53">
        <f t="shared" si="754"/>
        <v>0</v>
      </c>
      <c r="AN1068" s="38"/>
      <c r="AO1068" s="38"/>
      <c r="AP1068" s="38"/>
      <c r="AQ1068" s="54">
        <f t="shared" si="755"/>
        <v>0</v>
      </c>
      <c r="AR1068" s="53"/>
      <c r="AS1068" s="29">
        <f t="shared" si="774"/>
        <v>16197460.259999994</v>
      </c>
      <c r="AT1068" s="29">
        <f t="shared" si="775"/>
        <v>0</v>
      </c>
      <c r="AU1068" s="29">
        <f t="shared" si="776"/>
        <v>0</v>
      </c>
      <c r="AV1068" s="29">
        <f t="shared" si="777"/>
        <v>-544873.47</v>
      </c>
      <c r="AW1068" s="29"/>
      <c r="AX1068" s="29">
        <f t="shared" si="778"/>
        <v>15652750.919999996</v>
      </c>
      <c r="AY1068" s="29">
        <f t="shared" si="779"/>
        <v>9300000</v>
      </c>
      <c r="AZ1068" s="29">
        <f t="shared" si="780"/>
        <v>24952750.919999994</v>
      </c>
    </row>
    <row r="1069" spans="2:52" x14ac:dyDescent="0.3">
      <c r="B1069" s="99">
        <f t="shared" si="782"/>
        <v>45660</v>
      </c>
      <c r="C1069" s="44">
        <f t="shared" si="757"/>
        <v>3659358.1999999988</v>
      </c>
      <c r="D1069" s="38"/>
      <c r="E1069" s="38"/>
      <c r="F1069" s="38">
        <v>-19090.47</v>
      </c>
      <c r="G1069" s="45">
        <f t="shared" si="770"/>
        <v>3640267.7299999986</v>
      </c>
      <c r="H1069" s="44">
        <v>4300000</v>
      </c>
      <c r="I1069" s="46">
        <f t="shared" si="758"/>
        <v>11875141.129999999</v>
      </c>
      <c r="J1069" s="38"/>
      <c r="K1069" s="38">
        <v>90000</v>
      </c>
      <c r="L1069" s="38">
        <v>-3327376.36</v>
      </c>
      <c r="M1069" s="47">
        <f t="shared" si="759"/>
        <v>8637764.7699999996</v>
      </c>
      <c r="N1069" s="46">
        <v>5000000</v>
      </c>
      <c r="O1069" s="48">
        <f t="shared" si="760"/>
        <v>117766.93999999948</v>
      </c>
      <c r="P1069" s="38"/>
      <c r="Q1069" s="38">
        <v>-90000</v>
      </c>
      <c r="R1069" s="38">
        <v>-24424.49</v>
      </c>
      <c r="S1069" s="55">
        <f t="shared" si="761"/>
        <v>3342.4499999994769</v>
      </c>
      <c r="T1069" s="48"/>
      <c r="U1069" s="49">
        <f t="shared" si="762"/>
        <v>60.199999999953434</v>
      </c>
      <c r="V1069" s="38"/>
      <c r="W1069" s="38"/>
      <c r="X1069" s="38">
        <v>-60.2</v>
      </c>
      <c r="Y1069" s="51">
        <f t="shared" si="763"/>
        <v>-4.6568970901716966E-11</v>
      </c>
      <c r="Z1069" s="52"/>
      <c r="AA1069" s="53">
        <f t="shared" si="764"/>
        <v>260.31999999918975</v>
      </c>
      <c r="AB1069" s="38"/>
      <c r="AC1069" s="38"/>
      <c r="AD1069" s="38"/>
      <c r="AE1069" s="54">
        <f t="shared" si="765"/>
        <v>260.31999999918975</v>
      </c>
      <c r="AF1069" s="53"/>
      <c r="AG1069" s="53">
        <f t="shared" si="772"/>
        <v>164.13000000002793</v>
      </c>
      <c r="AH1069" s="38"/>
      <c r="AI1069" s="38"/>
      <c r="AJ1069" s="38"/>
      <c r="AK1069" s="54">
        <f t="shared" si="773"/>
        <v>164.13000000002793</v>
      </c>
      <c r="AL1069" s="53"/>
      <c r="AM1069" s="53">
        <f t="shared" si="754"/>
        <v>0</v>
      </c>
      <c r="AN1069" s="38"/>
      <c r="AO1069" s="38"/>
      <c r="AP1069" s="38"/>
      <c r="AQ1069" s="54">
        <f t="shared" si="755"/>
        <v>0</v>
      </c>
      <c r="AR1069" s="53"/>
      <c r="AS1069" s="29">
        <f t="shared" si="774"/>
        <v>15652586.789999995</v>
      </c>
      <c r="AT1069" s="29">
        <f t="shared" si="775"/>
        <v>0</v>
      </c>
      <c r="AU1069" s="29">
        <f t="shared" si="776"/>
        <v>0</v>
      </c>
      <c r="AV1069" s="29">
        <f t="shared" si="777"/>
        <v>-3370951.5200000005</v>
      </c>
      <c r="AW1069" s="29"/>
      <c r="AX1069" s="29">
        <f t="shared" si="778"/>
        <v>12281799.399999997</v>
      </c>
      <c r="AY1069" s="29">
        <f t="shared" si="779"/>
        <v>9300000</v>
      </c>
      <c r="AZ1069" s="29">
        <f t="shared" si="780"/>
        <v>21581799.399999999</v>
      </c>
    </row>
    <row r="1070" spans="2:52" x14ac:dyDescent="0.3">
      <c r="B1070" s="99">
        <f t="shared" ref="B1070" si="786">B1069+3</f>
        <v>45663</v>
      </c>
      <c r="C1070" s="44">
        <f t="shared" si="757"/>
        <v>3640267.7299999986</v>
      </c>
      <c r="D1070" s="38">
        <f>10521.33+34726.4</f>
        <v>45247.73</v>
      </c>
      <c r="E1070" s="38"/>
      <c r="F1070" s="38">
        <f>-650-1500-500</f>
        <v>-2650</v>
      </c>
      <c r="G1070" s="45">
        <f t="shared" si="770"/>
        <v>3682865.4599999986</v>
      </c>
      <c r="H1070" s="44">
        <v>4300000</v>
      </c>
      <c r="I1070" s="46">
        <f t="shared" si="758"/>
        <v>8637764.7699999996</v>
      </c>
      <c r="J1070" s="38"/>
      <c r="K1070" s="38"/>
      <c r="L1070" s="38">
        <v>-395147.23</v>
      </c>
      <c r="M1070" s="47">
        <f t="shared" si="759"/>
        <v>8242617.5399999991</v>
      </c>
      <c r="N1070" s="46">
        <v>5000000</v>
      </c>
      <c r="O1070" s="48">
        <f t="shared" si="760"/>
        <v>3342.4499999994769</v>
      </c>
      <c r="P1070" s="38"/>
      <c r="Q1070" s="38"/>
      <c r="R1070" s="38">
        <v>-3000</v>
      </c>
      <c r="S1070" s="55">
        <f t="shared" si="761"/>
        <v>342.44999999947686</v>
      </c>
      <c r="T1070" s="48"/>
      <c r="U1070" s="49">
        <f t="shared" si="762"/>
        <v>-4.6568970901716966E-11</v>
      </c>
      <c r="V1070" s="38"/>
      <c r="W1070" s="38"/>
      <c r="X1070" s="38"/>
      <c r="Y1070" s="51">
        <f t="shared" si="763"/>
        <v>-4.6568970901716966E-11</v>
      </c>
      <c r="Z1070" s="52"/>
      <c r="AA1070" s="53">
        <f t="shared" si="764"/>
        <v>260.31999999918975</v>
      </c>
      <c r="AB1070" s="38"/>
      <c r="AC1070" s="38"/>
      <c r="AD1070" s="38"/>
      <c r="AE1070" s="54">
        <f t="shared" si="765"/>
        <v>260.31999999918975</v>
      </c>
      <c r="AF1070" s="53"/>
      <c r="AG1070" s="53">
        <f t="shared" si="772"/>
        <v>164.13000000002793</v>
      </c>
      <c r="AH1070" s="38"/>
      <c r="AI1070" s="38"/>
      <c r="AJ1070" s="38"/>
      <c r="AK1070" s="54">
        <f t="shared" si="773"/>
        <v>164.13000000002793</v>
      </c>
      <c r="AL1070" s="53"/>
      <c r="AM1070" s="53">
        <f t="shared" si="754"/>
        <v>0</v>
      </c>
      <c r="AN1070" s="38"/>
      <c r="AO1070" s="38"/>
      <c r="AP1070" s="38"/>
      <c r="AQ1070" s="54">
        <f t="shared" si="755"/>
        <v>0</v>
      </c>
      <c r="AR1070" s="53"/>
      <c r="AS1070" s="29">
        <f t="shared" si="774"/>
        <v>12281635.269999996</v>
      </c>
      <c r="AT1070" s="29">
        <f t="shared" si="775"/>
        <v>45247.73</v>
      </c>
      <c r="AU1070" s="29">
        <f t="shared" si="776"/>
        <v>0</v>
      </c>
      <c r="AV1070" s="29">
        <f t="shared" si="777"/>
        <v>-400797.23</v>
      </c>
      <c r="AW1070" s="29"/>
      <c r="AX1070" s="29">
        <f t="shared" si="778"/>
        <v>11926249.899999997</v>
      </c>
      <c r="AY1070" s="29">
        <f t="shared" si="779"/>
        <v>9300000</v>
      </c>
      <c r="AZ1070" s="29">
        <f t="shared" si="780"/>
        <v>21226249.899999999</v>
      </c>
    </row>
    <row r="1071" spans="2:52" x14ac:dyDescent="0.3">
      <c r="B1071" s="99">
        <f t="shared" si="782"/>
        <v>45664</v>
      </c>
      <c r="C1071" s="44">
        <f t="shared" si="757"/>
        <v>3682865.4599999986</v>
      </c>
      <c r="D1071" s="38"/>
      <c r="E1071" s="38"/>
      <c r="F1071" s="38">
        <v>-12237.91</v>
      </c>
      <c r="G1071" s="45">
        <f t="shared" si="770"/>
        <v>3670627.5499999984</v>
      </c>
      <c r="H1071" s="44">
        <v>4300000</v>
      </c>
      <c r="I1071" s="46">
        <f t="shared" si="758"/>
        <v>8242617.5399999991</v>
      </c>
      <c r="J1071" s="38"/>
      <c r="K1071" s="38"/>
      <c r="L1071" s="38">
        <v>-112563.14</v>
      </c>
      <c r="M1071" s="47">
        <f t="shared" si="759"/>
        <v>8130054.3999999994</v>
      </c>
      <c r="N1071" s="46">
        <v>5000000</v>
      </c>
      <c r="O1071" s="48">
        <f t="shared" si="760"/>
        <v>342.44999999947686</v>
      </c>
      <c r="P1071" s="38"/>
      <c r="Q1071" s="38">
        <v>-50</v>
      </c>
      <c r="R1071" s="38"/>
      <c r="S1071" s="55">
        <f t="shared" si="761"/>
        <v>292.44999999947686</v>
      </c>
      <c r="T1071" s="48"/>
      <c r="U1071" s="49">
        <f t="shared" si="762"/>
        <v>-4.6568970901716966E-11</v>
      </c>
      <c r="V1071" s="38"/>
      <c r="W1071" s="38">
        <v>50</v>
      </c>
      <c r="X1071" s="38">
        <v>-6.8</v>
      </c>
      <c r="Y1071" s="51">
        <f t="shared" si="763"/>
        <v>43.199999999953434</v>
      </c>
      <c r="Z1071" s="52"/>
      <c r="AA1071" s="53">
        <f t="shared" si="764"/>
        <v>260.31999999918975</v>
      </c>
      <c r="AB1071" s="38"/>
      <c r="AC1071" s="38"/>
      <c r="AD1071" s="38"/>
      <c r="AE1071" s="54">
        <f t="shared" si="765"/>
        <v>260.31999999918975</v>
      </c>
      <c r="AF1071" s="53"/>
      <c r="AG1071" s="53">
        <f t="shared" si="772"/>
        <v>164.13000000002793</v>
      </c>
      <c r="AH1071" s="38"/>
      <c r="AI1071" s="38"/>
      <c r="AJ1071" s="38"/>
      <c r="AK1071" s="54">
        <f t="shared" si="773"/>
        <v>164.13000000002793</v>
      </c>
      <c r="AL1071" s="53"/>
      <c r="AM1071" s="53">
        <f t="shared" si="754"/>
        <v>0</v>
      </c>
      <c r="AN1071" s="38"/>
      <c r="AO1071" s="38"/>
      <c r="AP1071" s="38"/>
      <c r="AQ1071" s="54">
        <f t="shared" si="755"/>
        <v>0</v>
      </c>
      <c r="AR1071" s="53"/>
      <c r="AS1071" s="29">
        <f t="shared" si="774"/>
        <v>11926085.769999996</v>
      </c>
      <c r="AT1071" s="29">
        <f t="shared" si="775"/>
        <v>0</v>
      </c>
      <c r="AU1071" s="29">
        <f t="shared" si="776"/>
        <v>0</v>
      </c>
      <c r="AV1071" s="29">
        <f t="shared" si="777"/>
        <v>-124807.85</v>
      </c>
      <c r="AW1071" s="29"/>
      <c r="AX1071" s="29">
        <f t="shared" si="778"/>
        <v>11801442.049999995</v>
      </c>
      <c r="AY1071" s="29">
        <f t="shared" si="779"/>
        <v>9300000</v>
      </c>
      <c r="AZ1071" s="29">
        <f t="shared" si="780"/>
        <v>21101442.049999997</v>
      </c>
    </row>
    <row r="1072" spans="2:52" x14ac:dyDescent="0.3">
      <c r="B1072" s="99">
        <f t="shared" si="782"/>
        <v>45665</v>
      </c>
      <c r="C1072" s="44">
        <f t="shared" si="757"/>
        <v>3670627.5499999984</v>
      </c>
      <c r="D1072" s="38"/>
      <c r="E1072" s="38"/>
      <c r="F1072" s="38">
        <v>-2274.52</v>
      </c>
      <c r="G1072" s="45">
        <f t="shared" si="770"/>
        <v>3668353.0299999984</v>
      </c>
      <c r="H1072" s="44">
        <v>4300000</v>
      </c>
      <c r="I1072" s="46">
        <f t="shared" si="758"/>
        <v>8130054.3999999994</v>
      </c>
      <c r="J1072" s="38"/>
      <c r="K1072" s="38"/>
      <c r="L1072" s="38">
        <v>-84203.56</v>
      </c>
      <c r="M1072" s="47">
        <f t="shared" si="759"/>
        <v>8045850.8399999999</v>
      </c>
      <c r="N1072" s="46">
        <v>5000000</v>
      </c>
      <c r="O1072" s="48">
        <f t="shared" si="760"/>
        <v>292.44999999947686</v>
      </c>
      <c r="P1072" s="38"/>
      <c r="Q1072" s="38"/>
      <c r="R1072" s="38"/>
      <c r="S1072" s="55">
        <f t="shared" si="761"/>
        <v>292.44999999947686</v>
      </c>
      <c r="T1072" s="48"/>
      <c r="U1072" s="49">
        <f t="shared" si="762"/>
        <v>43.199999999953434</v>
      </c>
      <c r="V1072" s="38"/>
      <c r="W1072" s="38"/>
      <c r="X1072" s="38"/>
      <c r="Y1072" s="51">
        <f t="shared" si="763"/>
        <v>43.199999999953434</v>
      </c>
      <c r="Z1072" s="52"/>
      <c r="AA1072" s="53">
        <f t="shared" si="764"/>
        <v>260.31999999918975</v>
      </c>
      <c r="AB1072" s="38"/>
      <c r="AC1072" s="38"/>
      <c r="AD1072" s="38"/>
      <c r="AE1072" s="54">
        <f t="shared" si="765"/>
        <v>260.31999999918975</v>
      </c>
      <c r="AF1072" s="53"/>
      <c r="AG1072" s="53">
        <f t="shared" si="772"/>
        <v>164.13000000002793</v>
      </c>
      <c r="AH1072" s="38"/>
      <c r="AI1072" s="38"/>
      <c r="AJ1072" s="38"/>
      <c r="AK1072" s="54">
        <f t="shared" si="773"/>
        <v>164.13000000002793</v>
      </c>
      <c r="AL1072" s="53"/>
      <c r="AM1072" s="53">
        <f t="shared" si="754"/>
        <v>0</v>
      </c>
      <c r="AN1072" s="38"/>
      <c r="AO1072" s="38"/>
      <c r="AP1072" s="38"/>
      <c r="AQ1072" s="54">
        <f t="shared" si="755"/>
        <v>0</v>
      </c>
      <c r="AR1072" s="53"/>
      <c r="AS1072" s="29">
        <f t="shared" si="774"/>
        <v>11801277.919999994</v>
      </c>
      <c r="AT1072" s="29">
        <f t="shared" si="775"/>
        <v>0</v>
      </c>
      <c r="AU1072" s="29">
        <f t="shared" si="776"/>
        <v>0</v>
      </c>
      <c r="AV1072" s="29">
        <f t="shared" si="777"/>
        <v>-86478.080000000002</v>
      </c>
      <c r="AW1072" s="29"/>
      <c r="AX1072" s="29">
        <f t="shared" si="778"/>
        <v>11714963.969999995</v>
      </c>
      <c r="AY1072" s="29">
        <f t="shared" si="779"/>
        <v>9300000</v>
      </c>
      <c r="AZ1072" s="29">
        <f t="shared" si="780"/>
        <v>21014963.969999995</v>
      </c>
    </row>
    <row r="1073" spans="2:52" x14ac:dyDescent="0.3">
      <c r="B1073" s="99">
        <f t="shared" si="782"/>
        <v>45666</v>
      </c>
      <c r="C1073" s="44">
        <f t="shared" si="757"/>
        <v>3668353.0299999984</v>
      </c>
      <c r="D1073" s="38"/>
      <c r="E1073" s="38"/>
      <c r="F1073" s="38"/>
      <c r="G1073" s="45">
        <f t="shared" si="770"/>
        <v>3668353.0299999984</v>
      </c>
      <c r="H1073" s="44">
        <v>4300000</v>
      </c>
      <c r="I1073" s="46">
        <f t="shared" si="758"/>
        <v>8045850.8399999999</v>
      </c>
      <c r="J1073" s="38">
        <v>4017.99</v>
      </c>
      <c r="K1073" s="38"/>
      <c r="L1073" s="38">
        <v>-71294.02</v>
      </c>
      <c r="M1073" s="47">
        <f t="shared" si="759"/>
        <v>7978574.8100000005</v>
      </c>
      <c r="N1073" s="46">
        <v>5000000</v>
      </c>
      <c r="O1073" s="48">
        <f t="shared" si="760"/>
        <v>292.44999999947686</v>
      </c>
      <c r="P1073" s="38"/>
      <c r="Q1073" s="38"/>
      <c r="R1073" s="38">
        <v>-61.35</v>
      </c>
      <c r="S1073" s="55">
        <f t="shared" si="761"/>
        <v>231.09999999947686</v>
      </c>
      <c r="T1073" s="48"/>
      <c r="U1073" s="49">
        <f t="shared" si="762"/>
        <v>43.199999999953434</v>
      </c>
      <c r="V1073" s="38"/>
      <c r="W1073" s="38"/>
      <c r="X1073" s="38"/>
      <c r="Y1073" s="51">
        <f t="shared" si="763"/>
        <v>43.199999999953434</v>
      </c>
      <c r="Z1073" s="52"/>
      <c r="AA1073" s="53">
        <f t="shared" si="764"/>
        <v>260.31999999918975</v>
      </c>
      <c r="AB1073" s="38"/>
      <c r="AC1073" s="38"/>
      <c r="AD1073" s="38"/>
      <c r="AE1073" s="54">
        <f t="shared" si="765"/>
        <v>260.31999999918975</v>
      </c>
      <c r="AF1073" s="53"/>
      <c r="AG1073" s="53">
        <f t="shared" si="772"/>
        <v>164.13000000002793</v>
      </c>
      <c r="AH1073" s="38"/>
      <c r="AI1073" s="38"/>
      <c r="AJ1073" s="38"/>
      <c r="AK1073" s="54">
        <f t="shared" si="773"/>
        <v>164.13000000002793</v>
      </c>
      <c r="AL1073" s="53"/>
      <c r="AM1073" s="53">
        <f t="shared" si="754"/>
        <v>0</v>
      </c>
      <c r="AN1073" s="38"/>
      <c r="AO1073" s="38"/>
      <c r="AP1073" s="38"/>
      <c r="AQ1073" s="54">
        <f t="shared" si="755"/>
        <v>0</v>
      </c>
      <c r="AR1073" s="53"/>
      <c r="AS1073" s="29">
        <f t="shared" si="774"/>
        <v>11714799.839999994</v>
      </c>
      <c r="AT1073" s="29">
        <f t="shared" si="775"/>
        <v>4017.99</v>
      </c>
      <c r="AU1073" s="29">
        <f t="shared" si="776"/>
        <v>0</v>
      </c>
      <c r="AV1073" s="29">
        <f t="shared" si="777"/>
        <v>-71355.37000000001</v>
      </c>
      <c r="AW1073" s="29"/>
      <c r="AX1073" s="29">
        <f t="shared" si="778"/>
        <v>11647626.589999998</v>
      </c>
      <c r="AY1073" s="29">
        <f t="shared" si="779"/>
        <v>9300000</v>
      </c>
      <c r="AZ1073" s="29">
        <f t="shared" si="780"/>
        <v>20947626.589999996</v>
      </c>
    </row>
    <row r="1074" spans="2:52" x14ac:dyDescent="0.3">
      <c r="B1074" s="99">
        <f t="shared" si="782"/>
        <v>45667</v>
      </c>
      <c r="C1074" s="44">
        <f t="shared" si="757"/>
        <v>3668353.0299999984</v>
      </c>
      <c r="D1074" s="38">
        <v>8820.86</v>
      </c>
      <c r="E1074" s="38"/>
      <c r="F1074" s="38">
        <v>-1159.02</v>
      </c>
      <c r="G1074" s="45">
        <f t="shared" si="770"/>
        <v>3676014.8699999982</v>
      </c>
      <c r="H1074" s="44">
        <v>4300000</v>
      </c>
      <c r="I1074" s="46">
        <f t="shared" si="758"/>
        <v>7978574.8100000005</v>
      </c>
      <c r="J1074" s="38">
        <v>217131.36</v>
      </c>
      <c r="K1074" s="38"/>
      <c r="L1074" s="38">
        <v>-404829.34</v>
      </c>
      <c r="M1074" s="47">
        <f t="shared" si="759"/>
        <v>7790876.830000001</v>
      </c>
      <c r="N1074" s="46">
        <v>5000000</v>
      </c>
      <c r="O1074" s="48">
        <f t="shared" si="760"/>
        <v>231.09999999947686</v>
      </c>
      <c r="P1074" s="38"/>
      <c r="Q1074" s="38"/>
      <c r="R1074" s="38">
        <v>-180</v>
      </c>
      <c r="S1074" s="55">
        <f t="shared" si="761"/>
        <v>51.099999999476864</v>
      </c>
      <c r="T1074" s="48"/>
      <c r="U1074" s="49">
        <f t="shared" si="762"/>
        <v>43.199999999953434</v>
      </c>
      <c r="V1074" s="38"/>
      <c r="W1074" s="38"/>
      <c r="X1074" s="38"/>
      <c r="Y1074" s="51">
        <f t="shared" si="763"/>
        <v>43.199999999953434</v>
      </c>
      <c r="Z1074" s="52"/>
      <c r="AA1074" s="53">
        <f t="shared" si="764"/>
        <v>260.31999999918975</v>
      </c>
      <c r="AB1074" s="38"/>
      <c r="AC1074" s="38"/>
      <c r="AD1074" s="38"/>
      <c r="AE1074" s="54">
        <f t="shared" si="765"/>
        <v>260.31999999918975</v>
      </c>
      <c r="AF1074" s="53"/>
      <c r="AG1074" s="53">
        <f t="shared" si="772"/>
        <v>164.13000000002793</v>
      </c>
      <c r="AH1074" s="38">
        <v>70653.960000000006</v>
      </c>
      <c r="AI1074" s="38"/>
      <c r="AJ1074" s="38"/>
      <c r="AK1074" s="54">
        <f t="shared" si="773"/>
        <v>70818.09000000004</v>
      </c>
      <c r="AL1074" s="53"/>
      <c r="AM1074" s="53">
        <f t="shared" si="754"/>
        <v>0</v>
      </c>
      <c r="AN1074" s="38"/>
      <c r="AO1074" s="38"/>
      <c r="AP1074" s="38"/>
      <c r="AQ1074" s="54">
        <f t="shared" si="755"/>
        <v>0</v>
      </c>
      <c r="AR1074" s="53"/>
      <c r="AS1074" s="29">
        <f t="shared" si="774"/>
        <v>11647462.459999997</v>
      </c>
      <c r="AT1074" s="29">
        <f t="shared" si="775"/>
        <v>296606.18</v>
      </c>
      <c r="AU1074" s="29">
        <f t="shared" si="776"/>
        <v>0</v>
      </c>
      <c r="AV1074" s="29">
        <f t="shared" si="777"/>
        <v>-406168.36000000004</v>
      </c>
      <c r="AW1074" s="29"/>
      <c r="AX1074" s="29">
        <f t="shared" si="778"/>
        <v>11538064.409999996</v>
      </c>
      <c r="AY1074" s="29">
        <f t="shared" si="779"/>
        <v>9300000</v>
      </c>
      <c r="AZ1074" s="29">
        <f t="shared" si="780"/>
        <v>20838064.409999996</v>
      </c>
    </row>
    <row r="1075" spans="2:52" x14ac:dyDescent="0.3">
      <c r="B1075" s="99">
        <f t="shared" ref="B1075" si="787">B1074+3</f>
        <v>45670</v>
      </c>
      <c r="C1075" s="44">
        <f t="shared" si="757"/>
        <v>3676014.8699999982</v>
      </c>
      <c r="D1075" s="38"/>
      <c r="E1075" s="38"/>
      <c r="F1075" s="38">
        <f>-20573.11-6989.6-1750-78.18-450</f>
        <v>-29840.89</v>
      </c>
      <c r="G1075" s="45">
        <f t="shared" si="770"/>
        <v>3646173.9799999981</v>
      </c>
      <c r="H1075" s="44">
        <v>4300000</v>
      </c>
      <c r="I1075" s="46">
        <f t="shared" si="758"/>
        <v>7790876.830000001</v>
      </c>
      <c r="J1075" s="38"/>
      <c r="K1075" s="38">
        <v>70000</v>
      </c>
      <c r="L1075" s="38">
        <v>-126602.78</v>
      </c>
      <c r="M1075" s="47">
        <f t="shared" si="759"/>
        <v>7734274.0500000007</v>
      </c>
      <c r="N1075" s="46">
        <v>5000000</v>
      </c>
      <c r="O1075" s="48">
        <f t="shared" si="760"/>
        <v>51.099999999476864</v>
      </c>
      <c r="P1075" s="38"/>
      <c r="Q1075" s="38"/>
      <c r="R1075" s="38"/>
      <c r="S1075" s="55">
        <f t="shared" si="761"/>
        <v>51.099999999476864</v>
      </c>
      <c r="T1075" s="48"/>
      <c r="U1075" s="49">
        <f t="shared" si="762"/>
        <v>43.199999999953434</v>
      </c>
      <c r="V1075" s="38"/>
      <c r="W1075" s="38"/>
      <c r="X1075" s="38"/>
      <c r="Y1075" s="51">
        <f t="shared" si="763"/>
        <v>43.199999999953434</v>
      </c>
      <c r="Z1075" s="52"/>
      <c r="AA1075" s="53">
        <f t="shared" si="764"/>
        <v>260.31999999918975</v>
      </c>
      <c r="AB1075" s="38"/>
      <c r="AC1075" s="38"/>
      <c r="AD1075" s="38"/>
      <c r="AE1075" s="54">
        <f t="shared" si="765"/>
        <v>260.31999999918975</v>
      </c>
      <c r="AF1075" s="53"/>
      <c r="AG1075" s="53">
        <f t="shared" si="772"/>
        <v>70818.09000000004</v>
      </c>
      <c r="AH1075" s="38"/>
      <c r="AI1075" s="38">
        <v>-70000</v>
      </c>
      <c r="AJ1075" s="38"/>
      <c r="AK1075" s="54">
        <f t="shared" si="773"/>
        <v>818.09000000004016</v>
      </c>
      <c r="AL1075" s="53"/>
      <c r="AM1075" s="53">
        <f t="shared" si="754"/>
        <v>0</v>
      </c>
      <c r="AN1075" s="38"/>
      <c r="AO1075" s="38"/>
      <c r="AP1075" s="38"/>
      <c r="AQ1075" s="54">
        <f t="shared" si="755"/>
        <v>0</v>
      </c>
      <c r="AR1075" s="53"/>
      <c r="AS1075" s="29">
        <f t="shared" si="774"/>
        <v>11467246.319999997</v>
      </c>
      <c r="AT1075" s="29">
        <f t="shared" si="775"/>
        <v>0</v>
      </c>
      <c r="AU1075" s="29">
        <f t="shared" si="776"/>
        <v>0</v>
      </c>
      <c r="AV1075" s="29">
        <f t="shared" si="777"/>
        <v>-156443.66999999998</v>
      </c>
      <c r="AW1075" s="29"/>
      <c r="AX1075" s="29">
        <f t="shared" si="778"/>
        <v>11381620.739999996</v>
      </c>
      <c r="AY1075" s="29">
        <f t="shared" si="779"/>
        <v>9300000</v>
      </c>
      <c r="AZ1075" s="29">
        <f t="shared" si="780"/>
        <v>20681620.739999995</v>
      </c>
    </row>
    <row r="1076" spans="2:52" x14ac:dyDescent="0.3">
      <c r="B1076" s="99">
        <f t="shared" si="782"/>
        <v>45671</v>
      </c>
      <c r="C1076" s="44">
        <f t="shared" si="757"/>
        <v>3646173.9799999981</v>
      </c>
      <c r="D1076" s="38"/>
      <c r="E1076" s="38"/>
      <c r="F1076" s="38">
        <v>-3630.55</v>
      </c>
      <c r="G1076" s="45">
        <f t="shared" si="770"/>
        <v>3642543.4299999983</v>
      </c>
      <c r="H1076" s="44">
        <v>4300000</v>
      </c>
      <c r="I1076" s="46">
        <f t="shared" si="758"/>
        <v>7734274.0500000007</v>
      </c>
      <c r="J1076" s="38"/>
      <c r="K1076" s="38"/>
      <c r="L1076" s="38">
        <v>-5542.27</v>
      </c>
      <c r="M1076" s="47">
        <f t="shared" si="759"/>
        <v>7728731.7800000012</v>
      </c>
      <c r="N1076" s="46">
        <v>5000000</v>
      </c>
      <c r="O1076" s="48">
        <f t="shared" si="760"/>
        <v>51.099999999476864</v>
      </c>
      <c r="P1076" s="38"/>
      <c r="Q1076" s="38"/>
      <c r="R1076" s="38"/>
      <c r="S1076" s="55">
        <f t="shared" si="761"/>
        <v>51.099999999476864</v>
      </c>
      <c r="T1076" s="48"/>
      <c r="U1076" s="49">
        <f t="shared" si="762"/>
        <v>43.199999999953434</v>
      </c>
      <c r="V1076" s="38"/>
      <c r="W1076" s="38"/>
      <c r="X1076" s="38"/>
      <c r="Y1076" s="51">
        <f t="shared" si="763"/>
        <v>43.199999999953434</v>
      </c>
      <c r="Z1076" s="52"/>
      <c r="AA1076" s="53">
        <f t="shared" si="764"/>
        <v>260.31999999918975</v>
      </c>
      <c r="AB1076" s="38"/>
      <c r="AC1076" s="38"/>
      <c r="AD1076" s="38"/>
      <c r="AE1076" s="54">
        <f t="shared" si="765"/>
        <v>260.31999999918975</v>
      </c>
      <c r="AF1076" s="53"/>
      <c r="AG1076" s="53">
        <f t="shared" si="772"/>
        <v>818.09000000004016</v>
      </c>
      <c r="AH1076" s="38"/>
      <c r="AI1076" s="38"/>
      <c r="AJ1076" s="38">
        <v>-9.9</v>
      </c>
      <c r="AK1076" s="54">
        <f t="shared" si="773"/>
        <v>808.19000000004019</v>
      </c>
      <c r="AL1076" s="53"/>
      <c r="AM1076" s="53">
        <f t="shared" si="754"/>
        <v>0</v>
      </c>
      <c r="AN1076" s="38"/>
      <c r="AO1076" s="38"/>
      <c r="AP1076" s="38"/>
      <c r="AQ1076" s="54">
        <f t="shared" si="755"/>
        <v>0</v>
      </c>
      <c r="AR1076" s="53"/>
      <c r="AS1076" s="29">
        <f t="shared" si="774"/>
        <v>11380802.649999997</v>
      </c>
      <c r="AT1076" s="29">
        <f t="shared" si="775"/>
        <v>0</v>
      </c>
      <c r="AU1076" s="29">
        <f t="shared" si="776"/>
        <v>0</v>
      </c>
      <c r="AV1076" s="29">
        <f t="shared" si="777"/>
        <v>-9182.7199999999993</v>
      </c>
      <c r="AW1076" s="29"/>
      <c r="AX1076" s="29">
        <f t="shared" si="778"/>
        <v>11372438.019999996</v>
      </c>
      <c r="AY1076" s="29">
        <f t="shared" si="779"/>
        <v>9300000</v>
      </c>
      <c r="AZ1076" s="29">
        <f t="shared" si="780"/>
        <v>20672438.019999996</v>
      </c>
    </row>
    <row r="1077" spans="2:52" x14ac:dyDescent="0.3">
      <c r="B1077" s="99">
        <f t="shared" si="782"/>
        <v>45672</v>
      </c>
      <c r="C1077" s="44">
        <f t="shared" si="757"/>
        <v>3642543.4299999983</v>
      </c>
      <c r="D1077" s="38">
        <f>275760.08+33708.95</f>
        <v>309469.03000000003</v>
      </c>
      <c r="E1077" s="38"/>
      <c r="F1077" s="38">
        <f>-111.3-1165.87-14221.65-4870.86</f>
        <v>-20369.68</v>
      </c>
      <c r="G1077" s="45">
        <f t="shared" si="770"/>
        <v>3931642.7799999979</v>
      </c>
      <c r="H1077" s="44">
        <v>4300000</v>
      </c>
      <c r="I1077" s="46">
        <f t="shared" si="758"/>
        <v>7728731.7800000012</v>
      </c>
      <c r="J1077" s="38"/>
      <c r="K1077" s="38"/>
      <c r="L1077" s="38">
        <v>-108566.69</v>
      </c>
      <c r="M1077" s="47">
        <f t="shared" si="759"/>
        <v>7620165.0900000008</v>
      </c>
      <c r="N1077" s="46">
        <v>5000000</v>
      </c>
      <c r="O1077" s="48">
        <f t="shared" si="760"/>
        <v>51.099999999476864</v>
      </c>
      <c r="P1077" s="38"/>
      <c r="Q1077" s="38"/>
      <c r="R1077" s="38"/>
      <c r="S1077" s="55">
        <f t="shared" si="761"/>
        <v>51.099999999476864</v>
      </c>
      <c r="T1077" s="48"/>
      <c r="U1077" s="49">
        <f t="shared" si="762"/>
        <v>43.199999999953434</v>
      </c>
      <c r="V1077" s="38"/>
      <c r="W1077" s="38"/>
      <c r="X1077" s="38"/>
      <c r="Y1077" s="51">
        <f t="shared" si="763"/>
        <v>43.199999999953434</v>
      </c>
      <c r="Z1077" s="52"/>
      <c r="AA1077" s="53">
        <f t="shared" si="764"/>
        <v>260.31999999918975</v>
      </c>
      <c r="AB1077" s="38"/>
      <c r="AC1077" s="38"/>
      <c r="AD1077" s="38"/>
      <c r="AE1077" s="54">
        <f t="shared" si="765"/>
        <v>260.31999999918975</v>
      </c>
      <c r="AF1077" s="53"/>
      <c r="AG1077" s="53">
        <f t="shared" si="772"/>
        <v>808.19000000004019</v>
      </c>
      <c r="AH1077" s="38"/>
      <c r="AI1077" s="38"/>
      <c r="AJ1077" s="38"/>
      <c r="AK1077" s="54">
        <f t="shared" si="773"/>
        <v>808.19000000004019</v>
      </c>
      <c r="AL1077" s="53"/>
      <c r="AM1077" s="53">
        <f t="shared" ref="AM1077:AM1140" si="788">AQ1076</f>
        <v>0</v>
      </c>
      <c r="AN1077" s="38"/>
      <c r="AO1077" s="38"/>
      <c r="AP1077" s="38"/>
      <c r="AQ1077" s="54">
        <f t="shared" ref="AQ1077:AQ1140" si="789">SUM(AM1077:AP1077)</f>
        <v>0</v>
      </c>
      <c r="AR1077" s="53"/>
      <c r="AS1077" s="29">
        <f t="shared" si="774"/>
        <v>11371629.829999996</v>
      </c>
      <c r="AT1077" s="29">
        <f t="shared" si="775"/>
        <v>309469.03000000003</v>
      </c>
      <c r="AU1077" s="29">
        <f t="shared" si="776"/>
        <v>0</v>
      </c>
      <c r="AV1077" s="29">
        <f t="shared" si="777"/>
        <v>-128936.37</v>
      </c>
      <c r="AW1077" s="29"/>
      <c r="AX1077" s="29">
        <f t="shared" si="778"/>
        <v>11552970.679999996</v>
      </c>
      <c r="AY1077" s="29">
        <f t="shared" si="779"/>
        <v>9300000</v>
      </c>
      <c r="AZ1077" s="29">
        <f t="shared" si="780"/>
        <v>20852970.679999996</v>
      </c>
    </row>
    <row r="1078" spans="2:52" x14ac:dyDescent="0.3">
      <c r="B1078" s="99">
        <f t="shared" si="782"/>
        <v>45673</v>
      </c>
      <c r="C1078" s="44">
        <f t="shared" si="757"/>
        <v>3931642.7799999979</v>
      </c>
      <c r="D1078" s="38"/>
      <c r="E1078" s="38"/>
      <c r="F1078" s="38">
        <v>-523.25</v>
      </c>
      <c r="G1078" s="45">
        <f t="shared" si="770"/>
        <v>3931119.5299999979</v>
      </c>
      <c r="H1078" s="44">
        <v>4300000</v>
      </c>
      <c r="I1078" s="46">
        <f t="shared" si="758"/>
        <v>7620165.0900000008</v>
      </c>
      <c r="J1078" s="38"/>
      <c r="K1078" s="38"/>
      <c r="L1078" s="38">
        <v>-78795.009999999995</v>
      </c>
      <c r="M1078" s="47">
        <f t="shared" si="759"/>
        <v>7541370.080000001</v>
      </c>
      <c r="N1078" s="46">
        <v>5000000</v>
      </c>
      <c r="O1078" s="48">
        <f t="shared" si="760"/>
        <v>51.099999999476864</v>
      </c>
      <c r="P1078" s="38"/>
      <c r="Q1078" s="38"/>
      <c r="R1078" s="38"/>
      <c r="S1078" s="55">
        <f t="shared" si="761"/>
        <v>51.099999999476864</v>
      </c>
      <c r="T1078" s="48"/>
      <c r="U1078" s="49">
        <f t="shared" si="762"/>
        <v>43.199999999953434</v>
      </c>
      <c r="V1078" s="38"/>
      <c r="W1078" s="38"/>
      <c r="X1078" s="38"/>
      <c r="Y1078" s="51">
        <f t="shared" si="763"/>
        <v>43.199999999953434</v>
      </c>
      <c r="Z1078" s="52"/>
      <c r="AA1078" s="53">
        <f t="shared" si="764"/>
        <v>260.31999999918975</v>
      </c>
      <c r="AB1078" s="38"/>
      <c r="AC1078" s="38"/>
      <c r="AD1078" s="38"/>
      <c r="AE1078" s="54">
        <f t="shared" si="765"/>
        <v>260.31999999918975</v>
      </c>
      <c r="AF1078" s="53"/>
      <c r="AG1078" s="53">
        <f t="shared" si="772"/>
        <v>808.19000000004019</v>
      </c>
      <c r="AH1078" s="38"/>
      <c r="AI1078" s="38"/>
      <c r="AJ1078" s="38"/>
      <c r="AK1078" s="54">
        <f t="shared" si="773"/>
        <v>808.19000000004019</v>
      </c>
      <c r="AL1078" s="53"/>
      <c r="AM1078" s="53">
        <f t="shared" si="788"/>
        <v>0</v>
      </c>
      <c r="AN1078" s="38"/>
      <c r="AO1078" s="38"/>
      <c r="AP1078" s="38"/>
      <c r="AQ1078" s="54">
        <f t="shared" si="789"/>
        <v>0</v>
      </c>
      <c r="AR1078" s="53"/>
      <c r="AS1078" s="29">
        <f t="shared" si="774"/>
        <v>11552162.489999996</v>
      </c>
      <c r="AT1078" s="29">
        <f t="shared" si="775"/>
        <v>0</v>
      </c>
      <c r="AU1078" s="29">
        <f t="shared" si="776"/>
        <v>0</v>
      </c>
      <c r="AV1078" s="29">
        <f t="shared" si="777"/>
        <v>-79318.259999999995</v>
      </c>
      <c r="AW1078" s="29"/>
      <c r="AX1078" s="29">
        <f t="shared" si="778"/>
        <v>11473652.419999996</v>
      </c>
      <c r="AY1078" s="29">
        <f t="shared" si="779"/>
        <v>9300000</v>
      </c>
      <c r="AZ1078" s="29">
        <f t="shared" si="780"/>
        <v>20773652.419999994</v>
      </c>
    </row>
    <row r="1079" spans="2:52" x14ac:dyDescent="0.3">
      <c r="B1079" s="99">
        <f t="shared" si="782"/>
        <v>45674</v>
      </c>
      <c r="C1079" s="44">
        <f t="shared" si="757"/>
        <v>3931119.5299999979</v>
      </c>
      <c r="D1079" s="38">
        <f>43972.47+4370.2</f>
        <v>48342.67</v>
      </c>
      <c r="E1079" s="38"/>
      <c r="F1079" s="38">
        <f>-21225.11-3724.3</f>
        <v>-24949.41</v>
      </c>
      <c r="G1079" s="45">
        <f t="shared" si="770"/>
        <v>3954512.7899999977</v>
      </c>
      <c r="H1079" s="44">
        <v>4300000</v>
      </c>
      <c r="I1079" s="46">
        <f t="shared" si="758"/>
        <v>7541370.080000001</v>
      </c>
      <c r="J1079" s="38"/>
      <c r="K1079" s="38"/>
      <c r="L1079" s="38">
        <v>-811240.08</v>
      </c>
      <c r="M1079" s="47">
        <f t="shared" si="759"/>
        <v>6730130.0000000009</v>
      </c>
      <c r="N1079" s="46">
        <v>5000000</v>
      </c>
      <c r="O1079" s="48">
        <f t="shared" si="760"/>
        <v>51.099999999476864</v>
      </c>
      <c r="P1079" s="38"/>
      <c r="Q1079" s="38"/>
      <c r="R1079" s="38"/>
      <c r="S1079" s="55">
        <f t="shared" si="761"/>
        <v>51.099999999476864</v>
      </c>
      <c r="T1079" s="48"/>
      <c r="U1079" s="49">
        <f t="shared" si="762"/>
        <v>43.199999999953434</v>
      </c>
      <c r="V1079" s="38"/>
      <c r="W1079" s="38"/>
      <c r="X1079" s="38"/>
      <c r="Y1079" s="51">
        <f t="shared" si="763"/>
        <v>43.199999999953434</v>
      </c>
      <c r="Z1079" s="52"/>
      <c r="AA1079" s="53">
        <f t="shared" si="764"/>
        <v>260.31999999918975</v>
      </c>
      <c r="AB1079" s="38"/>
      <c r="AC1079" s="38"/>
      <c r="AD1079" s="38"/>
      <c r="AE1079" s="54">
        <f t="shared" si="765"/>
        <v>260.31999999918975</v>
      </c>
      <c r="AF1079" s="53"/>
      <c r="AG1079" s="53">
        <f t="shared" si="772"/>
        <v>808.19000000004019</v>
      </c>
      <c r="AH1079" s="38"/>
      <c r="AI1079" s="38"/>
      <c r="AJ1079" s="38"/>
      <c r="AK1079" s="54">
        <f t="shared" si="773"/>
        <v>808.19000000004019</v>
      </c>
      <c r="AL1079" s="53"/>
      <c r="AM1079" s="53">
        <f t="shared" si="788"/>
        <v>0</v>
      </c>
      <c r="AN1079" s="38"/>
      <c r="AO1079" s="38"/>
      <c r="AP1079" s="38"/>
      <c r="AQ1079" s="54">
        <f t="shared" si="789"/>
        <v>0</v>
      </c>
      <c r="AR1079" s="53"/>
      <c r="AS1079" s="29">
        <f t="shared" si="774"/>
        <v>11472844.229999997</v>
      </c>
      <c r="AT1079" s="29">
        <f t="shared" si="775"/>
        <v>48342.67</v>
      </c>
      <c r="AU1079" s="29">
        <f t="shared" si="776"/>
        <v>0</v>
      </c>
      <c r="AV1079" s="29">
        <f t="shared" si="777"/>
        <v>-836189.49</v>
      </c>
      <c r="AW1079" s="29"/>
      <c r="AX1079" s="29">
        <f t="shared" si="778"/>
        <v>10685805.599999996</v>
      </c>
      <c r="AY1079" s="29">
        <f t="shared" si="779"/>
        <v>9300000</v>
      </c>
      <c r="AZ1079" s="29">
        <f t="shared" si="780"/>
        <v>19985805.599999994</v>
      </c>
    </row>
    <row r="1080" spans="2:52" x14ac:dyDescent="0.3">
      <c r="B1080" s="99">
        <f t="shared" ref="B1080" si="790">B1079+3</f>
        <v>45677</v>
      </c>
      <c r="C1080" s="44">
        <f t="shared" si="757"/>
        <v>3954512.7899999977</v>
      </c>
      <c r="D1080" s="38">
        <v>57604.160000000003</v>
      </c>
      <c r="E1080" s="38">
        <v>-1600000</v>
      </c>
      <c r="F1080" s="38">
        <f>-848724.1-1.07-198550.23-498736.59</f>
        <v>-1546011.99</v>
      </c>
      <c r="G1080" s="45">
        <f t="shared" si="770"/>
        <v>866104.95999999787</v>
      </c>
      <c r="H1080" s="44">
        <v>4300000</v>
      </c>
      <c r="I1080" s="46">
        <f t="shared" si="758"/>
        <v>6730130.0000000009</v>
      </c>
      <c r="J1080" s="38"/>
      <c r="K1080" s="38">
        <v>1600000</v>
      </c>
      <c r="L1080" s="38">
        <v>-3235035.03</v>
      </c>
      <c r="M1080" s="47">
        <f t="shared" si="759"/>
        <v>5095094.9700000007</v>
      </c>
      <c r="N1080" s="46">
        <v>5000000</v>
      </c>
      <c r="O1080" s="48">
        <f t="shared" si="760"/>
        <v>51.099999999476864</v>
      </c>
      <c r="P1080" s="38"/>
      <c r="Q1080" s="38"/>
      <c r="R1080" s="38"/>
      <c r="S1080" s="55">
        <f t="shared" si="761"/>
        <v>51.099999999476864</v>
      </c>
      <c r="T1080" s="48"/>
      <c r="U1080" s="49">
        <f t="shared" si="762"/>
        <v>43.199999999953434</v>
      </c>
      <c r="V1080" s="38"/>
      <c r="W1080" s="38"/>
      <c r="X1080" s="38"/>
      <c r="Y1080" s="51">
        <f t="shared" si="763"/>
        <v>43.199999999953434</v>
      </c>
      <c r="Z1080" s="52"/>
      <c r="AA1080" s="53">
        <f t="shared" si="764"/>
        <v>260.31999999918975</v>
      </c>
      <c r="AB1080" s="38"/>
      <c r="AC1080" s="38"/>
      <c r="AD1080" s="38"/>
      <c r="AE1080" s="54">
        <f t="shared" si="765"/>
        <v>260.31999999918975</v>
      </c>
      <c r="AF1080" s="53"/>
      <c r="AG1080" s="53">
        <f t="shared" si="772"/>
        <v>808.19000000004019</v>
      </c>
      <c r="AH1080" s="38"/>
      <c r="AI1080" s="38"/>
      <c r="AJ1080" s="38"/>
      <c r="AK1080" s="54">
        <f t="shared" si="773"/>
        <v>808.19000000004019</v>
      </c>
      <c r="AL1080" s="53"/>
      <c r="AM1080" s="53">
        <f t="shared" si="788"/>
        <v>0</v>
      </c>
      <c r="AN1080" s="38"/>
      <c r="AO1080" s="38"/>
      <c r="AP1080" s="38"/>
      <c r="AQ1080" s="54">
        <f t="shared" si="789"/>
        <v>0</v>
      </c>
      <c r="AR1080" s="53"/>
      <c r="AS1080" s="29">
        <f t="shared" si="774"/>
        <v>10684997.409999996</v>
      </c>
      <c r="AT1080" s="29">
        <f t="shared" si="775"/>
        <v>57604.160000000003</v>
      </c>
      <c r="AU1080" s="29">
        <f t="shared" si="776"/>
        <v>0</v>
      </c>
      <c r="AV1080" s="29">
        <f t="shared" si="777"/>
        <v>-4781047.0199999996</v>
      </c>
      <c r="AW1080" s="29"/>
      <c r="AX1080" s="29">
        <f t="shared" si="778"/>
        <v>5962362.7399999984</v>
      </c>
      <c r="AY1080" s="29">
        <f t="shared" si="779"/>
        <v>9300000</v>
      </c>
      <c r="AZ1080" s="29">
        <f t="shared" si="780"/>
        <v>15262362.739999998</v>
      </c>
    </row>
    <row r="1081" spans="2:52" x14ac:dyDescent="0.3">
      <c r="B1081" s="99">
        <f t="shared" si="782"/>
        <v>45678</v>
      </c>
      <c r="C1081" s="44">
        <f t="shared" si="757"/>
        <v>866104.95999999787</v>
      </c>
      <c r="D1081" s="38">
        <v>32301.82</v>
      </c>
      <c r="E1081" s="38"/>
      <c r="F1081" s="38">
        <v>-402.5</v>
      </c>
      <c r="G1081" s="45">
        <f t="shared" si="770"/>
        <v>898004.27999999782</v>
      </c>
      <c r="H1081" s="44">
        <v>4300000</v>
      </c>
      <c r="I1081" s="46">
        <f t="shared" si="758"/>
        <v>5095094.9700000007</v>
      </c>
      <c r="J1081" s="38"/>
      <c r="K1081" s="38"/>
      <c r="L1081" s="38">
        <v>-68864.41</v>
      </c>
      <c r="M1081" s="47">
        <f t="shared" si="759"/>
        <v>5026230.5600000005</v>
      </c>
      <c r="N1081" s="46">
        <v>5000000</v>
      </c>
      <c r="O1081" s="48">
        <f t="shared" si="760"/>
        <v>51.099999999476864</v>
      </c>
      <c r="P1081" s="38"/>
      <c r="Q1081" s="38"/>
      <c r="R1081" s="38"/>
      <c r="S1081" s="55">
        <f t="shared" si="761"/>
        <v>51.099999999476864</v>
      </c>
      <c r="T1081" s="48"/>
      <c r="U1081" s="49">
        <f t="shared" si="762"/>
        <v>43.199999999953434</v>
      </c>
      <c r="V1081" s="38"/>
      <c r="W1081" s="38"/>
      <c r="X1081" s="38"/>
      <c r="Y1081" s="51">
        <f t="shared" si="763"/>
        <v>43.199999999953434</v>
      </c>
      <c r="Z1081" s="52"/>
      <c r="AA1081" s="53">
        <f t="shared" si="764"/>
        <v>260.31999999918975</v>
      </c>
      <c r="AB1081" s="38"/>
      <c r="AC1081" s="38"/>
      <c r="AD1081" s="38"/>
      <c r="AE1081" s="54">
        <f t="shared" si="765"/>
        <v>260.31999999918975</v>
      </c>
      <c r="AF1081" s="53"/>
      <c r="AG1081" s="53">
        <f t="shared" si="772"/>
        <v>808.19000000004019</v>
      </c>
      <c r="AH1081" s="38"/>
      <c r="AI1081" s="38"/>
      <c r="AJ1081" s="38"/>
      <c r="AK1081" s="54">
        <f t="shared" si="773"/>
        <v>808.19000000004019</v>
      </c>
      <c r="AL1081" s="53"/>
      <c r="AM1081" s="53">
        <f t="shared" si="788"/>
        <v>0</v>
      </c>
      <c r="AN1081" s="38"/>
      <c r="AO1081" s="38"/>
      <c r="AP1081" s="38"/>
      <c r="AQ1081" s="54">
        <f t="shared" si="789"/>
        <v>0</v>
      </c>
      <c r="AR1081" s="53"/>
      <c r="AS1081" s="29">
        <f t="shared" si="774"/>
        <v>5961554.549999998</v>
      </c>
      <c r="AT1081" s="29">
        <f t="shared" si="775"/>
        <v>32301.82</v>
      </c>
      <c r="AU1081" s="29">
        <f t="shared" si="776"/>
        <v>0</v>
      </c>
      <c r="AV1081" s="29">
        <f t="shared" si="777"/>
        <v>-69266.91</v>
      </c>
      <c r="AW1081" s="29"/>
      <c r="AX1081" s="29">
        <f t="shared" si="778"/>
        <v>5925397.6499999976</v>
      </c>
      <c r="AY1081" s="29">
        <f t="shared" si="779"/>
        <v>9300000</v>
      </c>
      <c r="AZ1081" s="29">
        <f t="shared" si="780"/>
        <v>15225397.649999999</v>
      </c>
    </row>
    <row r="1082" spans="2:52" x14ac:dyDescent="0.3">
      <c r="B1082" s="99">
        <f t="shared" si="782"/>
        <v>45679</v>
      </c>
      <c r="C1082" s="44">
        <f t="shared" si="757"/>
        <v>898004.27999999782</v>
      </c>
      <c r="D1082" s="38">
        <v>326694.8</v>
      </c>
      <c r="E1082" s="38">
        <v>-500000</v>
      </c>
      <c r="F1082" s="38">
        <v>-0.21</v>
      </c>
      <c r="G1082" s="45">
        <f t="shared" si="770"/>
        <v>724698.86999999778</v>
      </c>
      <c r="H1082" s="44">
        <v>4300000</v>
      </c>
      <c r="I1082" s="46">
        <f t="shared" si="758"/>
        <v>5026230.5600000005</v>
      </c>
      <c r="J1082" s="38"/>
      <c r="K1082" s="38">
        <v>500000</v>
      </c>
      <c r="L1082" s="38">
        <v>-33610.39</v>
      </c>
      <c r="M1082" s="47">
        <f t="shared" si="759"/>
        <v>5492620.1700000009</v>
      </c>
      <c r="N1082" s="46">
        <v>5000000</v>
      </c>
      <c r="O1082" s="48">
        <f t="shared" si="760"/>
        <v>51.099999999476864</v>
      </c>
      <c r="P1082" s="38"/>
      <c r="Q1082" s="38"/>
      <c r="R1082" s="38"/>
      <c r="S1082" s="55">
        <f t="shared" si="761"/>
        <v>51.099999999476864</v>
      </c>
      <c r="T1082" s="48"/>
      <c r="U1082" s="49">
        <f t="shared" si="762"/>
        <v>43.199999999953434</v>
      </c>
      <c r="V1082" s="38"/>
      <c r="W1082" s="38"/>
      <c r="X1082" s="38"/>
      <c r="Y1082" s="51">
        <f t="shared" si="763"/>
        <v>43.199999999953434</v>
      </c>
      <c r="Z1082" s="52"/>
      <c r="AA1082" s="53">
        <f t="shared" si="764"/>
        <v>260.31999999918975</v>
      </c>
      <c r="AB1082" s="38"/>
      <c r="AC1082" s="38"/>
      <c r="AD1082" s="38"/>
      <c r="AE1082" s="54">
        <f t="shared" si="765"/>
        <v>260.31999999918975</v>
      </c>
      <c r="AF1082" s="53"/>
      <c r="AG1082" s="53">
        <f t="shared" si="772"/>
        <v>808.19000000004019</v>
      </c>
      <c r="AH1082" s="38"/>
      <c r="AI1082" s="38"/>
      <c r="AJ1082" s="38"/>
      <c r="AK1082" s="54">
        <f t="shared" si="773"/>
        <v>808.19000000004019</v>
      </c>
      <c r="AL1082" s="53"/>
      <c r="AM1082" s="53">
        <f t="shared" si="788"/>
        <v>0</v>
      </c>
      <c r="AN1082" s="38"/>
      <c r="AO1082" s="38"/>
      <c r="AP1082" s="38"/>
      <c r="AQ1082" s="54">
        <f t="shared" si="789"/>
        <v>0</v>
      </c>
      <c r="AR1082" s="53"/>
      <c r="AS1082" s="29">
        <f t="shared" si="774"/>
        <v>5924589.4599999972</v>
      </c>
      <c r="AT1082" s="29">
        <f t="shared" si="775"/>
        <v>326694.8</v>
      </c>
      <c r="AU1082" s="29">
        <f t="shared" si="776"/>
        <v>0</v>
      </c>
      <c r="AV1082" s="29">
        <f t="shared" si="777"/>
        <v>-33610.6</v>
      </c>
      <c r="AW1082" s="29"/>
      <c r="AX1082" s="29">
        <f t="shared" si="778"/>
        <v>6218481.8499999987</v>
      </c>
      <c r="AY1082" s="29">
        <f t="shared" si="779"/>
        <v>9300000</v>
      </c>
      <c r="AZ1082" s="29">
        <f t="shared" si="780"/>
        <v>15518481.849999998</v>
      </c>
    </row>
    <row r="1083" spans="2:52" x14ac:dyDescent="0.3">
      <c r="B1083" s="99">
        <f t="shared" si="782"/>
        <v>45680</v>
      </c>
      <c r="C1083" s="44">
        <f t="shared" ref="C1083:C1146" si="791">G1082</f>
        <v>724698.86999999778</v>
      </c>
      <c r="D1083" s="38">
        <v>559379.41</v>
      </c>
      <c r="E1083" s="38"/>
      <c r="F1083" s="38"/>
      <c r="G1083" s="45">
        <f t="shared" si="770"/>
        <v>1284078.2799999979</v>
      </c>
      <c r="H1083" s="44">
        <v>4300000</v>
      </c>
      <c r="I1083" s="46">
        <f t="shared" ref="I1083:I1146" si="792">M1082</f>
        <v>5492620.1700000009</v>
      </c>
      <c r="J1083" s="38"/>
      <c r="K1083" s="38"/>
      <c r="L1083" s="38">
        <v>-32322.03</v>
      </c>
      <c r="M1083" s="47">
        <f t="shared" ref="M1083:M1146" si="793">SUM(I1083:L1083)</f>
        <v>5460298.1400000006</v>
      </c>
      <c r="N1083" s="46">
        <v>5000000</v>
      </c>
      <c r="O1083" s="48">
        <f t="shared" ref="O1083:O1146" si="794">S1082</f>
        <v>51.099999999476864</v>
      </c>
      <c r="P1083" s="38"/>
      <c r="Q1083" s="38"/>
      <c r="R1083" s="38"/>
      <c r="S1083" s="55">
        <f t="shared" ref="S1083:S1146" si="795">SUM(O1083:R1083)</f>
        <v>51.099999999476864</v>
      </c>
      <c r="T1083" s="48"/>
      <c r="U1083" s="49">
        <f t="shared" ref="U1083:U1146" si="796">Y1082</f>
        <v>43.199999999953434</v>
      </c>
      <c r="V1083" s="38"/>
      <c r="W1083" s="38"/>
      <c r="X1083" s="38"/>
      <c r="Y1083" s="51">
        <f t="shared" ref="Y1083:Y1146" si="797">SUM(U1083:X1083)</f>
        <v>43.199999999953434</v>
      </c>
      <c r="Z1083" s="52"/>
      <c r="AA1083" s="53">
        <f t="shared" ref="AA1083:AA1146" si="798">AE1082</f>
        <v>260.31999999918975</v>
      </c>
      <c r="AB1083" s="38"/>
      <c r="AC1083" s="38"/>
      <c r="AD1083" s="38"/>
      <c r="AE1083" s="54">
        <f t="shared" ref="AE1083:AE1146" si="799">SUM(AA1083:AD1083)</f>
        <v>260.31999999918975</v>
      </c>
      <c r="AF1083" s="53"/>
      <c r="AG1083" s="53">
        <f t="shared" si="772"/>
        <v>808.19000000004019</v>
      </c>
      <c r="AH1083" s="38"/>
      <c r="AI1083" s="38"/>
      <c r="AJ1083" s="38"/>
      <c r="AK1083" s="54">
        <f t="shared" si="773"/>
        <v>808.19000000004019</v>
      </c>
      <c r="AL1083" s="53"/>
      <c r="AM1083" s="53">
        <f t="shared" si="788"/>
        <v>0</v>
      </c>
      <c r="AN1083" s="38"/>
      <c r="AO1083" s="38"/>
      <c r="AP1083" s="38"/>
      <c r="AQ1083" s="54">
        <f t="shared" si="789"/>
        <v>0</v>
      </c>
      <c r="AR1083" s="53"/>
      <c r="AS1083" s="29">
        <f t="shared" si="774"/>
        <v>6217673.6599999983</v>
      </c>
      <c r="AT1083" s="29">
        <f t="shared" si="775"/>
        <v>559379.41</v>
      </c>
      <c r="AU1083" s="29">
        <f t="shared" si="776"/>
        <v>0</v>
      </c>
      <c r="AV1083" s="29">
        <f t="shared" si="777"/>
        <v>-32322.03</v>
      </c>
      <c r="AW1083" s="29"/>
      <c r="AX1083" s="29">
        <f t="shared" si="778"/>
        <v>6745539.2299999977</v>
      </c>
      <c r="AY1083" s="29">
        <f t="shared" si="779"/>
        <v>9300000</v>
      </c>
      <c r="AZ1083" s="29">
        <f t="shared" si="780"/>
        <v>16045539.229999997</v>
      </c>
    </row>
    <row r="1084" spans="2:52" x14ac:dyDescent="0.3">
      <c r="B1084" s="99">
        <f t="shared" si="782"/>
        <v>45681</v>
      </c>
      <c r="C1084" s="44">
        <f t="shared" si="791"/>
        <v>1284078.2799999979</v>
      </c>
      <c r="D1084" s="38"/>
      <c r="E1084" s="38"/>
      <c r="F1084" s="38">
        <f>-0.21-2551.73-503.43-15187.57-588112.6</f>
        <v>-606355.53999999992</v>
      </c>
      <c r="G1084" s="45">
        <f t="shared" si="770"/>
        <v>677722.73999999801</v>
      </c>
      <c r="H1084" s="44">
        <v>4300000</v>
      </c>
      <c r="I1084" s="46">
        <f t="shared" si="792"/>
        <v>5460298.1400000006</v>
      </c>
      <c r="J1084" s="38"/>
      <c r="K1084" s="38"/>
      <c r="L1084" s="38">
        <v>-14706.8</v>
      </c>
      <c r="M1084" s="47">
        <f t="shared" si="793"/>
        <v>5445591.3400000008</v>
      </c>
      <c r="N1084" s="46">
        <v>5000000</v>
      </c>
      <c r="O1084" s="48">
        <f t="shared" si="794"/>
        <v>51.099999999476864</v>
      </c>
      <c r="P1084" s="38">
        <f>104011.41+14696.05</f>
        <v>118707.46</v>
      </c>
      <c r="Q1084" s="38"/>
      <c r="R1084" s="38"/>
      <c r="S1084" s="55">
        <f t="shared" si="795"/>
        <v>118758.55999999949</v>
      </c>
      <c r="T1084" s="48"/>
      <c r="U1084" s="49">
        <f t="shared" si="796"/>
        <v>43.199999999953434</v>
      </c>
      <c r="V1084" s="38"/>
      <c r="W1084" s="38"/>
      <c r="X1084" s="38"/>
      <c r="Y1084" s="51">
        <f t="shared" si="797"/>
        <v>43.199999999953434</v>
      </c>
      <c r="Z1084" s="52"/>
      <c r="AA1084" s="53">
        <f t="shared" si="798"/>
        <v>260.31999999918975</v>
      </c>
      <c r="AB1084" s="38"/>
      <c r="AC1084" s="38"/>
      <c r="AD1084" s="38"/>
      <c r="AE1084" s="54">
        <f t="shared" si="799"/>
        <v>260.31999999918975</v>
      </c>
      <c r="AF1084" s="53"/>
      <c r="AG1084" s="53">
        <f t="shared" si="772"/>
        <v>808.19000000004019</v>
      </c>
      <c r="AH1084" s="38"/>
      <c r="AI1084" s="38"/>
      <c r="AJ1084" s="38"/>
      <c r="AK1084" s="54">
        <f t="shared" si="773"/>
        <v>808.19000000004019</v>
      </c>
      <c r="AL1084" s="53"/>
      <c r="AM1084" s="53">
        <f t="shared" si="788"/>
        <v>0</v>
      </c>
      <c r="AN1084" s="38"/>
      <c r="AO1084" s="38"/>
      <c r="AP1084" s="38"/>
      <c r="AQ1084" s="54">
        <f t="shared" si="789"/>
        <v>0</v>
      </c>
      <c r="AR1084" s="53"/>
      <c r="AS1084" s="29">
        <f t="shared" si="774"/>
        <v>6744731.0399999972</v>
      </c>
      <c r="AT1084" s="29">
        <f t="shared" si="775"/>
        <v>118707.46</v>
      </c>
      <c r="AU1084" s="29">
        <f t="shared" si="776"/>
        <v>0</v>
      </c>
      <c r="AV1084" s="29">
        <f t="shared" si="777"/>
        <v>-621062.34</v>
      </c>
      <c r="AW1084" s="29"/>
      <c r="AX1084" s="29">
        <f t="shared" si="778"/>
        <v>6243184.3499999987</v>
      </c>
      <c r="AY1084" s="29">
        <f t="shared" si="779"/>
        <v>9300000</v>
      </c>
      <c r="AZ1084" s="29">
        <f t="shared" si="780"/>
        <v>15543184.349999998</v>
      </c>
    </row>
    <row r="1085" spans="2:52" x14ac:dyDescent="0.3">
      <c r="B1085" s="99">
        <f t="shared" ref="B1085" si="800">B1084+3</f>
        <v>45684</v>
      </c>
      <c r="C1085" s="44">
        <f t="shared" si="791"/>
        <v>677722.73999999801</v>
      </c>
      <c r="D1085" s="38">
        <f>987566.17-606355.54</f>
        <v>381210.63</v>
      </c>
      <c r="E1085" s="38"/>
      <c r="F1085" s="38">
        <v>-277963.68</v>
      </c>
      <c r="G1085" s="45">
        <f t="shared" si="770"/>
        <v>780969.68999999808</v>
      </c>
      <c r="H1085" s="44">
        <v>4300000</v>
      </c>
      <c r="I1085" s="46">
        <f t="shared" si="792"/>
        <v>5445591.3400000008</v>
      </c>
      <c r="J1085" s="38"/>
      <c r="K1085" s="38"/>
      <c r="L1085" s="38">
        <v>-173317.26</v>
      </c>
      <c r="M1085" s="47">
        <f t="shared" si="793"/>
        <v>5272274.080000001</v>
      </c>
      <c r="N1085" s="46">
        <v>5000000</v>
      </c>
      <c r="O1085" s="48">
        <f t="shared" si="794"/>
        <v>118758.55999999949</v>
      </c>
      <c r="P1085" s="38"/>
      <c r="Q1085" s="38"/>
      <c r="R1085" s="38">
        <v>-122.3</v>
      </c>
      <c r="S1085" s="55">
        <f t="shared" si="795"/>
        <v>118636.25999999949</v>
      </c>
      <c r="T1085" s="48"/>
      <c r="U1085" s="49">
        <f t="shared" si="796"/>
        <v>43.199999999953434</v>
      </c>
      <c r="V1085" s="38"/>
      <c r="W1085" s="38"/>
      <c r="X1085" s="38"/>
      <c r="Y1085" s="51">
        <f t="shared" si="797"/>
        <v>43.199999999953434</v>
      </c>
      <c r="Z1085" s="52"/>
      <c r="AA1085" s="53">
        <f t="shared" si="798"/>
        <v>260.31999999918975</v>
      </c>
      <c r="AB1085" s="38"/>
      <c r="AC1085" s="38"/>
      <c r="AD1085" s="38"/>
      <c r="AE1085" s="54">
        <f t="shared" si="799"/>
        <v>260.31999999918975</v>
      </c>
      <c r="AF1085" s="53"/>
      <c r="AG1085" s="53">
        <f t="shared" si="772"/>
        <v>808.19000000004019</v>
      </c>
      <c r="AH1085" s="38"/>
      <c r="AI1085" s="38"/>
      <c r="AJ1085" s="38"/>
      <c r="AK1085" s="54">
        <f t="shared" si="773"/>
        <v>808.19000000004019</v>
      </c>
      <c r="AL1085" s="53"/>
      <c r="AM1085" s="53">
        <f t="shared" si="788"/>
        <v>0</v>
      </c>
      <c r="AN1085" s="38"/>
      <c r="AO1085" s="38"/>
      <c r="AP1085" s="38"/>
      <c r="AQ1085" s="54">
        <f t="shared" si="789"/>
        <v>0</v>
      </c>
      <c r="AR1085" s="53"/>
      <c r="AS1085" s="29">
        <f t="shared" si="774"/>
        <v>6242376.1599999983</v>
      </c>
      <c r="AT1085" s="29">
        <f t="shared" si="775"/>
        <v>381210.63</v>
      </c>
      <c r="AU1085" s="29">
        <f t="shared" si="776"/>
        <v>0</v>
      </c>
      <c r="AV1085" s="29">
        <f t="shared" si="777"/>
        <v>-451403.24</v>
      </c>
      <c r="AW1085" s="29"/>
      <c r="AX1085" s="29">
        <f t="shared" si="778"/>
        <v>6172991.7399999993</v>
      </c>
      <c r="AY1085" s="29">
        <f t="shared" si="779"/>
        <v>9300000</v>
      </c>
      <c r="AZ1085" s="29">
        <f t="shared" si="780"/>
        <v>15472991.739999998</v>
      </c>
    </row>
    <row r="1086" spans="2:52" x14ac:dyDescent="0.3">
      <c r="B1086" s="99">
        <f t="shared" si="782"/>
        <v>45685</v>
      </c>
      <c r="C1086" s="44">
        <f t="shared" si="791"/>
        <v>780969.68999999808</v>
      </c>
      <c r="D1086" s="38"/>
      <c r="E1086" s="38"/>
      <c r="F1086" s="38">
        <v>-1518.64</v>
      </c>
      <c r="G1086" s="45">
        <f t="shared" si="770"/>
        <v>779451.04999999807</v>
      </c>
      <c r="H1086" s="44">
        <v>4300000</v>
      </c>
      <c r="I1086" s="46">
        <f t="shared" si="792"/>
        <v>5272274.080000001</v>
      </c>
      <c r="J1086" s="38"/>
      <c r="K1086" s="38">
        <v>110000</v>
      </c>
      <c r="L1086" s="38">
        <v>-19412.07</v>
      </c>
      <c r="M1086" s="47">
        <f t="shared" si="793"/>
        <v>5362862.0100000007</v>
      </c>
      <c r="N1086" s="46">
        <v>5000000</v>
      </c>
      <c r="O1086" s="48">
        <f t="shared" si="794"/>
        <v>118636.25999999949</v>
      </c>
      <c r="P1086" s="38"/>
      <c r="Q1086" s="38">
        <v>-110000</v>
      </c>
      <c r="R1086" s="38">
        <v>-10</v>
      </c>
      <c r="S1086" s="55">
        <f t="shared" si="795"/>
        <v>8626.2599999994854</v>
      </c>
      <c r="T1086" s="48"/>
      <c r="U1086" s="49">
        <f t="shared" si="796"/>
        <v>43.199999999953434</v>
      </c>
      <c r="V1086" s="38"/>
      <c r="W1086" s="38"/>
      <c r="X1086" s="38"/>
      <c r="Y1086" s="51">
        <f t="shared" si="797"/>
        <v>43.199999999953434</v>
      </c>
      <c r="Z1086" s="52"/>
      <c r="AA1086" s="53">
        <f t="shared" si="798"/>
        <v>260.31999999918975</v>
      </c>
      <c r="AB1086" s="38"/>
      <c r="AC1086" s="38"/>
      <c r="AD1086" s="38"/>
      <c r="AE1086" s="54">
        <f t="shared" si="799"/>
        <v>260.31999999918975</v>
      </c>
      <c r="AF1086" s="53"/>
      <c r="AG1086" s="53">
        <f t="shared" si="772"/>
        <v>808.19000000004019</v>
      </c>
      <c r="AH1086" s="38"/>
      <c r="AI1086" s="38"/>
      <c r="AJ1086" s="38">
        <v>-510.62</v>
      </c>
      <c r="AK1086" s="54">
        <f t="shared" si="773"/>
        <v>297.57000000004018</v>
      </c>
      <c r="AL1086" s="53"/>
      <c r="AM1086" s="53">
        <f t="shared" si="788"/>
        <v>0</v>
      </c>
      <c r="AN1086" s="38"/>
      <c r="AO1086" s="38"/>
      <c r="AP1086" s="38"/>
      <c r="AQ1086" s="54">
        <f t="shared" si="789"/>
        <v>0</v>
      </c>
      <c r="AR1086" s="53"/>
      <c r="AS1086" s="29">
        <f t="shared" si="774"/>
        <v>6172183.5499999989</v>
      </c>
      <c r="AT1086" s="29">
        <f t="shared" si="775"/>
        <v>0</v>
      </c>
      <c r="AU1086" s="29">
        <f t="shared" si="776"/>
        <v>0</v>
      </c>
      <c r="AV1086" s="29">
        <f t="shared" si="777"/>
        <v>-21451.329999999998</v>
      </c>
      <c r="AW1086" s="29"/>
      <c r="AX1086" s="29">
        <f t="shared" si="778"/>
        <v>6151540.4099999983</v>
      </c>
      <c r="AY1086" s="29">
        <f t="shared" si="779"/>
        <v>9300000</v>
      </c>
      <c r="AZ1086" s="29">
        <f t="shared" si="780"/>
        <v>15451540.409999998</v>
      </c>
    </row>
    <row r="1087" spans="2:52" x14ac:dyDescent="0.3">
      <c r="B1087" s="99">
        <f t="shared" si="782"/>
        <v>45686</v>
      </c>
      <c r="C1087" s="44">
        <f t="shared" si="791"/>
        <v>779451.04999999807</v>
      </c>
      <c r="D1087" s="38"/>
      <c r="E1087" s="38"/>
      <c r="F1087" s="38">
        <v>-3375.8</v>
      </c>
      <c r="G1087" s="45">
        <f t="shared" si="770"/>
        <v>776075.24999999802</v>
      </c>
      <c r="H1087" s="44">
        <v>4300000</v>
      </c>
      <c r="I1087" s="46">
        <f t="shared" si="792"/>
        <v>5362862.0100000007</v>
      </c>
      <c r="J1087" s="38">
        <v>9755.7000000000007</v>
      </c>
      <c r="K1087" s="38">
        <v>450000</v>
      </c>
      <c r="L1087" s="38">
        <v>-379727.33</v>
      </c>
      <c r="M1087" s="47">
        <f t="shared" si="793"/>
        <v>5442890.3800000008</v>
      </c>
      <c r="N1087" s="46">
        <v>5000000</v>
      </c>
      <c r="O1087" s="48">
        <f t="shared" si="794"/>
        <v>8626.2599999994854</v>
      </c>
      <c r="P1087" s="38">
        <f>58087+388177.77</f>
        <v>446264.77</v>
      </c>
      <c r="Q1087" s="38">
        <v>-450000</v>
      </c>
      <c r="R1087" s="38">
        <v>-852</v>
      </c>
      <c r="S1087" s="55">
        <f t="shared" si="795"/>
        <v>4039.0299999995041</v>
      </c>
      <c r="T1087" s="48"/>
      <c r="U1087" s="49">
        <f t="shared" si="796"/>
        <v>43.199999999953434</v>
      </c>
      <c r="V1087" s="38"/>
      <c r="W1087" s="38"/>
      <c r="X1087" s="38"/>
      <c r="Y1087" s="51">
        <f t="shared" si="797"/>
        <v>43.199999999953434</v>
      </c>
      <c r="Z1087" s="52"/>
      <c r="AA1087" s="53">
        <f t="shared" si="798"/>
        <v>260.31999999918975</v>
      </c>
      <c r="AB1087" s="38"/>
      <c r="AC1087" s="38"/>
      <c r="AD1087" s="38"/>
      <c r="AE1087" s="54">
        <f t="shared" si="799"/>
        <v>260.31999999918975</v>
      </c>
      <c r="AF1087" s="53"/>
      <c r="AG1087" s="53">
        <f t="shared" si="772"/>
        <v>297.57000000004018</v>
      </c>
      <c r="AH1087" s="38"/>
      <c r="AI1087" s="38"/>
      <c r="AJ1087" s="38">
        <v>-80</v>
      </c>
      <c r="AK1087" s="54">
        <f t="shared" si="773"/>
        <v>217.57000000004018</v>
      </c>
      <c r="AL1087" s="53"/>
      <c r="AM1087" s="53">
        <f t="shared" si="788"/>
        <v>0</v>
      </c>
      <c r="AN1087" s="38"/>
      <c r="AO1087" s="38"/>
      <c r="AP1087" s="38"/>
      <c r="AQ1087" s="54">
        <f t="shared" si="789"/>
        <v>0</v>
      </c>
      <c r="AR1087" s="53"/>
      <c r="AS1087" s="29">
        <f t="shared" si="774"/>
        <v>6151242.839999998</v>
      </c>
      <c r="AT1087" s="29">
        <f t="shared" si="775"/>
        <v>456020.47000000003</v>
      </c>
      <c r="AU1087" s="29">
        <f t="shared" si="776"/>
        <v>0</v>
      </c>
      <c r="AV1087" s="29">
        <f t="shared" si="777"/>
        <v>-384035.13</v>
      </c>
      <c r="AW1087" s="29"/>
      <c r="AX1087" s="29">
        <f t="shared" si="778"/>
        <v>6223525.7499999981</v>
      </c>
      <c r="AY1087" s="29">
        <f t="shared" si="779"/>
        <v>9300000</v>
      </c>
      <c r="AZ1087" s="29">
        <f t="shared" si="780"/>
        <v>15523525.749999998</v>
      </c>
    </row>
    <row r="1088" spans="2:52" x14ac:dyDescent="0.3">
      <c r="B1088" s="99">
        <f t="shared" si="782"/>
        <v>45687</v>
      </c>
      <c r="C1088" s="44">
        <f t="shared" si="791"/>
        <v>776075.24999999802</v>
      </c>
      <c r="D1088" s="38">
        <f>60446.49+12304.05</f>
        <v>72750.539999999994</v>
      </c>
      <c r="E1088" s="38"/>
      <c r="F1088" s="38"/>
      <c r="G1088" s="45">
        <f t="shared" si="770"/>
        <v>848825.78999999806</v>
      </c>
      <c r="H1088" s="44">
        <v>4300000</v>
      </c>
      <c r="I1088" s="46">
        <f t="shared" si="792"/>
        <v>5442890.3800000008</v>
      </c>
      <c r="J1088" s="38"/>
      <c r="K1088" s="38"/>
      <c r="L1088" s="38"/>
      <c r="M1088" s="47">
        <f t="shared" si="793"/>
        <v>5442890.3800000008</v>
      </c>
      <c r="N1088" s="46">
        <v>5000000</v>
      </c>
      <c r="O1088" s="48">
        <f t="shared" si="794"/>
        <v>4039.0299999995041</v>
      </c>
      <c r="P1088" s="38">
        <f>29956.92+48877.08</f>
        <v>78834</v>
      </c>
      <c r="Q1088" s="38"/>
      <c r="R1088" s="38"/>
      <c r="S1088" s="55">
        <f t="shared" si="795"/>
        <v>82873.029999999504</v>
      </c>
      <c r="T1088" s="48"/>
      <c r="U1088" s="49">
        <f t="shared" si="796"/>
        <v>43.199999999953434</v>
      </c>
      <c r="V1088" s="38"/>
      <c r="W1088" s="38"/>
      <c r="X1088" s="38"/>
      <c r="Y1088" s="51">
        <f t="shared" si="797"/>
        <v>43.199999999953434</v>
      </c>
      <c r="Z1088" s="52"/>
      <c r="AA1088" s="53">
        <f t="shared" si="798"/>
        <v>260.31999999918975</v>
      </c>
      <c r="AB1088" s="38"/>
      <c r="AC1088" s="38"/>
      <c r="AD1088" s="38"/>
      <c r="AE1088" s="54">
        <f t="shared" si="799"/>
        <v>260.31999999918975</v>
      </c>
      <c r="AF1088" s="53"/>
      <c r="AG1088" s="53">
        <f t="shared" si="772"/>
        <v>217.57000000004018</v>
      </c>
      <c r="AH1088" s="38"/>
      <c r="AI1088" s="38"/>
      <c r="AJ1088" s="38"/>
      <c r="AK1088" s="54">
        <f t="shared" si="773"/>
        <v>217.57000000004018</v>
      </c>
      <c r="AL1088" s="53"/>
      <c r="AM1088" s="53">
        <f t="shared" si="788"/>
        <v>0</v>
      </c>
      <c r="AN1088" s="38"/>
      <c r="AO1088" s="38"/>
      <c r="AP1088" s="38"/>
      <c r="AQ1088" s="54">
        <f t="shared" si="789"/>
        <v>0</v>
      </c>
      <c r="AR1088" s="53"/>
      <c r="AS1088" s="29">
        <f t="shared" si="774"/>
        <v>6223308.1799999978</v>
      </c>
      <c r="AT1088" s="29">
        <f t="shared" si="775"/>
        <v>151584.53999999998</v>
      </c>
      <c r="AU1088" s="29">
        <f t="shared" si="776"/>
        <v>0</v>
      </c>
      <c r="AV1088" s="29">
        <f t="shared" si="777"/>
        <v>0</v>
      </c>
      <c r="AW1088" s="29"/>
      <c r="AX1088" s="29">
        <f t="shared" si="778"/>
        <v>6375110.2899999982</v>
      </c>
      <c r="AY1088" s="29">
        <f t="shared" si="779"/>
        <v>9300000</v>
      </c>
      <c r="AZ1088" s="29">
        <f t="shared" si="780"/>
        <v>15675110.289999999</v>
      </c>
    </row>
    <row r="1089" spans="2:52" x14ac:dyDescent="0.3">
      <c r="B1089" s="99">
        <f t="shared" si="782"/>
        <v>45688</v>
      </c>
      <c r="C1089" s="44">
        <f t="shared" si="791"/>
        <v>848825.78999999806</v>
      </c>
      <c r="D1089" s="38">
        <v>98220.68</v>
      </c>
      <c r="E1089" s="38"/>
      <c r="F1089" s="38">
        <v>-742892.35</v>
      </c>
      <c r="G1089" s="45">
        <f t="shared" si="770"/>
        <v>204154.11999999813</v>
      </c>
      <c r="H1089" s="44">
        <v>4300000</v>
      </c>
      <c r="I1089" s="46">
        <f t="shared" si="792"/>
        <v>5442890.3800000008</v>
      </c>
      <c r="J1089" s="38">
        <v>611424.79</v>
      </c>
      <c r="K1089" s="38">
        <v>390000</v>
      </c>
      <c r="L1089" s="38"/>
      <c r="M1089" s="47">
        <f>SUM(I1089:L1089)+55650.6</f>
        <v>6499965.7700000005</v>
      </c>
      <c r="N1089" s="46">
        <v>5000000</v>
      </c>
      <c r="O1089" s="48">
        <f t="shared" si="794"/>
        <v>82873.029999999504</v>
      </c>
      <c r="P1089" s="38">
        <v>313678.94</v>
      </c>
      <c r="Q1089" s="38">
        <v>-390000</v>
      </c>
      <c r="R1089" s="38">
        <v>-10</v>
      </c>
      <c r="S1089" s="55">
        <f t="shared" si="795"/>
        <v>6541.9699999995064</v>
      </c>
      <c r="T1089" s="48"/>
      <c r="U1089" s="49">
        <f t="shared" si="796"/>
        <v>43.199999999953434</v>
      </c>
      <c r="V1089" s="38"/>
      <c r="W1089" s="38"/>
      <c r="X1089" s="38"/>
      <c r="Y1089" s="51">
        <f t="shared" si="797"/>
        <v>43.199999999953434</v>
      </c>
      <c r="Z1089" s="52"/>
      <c r="AA1089" s="53">
        <f t="shared" si="798"/>
        <v>260.31999999918975</v>
      </c>
      <c r="AB1089" s="38">
        <v>0.05</v>
      </c>
      <c r="AC1089" s="38"/>
      <c r="AD1089" s="38"/>
      <c r="AE1089" s="54">
        <f t="shared" si="799"/>
        <v>260.36999999918976</v>
      </c>
      <c r="AF1089" s="53"/>
      <c r="AG1089" s="53">
        <f t="shared" si="772"/>
        <v>217.57000000004018</v>
      </c>
      <c r="AH1089" s="38">
        <v>0.08</v>
      </c>
      <c r="AI1089" s="38"/>
      <c r="AJ1089" s="38"/>
      <c r="AK1089" s="54">
        <f t="shared" si="773"/>
        <v>217.65000000004019</v>
      </c>
      <c r="AL1089" s="53"/>
      <c r="AM1089" s="53">
        <f t="shared" si="788"/>
        <v>0</v>
      </c>
      <c r="AN1089" s="38"/>
      <c r="AO1089" s="38"/>
      <c r="AP1089" s="38"/>
      <c r="AQ1089" s="54">
        <f t="shared" si="789"/>
        <v>0</v>
      </c>
      <c r="AR1089" s="53"/>
      <c r="AS1089" s="29">
        <f t="shared" si="774"/>
        <v>6374892.7199999979</v>
      </c>
      <c r="AT1089" s="29">
        <f t="shared" si="775"/>
        <v>1023324.5399999999</v>
      </c>
      <c r="AU1089" s="29">
        <f t="shared" si="776"/>
        <v>0</v>
      </c>
      <c r="AV1089" s="29">
        <f t="shared" si="777"/>
        <v>-742902.35</v>
      </c>
      <c r="AW1089" s="29"/>
      <c r="AX1089" s="29">
        <f t="shared" si="778"/>
        <v>6711183.0799999982</v>
      </c>
      <c r="AY1089" s="29">
        <f t="shared" si="779"/>
        <v>9300000</v>
      </c>
      <c r="AZ1089" s="29">
        <f t="shared" si="780"/>
        <v>16011183.079999998</v>
      </c>
    </row>
    <row r="1090" spans="2:52" x14ac:dyDescent="0.3">
      <c r="B1090" s="99">
        <f t="shared" ref="B1090" si="801">B1089+3</f>
        <v>45691</v>
      </c>
      <c r="C1090" s="44">
        <f t="shared" si="791"/>
        <v>204154.11999999813</v>
      </c>
      <c r="D1090" s="38"/>
      <c r="E1090" s="38"/>
      <c r="F1090" s="38">
        <v>-134386.96</v>
      </c>
      <c r="G1090" s="45">
        <f t="shared" si="770"/>
        <v>69767.159999998141</v>
      </c>
      <c r="H1090" s="44">
        <v>4300000</v>
      </c>
      <c r="I1090" s="46">
        <f t="shared" si="792"/>
        <v>6499965.7700000005</v>
      </c>
      <c r="J1090" s="38">
        <v>1331.58</v>
      </c>
      <c r="K1090" s="38"/>
      <c r="L1090" s="38">
        <v>-190833.28</v>
      </c>
      <c r="M1090" s="47">
        <f t="shared" si="793"/>
        <v>6310464.0700000003</v>
      </c>
      <c r="N1090" s="46">
        <v>5000000</v>
      </c>
      <c r="O1090" s="48">
        <f t="shared" si="794"/>
        <v>6541.9699999995064</v>
      </c>
      <c r="P1090" s="38"/>
      <c r="Q1090" s="38"/>
      <c r="R1090" s="38">
        <v>-250</v>
      </c>
      <c r="S1090" s="55">
        <f t="shared" si="795"/>
        <v>6291.9699999995064</v>
      </c>
      <c r="T1090" s="48"/>
      <c r="U1090" s="49">
        <f t="shared" si="796"/>
        <v>43.199999999953434</v>
      </c>
      <c r="V1090" s="38"/>
      <c r="W1090" s="38"/>
      <c r="X1090" s="38"/>
      <c r="Y1090" s="51">
        <f t="shared" si="797"/>
        <v>43.199999999953434</v>
      </c>
      <c r="Z1090" s="52"/>
      <c r="AA1090" s="53">
        <f t="shared" si="798"/>
        <v>260.36999999918976</v>
      </c>
      <c r="AB1090" s="38"/>
      <c r="AC1090" s="38"/>
      <c r="AD1090" s="38"/>
      <c r="AE1090" s="54">
        <f t="shared" si="799"/>
        <v>260.36999999918976</v>
      </c>
      <c r="AF1090" s="53"/>
      <c r="AG1090" s="53">
        <f t="shared" si="772"/>
        <v>217.65000000004019</v>
      </c>
      <c r="AH1090" s="38"/>
      <c r="AI1090" s="38"/>
      <c r="AJ1090" s="38"/>
      <c r="AK1090" s="54">
        <f t="shared" si="773"/>
        <v>217.65000000004019</v>
      </c>
      <c r="AL1090" s="53"/>
      <c r="AM1090" s="53">
        <f t="shared" si="788"/>
        <v>0</v>
      </c>
      <c r="AN1090" s="38"/>
      <c r="AO1090" s="38"/>
      <c r="AP1090" s="38"/>
      <c r="AQ1090" s="54">
        <f t="shared" si="789"/>
        <v>0</v>
      </c>
      <c r="AR1090" s="53"/>
      <c r="AS1090" s="29">
        <f t="shared" si="774"/>
        <v>6710965.4299999978</v>
      </c>
      <c r="AT1090" s="29">
        <f t="shared" si="775"/>
        <v>1331.58</v>
      </c>
      <c r="AU1090" s="29">
        <f t="shared" si="776"/>
        <v>0</v>
      </c>
      <c r="AV1090" s="29">
        <f t="shared" si="777"/>
        <v>-325470.24</v>
      </c>
      <c r="AW1090" s="29"/>
      <c r="AX1090" s="29">
        <f t="shared" si="778"/>
        <v>6387044.4199999981</v>
      </c>
      <c r="AY1090" s="29">
        <f t="shared" si="779"/>
        <v>9300000</v>
      </c>
      <c r="AZ1090" s="29">
        <f t="shared" si="780"/>
        <v>15687044.419999998</v>
      </c>
    </row>
    <row r="1091" spans="2:52" x14ac:dyDescent="0.3">
      <c r="B1091" s="99">
        <f t="shared" si="782"/>
        <v>45692</v>
      </c>
      <c r="C1091" s="44">
        <f t="shared" si="791"/>
        <v>69767.159999998141</v>
      </c>
      <c r="D1091" s="38"/>
      <c r="E1091" s="38"/>
      <c r="F1091" s="38">
        <v>-33940.089999999997</v>
      </c>
      <c r="G1091" s="45">
        <f t="shared" si="770"/>
        <v>35827.069999998144</v>
      </c>
      <c r="H1091" s="44">
        <v>4300000</v>
      </c>
      <c r="I1091" s="46">
        <f t="shared" si="792"/>
        <v>6310464.0700000003</v>
      </c>
      <c r="J1091" s="38"/>
      <c r="K1091" s="38"/>
      <c r="L1091" s="38">
        <v>-3359535.74</v>
      </c>
      <c r="M1091" s="47">
        <f t="shared" si="793"/>
        <v>2950928.33</v>
      </c>
      <c r="N1091" s="46">
        <v>5000000</v>
      </c>
      <c r="O1091" s="48">
        <f t="shared" si="794"/>
        <v>6291.9699999995064</v>
      </c>
      <c r="P1091" s="38"/>
      <c r="Q1091" s="38"/>
      <c r="R1091" s="38">
        <v>-2634.82</v>
      </c>
      <c r="S1091" s="55">
        <f t="shared" si="795"/>
        <v>3657.1499999995062</v>
      </c>
      <c r="T1091" s="48"/>
      <c r="U1091" s="49">
        <f t="shared" si="796"/>
        <v>43.199999999953434</v>
      </c>
      <c r="V1091" s="38"/>
      <c r="W1091" s="38"/>
      <c r="X1091" s="38">
        <v>-43.2</v>
      </c>
      <c r="Y1091" s="51">
        <f t="shared" si="797"/>
        <v>-4.6568970901716966E-11</v>
      </c>
      <c r="Z1091" s="52"/>
      <c r="AA1091" s="53">
        <f t="shared" si="798"/>
        <v>260.36999999918976</v>
      </c>
      <c r="AB1091" s="38"/>
      <c r="AC1091" s="38"/>
      <c r="AD1091" s="38"/>
      <c r="AE1091" s="54">
        <f t="shared" si="799"/>
        <v>260.36999999918976</v>
      </c>
      <c r="AF1091" s="53"/>
      <c r="AG1091" s="53">
        <f t="shared" si="772"/>
        <v>217.65000000004019</v>
      </c>
      <c r="AH1091" s="38"/>
      <c r="AI1091" s="38"/>
      <c r="AJ1091" s="38"/>
      <c r="AK1091" s="54">
        <f t="shared" si="773"/>
        <v>217.65000000004019</v>
      </c>
      <c r="AL1091" s="53"/>
      <c r="AM1091" s="53">
        <f t="shared" si="788"/>
        <v>0</v>
      </c>
      <c r="AN1091" s="38"/>
      <c r="AO1091" s="38"/>
      <c r="AP1091" s="38"/>
      <c r="AQ1091" s="54">
        <f t="shared" si="789"/>
        <v>0</v>
      </c>
      <c r="AR1091" s="53"/>
      <c r="AS1091" s="29">
        <f t="shared" si="774"/>
        <v>6386826.7699999977</v>
      </c>
      <c r="AT1091" s="29">
        <f t="shared" si="775"/>
        <v>0</v>
      </c>
      <c r="AU1091" s="29">
        <f t="shared" si="776"/>
        <v>0</v>
      </c>
      <c r="AV1091" s="29">
        <f t="shared" si="777"/>
        <v>-3396153.85</v>
      </c>
      <c r="AW1091" s="29"/>
      <c r="AX1091" s="29">
        <f t="shared" si="778"/>
        <v>2990890.5699999966</v>
      </c>
      <c r="AY1091" s="29">
        <f t="shared" si="779"/>
        <v>9300000</v>
      </c>
      <c r="AZ1091" s="29">
        <f t="shared" si="780"/>
        <v>12290890.569999997</v>
      </c>
    </row>
    <row r="1092" spans="2:52" x14ac:dyDescent="0.3">
      <c r="B1092" s="99">
        <f t="shared" si="782"/>
        <v>45693</v>
      </c>
      <c r="C1092" s="44">
        <f t="shared" si="791"/>
        <v>35827.069999998144</v>
      </c>
      <c r="D1092" s="38">
        <f>25772.18+19897.63</f>
        <v>45669.81</v>
      </c>
      <c r="E1092" s="38"/>
      <c r="F1092" s="38"/>
      <c r="G1092" s="45">
        <f t="shared" si="770"/>
        <v>81496.879999998142</v>
      </c>
      <c r="H1092" s="44">
        <v>4300000</v>
      </c>
      <c r="I1092" s="46">
        <f t="shared" si="792"/>
        <v>2950928.33</v>
      </c>
      <c r="J1092" s="38"/>
      <c r="K1092" s="38">
        <v>140000</v>
      </c>
      <c r="L1092" s="38">
        <v>-640982.34</v>
      </c>
      <c r="M1092" s="47">
        <f t="shared" si="793"/>
        <v>2449945.9900000002</v>
      </c>
      <c r="N1092" s="46">
        <v>5000000</v>
      </c>
      <c r="O1092" s="48">
        <f t="shared" si="794"/>
        <v>3657.1499999995062</v>
      </c>
      <c r="P1092" s="38">
        <v>164215.78</v>
      </c>
      <c r="Q1092" s="38">
        <v>-140050</v>
      </c>
      <c r="R1092" s="38">
        <v>-10</v>
      </c>
      <c r="S1092" s="55">
        <f t="shared" si="795"/>
        <v>27812.929999999498</v>
      </c>
      <c r="T1092" s="48"/>
      <c r="U1092" s="49">
        <f t="shared" si="796"/>
        <v>-4.6568970901716966E-11</v>
      </c>
      <c r="V1092" s="38"/>
      <c r="W1092" s="38">
        <v>50</v>
      </c>
      <c r="X1092" s="38">
        <v>-23.8</v>
      </c>
      <c r="Y1092" s="51">
        <f t="shared" si="797"/>
        <v>26.19999999995343</v>
      </c>
      <c r="Z1092" s="52"/>
      <c r="AA1092" s="53">
        <f t="shared" si="798"/>
        <v>260.36999999918976</v>
      </c>
      <c r="AB1092" s="38"/>
      <c r="AC1092" s="38"/>
      <c r="AD1092" s="38"/>
      <c r="AE1092" s="54">
        <f t="shared" si="799"/>
        <v>260.36999999918976</v>
      </c>
      <c r="AF1092" s="53"/>
      <c r="AG1092" s="53">
        <f t="shared" si="772"/>
        <v>217.65000000004019</v>
      </c>
      <c r="AH1092" s="38"/>
      <c r="AI1092" s="38"/>
      <c r="AJ1092" s="38"/>
      <c r="AK1092" s="54">
        <f t="shared" si="773"/>
        <v>217.65000000004019</v>
      </c>
      <c r="AL1092" s="53"/>
      <c r="AM1092" s="53">
        <f t="shared" si="788"/>
        <v>0</v>
      </c>
      <c r="AN1092" s="38"/>
      <c r="AO1092" s="38"/>
      <c r="AP1092" s="38"/>
      <c r="AQ1092" s="54">
        <f t="shared" si="789"/>
        <v>0</v>
      </c>
      <c r="AR1092" s="53"/>
      <c r="AS1092" s="29">
        <f t="shared" si="774"/>
        <v>2990672.9199999967</v>
      </c>
      <c r="AT1092" s="29">
        <f t="shared" si="775"/>
        <v>209885.59</v>
      </c>
      <c r="AU1092" s="29">
        <f t="shared" si="776"/>
        <v>0</v>
      </c>
      <c r="AV1092" s="29">
        <f t="shared" si="777"/>
        <v>-641016.14</v>
      </c>
      <c r="AW1092" s="29"/>
      <c r="AX1092" s="29">
        <f t="shared" si="778"/>
        <v>2559760.0199999972</v>
      </c>
      <c r="AY1092" s="29">
        <f t="shared" si="779"/>
        <v>9300000</v>
      </c>
      <c r="AZ1092" s="29">
        <f t="shared" si="780"/>
        <v>11859760.019999998</v>
      </c>
    </row>
    <row r="1093" spans="2:52" x14ac:dyDescent="0.3">
      <c r="B1093" s="99">
        <f t="shared" si="782"/>
        <v>45694</v>
      </c>
      <c r="C1093" s="44">
        <f t="shared" si="791"/>
        <v>81496.879999998142</v>
      </c>
      <c r="D1093" s="38">
        <v>46980.35</v>
      </c>
      <c r="E1093" s="38"/>
      <c r="F1093" s="38">
        <v>-1250</v>
      </c>
      <c r="G1093" s="45">
        <f t="shared" si="770"/>
        <v>127227.22999999815</v>
      </c>
      <c r="H1093" s="44">
        <v>4300000</v>
      </c>
      <c r="I1093" s="46">
        <f t="shared" si="792"/>
        <v>2449945.9900000002</v>
      </c>
      <c r="J1093" s="38"/>
      <c r="K1093" s="38">
        <v>300000</v>
      </c>
      <c r="L1093" s="38">
        <v>-53591.75</v>
      </c>
      <c r="M1093" s="47">
        <f t="shared" si="793"/>
        <v>2696354.24</v>
      </c>
      <c r="N1093" s="46">
        <v>5000000</v>
      </c>
      <c r="O1093" s="48">
        <f t="shared" si="794"/>
        <v>27812.929999999498</v>
      </c>
      <c r="P1093" s="38">
        <v>285809.68</v>
      </c>
      <c r="Q1093" s="38">
        <v>-300000</v>
      </c>
      <c r="R1093" s="38">
        <v>-3859.6</v>
      </c>
      <c r="S1093" s="55">
        <f t="shared" si="795"/>
        <v>9763.00999999952</v>
      </c>
      <c r="T1093" s="48"/>
      <c r="U1093" s="49">
        <f t="shared" si="796"/>
        <v>26.19999999995343</v>
      </c>
      <c r="V1093" s="38"/>
      <c r="W1093" s="38"/>
      <c r="X1093" s="38"/>
      <c r="Y1093" s="51">
        <f t="shared" si="797"/>
        <v>26.19999999995343</v>
      </c>
      <c r="Z1093" s="52"/>
      <c r="AA1093" s="53">
        <f t="shared" si="798"/>
        <v>260.36999999918976</v>
      </c>
      <c r="AB1093" s="38"/>
      <c r="AC1093" s="38"/>
      <c r="AD1093" s="38"/>
      <c r="AE1093" s="54">
        <f t="shared" si="799"/>
        <v>260.36999999918976</v>
      </c>
      <c r="AF1093" s="53"/>
      <c r="AG1093" s="53">
        <f t="shared" si="772"/>
        <v>217.65000000004019</v>
      </c>
      <c r="AH1093" s="38"/>
      <c r="AI1093" s="38"/>
      <c r="AJ1093" s="38"/>
      <c r="AK1093" s="54">
        <f t="shared" si="773"/>
        <v>217.65000000004019</v>
      </c>
      <c r="AL1093" s="53"/>
      <c r="AM1093" s="53">
        <f t="shared" si="788"/>
        <v>0</v>
      </c>
      <c r="AN1093" s="38"/>
      <c r="AO1093" s="38"/>
      <c r="AP1093" s="38"/>
      <c r="AQ1093" s="54">
        <f t="shared" si="789"/>
        <v>0</v>
      </c>
      <c r="AR1093" s="53"/>
      <c r="AS1093" s="29">
        <f t="shared" si="774"/>
        <v>2559542.3699999973</v>
      </c>
      <c r="AT1093" s="29">
        <f t="shared" si="775"/>
        <v>332790.02999999997</v>
      </c>
      <c r="AU1093" s="29">
        <f t="shared" si="776"/>
        <v>0</v>
      </c>
      <c r="AV1093" s="29">
        <f t="shared" si="777"/>
        <v>-58701.35</v>
      </c>
      <c r="AW1093" s="29"/>
      <c r="AX1093" s="29">
        <f t="shared" si="778"/>
        <v>2833848.6999999969</v>
      </c>
      <c r="AY1093" s="29">
        <f t="shared" si="779"/>
        <v>9300000</v>
      </c>
      <c r="AZ1093" s="29">
        <f t="shared" si="780"/>
        <v>12133848.699999997</v>
      </c>
    </row>
    <row r="1094" spans="2:52" x14ac:dyDescent="0.3">
      <c r="B1094" s="99">
        <f t="shared" si="782"/>
        <v>45695</v>
      </c>
      <c r="C1094" s="44">
        <f t="shared" si="791"/>
        <v>127227.22999999815</v>
      </c>
      <c r="D1094" s="38">
        <v>36710.370000000003</v>
      </c>
      <c r="E1094" s="38"/>
      <c r="F1094" s="38"/>
      <c r="G1094" s="45">
        <f t="shared" si="770"/>
        <v>163937.59999999814</v>
      </c>
      <c r="H1094" s="44">
        <v>4300000</v>
      </c>
      <c r="I1094" s="46">
        <f t="shared" si="792"/>
        <v>2696354.24</v>
      </c>
      <c r="J1094" s="38">
        <v>4017.99</v>
      </c>
      <c r="K1094" s="38">
        <v>250000</v>
      </c>
      <c r="L1094" s="38">
        <v>-123163.78</v>
      </c>
      <c r="M1094" s="47">
        <f t="shared" si="793"/>
        <v>2827208.4500000007</v>
      </c>
      <c r="N1094" s="46">
        <v>5000000</v>
      </c>
      <c r="O1094" s="48">
        <f t="shared" si="794"/>
        <v>9763.00999999952</v>
      </c>
      <c r="P1094" s="38">
        <v>247383.39</v>
      </c>
      <c r="Q1094" s="38">
        <v>-250000</v>
      </c>
      <c r="R1094" s="38">
        <v>-10</v>
      </c>
      <c r="S1094" s="55">
        <f t="shared" si="795"/>
        <v>7136.3999999995285</v>
      </c>
      <c r="T1094" s="48"/>
      <c r="U1094" s="49">
        <f t="shared" si="796"/>
        <v>26.19999999995343</v>
      </c>
      <c r="V1094" s="38"/>
      <c r="W1094" s="38"/>
      <c r="X1094" s="38"/>
      <c r="Y1094" s="51">
        <f t="shared" si="797"/>
        <v>26.19999999995343</v>
      </c>
      <c r="Z1094" s="52"/>
      <c r="AA1094" s="53">
        <f t="shared" si="798"/>
        <v>260.36999999918976</v>
      </c>
      <c r="AB1094" s="38"/>
      <c r="AC1094" s="38"/>
      <c r="AD1094" s="38"/>
      <c r="AE1094" s="54">
        <f t="shared" si="799"/>
        <v>260.36999999918976</v>
      </c>
      <c r="AF1094" s="53"/>
      <c r="AG1094" s="53">
        <f t="shared" si="772"/>
        <v>217.65000000004019</v>
      </c>
      <c r="AH1094" s="38"/>
      <c r="AI1094" s="38"/>
      <c r="AJ1094" s="38"/>
      <c r="AK1094" s="54">
        <f t="shared" si="773"/>
        <v>217.65000000004019</v>
      </c>
      <c r="AL1094" s="53"/>
      <c r="AM1094" s="53">
        <f t="shared" si="788"/>
        <v>0</v>
      </c>
      <c r="AN1094" s="38"/>
      <c r="AO1094" s="38"/>
      <c r="AP1094" s="38"/>
      <c r="AQ1094" s="54">
        <f t="shared" si="789"/>
        <v>0</v>
      </c>
      <c r="AR1094" s="53"/>
      <c r="AS1094" s="29">
        <f t="shared" si="774"/>
        <v>2833631.049999997</v>
      </c>
      <c r="AT1094" s="29">
        <f t="shared" si="775"/>
        <v>288111.75</v>
      </c>
      <c r="AU1094" s="29">
        <f t="shared" si="776"/>
        <v>0</v>
      </c>
      <c r="AV1094" s="29">
        <f t="shared" si="777"/>
        <v>-123173.78</v>
      </c>
      <c r="AW1094" s="29"/>
      <c r="AX1094" s="29">
        <f t="shared" si="778"/>
        <v>2998786.6699999976</v>
      </c>
      <c r="AY1094" s="29">
        <f t="shared" si="779"/>
        <v>9300000</v>
      </c>
      <c r="AZ1094" s="29">
        <f t="shared" si="780"/>
        <v>12298786.669999998</v>
      </c>
    </row>
    <row r="1095" spans="2:52" x14ac:dyDescent="0.3">
      <c r="B1095" s="99">
        <f t="shared" ref="B1095" si="802">B1094+3</f>
        <v>45698</v>
      </c>
      <c r="C1095" s="44">
        <f t="shared" si="791"/>
        <v>163937.59999999814</v>
      </c>
      <c r="D1095" s="38">
        <v>222029.3</v>
      </c>
      <c r="E1095" s="38"/>
      <c r="F1095" s="38">
        <f>-24-29477.15-42.58-357</f>
        <v>-29900.730000000003</v>
      </c>
      <c r="G1095" s="45">
        <f t="shared" si="770"/>
        <v>356066.16999999818</v>
      </c>
      <c r="H1095" s="44">
        <v>4300000</v>
      </c>
      <c r="I1095" s="46">
        <f t="shared" si="792"/>
        <v>2827208.4500000007</v>
      </c>
      <c r="J1095" s="38"/>
      <c r="K1095" s="38">
        <v>980000</v>
      </c>
      <c r="L1095" s="38">
        <v>-239420.41</v>
      </c>
      <c r="M1095" s="47">
        <f t="shared" si="793"/>
        <v>3567788.0400000005</v>
      </c>
      <c r="N1095" s="46">
        <v>5000000</v>
      </c>
      <c r="O1095" s="48">
        <f t="shared" si="794"/>
        <v>7136.3999999995285</v>
      </c>
      <c r="P1095" s="38">
        <v>984461.83</v>
      </c>
      <c r="Q1095" s="38">
        <v>-980000</v>
      </c>
      <c r="R1095" s="38">
        <f>-55.08-1892.88-10</f>
        <v>-1957.96</v>
      </c>
      <c r="S1095" s="55">
        <f t="shared" si="795"/>
        <v>9640.2699999995166</v>
      </c>
      <c r="T1095" s="48"/>
      <c r="U1095" s="49">
        <f t="shared" si="796"/>
        <v>26.19999999995343</v>
      </c>
      <c r="V1095" s="38"/>
      <c r="W1095" s="38"/>
      <c r="X1095" s="38"/>
      <c r="Y1095" s="51">
        <f t="shared" si="797"/>
        <v>26.19999999995343</v>
      </c>
      <c r="Z1095" s="52"/>
      <c r="AA1095" s="53">
        <f t="shared" si="798"/>
        <v>260.36999999918976</v>
      </c>
      <c r="AB1095" s="38"/>
      <c r="AC1095" s="38"/>
      <c r="AD1095" s="38">
        <v>-230</v>
      </c>
      <c r="AE1095" s="54">
        <f t="shared" si="799"/>
        <v>30.369999999189758</v>
      </c>
      <c r="AF1095" s="53"/>
      <c r="AG1095" s="53">
        <f t="shared" si="772"/>
        <v>217.65000000004019</v>
      </c>
      <c r="AH1095" s="38"/>
      <c r="AI1095" s="38"/>
      <c r="AJ1095" s="38"/>
      <c r="AK1095" s="54">
        <f t="shared" si="773"/>
        <v>217.65000000004019</v>
      </c>
      <c r="AL1095" s="53"/>
      <c r="AM1095" s="53">
        <f t="shared" si="788"/>
        <v>0</v>
      </c>
      <c r="AN1095" s="38"/>
      <c r="AO1095" s="38"/>
      <c r="AP1095" s="38"/>
      <c r="AQ1095" s="54">
        <f t="shared" si="789"/>
        <v>0</v>
      </c>
      <c r="AR1095" s="53"/>
      <c r="AS1095" s="29">
        <f t="shared" si="774"/>
        <v>2998569.0199999977</v>
      </c>
      <c r="AT1095" s="29">
        <f t="shared" si="775"/>
        <v>1206491.1299999999</v>
      </c>
      <c r="AU1095" s="29">
        <f t="shared" si="776"/>
        <v>0</v>
      </c>
      <c r="AV1095" s="29">
        <f t="shared" si="777"/>
        <v>-271509.10000000003</v>
      </c>
      <c r="AW1095" s="29"/>
      <c r="AX1095" s="29">
        <f t="shared" si="778"/>
        <v>3933768.6999999969</v>
      </c>
      <c r="AY1095" s="29">
        <f t="shared" si="779"/>
        <v>9300000</v>
      </c>
      <c r="AZ1095" s="29">
        <f t="shared" si="780"/>
        <v>13233768.699999997</v>
      </c>
    </row>
    <row r="1096" spans="2:52" x14ac:dyDescent="0.3">
      <c r="B1096" s="99">
        <f t="shared" si="782"/>
        <v>45699</v>
      </c>
      <c r="C1096" s="44">
        <f t="shared" si="791"/>
        <v>356066.16999999818</v>
      </c>
      <c r="D1096" s="38">
        <v>17265.36</v>
      </c>
      <c r="E1096" s="38"/>
      <c r="F1096" s="38">
        <f>-800-603.75</f>
        <v>-1403.75</v>
      </c>
      <c r="G1096" s="45">
        <f t="shared" si="770"/>
        <v>371927.77999999817</v>
      </c>
      <c r="H1096" s="44">
        <v>4300000</v>
      </c>
      <c r="I1096" s="46">
        <f t="shared" si="792"/>
        <v>3567788.0400000005</v>
      </c>
      <c r="J1096" s="38"/>
      <c r="K1096" s="38"/>
      <c r="L1096" s="38">
        <v>-92325.85</v>
      </c>
      <c r="M1096" s="47">
        <f t="shared" si="793"/>
        <v>3475462.1900000004</v>
      </c>
      <c r="N1096" s="46">
        <v>5000000</v>
      </c>
      <c r="O1096" s="48">
        <f t="shared" si="794"/>
        <v>9640.2699999995166</v>
      </c>
      <c r="P1096" s="38">
        <v>100993.11</v>
      </c>
      <c r="Q1096" s="38"/>
      <c r="R1096" s="38">
        <v>-684</v>
      </c>
      <c r="S1096" s="55">
        <f t="shared" si="795"/>
        <v>109949.37999999951</v>
      </c>
      <c r="T1096" s="48"/>
      <c r="U1096" s="49">
        <f t="shared" si="796"/>
        <v>26.19999999995343</v>
      </c>
      <c r="V1096" s="38"/>
      <c r="W1096" s="38"/>
      <c r="X1096" s="38"/>
      <c r="Y1096" s="51">
        <f t="shared" si="797"/>
        <v>26.19999999995343</v>
      </c>
      <c r="Z1096" s="52"/>
      <c r="AA1096" s="53">
        <f t="shared" si="798"/>
        <v>30.369999999189758</v>
      </c>
      <c r="AB1096" s="38"/>
      <c r="AC1096" s="38"/>
      <c r="AD1096" s="38"/>
      <c r="AE1096" s="54">
        <f t="shared" si="799"/>
        <v>30.369999999189758</v>
      </c>
      <c r="AF1096" s="53"/>
      <c r="AG1096" s="53">
        <f t="shared" si="772"/>
        <v>217.65000000004019</v>
      </c>
      <c r="AH1096" s="38"/>
      <c r="AI1096" s="38"/>
      <c r="AJ1096" s="38"/>
      <c r="AK1096" s="54">
        <f t="shared" si="773"/>
        <v>217.65000000004019</v>
      </c>
      <c r="AL1096" s="53"/>
      <c r="AM1096" s="53">
        <f t="shared" si="788"/>
        <v>0</v>
      </c>
      <c r="AN1096" s="38"/>
      <c r="AO1096" s="38"/>
      <c r="AP1096" s="38"/>
      <c r="AQ1096" s="54">
        <f t="shared" si="789"/>
        <v>0</v>
      </c>
      <c r="AR1096" s="53"/>
      <c r="AS1096" s="29">
        <f t="shared" si="774"/>
        <v>3933551.049999997</v>
      </c>
      <c r="AT1096" s="29">
        <f t="shared" si="775"/>
        <v>118258.47</v>
      </c>
      <c r="AU1096" s="29">
        <f t="shared" si="776"/>
        <v>0</v>
      </c>
      <c r="AV1096" s="29">
        <f t="shared" si="777"/>
        <v>-94413.6</v>
      </c>
      <c r="AW1096" s="29"/>
      <c r="AX1096" s="29">
        <f t="shared" si="778"/>
        <v>3957613.569999997</v>
      </c>
      <c r="AY1096" s="29">
        <f t="shared" si="779"/>
        <v>9300000</v>
      </c>
      <c r="AZ1096" s="29">
        <f t="shared" si="780"/>
        <v>13257613.569999997</v>
      </c>
    </row>
    <row r="1097" spans="2:52" x14ac:dyDescent="0.3">
      <c r="B1097" s="99">
        <f t="shared" si="782"/>
        <v>45700</v>
      </c>
      <c r="C1097" s="44">
        <f t="shared" si="791"/>
        <v>371927.77999999817</v>
      </c>
      <c r="D1097" s="38">
        <v>31737.35</v>
      </c>
      <c r="E1097" s="38">
        <f>380000+52436.5</f>
        <v>432436.5</v>
      </c>
      <c r="F1097" s="38">
        <f>-836926.23-39.78</f>
        <v>-836966.01</v>
      </c>
      <c r="G1097" s="45">
        <f t="shared" si="770"/>
        <v>-864.3800000018673</v>
      </c>
      <c r="H1097" s="44">
        <v>4300000</v>
      </c>
      <c r="I1097" s="46">
        <f t="shared" si="792"/>
        <v>3475462.1900000004</v>
      </c>
      <c r="J1097" s="38"/>
      <c r="K1097" s="38"/>
      <c r="L1097" s="38">
        <v>-61748.77</v>
      </c>
      <c r="M1097" s="47">
        <f t="shared" si="793"/>
        <v>3413713.4200000004</v>
      </c>
      <c r="N1097" s="46">
        <v>5000000</v>
      </c>
      <c r="O1097" s="48">
        <f t="shared" si="794"/>
        <v>109949.37999999951</v>
      </c>
      <c r="P1097" s="38">
        <f>201369.37+36847.54</f>
        <v>238216.91</v>
      </c>
      <c r="Q1097" s="38">
        <f>40800-380000</f>
        <v>-339200</v>
      </c>
      <c r="R1097" s="38">
        <v>-10</v>
      </c>
      <c r="S1097" s="55">
        <f t="shared" si="795"/>
        <v>8956.2899999995134</v>
      </c>
      <c r="T1097" s="48"/>
      <c r="U1097" s="49">
        <f t="shared" si="796"/>
        <v>26.19999999995343</v>
      </c>
      <c r="V1097" s="38">
        <v>40830.75</v>
      </c>
      <c r="W1097" s="38">
        <v>-40800</v>
      </c>
      <c r="X1097" s="38">
        <v>-1.5</v>
      </c>
      <c r="Y1097" s="51">
        <f t="shared" si="797"/>
        <v>55.449999999953434</v>
      </c>
      <c r="Z1097" s="52"/>
      <c r="AA1097" s="53">
        <f t="shared" si="798"/>
        <v>30.369999999189758</v>
      </c>
      <c r="AB1097" s="38"/>
      <c r="AC1097" s="38"/>
      <c r="AD1097" s="38"/>
      <c r="AE1097" s="54">
        <f t="shared" si="799"/>
        <v>30.369999999189758</v>
      </c>
      <c r="AF1097" s="53"/>
      <c r="AG1097" s="53">
        <f t="shared" si="772"/>
        <v>217.65000000004019</v>
      </c>
      <c r="AH1097" s="38"/>
      <c r="AI1097" s="38"/>
      <c r="AJ1097" s="38"/>
      <c r="AK1097" s="54">
        <f t="shared" si="773"/>
        <v>217.65000000004019</v>
      </c>
      <c r="AL1097" s="53"/>
      <c r="AM1097" s="53">
        <f t="shared" si="788"/>
        <v>0</v>
      </c>
      <c r="AN1097" s="38"/>
      <c r="AO1097" s="38"/>
      <c r="AP1097" s="38"/>
      <c r="AQ1097" s="54">
        <f t="shared" si="789"/>
        <v>0</v>
      </c>
      <c r="AR1097" s="53"/>
      <c r="AS1097" s="29">
        <f t="shared" si="774"/>
        <v>3957395.9199999971</v>
      </c>
      <c r="AT1097" s="29">
        <f t="shared" si="775"/>
        <v>310785.01</v>
      </c>
      <c r="AU1097" s="29">
        <f t="shared" si="776"/>
        <v>52436.5</v>
      </c>
      <c r="AV1097" s="29">
        <f t="shared" si="777"/>
        <v>-898726.28</v>
      </c>
      <c r="AW1097" s="29"/>
      <c r="AX1097" s="29">
        <f t="shared" si="778"/>
        <v>3422108.7999999975</v>
      </c>
      <c r="AY1097" s="29">
        <f t="shared" si="779"/>
        <v>9300000</v>
      </c>
      <c r="AZ1097" s="29">
        <f t="shared" si="780"/>
        <v>12722108.799999997</v>
      </c>
    </row>
    <row r="1098" spans="2:52" x14ac:dyDescent="0.3">
      <c r="B1098" s="99">
        <f t="shared" si="782"/>
        <v>45701</v>
      </c>
      <c r="C1098" s="44">
        <f t="shared" si="791"/>
        <v>-864.3800000018673</v>
      </c>
      <c r="D1098" s="38"/>
      <c r="E1098" s="38">
        <v>100000</v>
      </c>
      <c r="F1098" s="38">
        <v>-21060.22</v>
      </c>
      <c r="G1098" s="45">
        <f t="shared" si="770"/>
        <v>78075.399999998132</v>
      </c>
      <c r="H1098" s="44">
        <v>4300000</v>
      </c>
      <c r="I1098" s="46">
        <f t="shared" si="792"/>
        <v>3413713.4200000004</v>
      </c>
      <c r="J1098" s="38"/>
      <c r="K1098" s="38">
        <v>-100000</v>
      </c>
      <c r="L1098" s="38">
        <v>-55608.99</v>
      </c>
      <c r="M1098" s="47">
        <f t="shared" si="793"/>
        <v>3258104.43</v>
      </c>
      <c r="N1098" s="46">
        <v>5000000</v>
      </c>
      <c r="O1098" s="48">
        <f t="shared" si="794"/>
        <v>8956.2899999995134</v>
      </c>
      <c r="P1098" s="38">
        <v>315408.26</v>
      </c>
      <c r="Q1098" s="38"/>
      <c r="R1098" s="38"/>
      <c r="S1098" s="55">
        <f t="shared" si="795"/>
        <v>324364.54999999952</v>
      </c>
      <c r="T1098" s="48"/>
      <c r="U1098" s="49">
        <f t="shared" si="796"/>
        <v>55.449999999953434</v>
      </c>
      <c r="V1098" s="38"/>
      <c r="W1098" s="38"/>
      <c r="X1098" s="38"/>
      <c r="Y1098" s="51">
        <f t="shared" si="797"/>
        <v>55.449999999953434</v>
      </c>
      <c r="Z1098" s="52"/>
      <c r="AA1098" s="53">
        <f t="shared" si="798"/>
        <v>30.369999999189758</v>
      </c>
      <c r="AB1098" s="38"/>
      <c r="AC1098" s="38"/>
      <c r="AD1098" s="38"/>
      <c r="AE1098" s="54">
        <f t="shared" si="799"/>
        <v>30.369999999189758</v>
      </c>
      <c r="AF1098" s="53"/>
      <c r="AG1098" s="53">
        <f t="shared" si="772"/>
        <v>217.65000000004019</v>
      </c>
      <c r="AH1098" s="38"/>
      <c r="AI1098" s="38"/>
      <c r="AJ1098" s="38"/>
      <c r="AK1098" s="54">
        <f t="shared" si="773"/>
        <v>217.65000000004019</v>
      </c>
      <c r="AL1098" s="53"/>
      <c r="AM1098" s="53">
        <f t="shared" si="788"/>
        <v>0</v>
      </c>
      <c r="AN1098" s="38"/>
      <c r="AO1098" s="38"/>
      <c r="AP1098" s="38"/>
      <c r="AQ1098" s="54">
        <f t="shared" si="789"/>
        <v>0</v>
      </c>
      <c r="AR1098" s="53"/>
      <c r="AS1098" s="29">
        <f t="shared" si="774"/>
        <v>3421891.1499999976</v>
      </c>
      <c r="AT1098" s="29">
        <f t="shared" si="775"/>
        <v>315408.26</v>
      </c>
      <c r="AU1098" s="29">
        <f t="shared" si="776"/>
        <v>0</v>
      </c>
      <c r="AV1098" s="29">
        <f t="shared" si="777"/>
        <v>-76669.209999999992</v>
      </c>
      <c r="AW1098" s="29"/>
      <c r="AX1098" s="29">
        <f t="shared" si="778"/>
        <v>3660847.8499999964</v>
      </c>
      <c r="AY1098" s="29">
        <f t="shared" si="779"/>
        <v>9300000</v>
      </c>
      <c r="AZ1098" s="29">
        <f t="shared" si="780"/>
        <v>12960847.849999996</v>
      </c>
    </row>
    <row r="1099" spans="2:52" x14ac:dyDescent="0.3">
      <c r="B1099" s="99">
        <f t="shared" si="782"/>
        <v>45702</v>
      </c>
      <c r="C1099" s="44">
        <f t="shared" si="791"/>
        <v>78075.399999998132</v>
      </c>
      <c r="D1099" s="38"/>
      <c r="E1099" s="38"/>
      <c r="F1099" s="38">
        <v>-3734.63</v>
      </c>
      <c r="G1099" s="45">
        <f t="shared" si="770"/>
        <v>74340.769999998127</v>
      </c>
      <c r="H1099" s="44">
        <v>4300000</v>
      </c>
      <c r="I1099" s="46">
        <f t="shared" si="792"/>
        <v>3258104.43</v>
      </c>
      <c r="J1099" s="38"/>
      <c r="K1099" s="38">
        <v>400000</v>
      </c>
      <c r="L1099" s="38">
        <v>-25029.85</v>
      </c>
      <c r="M1099" s="47">
        <f t="shared" si="793"/>
        <v>3633074.58</v>
      </c>
      <c r="N1099" s="46">
        <v>5000000</v>
      </c>
      <c r="O1099" s="48">
        <f t="shared" si="794"/>
        <v>324364.54999999952</v>
      </c>
      <c r="P1099" s="38">
        <v>76392.929999999993</v>
      </c>
      <c r="Q1099" s="38">
        <v>-400000</v>
      </c>
      <c r="R1099" s="38">
        <v>-10</v>
      </c>
      <c r="S1099" s="55">
        <f t="shared" si="795"/>
        <v>747.47999999951571</v>
      </c>
      <c r="T1099" s="48"/>
      <c r="U1099" s="49">
        <f t="shared" si="796"/>
        <v>55.449999999953434</v>
      </c>
      <c r="V1099" s="38"/>
      <c r="W1099" s="38"/>
      <c r="X1099" s="38"/>
      <c r="Y1099" s="51">
        <f t="shared" si="797"/>
        <v>55.449999999953434</v>
      </c>
      <c r="Z1099" s="52"/>
      <c r="AA1099" s="53">
        <f t="shared" si="798"/>
        <v>30.369999999189758</v>
      </c>
      <c r="AB1099" s="38"/>
      <c r="AC1099" s="38"/>
      <c r="AD1099" s="38"/>
      <c r="AE1099" s="54">
        <f t="shared" si="799"/>
        <v>30.369999999189758</v>
      </c>
      <c r="AF1099" s="53"/>
      <c r="AG1099" s="53">
        <f t="shared" si="772"/>
        <v>217.65000000004019</v>
      </c>
      <c r="AH1099" s="38"/>
      <c r="AI1099" s="38"/>
      <c r="AJ1099" s="38"/>
      <c r="AK1099" s="54">
        <f t="shared" si="773"/>
        <v>217.65000000004019</v>
      </c>
      <c r="AL1099" s="53"/>
      <c r="AM1099" s="53">
        <f t="shared" si="788"/>
        <v>0</v>
      </c>
      <c r="AN1099" s="38"/>
      <c r="AO1099" s="38"/>
      <c r="AP1099" s="38"/>
      <c r="AQ1099" s="54">
        <f t="shared" si="789"/>
        <v>0</v>
      </c>
      <c r="AR1099" s="53"/>
      <c r="AS1099" s="29">
        <f t="shared" si="774"/>
        <v>3660630.1999999965</v>
      </c>
      <c r="AT1099" s="29">
        <f t="shared" si="775"/>
        <v>76392.929999999993</v>
      </c>
      <c r="AU1099" s="29">
        <f t="shared" si="776"/>
        <v>0</v>
      </c>
      <c r="AV1099" s="29">
        <f t="shared" si="777"/>
        <v>-28774.48</v>
      </c>
      <c r="AW1099" s="29"/>
      <c r="AX1099" s="29">
        <f t="shared" si="778"/>
        <v>3708466.2999999966</v>
      </c>
      <c r="AY1099" s="29">
        <f t="shared" si="779"/>
        <v>9300000</v>
      </c>
      <c r="AZ1099" s="29">
        <f t="shared" si="780"/>
        <v>13008466.299999997</v>
      </c>
    </row>
    <row r="1100" spans="2:52" x14ac:dyDescent="0.3">
      <c r="B1100" s="99">
        <f t="shared" ref="B1100" si="803">B1099+3</f>
        <v>45705</v>
      </c>
      <c r="C1100" s="44">
        <f t="shared" si="791"/>
        <v>74340.769999998127</v>
      </c>
      <c r="D1100" s="38">
        <v>33708.949999999997</v>
      </c>
      <c r="E1100" s="38"/>
      <c r="F1100" s="38">
        <v>-17280.86</v>
      </c>
      <c r="G1100" s="45">
        <f t="shared" si="770"/>
        <v>90768.859999998123</v>
      </c>
      <c r="H1100" s="44">
        <v>4300000</v>
      </c>
      <c r="I1100" s="46">
        <f t="shared" si="792"/>
        <v>3633074.58</v>
      </c>
      <c r="J1100" s="38"/>
      <c r="K1100" s="38"/>
      <c r="L1100" s="38">
        <v>-116354.94</v>
      </c>
      <c r="M1100" s="47">
        <f t="shared" si="793"/>
        <v>3516719.64</v>
      </c>
      <c r="N1100" s="46">
        <v>5000000</v>
      </c>
      <c r="O1100" s="48">
        <f t="shared" si="794"/>
        <v>747.47999999951571</v>
      </c>
      <c r="P1100" s="38"/>
      <c r="Q1100" s="38"/>
      <c r="R1100" s="38"/>
      <c r="S1100" s="55">
        <f t="shared" si="795"/>
        <v>747.47999999951571</v>
      </c>
      <c r="T1100" s="48"/>
      <c r="U1100" s="49">
        <f t="shared" si="796"/>
        <v>55.449999999953434</v>
      </c>
      <c r="V1100" s="38"/>
      <c r="W1100" s="38"/>
      <c r="X1100" s="38"/>
      <c r="Y1100" s="51">
        <f t="shared" si="797"/>
        <v>55.449999999953434</v>
      </c>
      <c r="Z1100" s="52"/>
      <c r="AA1100" s="53">
        <f t="shared" si="798"/>
        <v>30.369999999189758</v>
      </c>
      <c r="AB1100" s="38"/>
      <c r="AC1100" s="38"/>
      <c r="AD1100" s="38"/>
      <c r="AE1100" s="54">
        <f t="shared" si="799"/>
        <v>30.369999999189758</v>
      </c>
      <c r="AF1100" s="53"/>
      <c r="AG1100" s="53">
        <f t="shared" si="772"/>
        <v>217.65000000004019</v>
      </c>
      <c r="AH1100" s="38"/>
      <c r="AI1100" s="38"/>
      <c r="AJ1100" s="38"/>
      <c r="AK1100" s="54">
        <f t="shared" si="773"/>
        <v>217.65000000004019</v>
      </c>
      <c r="AL1100" s="53"/>
      <c r="AM1100" s="53">
        <f t="shared" si="788"/>
        <v>0</v>
      </c>
      <c r="AN1100" s="38"/>
      <c r="AO1100" s="38"/>
      <c r="AP1100" s="38"/>
      <c r="AQ1100" s="54">
        <f t="shared" si="789"/>
        <v>0</v>
      </c>
      <c r="AR1100" s="53"/>
      <c r="AS1100" s="29">
        <f t="shared" si="774"/>
        <v>3708248.6499999966</v>
      </c>
      <c r="AT1100" s="29">
        <f t="shared" si="775"/>
        <v>33708.949999999997</v>
      </c>
      <c r="AU1100" s="29">
        <f t="shared" si="776"/>
        <v>0</v>
      </c>
      <c r="AV1100" s="29">
        <f t="shared" si="777"/>
        <v>-133635.79999999999</v>
      </c>
      <c r="AW1100" s="29"/>
      <c r="AX1100" s="29">
        <f t="shared" si="778"/>
        <v>3608539.4499999969</v>
      </c>
      <c r="AY1100" s="29">
        <f t="shared" si="779"/>
        <v>9300000</v>
      </c>
      <c r="AZ1100" s="29">
        <f t="shared" si="780"/>
        <v>12908539.449999997</v>
      </c>
    </row>
    <row r="1101" spans="2:52" x14ac:dyDescent="0.3">
      <c r="B1101" s="99">
        <f t="shared" si="782"/>
        <v>45706</v>
      </c>
      <c r="C1101" s="44">
        <f t="shared" si="791"/>
        <v>90768.859999998123</v>
      </c>
      <c r="D1101" s="38"/>
      <c r="E1101" s="38"/>
      <c r="F1101" s="38">
        <v>-1902.5</v>
      </c>
      <c r="G1101" s="45">
        <f t="shared" si="770"/>
        <v>88866.359999998123</v>
      </c>
      <c r="H1101" s="44">
        <v>4300000</v>
      </c>
      <c r="I1101" s="46">
        <f t="shared" si="792"/>
        <v>3516719.64</v>
      </c>
      <c r="J1101" s="38"/>
      <c r="K1101" s="38"/>
      <c r="L1101" s="38">
        <v>-3218853.02</v>
      </c>
      <c r="M1101" s="47">
        <f t="shared" si="793"/>
        <v>297866.62000000011</v>
      </c>
      <c r="N1101" s="46">
        <v>5000000</v>
      </c>
      <c r="O1101" s="48">
        <f t="shared" si="794"/>
        <v>747.47999999951571</v>
      </c>
      <c r="P1101" s="38"/>
      <c r="Q1101" s="38"/>
      <c r="R1101" s="38"/>
      <c r="S1101" s="55">
        <f t="shared" si="795"/>
        <v>747.47999999951571</v>
      </c>
      <c r="T1101" s="48"/>
      <c r="U1101" s="49">
        <f t="shared" si="796"/>
        <v>55.449999999953434</v>
      </c>
      <c r="V1101" s="38"/>
      <c r="W1101" s="38"/>
      <c r="X1101" s="38"/>
      <c r="Y1101" s="51">
        <f t="shared" si="797"/>
        <v>55.449999999953434</v>
      </c>
      <c r="Z1101" s="52"/>
      <c r="AA1101" s="53">
        <f t="shared" si="798"/>
        <v>30.369999999189758</v>
      </c>
      <c r="AB1101" s="38"/>
      <c r="AC1101" s="38"/>
      <c r="AD1101" s="38"/>
      <c r="AE1101" s="54">
        <f t="shared" si="799"/>
        <v>30.369999999189758</v>
      </c>
      <c r="AF1101" s="53"/>
      <c r="AG1101" s="53">
        <f t="shared" si="772"/>
        <v>217.65000000004019</v>
      </c>
      <c r="AH1101" s="38"/>
      <c r="AI1101" s="38"/>
      <c r="AJ1101" s="38"/>
      <c r="AK1101" s="54">
        <f t="shared" si="773"/>
        <v>217.65000000004019</v>
      </c>
      <c r="AL1101" s="53"/>
      <c r="AM1101" s="53">
        <f t="shared" si="788"/>
        <v>0</v>
      </c>
      <c r="AN1101" s="38"/>
      <c r="AO1101" s="38"/>
      <c r="AP1101" s="38"/>
      <c r="AQ1101" s="54">
        <f t="shared" si="789"/>
        <v>0</v>
      </c>
      <c r="AR1101" s="53"/>
      <c r="AS1101" s="29">
        <f t="shared" si="774"/>
        <v>3608321.799999997</v>
      </c>
      <c r="AT1101" s="29">
        <f t="shared" si="775"/>
        <v>0</v>
      </c>
      <c r="AU1101" s="29">
        <f t="shared" si="776"/>
        <v>0</v>
      </c>
      <c r="AV1101" s="29">
        <f t="shared" si="777"/>
        <v>-3220755.52</v>
      </c>
      <c r="AW1101" s="29"/>
      <c r="AX1101" s="29">
        <f t="shared" si="778"/>
        <v>387783.92999999691</v>
      </c>
      <c r="AY1101" s="29">
        <f t="shared" si="779"/>
        <v>9300000</v>
      </c>
      <c r="AZ1101" s="29">
        <f t="shared" si="780"/>
        <v>9687783.929999996</v>
      </c>
    </row>
    <row r="1102" spans="2:52" x14ac:dyDescent="0.3">
      <c r="B1102" s="99">
        <f t="shared" si="782"/>
        <v>45707</v>
      </c>
      <c r="C1102" s="44">
        <f t="shared" si="791"/>
        <v>88866.359999998123</v>
      </c>
      <c r="D1102" s="38">
        <v>85466.4</v>
      </c>
      <c r="E1102" s="38"/>
      <c r="F1102" s="38"/>
      <c r="G1102" s="45">
        <f t="shared" si="770"/>
        <v>174332.75999999812</v>
      </c>
      <c r="H1102" s="44">
        <v>4300000</v>
      </c>
      <c r="I1102" s="46">
        <f t="shared" si="792"/>
        <v>297866.62000000011</v>
      </c>
      <c r="J1102" s="38"/>
      <c r="K1102" s="38"/>
      <c r="L1102" s="38">
        <v>-31540.66</v>
      </c>
      <c r="M1102" s="47">
        <f t="shared" si="793"/>
        <v>266325.96000000014</v>
      </c>
      <c r="N1102" s="46">
        <v>5000000</v>
      </c>
      <c r="O1102" s="48">
        <f t="shared" si="794"/>
        <v>747.47999999951571</v>
      </c>
      <c r="P1102" s="38"/>
      <c r="Q1102" s="38"/>
      <c r="R1102" s="38"/>
      <c r="S1102" s="55">
        <f t="shared" si="795"/>
        <v>747.47999999951571</v>
      </c>
      <c r="T1102" s="48"/>
      <c r="U1102" s="49">
        <f t="shared" si="796"/>
        <v>55.449999999953434</v>
      </c>
      <c r="V1102" s="38"/>
      <c r="W1102" s="38"/>
      <c r="X1102" s="38"/>
      <c r="Y1102" s="51">
        <f t="shared" si="797"/>
        <v>55.449999999953434</v>
      </c>
      <c r="Z1102" s="52"/>
      <c r="AA1102" s="53">
        <f t="shared" si="798"/>
        <v>30.369999999189758</v>
      </c>
      <c r="AB1102" s="38"/>
      <c r="AC1102" s="38"/>
      <c r="AD1102" s="38"/>
      <c r="AE1102" s="54">
        <f t="shared" si="799"/>
        <v>30.369999999189758</v>
      </c>
      <c r="AF1102" s="53"/>
      <c r="AG1102" s="53">
        <f t="shared" si="772"/>
        <v>217.65000000004019</v>
      </c>
      <c r="AH1102" s="38">
        <v>23424.959999999999</v>
      </c>
      <c r="AI1102" s="38"/>
      <c r="AJ1102" s="38"/>
      <c r="AK1102" s="54">
        <f t="shared" si="773"/>
        <v>23642.610000000041</v>
      </c>
      <c r="AL1102" s="53"/>
      <c r="AM1102" s="53">
        <f t="shared" si="788"/>
        <v>0</v>
      </c>
      <c r="AN1102" s="38"/>
      <c r="AO1102" s="38"/>
      <c r="AP1102" s="38"/>
      <c r="AQ1102" s="54">
        <f t="shared" si="789"/>
        <v>0</v>
      </c>
      <c r="AR1102" s="53"/>
      <c r="AS1102" s="29">
        <f t="shared" si="774"/>
        <v>387566.27999999688</v>
      </c>
      <c r="AT1102" s="29">
        <f t="shared" si="775"/>
        <v>108891.35999999999</v>
      </c>
      <c r="AU1102" s="29">
        <f t="shared" si="776"/>
        <v>0</v>
      </c>
      <c r="AV1102" s="29">
        <f t="shared" si="777"/>
        <v>-31540.66</v>
      </c>
      <c r="AW1102" s="29"/>
      <c r="AX1102" s="29">
        <f t="shared" si="778"/>
        <v>465134.62999999692</v>
      </c>
      <c r="AY1102" s="29">
        <f t="shared" si="779"/>
        <v>9300000</v>
      </c>
      <c r="AZ1102" s="29">
        <f t="shared" si="780"/>
        <v>9765134.6299999971</v>
      </c>
    </row>
    <row r="1103" spans="2:52" x14ac:dyDescent="0.3">
      <c r="B1103" s="99">
        <f t="shared" si="782"/>
        <v>45708</v>
      </c>
      <c r="C1103" s="44">
        <f t="shared" si="791"/>
        <v>174332.75999999812</v>
      </c>
      <c r="D1103" s="38">
        <f>43972.47+25384.55+57604.16</f>
        <v>126961.18000000001</v>
      </c>
      <c r="E1103" s="38"/>
      <c r="F1103" s="38">
        <v>-735747.1</v>
      </c>
      <c r="G1103" s="45">
        <f t="shared" si="770"/>
        <v>-434453.16000000184</v>
      </c>
      <c r="H1103" s="44">
        <v>4300000</v>
      </c>
      <c r="I1103" s="46">
        <f t="shared" si="792"/>
        <v>266325.96000000014</v>
      </c>
      <c r="J1103" s="38">
        <f>320010.22+115434.23+21144.4+42016.82</f>
        <v>498605.67</v>
      </c>
      <c r="K1103" s="38">
        <v>23000</v>
      </c>
      <c r="L1103" s="38">
        <v>-51238.75</v>
      </c>
      <c r="M1103" s="47">
        <f t="shared" si="793"/>
        <v>736692.88000000012</v>
      </c>
      <c r="N1103" s="46">
        <v>5000000</v>
      </c>
      <c r="O1103" s="48">
        <f t="shared" si="794"/>
        <v>747.47999999951571</v>
      </c>
      <c r="P1103" s="38">
        <f>70248.43+691205.5</f>
        <v>761453.92999999993</v>
      </c>
      <c r="Q1103" s="38"/>
      <c r="R1103" s="38"/>
      <c r="S1103" s="55">
        <f t="shared" si="795"/>
        <v>762201.40999999945</v>
      </c>
      <c r="T1103" s="48"/>
      <c r="U1103" s="49">
        <f t="shared" si="796"/>
        <v>55.449999999953434</v>
      </c>
      <c r="V1103" s="38"/>
      <c r="W1103" s="38"/>
      <c r="X1103" s="38"/>
      <c r="Y1103" s="51">
        <f t="shared" si="797"/>
        <v>55.449999999953434</v>
      </c>
      <c r="Z1103" s="52"/>
      <c r="AA1103" s="53">
        <f t="shared" si="798"/>
        <v>30.369999999189758</v>
      </c>
      <c r="AB1103" s="38">
        <v>287980.58</v>
      </c>
      <c r="AC1103" s="38"/>
      <c r="AD1103" s="38">
        <v>-345</v>
      </c>
      <c r="AE1103" s="54">
        <f t="shared" si="799"/>
        <v>287665.9499999992</v>
      </c>
      <c r="AF1103" s="53"/>
      <c r="AG1103" s="53">
        <f t="shared" si="772"/>
        <v>23642.610000000041</v>
      </c>
      <c r="AH1103" s="38"/>
      <c r="AI1103" s="38">
        <v>-23000</v>
      </c>
      <c r="AJ1103" s="38"/>
      <c r="AK1103" s="54">
        <f t="shared" si="773"/>
        <v>642.6100000000406</v>
      </c>
      <c r="AL1103" s="53"/>
      <c r="AM1103" s="53">
        <f t="shared" si="788"/>
        <v>0</v>
      </c>
      <c r="AN1103" s="38"/>
      <c r="AO1103" s="38"/>
      <c r="AP1103" s="38"/>
      <c r="AQ1103" s="54">
        <f t="shared" si="789"/>
        <v>0</v>
      </c>
      <c r="AR1103" s="53"/>
      <c r="AS1103" s="29">
        <f t="shared" si="774"/>
        <v>441492.01999999688</v>
      </c>
      <c r="AT1103" s="29">
        <f t="shared" si="775"/>
        <v>1675001.3599999999</v>
      </c>
      <c r="AU1103" s="29">
        <f t="shared" si="776"/>
        <v>0</v>
      </c>
      <c r="AV1103" s="29">
        <f t="shared" si="777"/>
        <v>-787330.85</v>
      </c>
      <c r="AW1103" s="29"/>
      <c r="AX1103" s="29">
        <f t="shared" si="778"/>
        <v>1352805.1399999971</v>
      </c>
      <c r="AY1103" s="29">
        <f t="shared" si="779"/>
        <v>9300000</v>
      </c>
      <c r="AZ1103" s="29">
        <f t="shared" si="780"/>
        <v>10652805.139999997</v>
      </c>
    </row>
    <row r="1104" spans="2:52" x14ac:dyDescent="0.3">
      <c r="B1104" s="99">
        <f t="shared" si="782"/>
        <v>45709</v>
      </c>
      <c r="C1104" s="44">
        <f t="shared" si="791"/>
        <v>-434453.16000000184</v>
      </c>
      <c r="D1104" s="38">
        <v>131707.16</v>
      </c>
      <c r="E1104" s="38">
        <v>840000</v>
      </c>
      <c r="F1104" s="38">
        <v>-3032.28</v>
      </c>
      <c r="G1104" s="45">
        <f t="shared" si="770"/>
        <v>534221.71999999811</v>
      </c>
      <c r="H1104" s="44">
        <v>4300000</v>
      </c>
      <c r="I1104" s="46">
        <f t="shared" si="792"/>
        <v>736692.88000000012</v>
      </c>
      <c r="J1104" s="38"/>
      <c r="K1104" s="38">
        <v>287000</v>
      </c>
      <c r="L1104" s="38">
        <v>-118916.76</v>
      </c>
      <c r="M1104" s="47">
        <f t="shared" si="793"/>
        <v>904776.12000000011</v>
      </c>
      <c r="N1104" s="46">
        <v>5000000</v>
      </c>
      <c r="O1104" s="48">
        <f t="shared" si="794"/>
        <v>762201.40999999945</v>
      </c>
      <c r="P1104" s="38">
        <f>7364.3+79220</f>
        <v>86584.3</v>
      </c>
      <c r="Q1104" s="38">
        <v>-840000</v>
      </c>
      <c r="R1104" s="38">
        <v>-10</v>
      </c>
      <c r="S1104" s="55">
        <f t="shared" si="795"/>
        <v>8775.7099999994971</v>
      </c>
      <c r="T1104" s="48"/>
      <c r="U1104" s="49">
        <f t="shared" si="796"/>
        <v>55.449999999953434</v>
      </c>
      <c r="V1104" s="38"/>
      <c r="W1104" s="38"/>
      <c r="X1104" s="38"/>
      <c r="Y1104" s="51">
        <f t="shared" si="797"/>
        <v>55.449999999953434</v>
      </c>
      <c r="Z1104" s="52"/>
      <c r="AA1104" s="53">
        <f t="shared" si="798"/>
        <v>287665.9499999992</v>
      </c>
      <c r="AB1104" s="38"/>
      <c r="AC1104" s="38">
        <v>-287000</v>
      </c>
      <c r="AD1104" s="38"/>
      <c r="AE1104" s="54">
        <f t="shared" si="799"/>
        <v>665.94999999919673</v>
      </c>
      <c r="AF1104" s="53"/>
      <c r="AG1104" s="53">
        <f t="shared" si="772"/>
        <v>642.6100000000406</v>
      </c>
      <c r="AH1104" s="38"/>
      <c r="AI1104" s="38"/>
      <c r="AJ1104" s="38">
        <v>-9.9</v>
      </c>
      <c r="AK1104" s="54">
        <f t="shared" si="773"/>
        <v>632.71000000004062</v>
      </c>
      <c r="AL1104" s="53"/>
      <c r="AM1104" s="53">
        <f t="shared" si="788"/>
        <v>0</v>
      </c>
      <c r="AN1104" s="38"/>
      <c r="AO1104" s="38"/>
      <c r="AP1104" s="38"/>
      <c r="AQ1104" s="54">
        <f t="shared" si="789"/>
        <v>0</v>
      </c>
      <c r="AR1104" s="53"/>
      <c r="AS1104" s="29">
        <f t="shared" si="774"/>
        <v>1352162.529999997</v>
      </c>
      <c r="AT1104" s="29">
        <f t="shared" si="775"/>
        <v>218291.46000000002</v>
      </c>
      <c r="AU1104" s="29">
        <f t="shared" si="776"/>
        <v>0</v>
      </c>
      <c r="AV1104" s="29">
        <f t="shared" si="777"/>
        <v>-121968.93999999999</v>
      </c>
      <c r="AW1104" s="29"/>
      <c r="AX1104" s="29">
        <f t="shared" si="778"/>
        <v>1449127.6599999969</v>
      </c>
      <c r="AY1104" s="29">
        <f t="shared" si="779"/>
        <v>9300000</v>
      </c>
      <c r="AZ1104" s="29">
        <f t="shared" si="780"/>
        <v>10749127.659999996</v>
      </c>
    </row>
    <row r="1105" spans="2:52" x14ac:dyDescent="0.3">
      <c r="B1105" s="99">
        <f t="shared" ref="B1105" si="804">B1104+3</f>
        <v>45712</v>
      </c>
      <c r="C1105" s="44">
        <f t="shared" si="791"/>
        <v>534221.71999999811</v>
      </c>
      <c r="D1105" s="38">
        <v>1123125.46</v>
      </c>
      <c r="E1105" s="38"/>
      <c r="F1105" s="38"/>
      <c r="G1105" s="45">
        <f t="shared" si="770"/>
        <v>1657347.1799999981</v>
      </c>
      <c r="H1105" s="44">
        <v>4300000</v>
      </c>
      <c r="I1105" s="46">
        <f t="shared" si="792"/>
        <v>904776.12000000011</v>
      </c>
      <c r="J1105" s="38"/>
      <c r="K1105" s="38"/>
      <c r="L1105" s="38">
        <v>-149545.18</v>
      </c>
      <c r="M1105" s="47">
        <f t="shared" si="793"/>
        <v>755230.94000000018</v>
      </c>
      <c r="N1105" s="46">
        <v>5000000</v>
      </c>
      <c r="O1105" s="48">
        <f t="shared" si="794"/>
        <v>8775.7099999994971</v>
      </c>
      <c r="P1105" s="38">
        <v>34440.629999999997</v>
      </c>
      <c r="Q1105" s="38"/>
      <c r="R1105" s="38"/>
      <c r="S1105" s="55">
        <f t="shared" si="795"/>
        <v>43216.339999999494</v>
      </c>
      <c r="T1105" s="48"/>
      <c r="U1105" s="49">
        <f t="shared" si="796"/>
        <v>55.449999999953434</v>
      </c>
      <c r="V1105" s="38"/>
      <c r="W1105" s="38"/>
      <c r="X1105" s="38"/>
      <c r="Y1105" s="51">
        <f t="shared" si="797"/>
        <v>55.449999999953434</v>
      </c>
      <c r="Z1105" s="52"/>
      <c r="AA1105" s="53">
        <f t="shared" si="798"/>
        <v>665.94999999919673</v>
      </c>
      <c r="AB1105" s="38"/>
      <c r="AC1105" s="38"/>
      <c r="AD1105" s="38"/>
      <c r="AE1105" s="54">
        <f t="shared" si="799"/>
        <v>665.94999999919673</v>
      </c>
      <c r="AF1105" s="53"/>
      <c r="AG1105" s="53">
        <f t="shared" si="772"/>
        <v>632.71000000004062</v>
      </c>
      <c r="AH1105" s="38"/>
      <c r="AI1105" s="38"/>
      <c r="AJ1105" s="38"/>
      <c r="AK1105" s="54">
        <f t="shared" si="773"/>
        <v>632.71000000004062</v>
      </c>
      <c r="AL1105" s="53"/>
      <c r="AM1105" s="53">
        <f t="shared" si="788"/>
        <v>0</v>
      </c>
      <c r="AN1105" s="38"/>
      <c r="AO1105" s="38"/>
      <c r="AP1105" s="38"/>
      <c r="AQ1105" s="54">
        <f t="shared" si="789"/>
        <v>0</v>
      </c>
      <c r="AR1105" s="53"/>
      <c r="AS1105" s="29">
        <f t="shared" si="774"/>
        <v>1448494.9499999969</v>
      </c>
      <c r="AT1105" s="29">
        <f t="shared" si="775"/>
        <v>1157566.0899999999</v>
      </c>
      <c r="AU1105" s="29">
        <f t="shared" si="776"/>
        <v>0</v>
      </c>
      <c r="AV1105" s="29">
        <f t="shared" si="777"/>
        <v>-149545.18</v>
      </c>
      <c r="AW1105" s="29"/>
      <c r="AX1105" s="29">
        <f t="shared" si="778"/>
        <v>2457148.5699999966</v>
      </c>
      <c r="AY1105" s="29">
        <f t="shared" si="779"/>
        <v>9300000</v>
      </c>
      <c r="AZ1105" s="29">
        <f t="shared" si="780"/>
        <v>11757148.569999997</v>
      </c>
    </row>
    <row r="1106" spans="2:52" x14ac:dyDescent="0.3">
      <c r="B1106" s="99">
        <f t="shared" si="782"/>
        <v>45713</v>
      </c>
      <c r="C1106" s="44">
        <f t="shared" si="791"/>
        <v>1657347.1799999981</v>
      </c>
      <c r="D1106" s="38">
        <v>2376.73</v>
      </c>
      <c r="E1106" s="38"/>
      <c r="F1106" s="38">
        <f>-1333227.22-53900.18</f>
        <v>-1387127.4</v>
      </c>
      <c r="G1106" s="45">
        <f t="shared" si="770"/>
        <v>272596.50999999815</v>
      </c>
      <c r="H1106" s="44">
        <v>4300000</v>
      </c>
      <c r="I1106" s="46">
        <f t="shared" si="792"/>
        <v>755230.94000000018</v>
      </c>
      <c r="J1106" s="38"/>
      <c r="K1106" s="38">
        <v>630000</v>
      </c>
      <c r="L1106" s="38">
        <v>-129711.08</v>
      </c>
      <c r="M1106" s="47">
        <f t="shared" si="793"/>
        <v>1255519.8600000001</v>
      </c>
      <c r="N1106" s="46">
        <v>5000000</v>
      </c>
      <c r="O1106" s="48">
        <f t="shared" si="794"/>
        <v>43216.339999999494</v>
      </c>
      <c r="P1106" s="38">
        <f>238216.91+353552.52</f>
        <v>591769.43000000005</v>
      </c>
      <c r="Q1106" s="38">
        <v>-630000</v>
      </c>
      <c r="R1106" s="38">
        <f>-480-64.8-128.9-10</f>
        <v>-683.69999999999993</v>
      </c>
      <c r="S1106" s="55">
        <f t="shared" si="795"/>
        <v>4302.0699999995531</v>
      </c>
      <c r="T1106" s="48"/>
      <c r="U1106" s="49">
        <f t="shared" si="796"/>
        <v>55.449999999953434</v>
      </c>
      <c r="V1106" s="38"/>
      <c r="W1106" s="38"/>
      <c r="X1106" s="38"/>
      <c r="Y1106" s="51">
        <f t="shared" si="797"/>
        <v>55.449999999953434</v>
      </c>
      <c r="Z1106" s="52"/>
      <c r="AA1106" s="53">
        <f t="shared" si="798"/>
        <v>665.94999999919673</v>
      </c>
      <c r="AB1106" s="38"/>
      <c r="AC1106" s="38"/>
      <c r="AD1106" s="38"/>
      <c r="AE1106" s="54">
        <f t="shared" si="799"/>
        <v>665.94999999919673</v>
      </c>
      <c r="AF1106" s="53"/>
      <c r="AG1106" s="53">
        <f t="shared" si="772"/>
        <v>632.71000000004062</v>
      </c>
      <c r="AH1106" s="38"/>
      <c r="AI1106" s="38"/>
      <c r="AJ1106" s="38"/>
      <c r="AK1106" s="54">
        <f t="shared" si="773"/>
        <v>632.71000000004062</v>
      </c>
      <c r="AL1106" s="53"/>
      <c r="AM1106" s="53">
        <f t="shared" si="788"/>
        <v>0</v>
      </c>
      <c r="AN1106" s="38"/>
      <c r="AO1106" s="38"/>
      <c r="AP1106" s="38"/>
      <c r="AQ1106" s="54">
        <f t="shared" si="789"/>
        <v>0</v>
      </c>
      <c r="AR1106" s="53"/>
      <c r="AS1106" s="29">
        <f t="shared" si="774"/>
        <v>2456515.8599999966</v>
      </c>
      <c r="AT1106" s="29">
        <f t="shared" si="775"/>
        <v>594146.16</v>
      </c>
      <c r="AU1106" s="29">
        <f t="shared" si="776"/>
        <v>0</v>
      </c>
      <c r="AV1106" s="29">
        <f t="shared" si="777"/>
        <v>-1517522.18</v>
      </c>
      <c r="AW1106" s="29"/>
      <c r="AX1106" s="29">
        <f t="shared" si="778"/>
        <v>1533772.549999997</v>
      </c>
      <c r="AY1106" s="29">
        <f t="shared" si="779"/>
        <v>9300000</v>
      </c>
      <c r="AZ1106" s="29">
        <f t="shared" si="780"/>
        <v>10833772.549999997</v>
      </c>
    </row>
    <row r="1107" spans="2:52" x14ac:dyDescent="0.3">
      <c r="B1107" s="99">
        <f t="shared" si="782"/>
        <v>45714</v>
      </c>
      <c r="C1107" s="44">
        <f t="shared" si="791"/>
        <v>272596.50999999815</v>
      </c>
      <c r="D1107" s="38">
        <f>82852.01+82852.01+37391.04+1706.07</f>
        <v>204801.13</v>
      </c>
      <c r="E1107" s="38"/>
      <c r="F1107" s="38">
        <v>-1948.4</v>
      </c>
      <c r="G1107" s="45">
        <f t="shared" si="770"/>
        <v>475449.23999999813</v>
      </c>
      <c r="H1107" s="44">
        <v>4300000</v>
      </c>
      <c r="I1107" s="46">
        <f t="shared" si="792"/>
        <v>1255519.8600000001</v>
      </c>
      <c r="J1107" s="38">
        <v>9755.7000000000007</v>
      </c>
      <c r="K1107" s="38">
        <v>345000</v>
      </c>
      <c r="L1107" s="38">
        <v>-602246.27</v>
      </c>
      <c r="M1107" s="47">
        <f t="shared" si="793"/>
        <v>1008029.29</v>
      </c>
      <c r="N1107" s="46">
        <v>5000000</v>
      </c>
      <c r="O1107" s="48">
        <f t="shared" si="794"/>
        <v>4302.0699999995531</v>
      </c>
      <c r="P1107" s="38">
        <f>259341.13+87279.46</f>
        <v>346620.59</v>
      </c>
      <c r="Q1107" s="38">
        <v>-345000</v>
      </c>
      <c r="R1107" s="38">
        <f>-250-646-1800-29.4-180.6-10</f>
        <v>-2916</v>
      </c>
      <c r="S1107" s="55">
        <f t="shared" si="795"/>
        <v>3006.6599999995669</v>
      </c>
      <c r="T1107" s="48"/>
      <c r="U1107" s="49">
        <f t="shared" si="796"/>
        <v>55.449999999953434</v>
      </c>
      <c r="V1107" s="38"/>
      <c r="W1107" s="38"/>
      <c r="X1107" s="38"/>
      <c r="Y1107" s="51">
        <f t="shared" si="797"/>
        <v>55.449999999953434</v>
      </c>
      <c r="Z1107" s="52"/>
      <c r="AA1107" s="53">
        <f t="shared" si="798"/>
        <v>665.94999999919673</v>
      </c>
      <c r="AB1107" s="38"/>
      <c r="AC1107" s="38"/>
      <c r="AD1107" s="38"/>
      <c r="AE1107" s="54">
        <f t="shared" si="799"/>
        <v>665.94999999919673</v>
      </c>
      <c r="AF1107" s="53"/>
      <c r="AG1107" s="53">
        <f t="shared" si="772"/>
        <v>632.71000000004062</v>
      </c>
      <c r="AH1107" s="38"/>
      <c r="AI1107" s="38"/>
      <c r="AJ1107" s="38"/>
      <c r="AK1107" s="54">
        <f t="shared" si="773"/>
        <v>632.71000000004062</v>
      </c>
      <c r="AL1107" s="53"/>
      <c r="AM1107" s="53">
        <f t="shared" si="788"/>
        <v>0</v>
      </c>
      <c r="AN1107" s="38"/>
      <c r="AO1107" s="38"/>
      <c r="AP1107" s="38"/>
      <c r="AQ1107" s="54">
        <f t="shared" si="789"/>
        <v>0</v>
      </c>
      <c r="AR1107" s="53"/>
      <c r="AS1107" s="29">
        <f t="shared" si="774"/>
        <v>1533139.8399999971</v>
      </c>
      <c r="AT1107" s="29">
        <f t="shared" si="775"/>
        <v>561177.42000000004</v>
      </c>
      <c r="AU1107" s="29">
        <f t="shared" si="776"/>
        <v>0</v>
      </c>
      <c r="AV1107" s="29">
        <f t="shared" si="777"/>
        <v>-607110.67000000004</v>
      </c>
      <c r="AW1107" s="29"/>
      <c r="AX1107" s="29">
        <f t="shared" si="778"/>
        <v>1487839.2999999968</v>
      </c>
      <c r="AY1107" s="29">
        <f t="shared" si="779"/>
        <v>9300000</v>
      </c>
      <c r="AZ1107" s="29">
        <f t="shared" si="780"/>
        <v>10787839.299999997</v>
      </c>
    </row>
    <row r="1108" spans="2:52" x14ac:dyDescent="0.3">
      <c r="B1108" s="99">
        <f t="shared" si="782"/>
        <v>45715</v>
      </c>
      <c r="C1108" s="44">
        <f t="shared" si="791"/>
        <v>475449.23999999813</v>
      </c>
      <c r="D1108" s="38">
        <v>295452.99</v>
      </c>
      <c r="E1108" s="38"/>
      <c r="F1108" s="38"/>
      <c r="G1108" s="45">
        <f t="shared" si="770"/>
        <v>770902.22999999812</v>
      </c>
      <c r="H1108" s="44">
        <v>4300000</v>
      </c>
      <c r="I1108" s="46">
        <f t="shared" si="792"/>
        <v>1008029.29</v>
      </c>
      <c r="J1108" s="38"/>
      <c r="K1108" s="38">
        <f>1298000+260000</f>
        <v>1558000</v>
      </c>
      <c r="L1108" s="38"/>
      <c r="M1108" s="47">
        <f t="shared" si="793"/>
        <v>2566029.29</v>
      </c>
      <c r="N1108" s="46">
        <v>5000000</v>
      </c>
      <c r="O1108" s="48">
        <f t="shared" si="794"/>
        <v>3006.6599999995669</v>
      </c>
      <c r="P1108" s="38">
        <v>264086.96000000002</v>
      </c>
      <c r="Q1108" s="38">
        <v>-260000</v>
      </c>
      <c r="R1108" s="38">
        <v>-10</v>
      </c>
      <c r="S1108" s="55">
        <f t="shared" si="795"/>
        <v>7083.6199999995879</v>
      </c>
      <c r="T1108" s="48"/>
      <c r="U1108" s="49">
        <f t="shared" si="796"/>
        <v>55.449999999953434</v>
      </c>
      <c r="V1108" s="38"/>
      <c r="W1108" s="38"/>
      <c r="X1108" s="38"/>
      <c r="Y1108" s="51">
        <f t="shared" si="797"/>
        <v>55.449999999953434</v>
      </c>
      <c r="Z1108" s="52"/>
      <c r="AA1108" s="53">
        <f t="shared" si="798"/>
        <v>665.94999999919673</v>
      </c>
      <c r="AB1108" s="38"/>
      <c r="AC1108" s="38"/>
      <c r="AD1108" s="38"/>
      <c r="AE1108" s="54">
        <f t="shared" si="799"/>
        <v>665.94999999919673</v>
      </c>
      <c r="AF1108" s="53"/>
      <c r="AG1108" s="53">
        <f t="shared" si="772"/>
        <v>632.71000000004062</v>
      </c>
      <c r="AH1108" s="38">
        <f>55382.4+150396.45+1092399.93</f>
        <v>1298178.78</v>
      </c>
      <c r="AI1108" s="38">
        <v>-1298000</v>
      </c>
      <c r="AJ1108" s="38"/>
      <c r="AK1108" s="54">
        <f t="shared" si="773"/>
        <v>811.48999999999069</v>
      </c>
      <c r="AL1108" s="53"/>
      <c r="AM1108" s="53">
        <f t="shared" si="788"/>
        <v>0</v>
      </c>
      <c r="AN1108" s="38"/>
      <c r="AO1108" s="38"/>
      <c r="AP1108" s="38"/>
      <c r="AQ1108" s="54">
        <f t="shared" si="789"/>
        <v>0</v>
      </c>
      <c r="AR1108" s="53"/>
      <c r="AS1108" s="29">
        <f t="shared" si="774"/>
        <v>1487206.5899999968</v>
      </c>
      <c r="AT1108" s="29">
        <f t="shared" si="775"/>
        <v>1857718.73</v>
      </c>
      <c r="AU1108" s="29">
        <f t="shared" si="776"/>
        <v>0</v>
      </c>
      <c r="AV1108" s="29">
        <f t="shared" si="777"/>
        <v>-10</v>
      </c>
      <c r="AW1108" s="29"/>
      <c r="AX1108" s="29">
        <f t="shared" si="778"/>
        <v>3345548.0299999975</v>
      </c>
      <c r="AY1108" s="29">
        <f t="shared" si="779"/>
        <v>9300000</v>
      </c>
      <c r="AZ1108" s="29">
        <f t="shared" si="780"/>
        <v>12645548.029999997</v>
      </c>
    </row>
    <row r="1109" spans="2:52" x14ac:dyDescent="0.3">
      <c r="B1109" s="99">
        <f t="shared" si="782"/>
        <v>45716</v>
      </c>
      <c r="C1109" s="44">
        <f t="shared" si="791"/>
        <v>770902.22999999812</v>
      </c>
      <c r="D1109" s="38">
        <v>336801.93</v>
      </c>
      <c r="E1109" s="38"/>
      <c r="F1109" s="38">
        <v>-71211.08</v>
      </c>
      <c r="G1109" s="45">
        <f t="shared" ref="G1109:G1172" si="805">SUM(C1109:F1109)</f>
        <v>1036493.0799999981</v>
      </c>
      <c r="H1109" s="44">
        <v>4300000</v>
      </c>
      <c r="I1109" s="46">
        <f t="shared" si="792"/>
        <v>2566029.29</v>
      </c>
      <c r="J1109" s="38">
        <v>824371.79</v>
      </c>
      <c r="K1109" s="38"/>
      <c r="L1109" s="38">
        <f>-14500-1.86</f>
        <v>-14501.86</v>
      </c>
      <c r="M1109" s="47">
        <f t="shared" si="793"/>
        <v>3375899.22</v>
      </c>
      <c r="N1109" s="46">
        <v>5000000</v>
      </c>
      <c r="O1109" s="48">
        <f t="shared" si="794"/>
        <v>7083.6199999995879</v>
      </c>
      <c r="P1109" s="38">
        <v>78834</v>
      </c>
      <c r="Q1109" s="38"/>
      <c r="R1109" s="38"/>
      <c r="S1109" s="55">
        <f t="shared" si="795"/>
        <v>85917.619999999588</v>
      </c>
      <c r="T1109" s="48"/>
      <c r="U1109" s="49">
        <f t="shared" si="796"/>
        <v>55.449999999953434</v>
      </c>
      <c r="V1109" s="38"/>
      <c r="W1109" s="38"/>
      <c r="X1109" s="38"/>
      <c r="Y1109" s="51">
        <f t="shared" si="797"/>
        <v>55.449999999953434</v>
      </c>
      <c r="Z1109" s="52"/>
      <c r="AA1109" s="53">
        <f t="shared" si="798"/>
        <v>665.94999999919673</v>
      </c>
      <c r="AB1109" s="38"/>
      <c r="AC1109" s="38"/>
      <c r="AD1109" s="38"/>
      <c r="AE1109" s="54">
        <f t="shared" si="799"/>
        <v>665.94999999919673</v>
      </c>
      <c r="AF1109" s="53"/>
      <c r="AG1109" s="53">
        <f t="shared" si="772"/>
        <v>811.48999999999069</v>
      </c>
      <c r="AH1109" s="38"/>
      <c r="AI1109" s="38"/>
      <c r="AJ1109" s="38">
        <v>-9.9</v>
      </c>
      <c r="AK1109" s="54">
        <f t="shared" si="773"/>
        <v>801.58999999999071</v>
      </c>
      <c r="AL1109" s="53"/>
      <c r="AM1109" s="53">
        <f t="shared" si="788"/>
        <v>0</v>
      </c>
      <c r="AN1109" s="38"/>
      <c r="AO1109" s="38"/>
      <c r="AP1109" s="38"/>
      <c r="AQ1109" s="54">
        <f t="shared" si="789"/>
        <v>0</v>
      </c>
      <c r="AR1109" s="53"/>
      <c r="AS1109" s="29">
        <f t="shared" si="774"/>
        <v>3344736.5399999972</v>
      </c>
      <c r="AT1109" s="29">
        <f t="shared" si="775"/>
        <v>1240007.72</v>
      </c>
      <c r="AU1109" s="29">
        <f t="shared" si="776"/>
        <v>0</v>
      </c>
      <c r="AV1109" s="29">
        <f t="shared" si="777"/>
        <v>-85722.84</v>
      </c>
      <c r="AW1109" s="29"/>
      <c r="AX1109" s="29">
        <f t="shared" si="778"/>
        <v>4499832.9099999964</v>
      </c>
      <c r="AY1109" s="29">
        <f t="shared" si="779"/>
        <v>9300000</v>
      </c>
      <c r="AZ1109" s="29">
        <f t="shared" si="780"/>
        <v>13799832.909999996</v>
      </c>
    </row>
    <row r="1110" spans="2:52" x14ac:dyDescent="0.3">
      <c r="B1110" s="99">
        <f t="shared" ref="B1110" si="806">B1109+3</f>
        <v>45719</v>
      </c>
      <c r="C1110" s="44">
        <f t="shared" si="791"/>
        <v>1036493.0799999981</v>
      </c>
      <c r="D1110" s="38"/>
      <c r="E1110" s="38"/>
      <c r="F1110" s="38"/>
      <c r="G1110" s="45">
        <f t="shared" si="805"/>
        <v>1036493.0799999981</v>
      </c>
      <c r="H1110" s="44">
        <v>4300000</v>
      </c>
      <c r="I1110" s="46">
        <f t="shared" si="792"/>
        <v>3375899.22</v>
      </c>
      <c r="J1110" s="38"/>
      <c r="K1110" s="38"/>
      <c r="L1110" s="38"/>
      <c r="M1110" s="47">
        <f t="shared" si="793"/>
        <v>3375899.22</v>
      </c>
      <c r="N1110" s="46">
        <v>5000000</v>
      </c>
      <c r="O1110" s="48">
        <f t="shared" si="794"/>
        <v>85917.619999999588</v>
      </c>
      <c r="P1110" s="38"/>
      <c r="Q1110" s="38"/>
      <c r="R1110" s="38"/>
      <c r="S1110" s="55">
        <f t="shared" si="795"/>
        <v>85917.619999999588</v>
      </c>
      <c r="T1110" s="48"/>
      <c r="U1110" s="49">
        <f t="shared" si="796"/>
        <v>55.449999999953434</v>
      </c>
      <c r="V1110" s="38"/>
      <c r="W1110" s="38"/>
      <c r="X1110" s="38"/>
      <c r="Y1110" s="51">
        <f t="shared" si="797"/>
        <v>55.449999999953434</v>
      </c>
      <c r="Z1110" s="52"/>
      <c r="AA1110" s="53">
        <f t="shared" si="798"/>
        <v>665.94999999919673</v>
      </c>
      <c r="AB1110" s="38"/>
      <c r="AC1110" s="38"/>
      <c r="AD1110" s="38"/>
      <c r="AE1110" s="54">
        <f t="shared" si="799"/>
        <v>665.94999999919673</v>
      </c>
      <c r="AF1110" s="53"/>
      <c r="AG1110" s="53">
        <f t="shared" si="772"/>
        <v>801.58999999999071</v>
      </c>
      <c r="AH1110" s="38"/>
      <c r="AI1110" s="38"/>
      <c r="AJ1110" s="38"/>
      <c r="AK1110" s="54">
        <f t="shared" si="773"/>
        <v>801.58999999999071</v>
      </c>
      <c r="AL1110" s="53"/>
      <c r="AM1110" s="53">
        <f t="shared" si="788"/>
        <v>0</v>
      </c>
      <c r="AN1110" s="38"/>
      <c r="AO1110" s="38"/>
      <c r="AP1110" s="38"/>
      <c r="AQ1110" s="54">
        <f t="shared" si="789"/>
        <v>0</v>
      </c>
      <c r="AR1110" s="53"/>
      <c r="AS1110" s="29">
        <f t="shared" si="774"/>
        <v>4499031.3199999966</v>
      </c>
      <c r="AT1110" s="29">
        <f t="shared" si="775"/>
        <v>0</v>
      </c>
      <c r="AU1110" s="29">
        <f t="shared" si="776"/>
        <v>0</v>
      </c>
      <c r="AV1110" s="29">
        <f t="shared" si="777"/>
        <v>0</v>
      </c>
      <c r="AW1110" s="29"/>
      <c r="AX1110" s="29">
        <f t="shared" si="778"/>
        <v>4499832.9099999964</v>
      </c>
      <c r="AY1110" s="29">
        <f t="shared" si="779"/>
        <v>9300000</v>
      </c>
      <c r="AZ1110" s="29">
        <f t="shared" si="780"/>
        <v>13799832.909999996</v>
      </c>
    </row>
    <row r="1111" spans="2:52" x14ac:dyDescent="0.3">
      <c r="B1111" s="99">
        <f t="shared" si="782"/>
        <v>45720</v>
      </c>
      <c r="C1111" s="44">
        <f t="shared" si="791"/>
        <v>1036493.0799999981</v>
      </c>
      <c r="D1111" s="38"/>
      <c r="E1111" s="38"/>
      <c r="F1111" s="38"/>
      <c r="G1111" s="45">
        <f t="shared" si="805"/>
        <v>1036493.0799999981</v>
      </c>
      <c r="H1111" s="44">
        <v>4300000</v>
      </c>
      <c r="I1111" s="46">
        <f t="shared" si="792"/>
        <v>3375899.22</v>
      </c>
      <c r="J1111" s="38"/>
      <c r="K1111" s="38"/>
      <c r="L1111" s="38"/>
      <c r="M1111" s="47">
        <f t="shared" si="793"/>
        <v>3375899.22</v>
      </c>
      <c r="N1111" s="46">
        <v>5000000</v>
      </c>
      <c r="O1111" s="48">
        <f t="shared" si="794"/>
        <v>85917.619999999588</v>
      </c>
      <c r="P1111" s="38"/>
      <c r="Q1111" s="38"/>
      <c r="R1111" s="38"/>
      <c r="S1111" s="55">
        <f t="shared" si="795"/>
        <v>85917.619999999588</v>
      </c>
      <c r="T1111" s="48"/>
      <c r="U1111" s="49">
        <f t="shared" si="796"/>
        <v>55.449999999953434</v>
      </c>
      <c r="V1111" s="38"/>
      <c r="W1111" s="38"/>
      <c r="X1111" s="38"/>
      <c r="Y1111" s="51">
        <f t="shared" si="797"/>
        <v>55.449999999953434</v>
      </c>
      <c r="Z1111" s="52"/>
      <c r="AA1111" s="53">
        <f t="shared" si="798"/>
        <v>665.94999999919673</v>
      </c>
      <c r="AB1111" s="38"/>
      <c r="AC1111" s="38"/>
      <c r="AD1111" s="38"/>
      <c r="AE1111" s="54">
        <f t="shared" si="799"/>
        <v>665.94999999919673</v>
      </c>
      <c r="AF1111" s="53"/>
      <c r="AG1111" s="53">
        <f t="shared" si="772"/>
        <v>801.58999999999071</v>
      </c>
      <c r="AH1111" s="38"/>
      <c r="AI1111" s="38"/>
      <c r="AJ1111" s="38"/>
      <c r="AK1111" s="54">
        <f t="shared" si="773"/>
        <v>801.58999999999071</v>
      </c>
      <c r="AL1111" s="53"/>
      <c r="AM1111" s="53">
        <f t="shared" si="788"/>
        <v>0</v>
      </c>
      <c r="AN1111" s="38"/>
      <c r="AO1111" s="38"/>
      <c r="AP1111" s="38"/>
      <c r="AQ1111" s="54">
        <f t="shared" si="789"/>
        <v>0</v>
      </c>
      <c r="AR1111" s="53"/>
      <c r="AS1111" s="29">
        <f t="shared" si="774"/>
        <v>4499031.3199999966</v>
      </c>
      <c r="AT1111" s="29">
        <f t="shared" si="775"/>
        <v>0</v>
      </c>
      <c r="AU1111" s="29">
        <f t="shared" si="776"/>
        <v>0</v>
      </c>
      <c r="AV1111" s="29">
        <f t="shared" si="777"/>
        <v>0</v>
      </c>
      <c r="AW1111" s="29"/>
      <c r="AX1111" s="29">
        <f t="shared" si="778"/>
        <v>4499832.9099999964</v>
      </c>
      <c r="AY1111" s="29">
        <f t="shared" si="779"/>
        <v>9300000</v>
      </c>
      <c r="AZ1111" s="29">
        <f t="shared" si="780"/>
        <v>13799832.909999996</v>
      </c>
    </row>
    <row r="1112" spans="2:52" x14ac:dyDescent="0.3">
      <c r="B1112" s="99">
        <f t="shared" si="782"/>
        <v>45721</v>
      </c>
      <c r="C1112" s="44">
        <f t="shared" si="791"/>
        <v>1036493.0799999981</v>
      </c>
      <c r="D1112" s="38">
        <v>20218.47</v>
      </c>
      <c r="E1112" s="38"/>
      <c r="F1112" s="38">
        <v>-148358.18</v>
      </c>
      <c r="G1112" s="45">
        <f t="shared" si="805"/>
        <v>908353.36999999825</v>
      </c>
      <c r="H1112" s="44">
        <v>4300000</v>
      </c>
      <c r="I1112" s="46">
        <f t="shared" si="792"/>
        <v>3375899.22</v>
      </c>
      <c r="J1112" s="38"/>
      <c r="K1112" s="38">
        <f>1380000+45000</f>
        <v>1425000</v>
      </c>
      <c r="L1112" s="38">
        <v>-3424599.49</v>
      </c>
      <c r="M1112" s="47">
        <f t="shared" si="793"/>
        <v>1376299.7300000004</v>
      </c>
      <c r="N1112" s="46">
        <v>5000000</v>
      </c>
      <c r="O1112" s="48">
        <f t="shared" si="794"/>
        <v>85917.619999999588</v>
      </c>
      <c r="P1112" s="38">
        <v>633050.74</v>
      </c>
      <c r="Q1112" s="38">
        <f>665500-1380000</f>
        <v>-714500</v>
      </c>
      <c r="R1112" s="38">
        <v>-1669.43</v>
      </c>
      <c r="S1112" s="55">
        <f t="shared" si="795"/>
        <v>2798.9299999996365</v>
      </c>
      <c r="T1112" s="48"/>
      <c r="U1112" s="49">
        <f t="shared" si="796"/>
        <v>55.449999999953434</v>
      </c>
      <c r="V1112" s="38">
        <v>665524.59</v>
      </c>
      <c r="W1112" s="38">
        <v>-665500</v>
      </c>
      <c r="X1112" s="38"/>
      <c r="Y1112" s="51">
        <f t="shared" si="797"/>
        <v>80.039999999920838</v>
      </c>
      <c r="Z1112" s="52"/>
      <c r="AA1112" s="53">
        <f t="shared" si="798"/>
        <v>665.94999999919673</v>
      </c>
      <c r="AB1112" s="38"/>
      <c r="AC1112" s="38"/>
      <c r="AD1112" s="38">
        <v>-266.72000000000003</v>
      </c>
      <c r="AE1112" s="54">
        <f t="shared" si="799"/>
        <v>399.22999999919671</v>
      </c>
      <c r="AF1112" s="53"/>
      <c r="AG1112" s="53">
        <f t="shared" si="772"/>
        <v>801.58999999999071</v>
      </c>
      <c r="AH1112" s="38">
        <f>44895.96+77648.68+77648.68</f>
        <v>200193.31999999998</v>
      </c>
      <c r="AI1112" s="38">
        <v>-45000</v>
      </c>
      <c r="AJ1112" s="38">
        <v>-80</v>
      </c>
      <c r="AK1112" s="54">
        <f t="shared" si="773"/>
        <v>155914.90999999997</v>
      </c>
      <c r="AL1112" s="53"/>
      <c r="AM1112" s="53">
        <f t="shared" si="788"/>
        <v>0</v>
      </c>
      <c r="AN1112" s="38"/>
      <c r="AO1112" s="38"/>
      <c r="AP1112" s="38"/>
      <c r="AQ1112" s="54">
        <f t="shared" si="789"/>
        <v>0</v>
      </c>
      <c r="AR1112" s="53"/>
      <c r="AS1112" s="29">
        <f t="shared" si="774"/>
        <v>4499031.3199999966</v>
      </c>
      <c r="AT1112" s="29">
        <f t="shared" si="775"/>
        <v>1518987.1199999999</v>
      </c>
      <c r="AU1112" s="29">
        <f t="shared" si="776"/>
        <v>0</v>
      </c>
      <c r="AV1112" s="29">
        <f t="shared" si="777"/>
        <v>-3574973.8200000008</v>
      </c>
      <c r="AW1112" s="29"/>
      <c r="AX1112" s="29">
        <f t="shared" si="778"/>
        <v>2443846.2099999976</v>
      </c>
      <c r="AY1112" s="29">
        <f t="shared" si="779"/>
        <v>9300000</v>
      </c>
      <c r="AZ1112" s="29">
        <f t="shared" si="780"/>
        <v>11743846.209999997</v>
      </c>
    </row>
    <row r="1113" spans="2:52" x14ac:dyDescent="0.3">
      <c r="B1113" s="99">
        <f t="shared" si="782"/>
        <v>45722</v>
      </c>
      <c r="C1113" s="44">
        <f t="shared" si="791"/>
        <v>908353.36999999825</v>
      </c>
      <c r="D1113" s="38">
        <f>201015.25</f>
        <v>201015.25</v>
      </c>
      <c r="E1113" s="38"/>
      <c r="F1113" s="38">
        <v>-875552.57</v>
      </c>
      <c r="G1113" s="45">
        <f t="shared" si="805"/>
        <v>233816.0499999983</v>
      </c>
      <c r="H1113" s="44">
        <v>4300000</v>
      </c>
      <c r="I1113" s="46">
        <f t="shared" si="792"/>
        <v>1376299.7300000004</v>
      </c>
      <c r="J1113" s="38"/>
      <c r="K1113" s="38">
        <v>155000</v>
      </c>
      <c r="L1113" s="38">
        <v>-1354657.48</v>
      </c>
      <c r="M1113" s="47">
        <f t="shared" si="793"/>
        <v>176642.25000000047</v>
      </c>
      <c r="N1113" s="46">
        <v>5000000</v>
      </c>
      <c r="O1113" s="48">
        <f t="shared" si="794"/>
        <v>2798.9299999996365</v>
      </c>
      <c r="P1113" s="38">
        <v>567885.93000000005</v>
      </c>
      <c r="Q1113" s="38"/>
      <c r="R1113" s="38">
        <f>-1548.31-808.04</f>
        <v>-2356.35</v>
      </c>
      <c r="S1113" s="55">
        <f t="shared" si="795"/>
        <v>568328.50999999966</v>
      </c>
      <c r="T1113" s="48"/>
      <c r="U1113" s="49">
        <f t="shared" si="796"/>
        <v>80.039999999920838</v>
      </c>
      <c r="V1113" s="38"/>
      <c r="W1113" s="38"/>
      <c r="X1113" s="38">
        <v>-70</v>
      </c>
      <c r="Y1113" s="51">
        <f t="shared" si="797"/>
        <v>10.039999999920838</v>
      </c>
      <c r="Z1113" s="52"/>
      <c r="AA1113" s="53">
        <f t="shared" si="798"/>
        <v>399.22999999919671</v>
      </c>
      <c r="AB1113" s="38"/>
      <c r="AC1113" s="38"/>
      <c r="AD1113" s="38"/>
      <c r="AE1113" s="54">
        <f t="shared" si="799"/>
        <v>399.22999999919671</v>
      </c>
      <c r="AF1113" s="53"/>
      <c r="AG1113" s="53">
        <f t="shared" ref="AG1113:AG1176" si="807">AK1112</f>
        <v>155914.90999999997</v>
      </c>
      <c r="AH1113" s="38"/>
      <c r="AI1113" s="38">
        <v>-155000</v>
      </c>
      <c r="AJ1113" s="38">
        <v>-9.9</v>
      </c>
      <c r="AK1113" s="54">
        <f t="shared" ref="AK1113:AK1176" si="808">SUM(AG1113:AJ1113)</f>
        <v>905.00999999997441</v>
      </c>
      <c r="AL1113" s="53"/>
      <c r="AM1113" s="53">
        <f t="shared" si="788"/>
        <v>0</v>
      </c>
      <c r="AN1113" s="38"/>
      <c r="AO1113" s="38"/>
      <c r="AP1113" s="38"/>
      <c r="AQ1113" s="54">
        <f t="shared" si="789"/>
        <v>0</v>
      </c>
      <c r="AR1113" s="53"/>
      <c r="AS1113" s="29">
        <f t="shared" ref="AS1113:AS1176" si="809">SUM(C1113,I1113,O1113,U1113,AA1113,)</f>
        <v>2287931.2999999975</v>
      </c>
      <c r="AT1113" s="29">
        <f t="shared" ref="AT1113:AT1176" si="810">SUM(D1113,J1113,P1113,V1113,AB1113,AH1113)</f>
        <v>768901.18</v>
      </c>
      <c r="AU1113" s="29">
        <f t="shared" ref="AU1113:AU1176" si="811">SUM(E1113,K1113,Q1113,W1113,AC1113,AI1113)</f>
        <v>0</v>
      </c>
      <c r="AV1113" s="29">
        <f t="shared" ref="AV1113:AV1176" si="812">SUM(F1113,L1113,R1113,X1113,AD1113,AJ1113)</f>
        <v>-2232646.2999999998</v>
      </c>
      <c r="AW1113" s="29"/>
      <c r="AX1113" s="29">
        <f t="shared" ref="AX1113:AX1176" si="813">SUM(G1113,M1113,S1113,Y1113,AE1113,AK1113)</f>
        <v>980101.08999999752</v>
      </c>
      <c r="AY1113" s="29">
        <f t="shared" ref="AY1113:AY1176" si="814">SUM(H1113,N1113,T1113,Z1113,AF1113,AL1113)</f>
        <v>9300000</v>
      </c>
      <c r="AZ1113" s="29">
        <f t="shared" ref="AZ1113:AZ1176" si="815">AX1113+AY1113</f>
        <v>10280101.089999998</v>
      </c>
    </row>
    <row r="1114" spans="2:52" x14ac:dyDescent="0.3">
      <c r="B1114" s="99">
        <f t="shared" si="782"/>
        <v>45723</v>
      </c>
      <c r="C1114" s="44">
        <f t="shared" si="791"/>
        <v>233816.0499999983</v>
      </c>
      <c r="D1114" s="38">
        <f>46980.35+243376.11</f>
        <v>290356.45999999996</v>
      </c>
      <c r="E1114" s="38"/>
      <c r="F1114" s="38">
        <v>-1994.53</v>
      </c>
      <c r="G1114" s="45">
        <f t="shared" si="805"/>
        <v>522177.97999999824</v>
      </c>
      <c r="H1114" s="44">
        <v>4300000</v>
      </c>
      <c r="I1114" s="46">
        <f t="shared" si="792"/>
        <v>176642.25000000047</v>
      </c>
      <c r="J1114" s="38"/>
      <c r="K1114" s="38">
        <v>560000</v>
      </c>
      <c r="L1114" s="38">
        <v>-114704.93</v>
      </c>
      <c r="M1114" s="47">
        <f t="shared" si="793"/>
        <v>621937.32000000053</v>
      </c>
      <c r="N1114" s="46">
        <v>5000000</v>
      </c>
      <c r="O1114" s="48">
        <f t="shared" si="794"/>
        <v>568328.50999999966</v>
      </c>
      <c r="P1114" s="38"/>
      <c r="Q1114" s="38">
        <v>-560000</v>
      </c>
      <c r="R1114" s="38">
        <v>-4810</v>
      </c>
      <c r="S1114" s="55">
        <f t="shared" si="795"/>
        <v>3518.5099999996601</v>
      </c>
      <c r="T1114" s="48"/>
      <c r="U1114" s="49">
        <f t="shared" si="796"/>
        <v>10.039999999920838</v>
      </c>
      <c r="V1114" s="38"/>
      <c r="W1114" s="38"/>
      <c r="X1114" s="38"/>
      <c r="Y1114" s="51">
        <f t="shared" si="797"/>
        <v>10.039999999920838</v>
      </c>
      <c r="Z1114" s="52"/>
      <c r="AA1114" s="53">
        <f t="shared" si="798"/>
        <v>399.22999999919671</v>
      </c>
      <c r="AB1114" s="38"/>
      <c r="AC1114" s="38"/>
      <c r="AD1114" s="38"/>
      <c r="AE1114" s="54">
        <f t="shared" si="799"/>
        <v>399.22999999919671</v>
      </c>
      <c r="AF1114" s="53"/>
      <c r="AG1114" s="53">
        <f t="shared" si="807"/>
        <v>905.00999999997441</v>
      </c>
      <c r="AH1114" s="38"/>
      <c r="AI1114" s="38"/>
      <c r="AJ1114" s="38">
        <v>-9.9</v>
      </c>
      <c r="AK1114" s="54">
        <f t="shared" si="808"/>
        <v>895.10999999997443</v>
      </c>
      <c r="AL1114" s="53"/>
      <c r="AM1114" s="53">
        <f t="shared" si="788"/>
        <v>0</v>
      </c>
      <c r="AN1114" s="38"/>
      <c r="AO1114" s="38"/>
      <c r="AP1114" s="38"/>
      <c r="AQ1114" s="54">
        <f t="shared" si="789"/>
        <v>0</v>
      </c>
      <c r="AR1114" s="53"/>
      <c r="AS1114" s="29">
        <f t="shared" si="809"/>
        <v>979196.07999999751</v>
      </c>
      <c r="AT1114" s="29">
        <f t="shared" si="810"/>
        <v>290356.45999999996</v>
      </c>
      <c r="AU1114" s="29">
        <f t="shared" si="811"/>
        <v>0</v>
      </c>
      <c r="AV1114" s="29">
        <f t="shared" si="812"/>
        <v>-121519.35999999999</v>
      </c>
      <c r="AW1114" s="29"/>
      <c r="AX1114" s="29">
        <f t="shared" si="813"/>
        <v>1148938.1899999978</v>
      </c>
      <c r="AY1114" s="29">
        <f t="shared" si="814"/>
        <v>9300000</v>
      </c>
      <c r="AZ1114" s="29">
        <f t="shared" si="815"/>
        <v>10448938.189999998</v>
      </c>
    </row>
    <row r="1115" spans="2:52" x14ac:dyDescent="0.3">
      <c r="B1115" s="99">
        <f t="shared" ref="B1115" si="816">B1114+3</f>
        <v>45726</v>
      </c>
      <c r="C1115" s="44">
        <f t="shared" si="791"/>
        <v>522177.97999999824</v>
      </c>
      <c r="D1115" s="38">
        <f>750.8</f>
        <v>750.8</v>
      </c>
      <c r="E1115" s="38"/>
      <c r="F1115" s="38">
        <f>-1407.65-1250-42.58-537.54</f>
        <v>-3237.77</v>
      </c>
      <c r="G1115" s="45">
        <f t="shared" si="805"/>
        <v>519691.0099999982</v>
      </c>
      <c r="H1115" s="44">
        <v>4300000</v>
      </c>
      <c r="I1115" s="46">
        <f t="shared" si="792"/>
        <v>621937.32000000053</v>
      </c>
      <c r="J1115" s="38">
        <f>7718.25+4551.45+112686.64</f>
        <v>124956.34</v>
      </c>
      <c r="K1115" s="38"/>
      <c r="L1115" s="38">
        <v>-415699.23</v>
      </c>
      <c r="M1115" s="47">
        <f t="shared" si="793"/>
        <v>331194.43000000052</v>
      </c>
      <c r="N1115" s="46">
        <v>5000000</v>
      </c>
      <c r="O1115" s="48">
        <f t="shared" si="794"/>
        <v>3518.5099999996601</v>
      </c>
      <c r="P1115" s="38"/>
      <c r="Q1115" s="38"/>
      <c r="R1115" s="38">
        <v>-3000</v>
      </c>
      <c r="S1115" s="55">
        <f t="shared" si="795"/>
        <v>518.50999999966007</v>
      </c>
      <c r="T1115" s="48"/>
      <c r="U1115" s="49">
        <f t="shared" si="796"/>
        <v>10.039999999920838</v>
      </c>
      <c r="V1115" s="38"/>
      <c r="W1115" s="38"/>
      <c r="X1115" s="38"/>
      <c r="Y1115" s="51">
        <f t="shared" si="797"/>
        <v>10.039999999920838</v>
      </c>
      <c r="Z1115" s="52"/>
      <c r="AA1115" s="53">
        <f t="shared" si="798"/>
        <v>399.22999999919671</v>
      </c>
      <c r="AB1115" s="38"/>
      <c r="AC1115" s="38"/>
      <c r="AD1115" s="38"/>
      <c r="AE1115" s="54">
        <f t="shared" si="799"/>
        <v>399.22999999919671</v>
      </c>
      <c r="AF1115" s="53"/>
      <c r="AG1115" s="53">
        <f t="shared" si="807"/>
        <v>895.10999999997443</v>
      </c>
      <c r="AH1115" s="38"/>
      <c r="AI1115" s="38"/>
      <c r="AJ1115" s="38"/>
      <c r="AK1115" s="54">
        <f t="shared" si="808"/>
        <v>895.10999999997443</v>
      </c>
      <c r="AL1115" s="53"/>
      <c r="AM1115" s="53">
        <f t="shared" si="788"/>
        <v>0</v>
      </c>
      <c r="AN1115" s="38"/>
      <c r="AO1115" s="38"/>
      <c r="AP1115" s="38"/>
      <c r="AQ1115" s="54">
        <f t="shared" si="789"/>
        <v>0</v>
      </c>
      <c r="AR1115" s="53"/>
      <c r="AS1115" s="29">
        <f t="shared" si="809"/>
        <v>1148043.079999998</v>
      </c>
      <c r="AT1115" s="29">
        <f t="shared" si="810"/>
        <v>125707.14</v>
      </c>
      <c r="AU1115" s="29">
        <f t="shared" si="811"/>
        <v>0</v>
      </c>
      <c r="AV1115" s="29">
        <f t="shared" si="812"/>
        <v>-421937</v>
      </c>
      <c r="AW1115" s="29"/>
      <c r="AX1115" s="29">
        <f t="shared" si="813"/>
        <v>852708.32999999751</v>
      </c>
      <c r="AY1115" s="29">
        <f t="shared" si="814"/>
        <v>9300000</v>
      </c>
      <c r="AZ1115" s="29">
        <f t="shared" si="815"/>
        <v>10152708.329999998</v>
      </c>
    </row>
    <row r="1116" spans="2:52" x14ac:dyDescent="0.3">
      <c r="B1116" s="99">
        <f t="shared" si="782"/>
        <v>45727</v>
      </c>
      <c r="C1116" s="44">
        <f t="shared" si="791"/>
        <v>519691.0099999982</v>
      </c>
      <c r="D1116" s="38"/>
      <c r="E1116" s="38"/>
      <c r="F1116" s="38"/>
      <c r="G1116" s="45">
        <f t="shared" si="805"/>
        <v>519691.0099999982</v>
      </c>
      <c r="H1116" s="44">
        <v>4300000</v>
      </c>
      <c r="I1116" s="46">
        <f t="shared" si="792"/>
        <v>331194.43000000052</v>
      </c>
      <c r="J1116" s="38">
        <v>5828.85</v>
      </c>
      <c r="K1116" s="38"/>
      <c r="L1116" s="38">
        <v>-92915.6</v>
      </c>
      <c r="M1116" s="47">
        <f t="shared" si="793"/>
        <v>244107.68000000049</v>
      </c>
      <c r="N1116" s="46">
        <v>5000000</v>
      </c>
      <c r="O1116" s="48">
        <f t="shared" si="794"/>
        <v>518.50999999966007</v>
      </c>
      <c r="P1116" s="38">
        <v>76392.929999999993</v>
      </c>
      <c r="Q1116" s="38"/>
      <c r="R1116" s="38"/>
      <c r="S1116" s="55">
        <f t="shared" si="795"/>
        <v>76911.439999999653</v>
      </c>
      <c r="T1116" s="48"/>
      <c r="U1116" s="49">
        <f t="shared" si="796"/>
        <v>10.039999999920838</v>
      </c>
      <c r="V1116" s="38"/>
      <c r="W1116" s="38"/>
      <c r="X1116" s="38"/>
      <c r="Y1116" s="51">
        <f t="shared" si="797"/>
        <v>10.039999999920838</v>
      </c>
      <c r="Z1116" s="52"/>
      <c r="AA1116" s="53">
        <f t="shared" si="798"/>
        <v>399.22999999919671</v>
      </c>
      <c r="AB1116" s="38"/>
      <c r="AC1116" s="38"/>
      <c r="AD1116" s="38"/>
      <c r="AE1116" s="54">
        <f t="shared" si="799"/>
        <v>399.22999999919671</v>
      </c>
      <c r="AF1116" s="53"/>
      <c r="AG1116" s="53">
        <f t="shared" si="807"/>
        <v>895.10999999997443</v>
      </c>
      <c r="AH1116" s="38">
        <v>100419.5</v>
      </c>
      <c r="AI1116" s="38"/>
      <c r="AJ1116" s="38"/>
      <c r="AK1116" s="54">
        <f t="shared" si="808"/>
        <v>101314.60999999997</v>
      </c>
      <c r="AL1116" s="53"/>
      <c r="AM1116" s="53">
        <f t="shared" si="788"/>
        <v>0</v>
      </c>
      <c r="AN1116" s="38"/>
      <c r="AO1116" s="38"/>
      <c r="AP1116" s="38"/>
      <c r="AQ1116" s="54">
        <f t="shared" si="789"/>
        <v>0</v>
      </c>
      <c r="AR1116" s="53"/>
      <c r="AS1116" s="29">
        <f t="shared" si="809"/>
        <v>851813.21999999753</v>
      </c>
      <c r="AT1116" s="29">
        <f t="shared" si="810"/>
        <v>182641.28</v>
      </c>
      <c r="AU1116" s="29">
        <f t="shared" si="811"/>
        <v>0</v>
      </c>
      <c r="AV1116" s="29">
        <f t="shared" si="812"/>
        <v>-92915.6</v>
      </c>
      <c r="AW1116" s="29"/>
      <c r="AX1116" s="29">
        <f t="shared" si="813"/>
        <v>942434.00999999733</v>
      </c>
      <c r="AY1116" s="29">
        <f t="shared" si="814"/>
        <v>9300000</v>
      </c>
      <c r="AZ1116" s="29">
        <f t="shared" si="815"/>
        <v>10242434.009999998</v>
      </c>
    </row>
    <row r="1117" spans="2:52" x14ac:dyDescent="0.3">
      <c r="B1117" s="99">
        <f t="shared" si="782"/>
        <v>45728</v>
      </c>
      <c r="C1117" s="44">
        <f t="shared" si="791"/>
        <v>519691.0099999982</v>
      </c>
      <c r="D1117" s="38">
        <v>418368.91</v>
      </c>
      <c r="E1117" s="38"/>
      <c r="F1117" s="38">
        <v>-11605.2</v>
      </c>
      <c r="G1117" s="45">
        <f t="shared" si="805"/>
        <v>926454.71999999823</v>
      </c>
      <c r="H1117" s="44">
        <v>4300000</v>
      </c>
      <c r="I1117" s="46">
        <f t="shared" si="792"/>
        <v>244107.68000000049</v>
      </c>
      <c r="J1117" s="38"/>
      <c r="K1117" s="38">
        <f>73000+101000</f>
        <v>174000</v>
      </c>
      <c r="L1117" s="38">
        <v>-47025.84</v>
      </c>
      <c r="M1117" s="47">
        <f t="shared" si="793"/>
        <v>371081.84000000055</v>
      </c>
      <c r="N1117" s="46">
        <v>5000000</v>
      </c>
      <c r="O1117" s="48">
        <f t="shared" si="794"/>
        <v>76911.439999999653</v>
      </c>
      <c r="P1117" s="38"/>
      <c r="Q1117" s="38">
        <v>-73000</v>
      </c>
      <c r="R1117" s="38">
        <v>-58.9</v>
      </c>
      <c r="S1117" s="55">
        <f>SUM(O1117:R1117)</f>
        <v>3852.539999999653</v>
      </c>
      <c r="T1117" s="48"/>
      <c r="U1117" s="49">
        <f t="shared" si="796"/>
        <v>10.039999999920838</v>
      </c>
      <c r="V1117" s="38"/>
      <c r="W1117" s="38"/>
      <c r="X1117" s="38"/>
      <c r="Y1117" s="51">
        <f t="shared" si="797"/>
        <v>10.039999999920838</v>
      </c>
      <c r="Z1117" s="52"/>
      <c r="AA1117" s="53">
        <f t="shared" si="798"/>
        <v>399.22999999919671</v>
      </c>
      <c r="AB1117" s="38"/>
      <c r="AC1117" s="38"/>
      <c r="AD1117" s="38"/>
      <c r="AE1117" s="54">
        <f t="shared" si="799"/>
        <v>399.22999999919671</v>
      </c>
      <c r="AF1117" s="53"/>
      <c r="AG1117" s="53">
        <f t="shared" si="807"/>
        <v>101314.60999999997</v>
      </c>
      <c r="AH1117" s="38"/>
      <c r="AI1117" s="38">
        <v>-101000</v>
      </c>
      <c r="AJ1117" s="38"/>
      <c r="AK1117" s="54">
        <f t="shared" si="808"/>
        <v>314.60999999997148</v>
      </c>
      <c r="AL1117" s="53"/>
      <c r="AM1117" s="53">
        <f t="shared" si="788"/>
        <v>0</v>
      </c>
      <c r="AN1117" s="38"/>
      <c r="AO1117" s="38"/>
      <c r="AP1117" s="38"/>
      <c r="AQ1117" s="54">
        <f t="shared" si="789"/>
        <v>0</v>
      </c>
      <c r="AR1117" s="53"/>
      <c r="AS1117" s="29">
        <f t="shared" si="809"/>
        <v>841119.39999999735</v>
      </c>
      <c r="AT1117" s="29">
        <f t="shared" ref="AT1117" si="817">SUM(D1117,J1117,P1117,V1117,AB1117,AH1117)</f>
        <v>418368.91</v>
      </c>
      <c r="AU1117" s="29">
        <f t="shared" ref="AU1117" si="818">SUM(E1117,K1117,Q1117,W1117,AC1117,AI1117)</f>
        <v>0</v>
      </c>
      <c r="AV1117" s="29">
        <f t="shared" ref="AV1117" si="819">SUM(F1117,L1117,R1117,X1117,AD1117,AJ1117)</f>
        <v>-58689.939999999995</v>
      </c>
      <c r="AW1117" s="29"/>
      <c r="AX1117" s="29">
        <f t="shared" si="813"/>
        <v>1302112.9799999974</v>
      </c>
      <c r="AY1117" s="29">
        <f t="shared" si="814"/>
        <v>9300000</v>
      </c>
      <c r="AZ1117" s="29">
        <f t="shared" si="815"/>
        <v>10602112.979999997</v>
      </c>
    </row>
    <row r="1118" spans="2:52" x14ac:dyDescent="0.3">
      <c r="B1118" s="99">
        <f t="shared" ref="B1118:B1181" si="820">B1117+1</f>
        <v>45729</v>
      </c>
      <c r="C1118" s="44">
        <f t="shared" si="791"/>
        <v>926454.71999999823</v>
      </c>
      <c r="D1118" s="38">
        <v>31737.35</v>
      </c>
      <c r="E1118" s="38"/>
      <c r="F1118" s="38">
        <v>-36142.74</v>
      </c>
      <c r="G1118" s="45">
        <f t="shared" si="805"/>
        <v>922049.32999999821</v>
      </c>
      <c r="H1118" s="44">
        <v>4300000</v>
      </c>
      <c r="I1118" s="46">
        <f t="shared" si="792"/>
        <v>371081.84000000055</v>
      </c>
      <c r="J1118" s="38"/>
      <c r="K1118" s="38"/>
      <c r="L1118" s="38">
        <v>-9325.3700000000008</v>
      </c>
      <c r="M1118" s="47">
        <f t="shared" si="793"/>
        <v>361756.47000000055</v>
      </c>
      <c r="N1118" s="46">
        <v>5000000</v>
      </c>
      <c r="O1118" s="48">
        <f t="shared" si="794"/>
        <v>3852.539999999653</v>
      </c>
      <c r="P1118" s="38"/>
      <c r="Q1118" s="38"/>
      <c r="R1118" s="38">
        <v>-563.5</v>
      </c>
      <c r="S1118" s="55">
        <f t="shared" si="795"/>
        <v>3289.039999999653</v>
      </c>
      <c r="T1118" s="48"/>
      <c r="U1118" s="49">
        <f t="shared" si="796"/>
        <v>10.039999999920838</v>
      </c>
      <c r="V1118" s="38"/>
      <c r="W1118" s="38"/>
      <c r="X1118" s="38"/>
      <c r="Y1118" s="51">
        <f t="shared" si="797"/>
        <v>10.039999999920838</v>
      </c>
      <c r="Z1118" s="52"/>
      <c r="AA1118" s="53">
        <f t="shared" si="798"/>
        <v>399.22999999919671</v>
      </c>
      <c r="AB1118" s="38"/>
      <c r="AC1118" s="38"/>
      <c r="AD1118" s="38"/>
      <c r="AE1118" s="54">
        <f t="shared" si="799"/>
        <v>399.22999999919671</v>
      </c>
      <c r="AF1118" s="53"/>
      <c r="AG1118" s="53">
        <f t="shared" si="807"/>
        <v>314.60999999997148</v>
      </c>
      <c r="AH1118" s="38"/>
      <c r="AI1118" s="38"/>
      <c r="AJ1118" s="38">
        <v>-9.9</v>
      </c>
      <c r="AK1118" s="54">
        <f t="shared" si="808"/>
        <v>304.7099999999715</v>
      </c>
      <c r="AL1118" s="53"/>
      <c r="AM1118" s="53">
        <f t="shared" si="788"/>
        <v>0</v>
      </c>
      <c r="AN1118" s="38"/>
      <c r="AO1118" s="38"/>
      <c r="AP1118" s="38"/>
      <c r="AQ1118" s="54">
        <f t="shared" si="789"/>
        <v>0</v>
      </c>
      <c r="AR1118" s="53"/>
      <c r="AS1118" s="29">
        <f t="shared" si="809"/>
        <v>1301798.3699999976</v>
      </c>
      <c r="AT1118" s="29">
        <f t="shared" si="810"/>
        <v>31737.35</v>
      </c>
      <c r="AU1118" s="29">
        <f t="shared" si="811"/>
        <v>0</v>
      </c>
      <c r="AV1118" s="29">
        <f t="shared" si="812"/>
        <v>-46041.51</v>
      </c>
      <c r="AW1118" s="29"/>
      <c r="AX1118" s="29">
        <f t="shared" si="813"/>
        <v>1287808.8199999977</v>
      </c>
      <c r="AY1118" s="29">
        <f t="shared" si="814"/>
        <v>9300000</v>
      </c>
      <c r="AZ1118" s="29">
        <f t="shared" si="815"/>
        <v>10587808.819999998</v>
      </c>
    </row>
    <row r="1119" spans="2:52" x14ac:dyDescent="0.3">
      <c r="B1119" s="99">
        <f t="shared" si="820"/>
        <v>45730</v>
      </c>
      <c r="C1119" s="44">
        <f t="shared" si="791"/>
        <v>922049.32999999821</v>
      </c>
      <c r="D1119" s="38">
        <v>275680.71000000002</v>
      </c>
      <c r="E1119" s="38"/>
      <c r="F1119" s="38">
        <f>-3399.31-113.5</f>
        <v>-3512.81</v>
      </c>
      <c r="G1119" s="45">
        <f t="shared" si="805"/>
        <v>1194217.2299999981</v>
      </c>
      <c r="H1119" s="44">
        <v>4300000</v>
      </c>
      <c r="I1119" s="46">
        <f t="shared" si="792"/>
        <v>361756.47000000055</v>
      </c>
      <c r="J1119" s="38"/>
      <c r="K1119" s="38"/>
      <c r="L1119" s="38">
        <v>-35939.29</v>
      </c>
      <c r="M1119" s="47">
        <f t="shared" si="793"/>
        <v>325817.18000000058</v>
      </c>
      <c r="N1119" s="46">
        <v>5000000</v>
      </c>
      <c r="O1119" s="48">
        <f t="shared" si="794"/>
        <v>3289.039999999653</v>
      </c>
      <c r="P1119" s="38"/>
      <c r="Q1119" s="38"/>
      <c r="R1119" s="38"/>
      <c r="S1119" s="55">
        <f t="shared" si="795"/>
        <v>3289.039999999653</v>
      </c>
      <c r="T1119" s="48"/>
      <c r="U1119" s="49">
        <f t="shared" si="796"/>
        <v>10.039999999920838</v>
      </c>
      <c r="V1119" s="38"/>
      <c r="W1119" s="38"/>
      <c r="X1119" s="38"/>
      <c r="Y1119" s="51">
        <f t="shared" si="797"/>
        <v>10.039999999920838</v>
      </c>
      <c r="Z1119" s="52"/>
      <c r="AA1119" s="53">
        <f t="shared" si="798"/>
        <v>399.22999999919671</v>
      </c>
      <c r="AB1119" s="38"/>
      <c r="AC1119" s="38"/>
      <c r="AD1119" s="38"/>
      <c r="AE1119" s="54">
        <f t="shared" si="799"/>
        <v>399.22999999919671</v>
      </c>
      <c r="AF1119" s="53"/>
      <c r="AG1119" s="53">
        <f t="shared" si="807"/>
        <v>304.7099999999715</v>
      </c>
      <c r="AH1119" s="38"/>
      <c r="AI1119" s="38"/>
      <c r="AJ1119" s="38"/>
      <c r="AK1119" s="54">
        <f t="shared" si="808"/>
        <v>304.7099999999715</v>
      </c>
      <c r="AL1119" s="53"/>
      <c r="AM1119" s="53">
        <f t="shared" si="788"/>
        <v>0</v>
      </c>
      <c r="AN1119" s="38"/>
      <c r="AO1119" s="38"/>
      <c r="AP1119" s="38"/>
      <c r="AQ1119" s="54">
        <f t="shared" si="789"/>
        <v>0</v>
      </c>
      <c r="AR1119" s="53"/>
      <c r="AS1119" s="29">
        <f t="shared" si="809"/>
        <v>1287504.1099999978</v>
      </c>
      <c r="AT1119" s="29">
        <f t="shared" si="810"/>
        <v>275680.71000000002</v>
      </c>
      <c r="AU1119" s="29">
        <f t="shared" si="811"/>
        <v>0</v>
      </c>
      <c r="AV1119" s="29">
        <f t="shared" si="812"/>
        <v>-39452.1</v>
      </c>
      <c r="AW1119" s="29"/>
      <c r="AX1119" s="29">
        <f t="shared" si="813"/>
        <v>1524037.4299999976</v>
      </c>
      <c r="AY1119" s="29">
        <f t="shared" si="814"/>
        <v>9300000</v>
      </c>
      <c r="AZ1119" s="29">
        <f t="shared" si="815"/>
        <v>10824037.429999998</v>
      </c>
    </row>
    <row r="1120" spans="2:52" x14ac:dyDescent="0.3">
      <c r="B1120" s="99">
        <f>B1119+3</f>
        <v>45733</v>
      </c>
      <c r="C1120" s="44">
        <f t="shared" si="791"/>
        <v>1194217.2299999981</v>
      </c>
      <c r="D1120" s="38">
        <v>816659.93</v>
      </c>
      <c r="E1120" s="38">
        <v>-650000</v>
      </c>
      <c r="F1120" s="38">
        <v>-61915.31</v>
      </c>
      <c r="G1120" s="45">
        <f t="shared" si="805"/>
        <v>1298961.8499999982</v>
      </c>
      <c r="H1120" s="44">
        <v>4300000</v>
      </c>
      <c r="I1120" s="46">
        <f t="shared" si="792"/>
        <v>325817.18000000058</v>
      </c>
      <c r="J1120" s="38"/>
      <c r="K1120" s="38">
        <v>650000</v>
      </c>
      <c r="L1120" s="38">
        <v>-806197.85</v>
      </c>
      <c r="M1120" s="47">
        <f t="shared" si="793"/>
        <v>169619.33000000066</v>
      </c>
      <c r="N1120" s="46">
        <v>5000000</v>
      </c>
      <c r="O1120" s="48">
        <f t="shared" si="794"/>
        <v>3289.039999999653</v>
      </c>
      <c r="P1120" s="38"/>
      <c r="Q1120" s="38"/>
      <c r="R1120" s="38"/>
      <c r="S1120" s="55">
        <f t="shared" si="795"/>
        <v>3289.039999999653</v>
      </c>
      <c r="T1120" s="48"/>
      <c r="U1120" s="49">
        <f t="shared" si="796"/>
        <v>10.039999999920838</v>
      </c>
      <c r="V1120" s="38"/>
      <c r="W1120" s="38"/>
      <c r="X1120" s="38"/>
      <c r="Y1120" s="51">
        <f t="shared" si="797"/>
        <v>10.039999999920838</v>
      </c>
      <c r="Z1120" s="52"/>
      <c r="AA1120" s="53">
        <f t="shared" si="798"/>
        <v>399.22999999919671</v>
      </c>
      <c r="AB1120" s="38"/>
      <c r="AC1120" s="38"/>
      <c r="AD1120" s="38"/>
      <c r="AE1120" s="54">
        <f t="shared" si="799"/>
        <v>399.22999999919671</v>
      </c>
      <c r="AF1120" s="53"/>
      <c r="AG1120" s="53">
        <f t="shared" si="807"/>
        <v>304.7099999999715</v>
      </c>
      <c r="AH1120" s="38"/>
      <c r="AI1120" s="38"/>
      <c r="AJ1120" s="38"/>
      <c r="AK1120" s="54">
        <f t="shared" si="808"/>
        <v>304.7099999999715</v>
      </c>
      <c r="AL1120" s="53"/>
      <c r="AM1120" s="53">
        <f t="shared" si="788"/>
        <v>0</v>
      </c>
      <c r="AN1120" s="38"/>
      <c r="AO1120" s="38"/>
      <c r="AP1120" s="38"/>
      <c r="AQ1120" s="54">
        <f t="shared" si="789"/>
        <v>0</v>
      </c>
      <c r="AR1120" s="53"/>
      <c r="AS1120" s="29">
        <f t="shared" si="809"/>
        <v>1523732.7199999976</v>
      </c>
      <c r="AT1120" s="29">
        <f t="shared" si="810"/>
        <v>816659.93</v>
      </c>
      <c r="AU1120" s="29">
        <f t="shared" si="811"/>
        <v>0</v>
      </c>
      <c r="AV1120" s="29">
        <f t="shared" si="812"/>
        <v>-868113.15999999992</v>
      </c>
      <c r="AW1120" s="29"/>
      <c r="AX1120" s="29">
        <f t="shared" si="813"/>
        <v>1472584.1999999976</v>
      </c>
      <c r="AY1120" s="29">
        <f t="shared" si="814"/>
        <v>9300000</v>
      </c>
      <c r="AZ1120" s="29">
        <f t="shared" si="815"/>
        <v>10772584.199999997</v>
      </c>
    </row>
    <row r="1121" spans="2:52" x14ac:dyDescent="0.3">
      <c r="B1121" s="99">
        <f t="shared" si="820"/>
        <v>45734</v>
      </c>
      <c r="C1121" s="44">
        <f t="shared" si="791"/>
        <v>1298961.8499999982</v>
      </c>
      <c r="D1121" s="38">
        <v>90247.34</v>
      </c>
      <c r="E1121" s="38">
        <v>-100000</v>
      </c>
      <c r="F1121" s="38">
        <v>-2465012.62</v>
      </c>
      <c r="G1121" s="45">
        <f t="shared" si="805"/>
        <v>-1175803.4300000018</v>
      </c>
      <c r="H1121" s="44">
        <v>4300000</v>
      </c>
      <c r="I1121" s="46">
        <f t="shared" si="792"/>
        <v>169619.33000000066</v>
      </c>
      <c r="J1121" s="38"/>
      <c r="K1121" s="38">
        <v>100000</v>
      </c>
      <c r="L1121" s="38">
        <v>-23545.52</v>
      </c>
      <c r="M1121" s="47">
        <f t="shared" si="793"/>
        <v>246073.81000000067</v>
      </c>
      <c r="N1121" s="46">
        <v>5000000</v>
      </c>
      <c r="O1121" s="48">
        <f t="shared" si="794"/>
        <v>3289.039999999653</v>
      </c>
      <c r="P1121" s="38">
        <v>86757.37</v>
      </c>
      <c r="Q1121" s="38"/>
      <c r="R1121" s="38"/>
      <c r="S1121" s="55">
        <f t="shared" si="795"/>
        <v>90046.409999999654</v>
      </c>
      <c r="T1121" s="48"/>
      <c r="U1121" s="49">
        <f t="shared" si="796"/>
        <v>10.039999999920838</v>
      </c>
      <c r="V1121" s="38"/>
      <c r="W1121" s="38"/>
      <c r="X1121" s="38"/>
      <c r="Y1121" s="51">
        <f t="shared" si="797"/>
        <v>10.039999999920838</v>
      </c>
      <c r="Z1121" s="52"/>
      <c r="AA1121" s="53">
        <f t="shared" si="798"/>
        <v>399.22999999919671</v>
      </c>
      <c r="AB1121" s="38"/>
      <c r="AC1121" s="38"/>
      <c r="AD1121" s="38"/>
      <c r="AE1121" s="54">
        <f t="shared" si="799"/>
        <v>399.22999999919671</v>
      </c>
      <c r="AF1121" s="53"/>
      <c r="AG1121" s="53">
        <f t="shared" si="807"/>
        <v>304.7099999999715</v>
      </c>
      <c r="AH1121" s="38"/>
      <c r="AI1121" s="38"/>
      <c r="AJ1121" s="38"/>
      <c r="AK1121" s="54">
        <f t="shared" si="808"/>
        <v>304.7099999999715</v>
      </c>
      <c r="AL1121" s="53"/>
      <c r="AM1121" s="53">
        <f t="shared" si="788"/>
        <v>0</v>
      </c>
      <c r="AN1121" s="38"/>
      <c r="AO1121" s="38"/>
      <c r="AP1121" s="38"/>
      <c r="AQ1121" s="54">
        <f t="shared" si="789"/>
        <v>0</v>
      </c>
      <c r="AR1121" s="53"/>
      <c r="AS1121" s="29">
        <f t="shared" si="809"/>
        <v>1472279.4899999977</v>
      </c>
      <c r="AT1121" s="29">
        <f t="shared" si="810"/>
        <v>177004.71</v>
      </c>
      <c r="AU1121" s="29">
        <f t="shared" si="811"/>
        <v>0</v>
      </c>
      <c r="AV1121" s="29">
        <f t="shared" si="812"/>
        <v>-2488558.14</v>
      </c>
      <c r="AW1121" s="29"/>
      <c r="AX1121" s="29">
        <f t="shared" si="813"/>
        <v>-838969.23000000243</v>
      </c>
      <c r="AY1121" s="29">
        <f t="shared" si="814"/>
        <v>9300000</v>
      </c>
      <c r="AZ1121" s="29">
        <f t="shared" si="815"/>
        <v>8461030.7699999977</v>
      </c>
    </row>
    <row r="1122" spans="2:52" x14ac:dyDescent="0.3">
      <c r="B1122" s="99">
        <f t="shared" si="820"/>
        <v>45735</v>
      </c>
      <c r="C1122" s="44">
        <f t="shared" si="791"/>
        <v>-1175803.4300000018</v>
      </c>
      <c r="D1122" s="38">
        <v>26572.11</v>
      </c>
      <c r="E1122" s="38">
        <v>-600000</v>
      </c>
      <c r="F1122" s="38">
        <f>-0.21-1023.74</f>
        <v>-1023.95</v>
      </c>
      <c r="G1122" s="45">
        <f t="shared" si="805"/>
        <v>-1750255.2700000016</v>
      </c>
      <c r="H1122" s="44">
        <v>4300000</v>
      </c>
      <c r="I1122" s="46">
        <f t="shared" si="792"/>
        <v>246073.81000000067</v>
      </c>
      <c r="J1122" s="38">
        <v>4017.99</v>
      </c>
      <c r="K1122" s="38">
        <f>690000</f>
        <v>690000</v>
      </c>
      <c r="L1122" s="38">
        <v>-777713.26</v>
      </c>
      <c r="M1122" s="47">
        <f t="shared" si="793"/>
        <v>162378.54000000062</v>
      </c>
      <c r="N1122" s="46">
        <v>5000000</v>
      </c>
      <c r="O1122" s="48">
        <f t="shared" si="794"/>
        <v>90046.409999999654</v>
      </c>
      <c r="P1122" s="38">
        <v>8450.58</v>
      </c>
      <c r="Q1122" s="38">
        <v>-90000</v>
      </c>
      <c r="R1122" s="38">
        <v>-10</v>
      </c>
      <c r="S1122" s="55">
        <f t="shared" si="795"/>
        <v>8486.989999999656</v>
      </c>
      <c r="T1122" s="48"/>
      <c r="U1122" s="49">
        <f t="shared" si="796"/>
        <v>10.039999999920838</v>
      </c>
      <c r="V1122" s="38"/>
      <c r="W1122" s="38"/>
      <c r="X1122" s="38"/>
      <c r="Y1122" s="51">
        <f t="shared" si="797"/>
        <v>10.039999999920838</v>
      </c>
      <c r="Z1122" s="52"/>
      <c r="AA1122" s="53">
        <f t="shared" si="798"/>
        <v>399.22999999919671</v>
      </c>
      <c r="AB1122" s="38"/>
      <c r="AC1122" s="38"/>
      <c r="AD1122" s="38"/>
      <c r="AE1122" s="54">
        <f t="shared" si="799"/>
        <v>399.22999999919671</v>
      </c>
      <c r="AF1122" s="53"/>
      <c r="AG1122" s="53">
        <f t="shared" si="807"/>
        <v>304.7099999999715</v>
      </c>
      <c r="AH1122" s="38"/>
      <c r="AI1122" s="38"/>
      <c r="AJ1122" s="38"/>
      <c r="AK1122" s="54">
        <f t="shared" si="808"/>
        <v>304.7099999999715</v>
      </c>
      <c r="AL1122" s="53"/>
      <c r="AM1122" s="53">
        <f t="shared" si="788"/>
        <v>0</v>
      </c>
      <c r="AN1122" s="38"/>
      <c r="AO1122" s="38"/>
      <c r="AP1122" s="38"/>
      <c r="AQ1122" s="54">
        <f t="shared" si="789"/>
        <v>0</v>
      </c>
      <c r="AR1122" s="53"/>
      <c r="AS1122" s="29">
        <f t="shared" si="809"/>
        <v>-839273.94000000239</v>
      </c>
      <c r="AT1122" s="29">
        <f t="shared" si="810"/>
        <v>39040.68</v>
      </c>
      <c r="AU1122" s="29">
        <f t="shared" si="811"/>
        <v>0</v>
      </c>
      <c r="AV1122" s="29">
        <f t="shared" si="812"/>
        <v>-778747.21</v>
      </c>
      <c r="AW1122" s="29"/>
      <c r="AX1122" s="29">
        <f t="shared" si="813"/>
        <v>-1578675.7600000019</v>
      </c>
      <c r="AY1122" s="29">
        <f t="shared" si="814"/>
        <v>9300000</v>
      </c>
      <c r="AZ1122" s="29">
        <f t="shared" si="815"/>
        <v>7721324.2399999984</v>
      </c>
    </row>
    <row r="1123" spans="2:52" x14ac:dyDescent="0.3">
      <c r="B1123" s="99">
        <f t="shared" si="820"/>
        <v>45736</v>
      </c>
      <c r="C1123" s="44">
        <f t="shared" si="791"/>
        <v>-1750255.2700000016</v>
      </c>
      <c r="D1123" s="38">
        <f>60446.49+32301.82</f>
        <v>92748.31</v>
      </c>
      <c r="E1123" s="38">
        <v>282000</v>
      </c>
      <c r="F1123" s="38">
        <f>-759673.42-0.21-46.1</f>
        <v>-759719.73</v>
      </c>
      <c r="G1123" s="45">
        <f t="shared" si="805"/>
        <v>-2135226.6900000013</v>
      </c>
      <c r="H1123" s="44">
        <v>4300000</v>
      </c>
      <c r="I1123" s="46">
        <f t="shared" si="792"/>
        <v>162378.54000000062</v>
      </c>
      <c r="J1123" s="38"/>
      <c r="K1123" s="38">
        <v>600000</v>
      </c>
      <c r="L1123" s="38">
        <v>-67334.259999999995</v>
      </c>
      <c r="M1123" s="47">
        <f t="shared" si="793"/>
        <v>695044.28000000061</v>
      </c>
      <c r="N1123" s="46">
        <v>5000000</v>
      </c>
      <c r="O1123" s="48">
        <f t="shared" si="794"/>
        <v>8486.989999999656</v>
      </c>
      <c r="P1123" s="38">
        <f>311539.22+285809.68</f>
        <v>597348.89999999991</v>
      </c>
      <c r="Q1123" s="38">
        <v>-600000</v>
      </c>
      <c r="R1123" s="38">
        <v>-490</v>
      </c>
      <c r="S1123" s="55">
        <f t="shared" si="795"/>
        <v>5345.8899999995483</v>
      </c>
      <c r="T1123" s="48"/>
      <c r="U1123" s="49">
        <f t="shared" si="796"/>
        <v>10.039999999920838</v>
      </c>
      <c r="V1123" s="38"/>
      <c r="W1123" s="38"/>
      <c r="X1123" s="38"/>
      <c r="Y1123" s="51">
        <f t="shared" si="797"/>
        <v>10.039999999920838</v>
      </c>
      <c r="Z1123" s="52"/>
      <c r="AA1123" s="53">
        <f t="shared" si="798"/>
        <v>399.22999999919671</v>
      </c>
      <c r="AB1123" s="38">
        <v>282430.01</v>
      </c>
      <c r="AC1123" s="38">
        <v>-282000</v>
      </c>
      <c r="AD1123" s="38">
        <v>-460</v>
      </c>
      <c r="AE1123" s="54">
        <f t="shared" si="799"/>
        <v>369.23999999923399</v>
      </c>
      <c r="AF1123" s="53"/>
      <c r="AG1123" s="53">
        <f t="shared" si="807"/>
        <v>304.7099999999715</v>
      </c>
      <c r="AH1123" s="38"/>
      <c r="AI1123" s="38"/>
      <c r="AJ1123" s="38"/>
      <c r="AK1123" s="54">
        <f t="shared" si="808"/>
        <v>304.7099999999715</v>
      </c>
      <c r="AL1123" s="53"/>
      <c r="AM1123" s="53">
        <f t="shared" si="788"/>
        <v>0</v>
      </c>
      <c r="AN1123" s="38"/>
      <c r="AO1123" s="38"/>
      <c r="AP1123" s="38"/>
      <c r="AQ1123" s="54">
        <f t="shared" si="789"/>
        <v>0</v>
      </c>
      <c r="AR1123" s="53"/>
      <c r="AS1123" s="29">
        <f t="shared" si="809"/>
        <v>-1578980.4700000018</v>
      </c>
      <c r="AT1123" s="29">
        <f t="shared" si="810"/>
        <v>972527.22</v>
      </c>
      <c r="AU1123" s="29">
        <f t="shared" si="811"/>
        <v>0</v>
      </c>
      <c r="AV1123" s="29">
        <f t="shared" si="812"/>
        <v>-828003.99</v>
      </c>
      <c r="AW1123" s="29"/>
      <c r="AX1123" s="29">
        <f t="shared" si="813"/>
        <v>-1434152.5300000017</v>
      </c>
      <c r="AY1123" s="29">
        <f t="shared" si="814"/>
        <v>9300000</v>
      </c>
      <c r="AZ1123" s="29">
        <f t="shared" si="815"/>
        <v>7865847.4699999988</v>
      </c>
    </row>
    <row r="1124" spans="2:52" x14ac:dyDescent="0.3">
      <c r="B1124" s="99">
        <f t="shared" si="820"/>
        <v>45737</v>
      </c>
      <c r="C1124" s="44">
        <f t="shared" si="791"/>
        <v>-2135226.6900000013</v>
      </c>
      <c r="D1124" s="38">
        <f>57604.16+43972.47+4370.2+5842.35</f>
        <v>111789.18000000001</v>
      </c>
      <c r="E1124" s="38">
        <v>240000</v>
      </c>
      <c r="F1124" s="38">
        <v>-125.21</v>
      </c>
      <c r="G1124" s="45">
        <f t="shared" si="805"/>
        <v>-1783562.7200000014</v>
      </c>
      <c r="H1124" s="44">
        <v>4300000</v>
      </c>
      <c r="I1124" s="46">
        <f t="shared" si="792"/>
        <v>695044.28000000061</v>
      </c>
      <c r="J1124" s="38"/>
      <c r="K1124" s="38"/>
      <c r="L1124" s="38">
        <v>-14196.81</v>
      </c>
      <c r="M1124" s="47">
        <f t="shared" si="793"/>
        <v>680847.47000000055</v>
      </c>
      <c r="N1124" s="46">
        <v>5000000</v>
      </c>
      <c r="O1124" s="48">
        <f t="shared" si="794"/>
        <v>5345.8899999995483</v>
      </c>
      <c r="P1124" s="38">
        <v>238216.91</v>
      </c>
      <c r="Q1124" s="38">
        <v>-240000</v>
      </c>
      <c r="R1124" s="38">
        <f>-250-24.2-10</f>
        <v>-284.2</v>
      </c>
      <c r="S1124" s="55">
        <f t="shared" si="795"/>
        <v>3278.599999999552</v>
      </c>
      <c r="T1124" s="48"/>
      <c r="U1124" s="49">
        <f t="shared" si="796"/>
        <v>10.039999999920838</v>
      </c>
      <c r="V1124" s="38"/>
      <c r="W1124" s="38"/>
      <c r="X1124" s="38"/>
      <c r="Y1124" s="51">
        <f t="shared" si="797"/>
        <v>10.039999999920838</v>
      </c>
      <c r="Z1124" s="52"/>
      <c r="AA1124" s="53">
        <f t="shared" si="798"/>
        <v>369.23999999923399</v>
      </c>
      <c r="AB1124" s="38"/>
      <c r="AC1124" s="38"/>
      <c r="AD1124" s="38"/>
      <c r="AE1124" s="54">
        <f t="shared" si="799"/>
        <v>369.23999999923399</v>
      </c>
      <c r="AF1124" s="53"/>
      <c r="AG1124" s="53">
        <f t="shared" si="807"/>
        <v>304.7099999999715</v>
      </c>
      <c r="AH1124" s="38"/>
      <c r="AI1124" s="38"/>
      <c r="AJ1124" s="38"/>
      <c r="AK1124" s="54">
        <f t="shared" si="808"/>
        <v>304.7099999999715</v>
      </c>
      <c r="AL1124" s="53"/>
      <c r="AM1124" s="53">
        <f t="shared" si="788"/>
        <v>0</v>
      </c>
      <c r="AN1124" s="38"/>
      <c r="AO1124" s="38"/>
      <c r="AP1124" s="38"/>
      <c r="AQ1124" s="54">
        <f t="shared" si="789"/>
        <v>0</v>
      </c>
      <c r="AR1124" s="53"/>
      <c r="AS1124" s="29">
        <f t="shared" si="809"/>
        <v>-1434457.2400000016</v>
      </c>
      <c r="AT1124" s="29">
        <f t="shared" si="810"/>
        <v>350006.09</v>
      </c>
      <c r="AU1124" s="29">
        <f t="shared" si="811"/>
        <v>0</v>
      </c>
      <c r="AV1124" s="29">
        <f t="shared" si="812"/>
        <v>-14606.22</v>
      </c>
      <c r="AW1124" s="29"/>
      <c r="AX1124" s="29">
        <f t="shared" si="813"/>
        <v>-1098752.660000002</v>
      </c>
      <c r="AY1124" s="29">
        <f t="shared" si="814"/>
        <v>9300000</v>
      </c>
      <c r="AZ1124" s="29">
        <f t="shared" si="815"/>
        <v>8201247.339999998</v>
      </c>
    </row>
    <row r="1125" spans="2:52" x14ac:dyDescent="0.3">
      <c r="B1125" s="99">
        <f>B1124+3</f>
        <v>45740</v>
      </c>
      <c r="C1125" s="44">
        <f t="shared" si="791"/>
        <v>-1783562.7200000014</v>
      </c>
      <c r="D1125" s="38"/>
      <c r="E1125" s="38">
        <v>440000</v>
      </c>
      <c r="F1125" s="38"/>
      <c r="G1125" s="45">
        <f t="shared" si="805"/>
        <v>-1343562.7200000014</v>
      </c>
      <c r="H1125" s="44">
        <v>4300000</v>
      </c>
      <c r="I1125" s="46">
        <f t="shared" si="792"/>
        <v>680847.47000000055</v>
      </c>
      <c r="J1125" s="38"/>
      <c r="K1125" s="38"/>
      <c r="L1125" s="38">
        <v>-80205.8</v>
      </c>
      <c r="M1125" s="47">
        <f t="shared" si="793"/>
        <v>600641.67000000051</v>
      </c>
      <c r="N1125" s="46">
        <v>5000000</v>
      </c>
      <c r="O1125" s="48">
        <f t="shared" si="794"/>
        <v>3278.599999999552</v>
      </c>
      <c r="P1125" s="38">
        <f>388177.77+68661.83</f>
        <v>456839.60000000003</v>
      </c>
      <c r="Q1125" s="38">
        <v>-440000</v>
      </c>
      <c r="R1125" s="38">
        <v>-16222.03</v>
      </c>
      <c r="S1125" s="55">
        <f t="shared" si="795"/>
        <v>3896.1699999996035</v>
      </c>
      <c r="T1125" s="48"/>
      <c r="U1125" s="49">
        <f t="shared" si="796"/>
        <v>10.039999999920838</v>
      </c>
      <c r="V1125" s="38"/>
      <c r="W1125" s="38"/>
      <c r="X1125" s="38"/>
      <c r="Y1125" s="51">
        <f t="shared" si="797"/>
        <v>10.039999999920838</v>
      </c>
      <c r="Z1125" s="52"/>
      <c r="AA1125" s="53">
        <f t="shared" si="798"/>
        <v>369.23999999923399</v>
      </c>
      <c r="AB1125" s="38"/>
      <c r="AC1125" s="38"/>
      <c r="AD1125" s="38"/>
      <c r="AE1125" s="54">
        <f t="shared" si="799"/>
        <v>369.23999999923399</v>
      </c>
      <c r="AF1125" s="53"/>
      <c r="AG1125" s="53">
        <f t="shared" si="807"/>
        <v>304.7099999999715</v>
      </c>
      <c r="AH1125" s="38"/>
      <c r="AI1125" s="38"/>
      <c r="AJ1125" s="38"/>
      <c r="AK1125" s="54">
        <f t="shared" si="808"/>
        <v>304.7099999999715</v>
      </c>
      <c r="AL1125" s="53"/>
      <c r="AM1125" s="53">
        <f t="shared" si="788"/>
        <v>0</v>
      </c>
      <c r="AN1125" s="38"/>
      <c r="AO1125" s="38"/>
      <c r="AP1125" s="38"/>
      <c r="AQ1125" s="54">
        <f t="shared" si="789"/>
        <v>0</v>
      </c>
      <c r="AR1125" s="53"/>
      <c r="AS1125" s="29">
        <f t="shared" si="809"/>
        <v>-1099057.370000002</v>
      </c>
      <c r="AT1125" s="29">
        <f t="shared" si="810"/>
        <v>456839.60000000003</v>
      </c>
      <c r="AU1125" s="29">
        <f t="shared" si="811"/>
        <v>0</v>
      </c>
      <c r="AV1125" s="29">
        <f t="shared" si="812"/>
        <v>-96427.83</v>
      </c>
      <c r="AW1125" s="29"/>
      <c r="AX1125" s="29">
        <f t="shared" si="813"/>
        <v>-738340.89000000223</v>
      </c>
      <c r="AY1125" s="29">
        <f t="shared" si="814"/>
        <v>9300000</v>
      </c>
      <c r="AZ1125" s="29">
        <f t="shared" si="815"/>
        <v>8561659.1099999975</v>
      </c>
    </row>
    <row r="1126" spans="2:52" x14ac:dyDescent="0.3">
      <c r="B1126" s="99">
        <f t="shared" si="820"/>
        <v>45741</v>
      </c>
      <c r="C1126" s="44">
        <f t="shared" si="791"/>
        <v>-1343562.7200000014</v>
      </c>
      <c r="D1126" s="38">
        <f>56973.87+82852.01+145284.09+15750.6+179505.02</f>
        <v>480365.58999999997</v>
      </c>
      <c r="E1126" s="38"/>
      <c r="F1126" s="38">
        <f>-236966.57-225.12</f>
        <v>-237191.69</v>
      </c>
      <c r="G1126" s="45">
        <f t="shared" si="805"/>
        <v>-1100388.8200000015</v>
      </c>
      <c r="H1126" s="44">
        <v>4300000</v>
      </c>
      <c r="I1126" s="46">
        <f t="shared" si="792"/>
        <v>600641.67000000051</v>
      </c>
      <c r="J1126" s="38">
        <f>5184.69+7718.26+28148.06+7718.26+12003.54+123851.47+342825.11+112686.63+107283.85</f>
        <v>747419.87</v>
      </c>
      <c r="K1126" s="38"/>
      <c r="L1126" s="38">
        <v>-48680.21</v>
      </c>
      <c r="M1126" s="47">
        <f t="shared" si="793"/>
        <v>1299381.3300000005</v>
      </c>
      <c r="N1126" s="46">
        <v>5000000</v>
      </c>
      <c r="O1126" s="48">
        <f t="shared" si="794"/>
        <v>3896.1699999996035</v>
      </c>
      <c r="P1126" s="38">
        <f>201061.56+34440.63</f>
        <v>235502.19</v>
      </c>
      <c r="Q1126" s="38"/>
      <c r="R1126" s="38">
        <v>-128.9</v>
      </c>
      <c r="S1126" s="55">
        <f t="shared" si="795"/>
        <v>239269.45999999961</v>
      </c>
      <c r="T1126" s="48"/>
      <c r="U1126" s="49">
        <f t="shared" si="796"/>
        <v>10.039999999920838</v>
      </c>
      <c r="V1126" s="38"/>
      <c r="W1126" s="38"/>
      <c r="X1126" s="38"/>
      <c r="Y1126" s="51">
        <f t="shared" si="797"/>
        <v>10.039999999920838</v>
      </c>
      <c r="Z1126" s="52"/>
      <c r="AA1126" s="53">
        <f t="shared" si="798"/>
        <v>369.23999999923399</v>
      </c>
      <c r="AB1126" s="38"/>
      <c r="AC1126" s="38"/>
      <c r="AD1126" s="38"/>
      <c r="AE1126" s="54">
        <f t="shared" si="799"/>
        <v>369.23999999923399</v>
      </c>
      <c r="AF1126" s="53"/>
      <c r="AG1126" s="53">
        <f t="shared" si="807"/>
        <v>304.7099999999715</v>
      </c>
      <c r="AH1126" s="38"/>
      <c r="AI1126" s="38"/>
      <c r="AJ1126" s="38"/>
      <c r="AK1126" s="54">
        <f t="shared" si="808"/>
        <v>304.7099999999715</v>
      </c>
      <c r="AL1126" s="53"/>
      <c r="AM1126" s="53">
        <f t="shared" si="788"/>
        <v>0</v>
      </c>
      <c r="AN1126" s="38"/>
      <c r="AO1126" s="38"/>
      <c r="AP1126" s="38"/>
      <c r="AQ1126" s="54">
        <f t="shared" si="789"/>
        <v>0</v>
      </c>
      <c r="AR1126" s="53"/>
      <c r="AS1126" s="29">
        <f t="shared" si="809"/>
        <v>-738645.60000000219</v>
      </c>
      <c r="AT1126" s="29">
        <f t="shared" si="810"/>
        <v>1463287.65</v>
      </c>
      <c r="AU1126" s="29">
        <f t="shared" si="811"/>
        <v>0</v>
      </c>
      <c r="AV1126" s="29">
        <f t="shared" si="812"/>
        <v>-286000.80000000005</v>
      </c>
      <c r="AW1126" s="29"/>
      <c r="AX1126" s="29">
        <f t="shared" si="813"/>
        <v>438945.95999999781</v>
      </c>
      <c r="AY1126" s="29">
        <f t="shared" si="814"/>
        <v>9300000</v>
      </c>
      <c r="AZ1126" s="29">
        <f t="shared" si="815"/>
        <v>9738945.9599999972</v>
      </c>
    </row>
    <row r="1127" spans="2:52" x14ac:dyDescent="0.3">
      <c r="B1127" s="99">
        <f t="shared" si="820"/>
        <v>45742</v>
      </c>
      <c r="C1127" s="44">
        <f t="shared" si="791"/>
        <v>-1100388.8200000015</v>
      </c>
      <c r="D1127" s="38">
        <f>8017.45+2832.5</f>
        <v>10849.95</v>
      </c>
      <c r="E1127" s="38">
        <f>1490000</f>
        <v>1490000</v>
      </c>
      <c r="F1127" s="38"/>
      <c r="G1127" s="45">
        <f t="shared" si="805"/>
        <v>400461.12999999849</v>
      </c>
      <c r="H1127" s="44">
        <v>4300000</v>
      </c>
      <c r="I1127" s="46">
        <f t="shared" si="792"/>
        <v>1299381.3300000005</v>
      </c>
      <c r="J1127" s="38">
        <v>9755.7000000000007</v>
      </c>
      <c r="K1127" s="38">
        <v>1000000</v>
      </c>
      <c r="L1127" s="38">
        <v>-118365.77</v>
      </c>
      <c r="M1127" s="47">
        <f t="shared" si="793"/>
        <v>2190771.2600000002</v>
      </c>
      <c r="N1127" s="46">
        <v>5000000</v>
      </c>
      <c r="O1127" s="48">
        <f t="shared" si="794"/>
        <v>239269.45999999961</v>
      </c>
      <c r="P1127" s="38">
        <f>1097043.03+962459.25+118695.6+79220</f>
        <v>2257417.88</v>
      </c>
      <c r="Q1127" s="38">
        <f>-2490000</f>
        <v>-2490000</v>
      </c>
      <c r="R1127" s="38">
        <v>-680</v>
      </c>
      <c r="S1127" s="55">
        <f t="shared" si="795"/>
        <v>6007.3399999993853</v>
      </c>
      <c r="T1127" s="48"/>
      <c r="U1127" s="49">
        <f t="shared" si="796"/>
        <v>10.039999999920838</v>
      </c>
      <c r="V1127" s="38"/>
      <c r="W1127" s="38"/>
      <c r="X1127" s="38"/>
      <c r="Y1127" s="51">
        <f t="shared" si="797"/>
        <v>10.039999999920838</v>
      </c>
      <c r="Z1127" s="52"/>
      <c r="AA1127" s="53">
        <f t="shared" si="798"/>
        <v>369.23999999923399</v>
      </c>
      <c r="AB1127" s="38"/>
      <c r="AC1127" s="38"/>
      <c r="AD1127" s="38"/>
      <c r="AE1127" s="54">
        <f t="shared" si="799"/>
        <v>369.23999999923399</v>
      </c>
      <c r="AF1127" s="53"/>
      <c r="AG1127" s="53">
        <f t="shared" si="807"/>
        <v>304.7099999999715</v>
      </c>
      <c r="AH1127" s="38"/>
      <c r="AI1127" s="38"/>
      <c r="AJ1127" s="38"/>
      <c r="AK1127" s="54">
        <f t="shared" si="808"/>
        <v>304.7099999999715</v>
      </c>
      <c r="AL1127" s="53"/>
      <c r="AM1127" s="53">
        <f t="shared" si="788"/>
        <v>0</v>
      </c>
      <c r="AN1127" s="38"/>
      <c r="AO1127" s="38"/>
      <c r="AP1127" s="38"/>
      <c r="AQ1127" s="54">
        <f t="shared" si="789"/>
        <v>0</v>
      </c>
      <c r="AR1127" s="53"/>
      <c r="AS1127" s="29">
        <f t="shared" si="809"/>
        <v>438641.24999999785</v>
      </c>
      <c r="AT1127" s="29">
        <f t="shared" si="810"/>
        <v>2278023.5299999998</v>
      </c>
      <c r="AU1127" s="29">
        <f t="shared" si="811"/>
        <v>0</v>
      </c>
      <c r="AV1127" s="29">
        <f t="shared" si="812"/>
        <v>-119045.77</v>
      </c>
      <c r="AW1127" s="29"/>
      <c r="AX1127" s="29">
        <f t="shared" si="813"/>
        <v>2597923.7199999974</v>
      </c>
      <c r="AY1127" s="29">
        <f t="shared" si="814"/>
        <v>9300000</v>
      </c>
      <c r="AZ1127" s="29">
        <f t="shared" si="815"/>
        <v>11897923.719999997</v>
      </c>
    </row>
    <row r="1128" spans="2:52" x14ac:dyDescent="0.3">
      <c r="B1128" s="99">
        <f t="shared" si="820"/>
        <v>45743</v>
      </c>
      <c r="C1128" s="44">
        <f t="shared" si="791"/>
        <v>400461.12999999849</v>
      </c>
      <c r="D1128" s="38">
        <f>45048+53838.36+96620.64</f>
        <v>195507</v>
      </c>
      <c r="E1128" s="38"/>
      <c r="F1128" s="38">
        <v>-4569.5</v>
      </c>
      <c r="G1128" s="45">
        <f t="shared" si="805"/>
        <v>591398.62999999849</v>
      </c>
      <c r="H1128" s="44">
        <v>4300000</v>
      </c>
      <c r="I1128" s="46">
        <f t="shared" si="792"/>
        <v>2190771.2600000002</v>
      </c>
      <c r="J1128" s="38"/>
      <c r="K1128" s="38">
        <f>1160000</f>
        <v>1160000</v>
      </c>
      <c r="L1128" s="38">
        <v>-326988.34999999998</v>
      </c>
      <c r="M1128" s="47">
        <f t="shared" si="793"/>
        <v>3023782.91</v>
      </c>
      <c r="N1128" s="46">
        <v>5000000</v>
      </c>
      <c r="O1128" s="48">
        <f t="shared" si="794"/>
        <v>6007.3399999993853</v>
      </c>
      <c r="P1128" s="38">
        <v>1163647.32</v>
      </c>
      <c r="Q1128" s="38">
        <v>-1160000</v>
      </c>
      <c r="R1128" s="38">
        <f>-613.7-220-163.4-20</f>
        <v>-1017.1</v>
      </c>
      <c r="S1128" s="55">
        <f t="shared" si="795"/>
        <v>8637.5599999994502</v>
      </c>
      <c r="T1128" s="48"/>
      <c r="U1128" s="49">
        <f t="shared" si="796"/>
        <v>10.039999999920838</v>
      </c>
      <c r="V1128" s="38"/>
      <c r="W1128" s="38"/>
      <c r="X1128" s="38"/>
      <c r="Y1128" s="51">
        <f t="shared" si="797"/>
        <v>10.039999999920838</v>
      </c>
      <c r="Z1128" s="52"/>
      <c r="AA1128" s="53">
        <f t="shared" si="798"/>
        <v>369.23999999923399</v>
      </c>
      <c r="AB1128" s="38"/>
      <c r="AC1128" s="38"/>
      <c r="AD1128" s="38"/>
      <c r="AE1128" s="54">
        <f t="shared" si="799"/>
        <v>369.23999999923399</v>
      </c>
      <c r="AF1128" s="53"/>
      <c r="AG1128" s="53">
        <f t="shared" si="807"/>
        <v>304.7099999999715</v>
      </c>
      <c r="AH1128" s="38"/>
      <c r="AI1128" s="38"/>
      <c r="AJ1128" s="38"/>
      <c r="AK1128" s="54">
        <f t="shared" si="808"/>
        <v>304.7099999999715</v>
      </c>
      <c r="AL1128" s="53"/>
      <c r="AM1128" s="53">
        <f t="shared" si="788"/>
        <v>0</v>
      </c>
      <c r="AN1128" s="38"/>
      <c r="AO1128" s="38"/>
      <c r="AP1128" s="38"/>
      <c r="AQ1128" s="54">
        <f t="shared" si="789"/>
        <v>0</v>
      </c>
      <c r="AR1128" s="53"/>
      <c r="AS1128" s="29">
        <f t="shared" si="809"/>
        <v>2597619.0099999974</v>
      </c>
      <c r="AT1128" s="29">
        <f t="shared" si="810"/>
        <v>1359154.32</v>
      </c>
      <c r="AU1128" s="29">
        <f t="shared" si="811"/>
        <v>0</v>
      </c>
      <c r="AV1128" s="29">
        <f t="shared" si="812"/>
        <v>-332574.94999999995</v>
      </c>
      <c r="AW1128" s="29"/>
      <c r="AX1128" s="29">
        <f t="shared" si="813"/>
        <v>3624503.0899999975</v>
      </c>
      <c r="AY1128" s="29">
        <f t="shared" si="814"/>
        <v>9300000</v>
      </c>
      <c r="AZ1128" s="29">
        <f t="shared" si="815"/>
        <v>12924503.089999998</v>
      </c>
    </row>
    <row r="1129" spans="2:52" x14ac:dyDescent="0.3">
      <c r="B1129" s="99">
        <f t="shared" si="820"/>
        <v>45744</v>
      </c>
      <c r="C1129" s="44">
        <f t="shared" si="791"/>
        <v>591398.62999999849</v>
      </c>
      <c r="D1129" s="38">
        <v>799684.16</v>
      </c>
      <c r="E1129" s="38"/>
      <c r="F1129" s="38"/>
      <c r="G1129" s="45">
        <f t="shared" si="805"/>
        <v>1391082.7899999986</v>
      </c>
      <c r="H1129" s="44">
        <v>4300000</v>
      </c>
      <c r="I1129" s="46">
        <f t="shared" si="792"/>
        <v>3023782.91</v>
      </c>
      <c r="J1129" s="38">
        <f>71566.27+258645.25</f>
        <v>330211.52</v>
      </c>
      <c r="K1129" s="38">
        <v>1274000</v>
      </c>
      <c r="L1129" s="38"/>
      <c r="M1129" s="47">
        <f t="shared" si="793"/>
        <v>4627994.43</v>
      </c>
      <c r="N1129" s="46">
        <v>5000000</v>
      </c>
      <c r="O1129" s="48">
        <f t="shared" si="794"/>
        <v>8637.5599999994502</v>
      </c>
      <c r="P1129" s="38"/>
      <c r="Q1129" s="38"/>
      <c r="R1129" s="38"/>
      <c r="S1129" s="55">
        <f t="shared" si="795"/>
        <v>8637.5599999994502</v>
      </c>
      <c r="T1129" s="48"/>
      <c r="U1129" s="49">
        <f t="shared" si="796"/>
        <v>10.039999999920838</v>
      </c>
      <c r="V1129" s="38"/>
      <c r="W1129" s="38"/>
      <c r="X1129" s="38"/>
      <c r="Y1129" s="51">
        <f t="shared" si="797"/>
        <v>10.039999999920838</v>
      </c>
      <c r="Z1129" s="52"/>
      <c r="AA1129" s="53">
        <f t="shared" si="798"/>
        <v>369.23999999923399</v>
      </c>
      <c r="AB1129" s="38"/>
      <c r="AC1129" s="38"/>
      <c r="AD1129" s="38"/>
      <c r="AE1129" s="54">
        <f t="shared" si="799"/>
        <v>369.23999999923399</v>
      </c>
      <c r="AF1129" s="53"/>
      <c r="AG1129" s="53">
        <f t="shared" si="807"/>
        <v>304.7099999999715</v>
      </c>
      <c r="AH1129" s="38">
        <f>50790.01+150777.85+1072929.62</f>
        <v>1274497.4800000002</v>
      </c>
      <c r="AI1129" s="38">
        <v>-1274000</v>
      </c>
      <c r="AJ1129" s="38"/>
      <c r="AK1129" s="54">
        <f t="shared" si="808"/>
        <v>802.19000000017695</v>
      </c>
      <c r="AL1129" s="53"/>
      <c r="AM1129" s="53">
        <f t="shared" si="788"/>
        <v>0</v>
      </c>
      <c r="AN1129" s="38"/>
      <c r="AO1129" s="38"/>
      <c r="AP1129" s="38"/>
      <c r="AQ1129" s="54">
        <f t="shared" si="789"/>
        <v>0</v>
      </c>
      <c r="AR1129" s="53"/>
      <c r="AS1129" s="29">
        <f t="shared" si="809"/>
        <v>3624198.3799999976</v>
      </c>
      <c r="AT1129" s="29">
        <f t="shared" si="810"/>
        <v>2404393.16</v>
      </c>
      <c r="AU1129" s="29">
        <f t="shared" si="811"/>
        <v>0</v>
      </c>
      <c r="AV1129" s="29">
        <f t="shared" si="812"/>
        <v>0</v>
      </c>
      <c r="AW1129" s="29"/>
      <c r="AX1129" s="29">
        <f t="shared" si="813"/>
        <v>6028896.2499999981</v>
      </c>
      <c r="AY1129" s="29">
        <f t="shared" si="814"/>
        <v>9300000</v>
      </c>
      <c r="AZ1129" s="29">
        <f t="shared" si="815"/>
        <v>15328896.249999998</v>
      </c>
    </row>
    <row r="1130" spans="2:52" x14ac:dyDescent="0.3">
      <c r="B1130" s="99">
        <f>B1129+3</f>
        <v>45747</v>
      </c>
      <c r="C1130" s="44">
        <f t="shared" si="791"/>
        <v>1391082.7899999986</v>
      </c>
      <c r="D1130" s="38">
        <v>138806.73000000001</v>
      </c>
      <c r="E1130" s="38"/>
      <c r="F1130" s="38">
        <v>-70994.69</v>
      </c>
      <c r="G1130" s="45">
        <f t="shared" si="805"/>
        <v>1458894.8299999987</v>
      </c>
      <c r="H1130" s="44">
        <v>4300000</v>
      </c>
      <c r="I1130" s="46">
        <f t="shared" si="792"/>
        <v>4627994.43</v>
      </c>
      <c r="J1130" s="38">
        <v>536732.22</v>
      </c>
      <c r="K1130" s="38">
        <f>1370000</f>
        <v>1370000</v>
      </c>
      <c r="L1130" s="38"/>
      <c r="M1130" s="47">
        <f t="shared" si="793"/>
        <v>6534726.6499999994</v>
      </c>
      <c r="N1130" s="46">
        <v>5000000</v>
      </c>
      <c r="O1130" s="48">
        <f t="shared" si="794"/>
        <v>8637.5599999994502</v>
      </c>
      <c r="P1130" s="38">
        <f>7132.6+353552.9+258971.6+10052.95</f>
        <v>629710.04999999993</v>
      </c>
      <c r="Q1130" s="38">
        <f>748458-1370000</f>
        <v>-621542</v>
      </c>
      <c r="R1130" s="38">
        <v>-10</v>
      </c>
      <c r="S1130" s="55">
        <f t="shared" si="795"/>
        <v>16795.609999999404</v>
      </c>
      <c r="T1130" s="48"/>
      <c r="U1130" s="49">
        <f t="shared" si="796"/>
        <v>10.039999999920838</v>
      </c>
      <c r="V1130" s="38">
        <v>748497.97</v>
      </c>
      <c r="W1130" s="38">
        <v>-748458</v>
      </c>
      <c r="X1130" s="38"/>
      <c r="Y1130" s="51">
        <f t="shared" si="797"/>
        <v>50.009999999892898</v>
      </c>
      <c r="Z1130" s="52"/>
      <c r="AA1130" s="53">
        <f t="shared" si="798"/>
        <v>369.23999999923399</v>
      </c>
      <c r="AB1130" s="38">
        <v>0.09</v>
      </c>
      <c r="AC1130" s="38"/>
      <c r="AD1130" s="38"/>
      <c r="AE1130" s="54">
        <f t="shared" si="799"/>
        <v>369.32999999923396</v>
      </c>
      <c r="AF1130" s="53"/>
      <c r="AG1130" s="53">
        <f t="shared" si="807"/>
        <v>802.19000000017695</v>
      </c>
      <c r="AH1130" s="38"/>
      <c r="AI1130" s="38"/>
      <c r="AJ1130" s="38">
        <f>-89.9+0.12</f>
        <v>-89.78</v>
      </c>
      <c r="AK1130" s="54">
        <f t="shared" si="808"/>
        <v>712.41000000017698</v>
      </c>
      <c r="AL1130" s="53"/>
      <c r="AM1130" s="53">
        <f t="shared" si="788"/>
        <v>0</v>
      </c>
      <c r="AN1130" s="38"/>
      <c r="AO1130" s="38"/>
      <c r="AP1130" s="38"/>
      <c r="AQ1130" s="54">
        <f t="shared" si="789"/>
        <v>0</v>
      </c>
      <c r="AR1130" s="53"/>
      <c r="AS1130" s="29">
        <f t="shared" si="809"/>
        <v>6028094.0599999977</v>
      </c>
      <c r="AT1130" s="29">
        <f t="shared" si="810"/>
        <v>2053747.06</v>
      </c>
      <c r="AU1130" s="29">
        <f t="shared" si="811"/>
        <v>0</v>
      </c>
      <c r="AV1130" s="29">
        <f t="shared" si="812"/>
        <v>-71094.47</v>
      </c>
      <c r="AW1130" s="29"/>
      <c r="AX1130" s="29">
        <f t="shared" si="813"/>
        <v>8011548.8399999971</v>
      </c>
      <c r="AY1130" s="29">
        <f t="shared" si="814"/>
        <v>9300000</v>
      </c>
      <c r="AZ1130" s="29">
        <f t="shared" si="815"/>
        <v>17311548.839999996</v>
      </c>
    </row>
    <row r="1131" spans="2:52" x14ac:dyDescent="0.3">
      <c r="B1131" s="99">
        <f t="shared" si="820"/>
        <v>45748</v>
      </c>
      <c r="C1131" s="44">
        <f t="shared" si="791"/>
        <v>1458894.8299999987</v>
      </c>
      <c r="D1131" s="38"/>
      <c r="E1131" s="38"/>
      <c r="F1131" s="38">
        <v>-100</v>
      </c>
      <c r="G1131" s="45">
        <f t="shared" si="805"/>
        <v>1458794.8299999987</v>
      </c>
      <c r="H1131" s="44">
        <v>4300000</v>
      </c>
      <c r="I1131" s="46">
        <f t="shared" si="792"/>
        <v>6534726.6499999994</v>
      </c>
      <c r="J1131" s="38"/>
      <c r="K1131" s="38"/>
      <c r="L1131" s="38">
        <v>-66523.37</v>
      </c>
      <c r="M1131" s="47">
        <f t="shared" si="793"/>
        <v>6468203.2799999993</v>
      </c>
      <c r="N1131" s="46">
        <v>5000000</v>
      </c>
      <c r="O1131" s="48">
        <f t="shared" si="794"/>
        <v>16795.609999999404</v>
      </c>
      <c r="P1131" s="38"/>
      <c r="Q1131" s="38"/>
      <c r="R1131" s="38">
        <f>-13726.16</f>
        <v>-13726.16</v>
      </c>
      <c r="S1131" s="55">
        <f t="shared" si="795"/>
        <v>3069.4499999994041</v>
      </c>
      <c r="T1131" s="48"/>
      <c r="U1131" s="49">
        <f t="shared" si="796"/>
        <v>50.009999999892898</v>
      </c>
      <c r="V1131" s="38"/>
      <c r="W1131" s="38"/>
      <c r="X1131" s="38">
        <v>-1.6</v>
      </c>
      <c r="Y1131" s="51">
        <f t="shared" si="797"/>
        <v>48.409999999892896</v>
      </c>
      <c r="Z1131" s="52"/>
      <c r="AA1131" s="53">
        <f t="shared" si="798"/>
        <v>369.32999999923396</v>
      </c>
      <c r="AB1131" s="38"/>
      <c r="AC1131" s="38"/>
      <c r="AD1131" s="38">
        <v>-172</v>
      </c>
      <c r="AE1131" s="54">
        <f t="shared" si="799"/>
        <v>197.32999999923396</v>
      </c>
      <c r="AF1131" s="53"/>
      <c r="AG1131" s="53">
        <f t="shared" si="807"/>
        <v>712.41000000017698</v>
      </c>
      <c r="AH1131" s="38"/>
      <c r="AI1131" s="38"/>
      <c r="AJ1131" s="38"/>
      <c r="AK1131" s="54">
        <f t="shared" si="808"/>
        <v>712.41000000017698</v>
      </c>
      <c r="AL1131" s="53"/>
      <c r="AM1131" s="53">
        <f t="shared" si="788"/>
        <v>0</v>
      </c>
      <c r="AN1131" s="38"/>
      <c r="AO1131" s="38"/>
      <c r="AP1131" s="38"/>
      <c r="AQ1131" s="54">
        <f t="shared" si="789"/>
        <v>0</v>
      </c>
      <c r="AR1131" s="53"/>
      <c r="AS1131" s="29">
        <f t="shared" si="809"/>
        <v>8010836.4299999969</v>
      </c>
      <c r="AT1131" s="29">
        <f t="shared" si="810"/>
        <v>0</v>
      </c>
      <c r="AU1131" s="29">
        <f t="shared" si="811"/>
        <v>0</v>
      </c>
      <c r="AV1131" s="29">
        <f t="shared" si="812"/>
        <v>-80523.13</v>
      </c>
      <c r="AW1131" s="29"/>
      <c r="AX1131" s="29">
        <f t="shared" si="813"/>
        <v>7931025.7099999962</v>
      </c>
      <c r="AY1131" s="29">
        <f t="shared" si="814"/>
        <v>9300000</v>
      </c>
      <c r="AZ1131" s="29">
        <f t="shared" si="815"/>
        <v>17231025.709999997</v>
      </c>
    </row>
    <row r="1132" spans="2:52" x14ac:dyDescent="0.3">
      <c r="B1132" s="99">
        <f t="shared" si="820"/>
        <v>45749</v>
      </c>
      <c r="C1132" s="44">
        <f t="shared" si="791"/>
        <v>1458794.8299999987</v>
      </c>
      <c r="D1132" s="38">
        <f>26062.11+9936.36</f>
        <v>35998.47</v>
      </c>
      <c r="E1132" s="38"/>
      <c r="F1132" s="38">
        <f>-160-15749.52-133328.48-1500</f>
        <v>-150738</v>
      </c>
      <c r="G1132" s="45">
        <f t="shared" si="805"/>
        <v>1344055.2999999986</v>
      </c>
      <c r="H1132" s="44">
        <v>4300000</v>
      </c>
      <c r="I1132" s="46">
        <f t="shared" si="792"/>
        <v>6468203.2799999993</v>
      </c>
      <c r="J1132" s="38"/>
      <c r="K1132" s="38"/>
      <c r="L1132" s="38">
        <v>-43891.77</v>
      </c>
      <c r="M1132" s="47">
        <f t="shared" si="793"/>
        <v>6424311.5099999998</v>
      </c>
      <c r="N1132" s="46">
        <v>5000000</v>
      </c>
      <c r="O1132" s="48">
        <f t="shared" si="794"/>
        <v>3069.4499999994041</v>
      </c>
      <c r="P1132" s="38"/>
      <c r="Q1132" s="38"/>
      <c r="R1132" s="38">
        <f>-735.34-35</f>
        <v>-770.34</v>
      </c>
      <c r="S1132" s="55">
        <f t="shared" si="795"/>
        <v>2299.109999999404</v>
      </c>
      <c r="T1132" s="48"/>
      <c r="U1132" s="49">
        <f t="shared" si="796"/>
        <v>48.409999999892896</v>
      </c>
      <c r="V1132" s="38"/>
      <c r="W1132" s="38"/>
      <c r="X1132" s="38">
        <v>-48.41</v>
      </c>
      <c r="Y1132" s="51">
        <f t="shared" si="797"/>
        <v>-1.071001065611199E-10</v>
      </c>
      <c r="Z1132" s="52"/>
      <c r="AA1132" s="53">
        <f t="shared" si="798"/>
        <v>197.32999999923396</v>
      </c>
      <c r="AB1132" s="38"/>
      <c r="AC1132" s="38"/>
      <c r="AD1132" s="38"/>
      <c r="AE1132" s="54">
        <f t="shared" si="799"/>
        <v>197.32999999923396</v>
      </c>
      <c r="AF1132" s="53"/>
      <c r="AG1132" s="53">
        <f t="shared" si="807"/>
        <v>712.41000000017698</v>
      </c>
      <c r="AH1132" s="38"/>
      <c r="AI1132" s="38"/>
      <c r="AJ1132" s="38"/>
      <c r="AK1132" s="54">
        <f t="shared" si="808"/>
        <v>712.41000000017698</v>
      </c>
      <c r="AL1132" s="53"/>
      <c r="AM1132" s="53">
        <f t="shared" si="788"/>
        <v>0</v>
      </c>
      <c r="AN1132" s="38"/>
      <c r="AO1132" s="38"/>
      <c r="AP1132" s="38"/>
      <c r="AQ1132" s="54">
        <f t="shared" si="789"/>
        <v>0</v>
      </c>
      <c r="AR1132" s="53"/>
      <c r="AS1132" s="29">
        <f t="shared" si="809"/>
        <v>7930313.2999999961</v>
      </c>
      <c r="AT1132" s="29">
        <f t="shared" si="810"/>
        <v>35998.47</v>
      </c>
      <c r="AU1132" s="29">
        <f t="shared" si="811"/>
        <v>0</v>
      </c>
      <c r="AV1132" s="29">
        <f t="shared" si="812"/>
        <v>-195448.52</v>
      </c>
      <c r="AW1132" s="29"/>
      <c r="AX1132" s="29">
        <f t="shared" si="813"/>
        <v>7771575.6599999974</v>
      </c>
      <c r="AY1132" s="29">
        <f t="shared" si="814"/>
        <v>9300000</v>
      </c>
      <c r="AZ1132" s="29">
        <f t="shared" si="815"/>
        <v>17071575.659999996</v>
      </c>
    </row>
    <row r="1133" spans="2:52" x14ac:dyDescent="0.3">
      <c r="B1133" s="99">
        <f t="shared" si="820"/>
        <v>45750</v>
      </c>
      <c r="C1133" s="44">
        <f t="shared" si="791"/>
        <v>1344055.2999999986</v>
      </c>
      <c r="D1133" s="38"/>
      <c r="E1133" s="38"/>
      <c r="F1133" s="38">
        <v>-11125.33</v>
      </c>
      <c r="G1133" s="45">
        <f t="shared" si="805"/>
        <v>1332929.9699999986</v>
      </c>
      <c r="H1133" s="44">
        <v>4300000</v>
      </c>
      <c r="I1133" s="46">
        <f t="shared" si="792"/>
        <v>6424311.5099999998</v>
      </c>
      <c r="J1133" s="38"/>
      <c r="K1133" s="38">
        <v>530000</v>
      </c>
      <c r="L1133" s="38">
        <v>-3187782.17</v>
      </c>
      <c r="M1133" s="47">
        <f t="shared" si="793"/>
        <v>3766529.34</v>
      </c>
      <c r="N1133" s="46">
        <v>5000000</v>
      </c>
      <c r="O1133" s="48">
        <f t="shared" si="794"/>
        <v>2299.109999999404</v>
      </c>
      <c r="P1133" s="38">
        <f>313616.71+222148.27</f>
        <v>535764.98</v>
      </c>
      <c r="Q1133" s="38">
        <f>-530000-50</f>
        <v>-530050</v>
      </c>
      <c r="R1133" s="38">
        <f>-1659.43-10</f>
        <v>-1669.43</v>
      </c>
      <c r="S1133" s="55">
        <f t="shared" si="795"/>
        <v>6344.659999999385</v>
      </c>
      <c r="T1133" s="48"/>
      <c r="U1133" s="49">
        <f t="shared" si="796"/>
        <v>-1.071001065611199E-10</v>
      </c>
      <c r="V1133" s="38"/>
      <c r="W1133" s="38">
        <v>50</v>
      </c>
      <c r="X1133" s="38">
        <v>-19.989999999999998</v>
      </c>
      <c r="Y1133" s="51">
        <f t="shared" si="797"/>
        <v>30.009999999892901</v>
      </c>
      <c r="Z1133" s="52"/>
      <c r="AA1133" s="53">
        <f t="shared" si="798"/>
        <v>197.32999999923396</v>
      </c>
      <c r="AB1133" s="38"/>
      <c r="AC1133" s="38"/>
      <c r="AD1133" s="38"/>
      <c r="AE1133" s="54">
        <f t="shared" si="799"/>
        <v>197.32999999923396</v>
      </c>
      <c r="AF1133" s="53"/>
      <c r="AG1133" s="53">
        <f t="shared" si="807"/>
        <v>712.41000000017698</v>
      </c>
      <c r="AH1133" s="38"/>
      <c r="AI1133" s="38"/>
      <c r="AJ1133" s="38">
        <v>-405.95</v>
      </c>
      <c r="AK1133" s="54">
        <f t="shared" si="808"/>
        <v>306.46000000017699</v>
      </c>
      <c r="AL1133" s="53"/>
      <c r="AM1133" s="53">
        <f t="shared" si="788"/>
        <v>0</v>
      </c>
      <c r="AN1133" s="38"/>
      <c r="AO1133" s="38"/>
      <c r="AP1133" s="38"/>
      <c r="AQ1133" s="54">
        <f t="shared" si="789"/>
        <v>0</v>
      </c>
      <c r="AR1133" s="53"/>
      <c r="AS1133" s="29">
        <f t="shared" si="809"/>
        <v>7770863.2499999972</v>
      </c>
      <c r="AT1133" s="29">
        <f t="shared" si="810"/>
        <v>535764.98</v>
      </c>
      <c r="AU1133" s="29">
        <f t="shared" si="811"/>
        <v>0</v>
      </c>
      <c r="AV1133" s="29">
        <f t="shared" si="812"/>
        <v>-3201002.8700000006</v>
      </c>
      <c r="AW1133" s="29"/>
      <c r="AX1133" s="29">
        <f t="shared" si="813"/>
        <v>5106337.7699999968</v>
      </c>
      <c r="AY1133" s="29">
        <f t="shared" si="814"/>
        <v>9300000</v>
      </c>
      <c r="AZ1133" s="29">
        <f t="shared" si="815"/>
        <v>14406337.769999996</v>
      </c>
    </row>
    <row r="1134" spans="2:52" x14ac:dyDescent="0.3">
      <c r="B1134" s="99">
        <f t="shared" si="820"/>
        <v>45751</v>
      </c>
      <c r="C1134" s="44">
        <f t="shared" si="791"/>
        <v>1332929.9699999986</v>
      </c>
      <c r="D1134" s="38"/>
      <c r="E1134" s="38"/>
      <c r="F1134" s="38">
        <v>-17270.52</v>
      </c>
      <c r="G1134" s="45">
        <f t="shared" si="805"/>
        <v>1315659.4499999986</v>
      </c>
      <c r="H1134" s="44">
        <v>4300000</v>
      </c>
      <c r="I1134" s="46">
        <f t="shared" si="792"/>
        <v>3766529.34</v>
      </c>
      <c r="J1134" s="38"/>
      <c r="K1134" s="38"/>
      <c r="L1134" s="38">
        <v>-471870.53</v>
      </c>
      <c r="M1134" s="47">
        <f t="shared" si="793"/>
        <v>3294658.8099999996</v>
      </c>
      <c r="N1134" s="46">
        <v>5000000</v>
      </c>
      <c r="O1134" s="48">
        <f t="shared" si="794"/>
        <v>6344.659999999385</v>
      </c>
      <c r="P1134" s="38"/>
      <c r="Q1134" s="38">
        <v>112550</v>
      </c>
      <c r="R1134" s="38">
        <f>-5331-24485.6</f>
        <v>-29816.6</v>
      </c>
      <c r="S1134" s="55">
        <f t="shared" si="795"/>
        <v>89078.059999999386</v>
      </c>
      <c r="T1134" s="48"/>
      <c r="U1134" s="49">
        <f t="shared" si="796"/>
        <v>30.009999999892901</v>
      </c>
      <c r="V1134" s="38">
        <v>112574.95</v>
      </c>
      <c r="W1134" s="38">
        <v>-112550</v>
      </c>
      <c r="X1134" s="38">
        <v>-1.6</v>
      </c>
      <c r="Y1134" s="51">
        <f t="shared" si="797"/>
        <v>53.359999999889986</v>
      </c>
      <c r="Z1134" s="52"/>
      <c r="AA1134" s="53">
        <f t="shared" si="798"/>
        <v>197.32999999923396</v>
      </c>
      <c r="AB1134" s="38">
        <v>125284.09</v>
      </c>
      <c r="AC1134" s="38"/>
      <c r="AD1134" s="38"/>
      <c r="AE1134" s="54">
        <f t="shared" si="799"/>
        <v>125481.41999999923</v>
      </c>
      <c r="AF1134" s="53"/>
      <c r="AG1134" s="53">
        <f t="shared" si="807"/>
        <v>306.46000000017699</v>
      </c>
      <c r="AH1134" s="38"/>
      <c r="AI1134" s="38"/>
      <c r="AJ1134" s="38"/>
      <c r="AK1134" s="54">
        <f t="shared" si="808"/>
        <v>306.46000000017699</v>
      </c>
      <c r="AL1134" s="53"/>
      <c r="AM1134" s="53">
        <f t="shared" si="788"/>
        <v>0</v>
      </c>
      <c r="AN1134" s="38"/>
      <c r="AO1134" s="38"/>
      <c r="AP1134" s="38"/>
      <c r="AQ1134" s="54">
        <f t="shared" si="789"/>
        <v>0</v>
      </c>
      <c r="AR1134" s="53"/>
      <c r="AS1134" s="29">
        <f t="shared" si="809"/>
        <v>5106031.3099999968</v>
      </c>
      <c r="AT1134" s="29">
        <f t="shared" si="810"/>
        <v>237859.03999999998</v>
      </c>
      <c r="AU1134" s="29">
        <f t="shared" si="811"/>
        <v>0</v>
      </c>
      <c r="AV1134" s="29">
        <f t="shared" si="812"/>
        <v>-518959.25</v>
      </c>
      <c r="AW1134" s="29"/>
      <c r="AX1134" s="29">
        <f t="shared" si="813"/>
        <v>4825237.5599999968</v>
      </c>
      <c r="AY1134" s="29">
        <f t="shared" si="814"/>
        <v>9300000</v>
      </c>
      <c r="AZ1134" s="29">
        <f t="shared" si="815"/>
        <v>14125237.559999997</v>
      </c>
    </row>
    <row r="1135" spans="2:52" x14ac:dyDescent="0.3">
      <c r="B1135" s="99">
        <f>B1134+3</f>
        <v>45754</v>
      </c>
      <c r="C1135" s="44">
        <f t="shared" si="791"/>
        <v>1315659.4499999986</v>
      </c>
      <c r="D1135" s="38">
        <f>2032.05+46980.35+750.8</f>
        <v>49763.200000000004</v>
      </c>
      <c r="E1135" s="38"/>
      <c r="F1135" s="38">
        <v>-1600</v>
      </c>
      <c r="G1135" s="45">
        <f t="shared" si="805"/>
        <v>1363822.6499999985</v>
      </c>
      <c r="H1135" s="44">
        <v>4300000</v>
      </c>
      <c r="I1135" s="46">
        <f t="shared" si="792"/>
        <v>3294658.8099999996</v>
      </c>
      <c r="J1135" s="38"/>
      <c r="K1135" s="38">
        <f>125000+77000</f>
        <v>202000</v>
      </c>
      <c r="L1135" s="38">
        <v>-1210356.6499999999</v>
      </c>
      <c r="M1135" s="47">
        <f t="shared" si="793"/>
        <v>2286302.1599999997</v>
      </c>
      <c r="N1135" s="46">
        <v>5000000</v>
      </c>
      <c r="O1135" s="48">
        <f t="shared" si="794"/>
        <v>89078.059999999386</v>
      </c>
      <c r="P1135" s="38"/>
      <c r="Q1135" s="38"/>
      <c r="R1135" s="38">
        <v>-21970</v>
      </c>
      <c r="S1135" s="55">
        <f t="shared" si="795"/>
        <v>67108.059999999386</v>
      </c>
      <c r="T1135" s="48"/>
      <c r="U1135" s="49">
        <f t="shared" si="796"/>
        <v>53.359999999889986</v>
      </c>
      <c r="V1135" s="38"/>
      <c r="W1135" s="38"/>
      <c r="X1135" s="38"/>
      <c r="Y1135" s="51">
        <f t="shared" si="797"/>
        <v>53.359999999889986</v>
      </c>
      <c r="Z1135" s="52"/>
      <c r="AA1135" s="53">
        <f t="shared" si="798"/>
        <v>125481.41999999923</v>
      </c>
      <c r="AB1135" s="38"/>
      <c r="AC1135" s="38">
        <v>-125000</v>
      </c>
      <c r="AD1135" s="38"/>
      <c r="AE1135" s="54">
        <f t="shared" si="799"/>
        <v>481.419999999227</v>
      </c>
      <c r="AF1135" s="53"/>
      <c r="AG1135" s="53">
        <f t="shared" si="807"/>
        <v>306.46000000017699</v>
      </c>
      <c r="AH1135" s="38">
        <v>77648.679999999993</v>
      </c>
      <c r="AI1135" s="38">
        <v>-77000</v>
      </c>
      <c r="AJ1135" s="38"/>
      <c r="AK1135" s="54">
        <f t="shared" si="808"/>
        <v>955.14000000017404</v>
      </c>
      <c r="AL1135" s="53"/>
      <c r="AM1135" s="53">
        <f t="shared" si="788"/>
        <v>0</v>
      </c>
      <c r="AN1135" s="38"/>
      <c r="AO1135" s="38"/>
      <c r="AP1135" s="38"/>
      <c r="AQ1135" s="54">
        <f t="shared" si="789"/>
        <v>0</v>
      </c>
      <c r="AR1135" s="53"/>
      <c r="AS1135" s="29">
        <f t="shared" si="809"/>
        <v>4824931.0999999968</v>
      </c>
      <c r="AT1135" s="29">
        <f t="shared" si="810"/>
        <v>127411.88</v>
      </c>
      <c r="AU1135" s="29">
        <f t="shared" si="811"/>
        <v>0</v>
      </c>
      <c r="AV1135" s="29">
        <f t="shared" si="812"/>
        <v>-1233926.6499999999</v>
      </c>
      <c r="AW1135" s="29"/>
      <c r="AX1135" s="29">
        <f t="shared" si="813"/>
        <v>3718722.7899999968</v>
      </c>
      <c r="AY1135" s="29">
        <f t="shared" si="814"/>
        <v>9300000</v>
      </c>
      <c r="AZ1135" s="29">
        <f t="shared" si="815"/>
        <v>13018722.789999997</v>
      </c>
    </row>
    <row r="1136" spans="2:52" x14ac:dyDescent="0.3">
      <c r="B1136" s="99">
        <f t="shared" si="820"/>
        <v>45755</v>
      </c>
      <c r="C1136" s="44">
        <f t="shared" si="791"/>
        <v>1363822.6499999985</v>
      </c>
      <c r="D1136" s="38"/>
      <c r="E1136" s="38"/>
      <c r="F1136" s="38">
        <v>-1116.8</v>
      </c>
      <c r="G1136" s="45">
        <f t="shared" si="805"/>
        <v>1362705.8499999985</v>
      </c>
      <c r="H1136" s="44">
        <v>4300000</v>
      </c>
      <c r="I1136" s="46">
        <f t="shared" si="792"/>
        <v>2286302.1599999997</v>
      </c>
      <c r="J1136" s="38"/>
      <c r="K1136" s="38">
        <v>270000</v>
      </c>
      <c r="L1136" s="38">
        <v>-47615.03</v>
      </c>
      <c r="M1136" s="47">
        <f t="shared" si="793"/>
        <v>2508687.13</v>
      </c>
      <c r="N1136" s="46">
        <v>5000000</v>
      </c>
      <c r="O1136" s="48">
        <f t="shared" si="794"/>
        <v>67108.059999999386</v>
      </c>
      <c r="P1136" s="38">
        <f>24438.54+79220+104011.41</f>
        <v>207669.95</v>
      </c>
      <c r="Q1136" s="38">
        <v>-270000</v>
      </c>
      <c r="R1136" s="38">
        <v>-10</v>
      </c>
      <c r="S1136" s="55">
        <f t="shared" si="795"/>
        <v>4768.0099999994272</v>
      </c>
      <c r="T1136" s="48"/>
      <c r="U1136" s="49">
        <f t="shared" si="796"/>
        <v>53.359999999889986</v>
      </c>
      <c r="V1136" s="38"/>
      <c r="W1136" s="38"/>
      <c r="X1136" s="38"/>
      <c r="Y1136" s="51">
        <f t="shared" si="797"/>
        <v>53.359999999889986</v>
      </c>
      <c r="Z1136" s="52"/>
      <c r="AA1136" s="53">
        <f t="shared" si="798"/>
        <v>481.419999999227</v>
      </c>
      <c r="AB1136" s="38"/>
      <c r="AC1136" s="38"/>
      <c r="AD1136" s="38"/>
      <c r="AE1136" s="54">
        <f t="shared" si="799"/>
        <v>481.419999999227</v>
      </c>
      <c r="AF1136" s="53"/>
      <c r="AG1136" s="53">
        <f t="shared" si="807"/>
        <v>955.14000000017404</v>
      </c>
      <c r="AH1136" s="38"/>
      <c r="AI1136" s="38"/>
      <c r="AJ1136" s="38">
        <v>-9.9</v>
      </c>
      <c r="AK1136" s="54">
        <f t="shared" si="808"/>
        <v>945.24000000017406</v>
      </c>
      <c r="AL1136" s="53"/>
      <c r="AM1136" s="53">
        <f t="shared" si="788"/>
        <v>0</v>
      </c>
      <c r="AN1136" s="38"/>
      <c r="AO1136" s="38"/>
      <c r="AP1136" s="38"/>
      <c r="AQ1136" s="54">
        <f t="shared" si="789"/>
        <v>0</v>
      </c>
      <c r="AR1136" s="53"/>
      <c r="AS1136" s="29">
        <f t="shared" si="809"/>
        <v>3717767.6499999966</v>
      </c>
      <c r="AT1136" s="29">
        <f t="shared" si="810"/>
        <v>207669.95</v>
      </c>
      <c r="AU1136" s="29">
        <f t="shared" si="811"/>
        <v>0</v>
      </c>
      <c r="AV1136" s="29">
        <f t="shared" si="812"/>
        <v>-48751.73</v>
      </c>
      <c r="AW1136" s="29"/>
      <c r="AX1136" s="29">
        <f t="shared" si="813"/>
        <v>3877641.009999997</v>
      </c>
      <c r="AY1136" s="29">
        <f t="shared" si="814"/>
        <v>9300000</v>
      </c>
      <c r="AZ1136" s="29">
        <f t="shared" si="815"/>
        <v>13177641.009999998</v>
      </c>
    </row>
    <row r="1137" spans="2:52" x14ac:dyDescent="0.3">
      <c r="B1137" s="99">
        <f t="shared" si="820"/>
        <v>45756</v>
      </c>
      <c r="C1137" s="44">
        <f t="shared" si="791"/>
        <v>1362705.8499999985</v>
      </c>
      <c r="D1137" s="38">
        <v>49911.21</v>
      </c>
      <c r="E1137" s="38"/>
      <c r="F1137" s="38">
        <f>-681.01-47.3</f>
        <v>-728.31</v>
      </c>
      <c r="G1137" s="45">
        <f t="shared" si="805"/>
        <v>1411888.7499999984</v>
      </c>
      <c r="H1137" s="44">
        <v>4300000</v>
      </c>
      <c r="I1137" s="46">
        <f t="shared" si="792"/>
        <v>2508687.13</v>
      </c>
      <c r="J1137" s="38"/>
      <c r="K1137" s="38"/>
      <c r="L1137" s="38">
        <v>-40940.06</v>
      </c>
      <c r="M1137" s="47">
        <f t="shared" si="793"/>
        <v>2467747.0699999998</v>
      </c>
      <c r="N1137" s="46">
        <v>5000000</v>
      </c>
      <c r="O1137" s="48">
        <f t="shared" si="794"/>
        <v>4768.0099999994272</v>
      </c>
      <c r="P1137" s="38"/>
      <c r="Q1137" s="38"/>
      <c r="R1137" s="38">
        <v>-959</v>
      </c>
      <c r="S1137" s="55">
        <f t="shared" si="795"/>
        <v>3809.0099999994272</v>
      </c>
      <c r="T1137" s="48"/>
      <c r="U1137" s="49">
        <f t="shared" si="796"/>
        <v>53.359999999889986</v>
      </c>
      <c r="V1137" s="38"/>
      <c r="W1137" s="38"/>
      <c r="X1137" s="38"/>
      <c r="Y1137" s="51">
        <f t="shared" si="797"/>
        <v>53.359999999889986</v>
      </c>
      <c r="Z1137" s="52"/>
      <c r="AA1137" s="53">
        <f t="shared" si="798"/>
        <v>481.419999999227</v>
      </c>
      <c r="AB1137" s="38"/>
      <c r="AC1137" s="38"/>
      <c r="AD1137" s="38"/>
      <c r="AE1137" s="54">
        <f t="shared" si="799"/>
        <v>481.419999999227</v>
      </c>
      <c r="AF1137" s="53"/>
      <c r="AG1137" s="53">
        <f t="shared" si="807"/>
        <v>945.24000000017406</v>
      </c>
      <c r="AH1137" s="38"/>
      <c r="AI1137" s="38"/>
      <c r="AJ1137" s="38"/>
      <c r="AK1137" s="54">
        <f t="shared" si="808"/>
        <v>945.24000000017406</v>
      </c>
      <c r="AL1137" s="53"/>
      <c r="AM1137" s="53">
        <f t="shared" si="788"/>
        <v>0</v>
      </c>
      <c r="AN1137" s="38"/>
      <c r="AO1137" s="38"/>
      <c r="AP1137" s="38"/>
      <c r="AQ1137" s="54">
        <f t="shared" si="789"/>
        <v>0</v>
      </c>
      <c r="AR1137" s="53"/>
      <c r="AS1137" s="29">
        <f t="shared" si="809"/>
        <v>3876695.7699999968</v>
      </c>
      <c r="AT1137" s="29">
        <f t="shared" si="810"/>
        <v>49911.21</v>
      </c>
      <c r="AU1137" s="29">
        <f t="shared" si="811"/>
        <v>0</v>
      </c>
      <c r="AV1137" s="29">
        <f t="shared" si="812"/>
        <v>-42627.369999999995</v>
      </c>
      <c r="AW1137" s="29"/>
      <c r="AX1137" s="29">
        <f t="shared" si="813"/>
        <v>3884924.8499999968</v>
      </c>
      <c r="AY1137" s="29">
        <f t="shared" si="814"/>
        <v>9300000</v>
      </c>
      <c r="AZ1137" s="29">
        <f t="shared" si="815"/>
        <v>13184924.849999998</v>
      </c>
    </row>
    <row r="1138" spans="2:52" x14ac:dyDescent="0.3">
      <c r="B1138" s="99">
        <f t="shared" si="820"/>
        <v>45757</v>
      </c>
      <c r="C1138" s="44">
        <f t="shared" si="791"/>
        <v>1411888.7499999984</v>
      </c>
      <c r="D1138" s="38">
        <v>301206.53000000003</v>
      </c>
      <c r="E1138" s="38"/>
      <c r="F1138" s="38">
        <f>-42.58-1776.21</f>
        <v>-1818.79</v>
      </c>
      <c r="G1138" s="45">
        <f t="shared" si="805"/>
        <v>1711276.4899999984</v>
      </c>
      <c r="H1138" s="44">
        <v>4300000</v>
      </c>
      <c r="I1138" s="46">
        <f t="shared" si="792"/>
        <v>2467747.0699999998</v>
      </c>
      <c r="J1138" s="38">
        <f>4017.99+48989.73+25667.76+375198.72</f>
        <v>453874.19999999995</v>
      </c>
      <c r="K1138" s="38"/>
      <c r="L1138" s="38">
        <v>-562796.01</v>
      </c>
      <c r="M1138" s="47">
        <f t="shared" si="793"/>
        <v>2358825.2599999998</v>
      </c>
      <c r="N1138" s="46">
        <v>5000000</v>
      </c>
      <c r="O1138" s="48">
        <f t="shared" si="794"/>
        <v>3809.0099999994272</v>
      </c>
      <c r="P1138" s="38">
        <v>73327.44</v>
      </c>
      <c r="Q1138" s="38"/>
      <c r="R1138" s="38">
        <v>-1892.88</v>
      </c>
      <c r="S1138" s="55">
        <f t="shared" si="795"/>
        <v>75243.569999999425</v>
      </c>
      <c r="T1138" s="48"/>
      <c r="U1138" s="49">
        <f t="shared" si="796"/>
        <v>53.359999999889986</v>
      </c>
      <c r="V1138" s="38"/>
      <c r="W1138" s="38"/>
      <c r="X1138" s="38"/>
      <c r="Y1138" s="51">
        <f t="shared" si="797"/>
        <v>53.359999999889986</v>
      </c>
      <c r="Z1138" s="52"/>
      <c r="AA1138" s="53">
        <f t="shared" si="798"/>
        <v>481.419999999227</v>
      </c>
      <c r="AB1138" s="38"/>
      <c r="AC1138" s="38"/>
      <c r="AD1138" s="38">
        <v>-460</v>
      </c>
      <c r="AE1138" s="54">
        <f t="shared" si="799"/>
        <v>21.419999999227002</v>
      </c>
      <c r="AF1138" s="53"/>
      <c r="AG1138" s="53">
        <f t="shared" si="807"/>
        <v>945.24000000017406</v>
      </c>
      <c r="AH1138" s="38"/>
      <c r="AI1138" s="38"/>
      <c r="AJ1138" s="38"/>
      <c r="AK1138" s="54">
        <f t="shared" si="808"/>
        <v>945.24000000017406</v>
      </c>
      <c r="AL1138" s="53"/>
      <c r="AM1138" s="53">
        <f t="shared" si="788"/>
        <v>0</v>
      </c>
      <c r="AN1138" s="38"/>
      <c r="AO1138" s="38"/>
      <c r="AP1138" s="38"/>
      <c r="AQ1138" s="54">
        <f t="shared" si="789"/>
        <v>0</v>
      </c>
      <c r="AR1138" s="53"/>
      <c r="AS1138" s="29">
        <f t="shared" si="809"/>
        <v>3883979.6099999966</v>
      </c>
      <c r="AT1138" s="29">
        <f t="shared" si="810"/>
        <v>828408.16999999993</v>
      </c>
      <c r="AU1138" s="29">
        <f t="shared" si="811"/>
        <v>0</v>
      </c>
      <c r="AV1138" s="29">
        <f t="shared" si="812"/>
        <v>-566967.68000000005</v>
      </c>
      <c r="AW1138" s="29"/>
      <c r="AX1138" s="29">
        <f t="shared" si="813"/>
        <v>4146365.3399999971</v>
      </c>
      <c r="AY1138" s="29">
        <f t="shared" si="814"/>
        <v>9300000</v>
      </c>
      <c r="AZ1138" s="29">
        <f t="shared" si="815"/>
        <v>13446365.339999996</v>
      </c>
    </row>
    <row r="1139" spans="2:52" x14ac:dyDescent="0.3">
      <c r="B1139" s="99">
        <f t="shared" si="820"/>
        <v>45758</v>
      </c>
      <c r="C1139" s="44">
        <f t="shared" si="791"/>
        <v>1711276.4899999984</v>
      </c>
      <c r="D1139" s="38"/>
      <c r="E1139" s="38"/>
      <c r="F1139" s="38"/>
      <c r="G1139" s="45">
        <f t="shared" si="805"/>
        <v>1711276.4899999984</v>
      </c>
      <c r="H1139" s="44">
        <v>4300000</v>
      </c>
      <c r="I1139" s="46">
        <f t="shared" si="792"/>
        <v>2358825.2599999998</v>
      </c>
      <c r="J1139" s="38"/>
      <c r="K1139" s="38"/>
      <c r="L1139" s="38">
        <v>-196465.19</v>
      </c>
      <c r="M1139" s="47">
        <f t="shared" si="793"/>
        <v>2162360.0699999998</v>
      </c>
      <c r="N1139" s="46">
        <v>5000000</v>
      </c>
      <c r="O1139" s="48">
        <f t="shared" si="794"/>
        <v>75243.569999999425</v>
      </c>
      <c r="P1139" s="38"/>
      <c r="Q1139" s="38"/>
      <c r="R1139" s="38"/>
      <c r="S1139" s="55">
        <f t="shared" si="795"/>
        <v>75243.569999999425</v>
      </c>
      <c r="T1139" s="48"/>
      <c r="U1139" s="49">
        <f t="shared" si="796"/>
        <v>53.359999999889986</v>
      </c>
      <c r="V1139" s="38"/>
      <c r="W1139" s="38"/>
      <c r="X1139" s="38"/>
      <c r="Y1139" s="51">
        <f t="shared" si="797"/>
        <v>53.359999999889986</v>
      </c>
      <c r="Z1139" s="52"/>
      <c r="AA1139" s="53">
        <f t="shared" si="798"/>
        <v>21.419999999227002</v>
      </c>
      <c r="AB1139" s="38"/>
      <c r="AC1139" s="38"/>
      <c r="AD1139" s="38"/>
      <c r="AE1139" s="54">
        <f t="shared" si="799"/>
        <v>21.419999999227002</v>
      </c>
      <c r="AF1139" s="53"/>
      <c r="AG1139" s="53">
        <f t="shared" si="807"/>
        <v>945.24000000017406</v>
      </c>
      <c r="AH1139" s="38"/>
      <c r="AI1139" s="38"/>
      <c r="AJ1139" s="38"/>
      <c r="AK1139" s="54">
        <f t="shared" si="808"/>
        <v>945.24000000017406</v>
      </c>
      <c r="AL1139" s="53"/>
      <c r="AM1139" s="53">
        <f t="shared" si="788"/>
        <v>0</v>
      </c>
      <c r="AN1139" s="38"/>
      <c r="AO1139" s="38"/>
      <c r="AP1139" s="38"/>
      <c r="AQ1139" s="54">
        <f t="shared" si="789"/>
        <v>0</v>
      </c>
      <c r="AR1139" s="53"/>
      <c r="AS1139" s="29">
        <f t="shared" si="809"/>
        <v>4145420.0999999968</v>
      </c>
      <c r="AT1139" s="29">
        <f t="shared" si="810"/>
        <v>0</v>
      </c>
      <c r="AU1139" s="29">
        <f t="shared" si="811"/>
        <v>0</v>
      </c>
      <c r="AV1139" s="29">
        <f t="shared" si="812"/>
        <v>-196465.19</v>
      </c>
      <c r="AW1139" s="29"/>
      <c r="AX1139" s="29">
        <f t="shared" si="813"/>
        <v>3949900.1499999966</v>
      </c>
      <c r="AY1139" s="29">
        <f t="shared" si="814"/>
        <v>9300000</v>
      </c>
      <c r="AZ1139" s="29">
        <f t="shared" si="815"/>
        <v>13249900.149999997</v>
      </c>
    </row>
    <row r="1140" spans="2:52" x14ac:dyDescent="0.3">
      <c r="B1140" s="99">
        <f>B1139+3</f>
        <v>45761</v>
      </c>
      <c r="C1140" s="44">
        <f t="shared" si="791"/>
        <v>1711276.4899999984</v>
      </c>
      <c r="D1140" s="38">
        <v>768584.13</v>
      </c>
      <c r="E1140" s="38"/>
      <c r="F1140" s="38">
        <v>-26803.5</v>
      </c>
      <c r="G1140" s="45">
        <f t="shared" si="805"/>
        <v>2453057.1199999982</v>
      </c>
      <c r="H1140" s="44">
        <v>4300000</v>
      </c>
      <c r="I1140" s="46">
        <f t="shared" si="792"/>
        <v>2162360.0699999998</v>
      </c>
      <c r="J1140" s="38"/>
      <c r="K1140" s="38">
        <v>70000</v>
      </c>
      <c r="L1140" s="38">
        <v>-37479.120000000003</v>
      </c>
      <c r="M1140" s="47">
        <f t="shared" si="793"/>
        <v>2194880.9499999997</v>
      </c>
      <c r="N1140" s="46">
        <v>5000000</v>
      </c>
      <c r="O1140" s="48">
        <f t="shared" si="794"/>
        <v>75243.569999999425</v>
      </c>
      <c r="P1140" s="38"/>
      <c r="Q1140" s="38">
        <v>-70000</v>
      </c>
      <c r="R1140" s="38">
        <v>-10</v>
      </c>
      <c r="S1140" s="55">
        <f t="shared" si="795"/>
        <v>5233.5699999994249</v>
      </c>
      <c r="T1140" s="48"/>
      <c r="U1140" s="49">
        <f t="shared" si="796"/>
        <v>53.359999999889986</v>
      </c>
      <c r="V1140" s="38"/>
      <c r="W1140" s="38"/>
      <c r="X1140" s="38"/>
      <c r="Y1140" s="51">
        <f t="shared" si="797"/>
        <v>53.359999999889986</v>
      </c>
      <c r="Z1140" s="52"/>
      <c r="AA1140" s="53">
        <f t="shared" si="798"/>
        <v>21.419999999227002</v>
      </c>
      <c r="AB1140" s="38"/>
      <c r="AC1140" s="38"/>
      <c r="AD1140" s="38"/>
      <c r="AE1140" s="54">
        <f t="shared" si="799"/>
        <v>21.419999999227002</v>
      </c>
      <c r="AF1140" s="53"/>
      <c r="AG1140" s="53">
        <f t="shared" si="807"/>
        <v>945.24000000017406</v>
      </c>
      <c r="AH1140" s="38"/>
      <c r="AI1140" s="38"/>
      <c r="AJ1140" s="38"/>
      <c r="AK1140" s="54">
        <f t="shared" si="808"/>
        <v>945.24000000017406</v>
      </c>
      <c r="AL1140" s="53"/>
      <c r="AM1140" s="53">
        <f t="shared" si="788"/>
        <v>0</v>
      </c>
      <c r="AN1140" s="38"/>
      <c r="AO1140" s="38"/>
      <c r="AP1140" s="38"/>
      <c r="AQ1140" s="54">
        <f t="shared" si="789"/>
        <v>0</v>
      </c>
      <c r="AR1140" s="53"/>
      <c r="AS1140" s="29">
        <f t="shared" si="809"/>
        <v>3948954.9099999964</v>
      </c>
      <c r="AT1140" s="29">
        <f t="shared" si="810"/>
        <v>768584.13</v>
      </c>
      <c r="AU1140" s="29">
        <f t="shared" si="811"/>
        <v>0</v>
      </c>
      <c r="AV1140" s="29">
        <f t="shared" si="812"/>
        <v>-64292.62</v>
      </c>
      <c r="AW1140" s="29"/>
      <c r="AX1140" s="29">
        <f t="shared" si="813"/>
        <v>4654191.6599999974</v>
      </c>
      <c r="AY1140" s="29">
        <f t="shared" si="814"/>
        <v>9300000</v>
      </c>
      <c r="AZ1140" s="29">
        <f t="shared" si="815"/>
        <v>13954191.659999996</v>
      </c>
    </row>
    <row r="1141" spans="2:52" x14ac:dyDescent="0.3">
      <c r="B1141" s="99">
        <f t="shared" si="820"/>
        <v>45762</v>
      </c>
      <c r="C1141" s="44">
        <f t="shared" si="791"/>
        <v>2453057.1199999982</v>
      </c>
      <c r="D1141" s="38">
        <v>199581.62</v>
      </c>
      <c r="E1141" s="38"/>
      <c r="F1141" s="38">
        <f>-11472.64-13082.98-3572.57-113.5</f>
        <v>-28241.69</v>
      </c>
      <c r="G1141" s="45">
        <f t="shared" si="805"/>
        <v>2624397.0499999984</v>
      </c>
      <c r="H1141" s="44">
        <v>4300000</v>
      </c>
      <c r="I1141" s="46">
        <f t="shared" si="792"/>
        <v>2194880.9499999997</v>
      </c>
      <c r="J1141" s="38">
        <v>71566.27</v>
      </c>
      <c r="K1141" s="38"/>
      <c r="L1141" s="38">
        <v>-85464.24</v>
      </c>
      <c r="M1141" s="47">
        <f t="shared" si="793"/>
        <v>2180982.9799999995</v>
      </c>
      <c r="N1141" s="46">
        <v>5000000</v>
      </c>
      <c r="O1141" s="48">
        <f t="shared" si="794"/>
        <v>5233.5699999994249</v>
      </c>
      <c r="P1141" s="38">
        <v>207279.96</v>
      </c>
      <c r="Q1141" s="38"/>
      <c r="R1141" s="38"/>
      <c r="S1141" s="55">
        <f t="shared" si="795"/>
        <v>212513.52999999942</v>
      </c>
      <c r="T1141" s="48"/>
      <c r="U1141" s="49">
        <f t="shared" si="796"/>
        <v>53.359999999889986</v>
      </c>
      <c r="V1141" s="38"/>
      <c r="W1141" s="38"/>
      <c r="X1141" s="38"/>
      <c r="Y1141" s="51">
        <f t="shared" si="797"/>
        <v>53.359999999889986</v>
      </c>
      <c r="Z1141" s="52"/>
      <c r="AA1141" s="53">
        <f t="shared" si="798"/>
        <v>21.419999999227002</v>
      </c>
      <c r="AB1141" s="38"/>
      <c r="AC1141" s="38"/>
      <c r="AD1141" s="38"/>
      <c r="AE1141" s="54">
        <f t="shared" si="799"/>
        <v>21.419999999227002</v>
      </c>
      <c r="AF1141" s="53"/>
      <c r="AG1141" s="53">
        <f t="shared" si="807"/>
        <v>945.24000000017406</v>
      </c>
      <c r="AH1141" s="38"/>
      <c r="AI1141" s="38"/>
      <c r="AJ1141" s="38"/>
      <c r="AK1141" s="54">
        <f t="shared" si="808"/>
        <v>945.24000000017406</v>
      </c>
      <c r="AL1141" s="53"/>
      <c r="AM1141" s="53">
        <f t="shared" ref="AM1141:AM1204" si="821">AQ1140</f>
        <v>0</v>
      </c>
      <c r="AN1141" s="38"/>
      <c r="AO1141" s="38"/>
      <c r="AP1141" s="38"/>
      <c r="AQ1141" s="54">
        <f t="shared" ref="AQ1141:AQ1204" si="822">SUM(AM1141:AP1141)</f>
        <v>0</v>
      </c>
      <c r="AR1141" s="53"/>
      <c r="AS1141" s="29">
        <f t="shared" si="809"/>
        <v>4653246.4199999971</v>
      </c>
      <c r="AT1141" s="29">
        <f t="shared" si="810"/>
        <v>478427.85</v>
      </c>
      <c r="AU1141" s="29">
        <f t="shared" si="811"/>
        <v>0</v>
      </c>
      <c r="AV1141" s="29">
        <f t="shared" si="812"/>
        <v>-113705.93000000001</v>
      </c>
      <c r="AW1141" s="29"/>
      <c r="AX1141" s="29">
        <f t="shared" si="813"/>
        <v>5018913.5799999963</v>
      </c>
      <c r="AY1141" s="29">
        <f t="shared" si="814"/>
        <v>9300000</v>
      </c>
      <c r="AZ1141" s="29">
        <f t="shared" si="815"/>
        <v>14318913.579999996</v>
      </c>
    </row>
    <row r="1142" spans="2:52" x14ac:dyDescent="0.3">
      <c r="B1142" s="99">
        <f t="shared" si="820"/>
        <v>45763</v>
      </c>
      <c r="C1142" s="44">
        <f t="shared" si="791"/>
        <v>2624397.0499999984</v>
      </c>
      <c r="D1142" s="38"/>
      <c r="E1142" s="38"/>
      <c r="F1142" s="38"/>
      <c r="G1142" s="45">
        <f t="shared" si="805"/>
        <v>2624397.0499999984</v>
      </c>
      <c r="H1142" s="44">
        <v>4300000</v>
      </c>
      <c r="I1142" s="46">
        <f t="shared" si="792"/>
        <v>2180982.9799999995</v>
      </c>
      <c r="J1142" s="38"/>
      <c r="K1142" s="38">
        <v>540000</v>
      </c>
      <c r="L1142" s="38">
        <v>-113755.9</v>
      </c>
      <c r="M1142" s="47">
        <f t="shared" si="793"/>
        <v>2607227.0799999996</v>
      </c>
      <c r="N1142" s="46">
        <v>5000000</v>
      </c>
      <c r="O1142" s="48">
        <f t="shared" si="794"/>
        <v>212513.52999999942</v>
      </c>
      <c r="P1142" s="38">
        <f>264086.96+68661.82</f>
        <v>332748.78000000003</v>
      </c>
      <c r="Q1142" s="38">
        <v>-540000</v>
      </c>
      <c r="R1142" s="38">
        <v>-776.56</v>
      </c>
      <c r="S1142" s="55">
        <f t="shared" si="795"/>
        <v>4485.7499999994743</v>
      </c>
      <c r="T1142" s="48"/>
      <c r="U1142" s="49">
        <f t="shared" si="796"/>
        <v>53.359999999889986</v>
      </c>
      <c r="V1142" s="38"/>
      <c r="W1142" s="38"/>
      <c r="X1142" s="38"/>
      <c r="Y1142" s="51">
        <f t="shared" si="797"/>
        <v>53.359999999889986</v>
      </c>
      <c r="Z1142" s="52"/>
      <c r="AA1142" s="53">
        <f t="shared" si="798"/>
        <v>21.419999999227002</v>
      </c>
      <c r="AB1142" s="38"/>
      <c r="AC1142" s="38"/>
      <c r="AD1142" s="38"/>
      <c r="AE1142" s="54">
        <f t="shared" si="799"/>
        <v>21.419999999227002</v>
      </c>
      <c r="AF1142" s="53"/>
      <c r="AG1142" s="53">
        <f t="shared" si="807"/>
        <v>945.24000000017406</v>
      </c>
      <c r="AH1142" s="38"/>
      <c r="AI1142" s="38"/>
      <c r="AJ1142" s="38"/>
      <c r="AK1142" s="54">
        <f t="shared" si="808"/>
        <v>945.24000000017406</v>
      </c>
      <c r="AL1142" s="53"/>
      <c r="AM1142" s="53">
        <f t="shared" si="821"/>
        <v>0</v>
      </c>
      <c r="AN1142" s="38"/>
      <c r="AO1142" s="38"/>
      <c r="AP1142" s="38"/>
      <c r="AQ1142" s="54">
        <f t="shared" si="822"/>
        <v>0</v>
      </c>
      <c r="AR1142" s="53"/>
      <c r="AS1142" s="29">
        <f t="shared" si="809"/>
        <v>5017968.3399999961</v>
      </c>
      <c r="AT1142" s="29">
        <f t="shared" si="810"/>
        <v>332748.78000000003</v>
      </c>
      <c r="AU1142" s="29">
        <f t="shared" si="811"/>
        <v>0</v>
      </c>
      <c r="AV1142" s="29">
        <f t="shared" si="812"/>
        <v>-114532.45999999999</v>
      </c>
      <c r="AW1142" s="29"/>
      <c r="AX1142" s="29">
        <f t="shared" si="813"/>
        <v>5237129.8999999966</v>
      </c>
      <c r="AY1142" s="29">
        <f t="shared" si="814"/>
        <v>9300000</v>
      </c>
      <c r="AZ1142" s="29">
        <f t="shared" si="815"/>
        <v>14537129.899999997</v>
      </c>
    </row>
    <row r="1143" spans="2:52" x14ac:dyDescent="0.3">
      <c r="B1143" s="99">
        <f t="shared" si="820"/>
        <v>45764</v>
      </c>
      <c r="C1143" s="44">
        <f t="shared" si="791"/>
        <v>2624397.0499999984</v>
      </c>
      <c r="D1143" s="38">
        <f>19819.24+4370.2</f>
        <v>24189.440000000002</v>
      </c>
      <c r="E1143" s="38"/>
      <c r="F1143" s="38">
        <v>-2287667.83</v>
      </c>
      <c r="G1143" s="45">
        <f t="shared" si="805"/>
        <v>360918.65999999829</v>
      </c>
      <c r="H1143" s="44">
        <v>4300000</v>
      </c>
      <c r="I1143" s="46">
        <f t="shared" si="792"/>
        <v>2607227.0799999996</v>
      </c>
      <c r="J1143" s="38"/>
      <c r="K1143" s="38">
        <v>1070000</v>
      </c>
      <c r="L1143" s="38">
        <v>-1301647.8</v>
      </c>
      <c r="M1143" s="47">
        <f t="shared" si="793"/>
        <v>2375579.2799999993</v>
      </c>
      <c r="N1143" s="46">
        <v>5000000</v>
      </c>
      <c r="O1143" s="48">
        <f t="shared" si="794"/>
        <v>4485.7499999994743</v>
      </c>
      <c r="P1143" s="38">
        <v>1074371.78</v>
      </c>
      <c r="Q1143" s="38">
        <v>-1070000</v>
      </c>
      <c r="R1143" s="38">
        <v>-10</v>
      </c>
      <c r="S1143" s="55">
        <f t="shared" si="795"/>
        <v>8847.5299999995623</v>
      </c>
      <c r="T1143" s="48"/>
      <c r="U1143" s="49">
        <f t="shared" si="796"/>
        <v>53.359999999889986</v>
      </c>
      <c r="V1143" s="38"/>
      <c r="W1143" s="38"/>
      <c r="X1143" s="38"/>
      <c r="Y1143" s="51">
        <f t="shared" si="797"/>
        <v>53.359999999889986</v>
      </c>
      <c r="Z1143" s="52"/>
      <c r="AA1143" s="53">
        <f t="shared" si="798"/>
        <v>21.419999999227002</v>
      </c>
      <c r="AB1143" s="38"/>
      <c r="AC1143" s="38"/>
      <c r="AD1143" s="38"/>
      <c r="AE1143" s="54">
        <f t="shared" si="799"/>
        <v>21.419999999227002</v>
      </c>
      <c r="AF1143" s="53"/>
      <c r="AG1143" s="53">
        <f t="shared" si="807"/>
        <v>945.24000000017406</v>
      </c>
      <c r="AH1143" s="38"/>
      <c r="AI1143" s="38"/>
      <c r="AJ1143" s="38"/>
      <c r="AK1143" s="54">
        <f t="shared" si="808"/>
        <v>945.24000000017406</v>
      </c>
      <c r="AL1143" s="53"/>
      <c r="AM1143" s="53">
        <f t="shared" si="821"/>
        <v>0</v>
      </c>
      <c r="AN1143" s="38"/>
      <c r="AO1143" s="38"/>
      <c r="AP1143" s="38"/>
      <c r="AQ1143" s="54">
        <f t="shared" si="822"/>
        <v>0</v>
      </c>
      <c r="AR1143" s="53"/>
      <c r="AS1143" s="29">
        <f t="shared" si="809"/>
        <v>5236184.6599999964</v>
      </c>
      <c r="AT1143" s="29">
        <f t="shared" si="810"/>
        <v>1098561.22</v>
      </c>
      <c r="AU1143" s="29">
        <f t="shared" si="811"/>
        <v>0</v>
      </c>
      <c r="AV1143" s="29">
        <f t="shared" si="812"/>
        <v>-3589325.63</v>
      </c>
      <c r="AW1143" s="29"/>
      <c r="AX1143" s="29">
        <f t="shared" si="813"/>
        <v>2746365.4899999965</v>
      </c>
      <c r="AY1143" s="29">
        <f t="shared" si="814"/>
        <v>9300000</v>
      </c>
      <c r="AZ1143" s="29">
        <f t="shared" si="815"/>
        <v>12046365.489999996</v>
      </c>
    </row>
    <row r="1144" spans="2:52" x14ac:dyDescent="0.3">
      <c r="B1144" s="99">
        <f t="shared" si="820"/>
        <v>45765</v>
      </c>
      <c r="C1144" s="44">
        <f t="shared" si="791"/>
        <v>360918.65999999829</v>
      </c>
      <c r="D1144" s="38"/>
      <c r="E1144" s="38"/>
      <c r="F1144" s="38"/>
      <c r="G1144" s="45">
        <f t="shared" si="805"/>
        <v>360918.65999999829</v>
      </c>
      <c r="H1144" s="44">
        <v>4300000</v>
      </c>
      <c r="I1144" s="46">
        <f t="shared" si="792"/>
        <v>2375579.2799999993</v>
      </c>
      <c r="J1144" s="38"/>
      <c r="K1144" s="38"/>
      <c r="L1144" s="38"/>
      <c r="M1144" s="47">
        <f t="shared" si="793"/>
        <v>2375579.2799999993</v>
      </c>
      <c r="N1144" s="46">
        <v>5000000</v>
      </c>
      <c r="O1144" s="48">
        <f t="shared" si="794"/>
        <v>8847.5299999995623</v>
      </c>
      <c r="P1144" s="38"/>
      <c r="Q1144" s="38"/>
      <c r="R1144" s="38"/>
      <c r="S1144" s="55">
        <f t="shared" si="795"/>
        <v>8847.5299999995623</v>
      </c>
      <c r="T1144" s="48"/>
      <c r="U1144" s="49">
        <f t="shared" si="796"/>
        <v>53.359999999889986</v>
      </c>
      <c r="V1144" s="38"/>
      <c r="W1144" s="38"/>
      <c r="X1144" s="38"/>
      <c r="Y1144" s="51">
        <f t="shared" si="797"/>
        <v>53.359999999889986</v>
      </c>
      <c r="Z1144" s="52"/>
      <c r="AA1144" s="53">
        <f t="shared" si="798"/>
        <v>21.419999999227002</v>
      </c>
      <c r="AB1144" s="38"/>
      <c r="AC1144" s="38"/>
      <c r="AD1144" s="38"/>
      <c r="AE1144" s="54">
        <f t="shared" si="799"/>
        <v>21.419999999227002</v>
      </c>
      <c r="AF1144" s="53"/>
      <c r="AG1144" s="53">
        <f t="shared" si="807"/>
        <v>945.24000000017406</v>
      </c>
      <c r="AH1144" s="38"/>
      <c r="AI1144" s="38"/>
      <c r="AJ1144" s="38"/>
      <c r="AK1144" s="54">
        <f t="shared" si="808"/>
        <v>945.24000000017406</v>
      </c>
      <c r="AL1144" s="53"/>
      <c r="AM1144" s="53">
        <f t="shared" si="821"/>
        <v>0</v>
      </c>
      <c r="AN1144" s="38"/>
      <c r="AO1144" s="38"/>
      <c r="AP1144" s="38"/>
      <c r="AQ1144" s="54">
        <f t="shared" si="822"/>
        <v>0</v>
      </c>
      <c r="AR1144" s="53"/>
      <c r="AS1144" s="29">
        <f t="shared" si="809"/>
        <v>2745420.2499999963</v>
      </c>
      <c r="AT1144" s="29">
        <f t="shared" si="810"/>
        <v>0</v>
      </c>
      <c r="AU1144" s="29">
        <f t="shared" si="811"/>
        <v>0</v>
      </c>
      <c r="AV1144" s="29">
        <f t="shared" si="812"/>
        <v>0</v>
      </c>
      <c r="AW1144" s="29"/>
      <c r="AX1144" s="29">
        <f t="shared" si="813"/>
        <v>2746365.4899999965</v>
      </c>
      <c r="AY1144" s="29">
        <f t="shared" si="814"/>
        <v>9300000</v>
      </c>
      <c r="AZ1144" s="29">
        <f t="shared" si="815"/>
        <v>12046365.489999996</v>
      </c>
    </row>
    <row r="1145" spans="2:52" x14ac:dyDescent="0.3">
      <c r="B1145" s="99">
        <f>B1144+3</f>
        <v>45768</v>
      </c>
      <c r="C1145" s="44">
        <f t="shared" si="791"/>
        <v>360918.65999999829</v>
      </c>
      <c r="D1145" s="38"/>
      <c r="E1145" s="38"/>
      <c r="F1145" s="38"/>
      <c r="G1145" s="45">
        <f t="shared" si="805"/>
        <v>360918.65999999829</v>
      </c>
      <c r="H1145" s="44">
        <v>4300000</v>
      </c>
      <c r="I1145" s="46">
        <f t="shared" si="792"/>
        <v>2375579.2799999993</v>
      </c>
      <c r="J1145" s="38"/>
      <c r="K1145" s="38"/>
      <c r="L1145" s="38"/>
      <c r="M1145" s="47">
        <f t="shared" si="793"/>
        <v>2375579.2799999993</v>
      </c>
      <c r="N1145" s="46">
        <v>5000000</v>
      </c>
      <c r="O1145" s="48">
        <f t="shared" si="794"/>
        <v>8847.5299999995623</v>
      </c>
      <c r="P1145" s="38"/>
      <c r="Q1145" s="38"/>
      <c r="R1145" s="38"/>
      <c r="S1145" s="55">
        <f t="shared" si="795"/>
        <v>8847.5299999995623</v>
      </c>
      <c r="T1145" s="48"/>
      <c r="U1145" s="49">
        <f t="shared" si="796"/>
        <v>53.359999999889986</v>
      </c>
      <c r="V1145" s="38"/>
      <c r="W1145" s="38"/>
      <c r="X1145" s="38"/>
      <c r="Y1145" s="51">
        <f t="shared" si="797"/>
        <v>53.359999999889986</v>
      </c>
      <c r="Z1145" s="52"/>
      <c r="AA1145" s="53">
        <f t="shared" si="798"/>
        <v>21.419999999227002</v>
      </c>
      <c r="AB1145" s="38"/>
      <c r="AC1145" s="38"/>
      <c r="AD1145" s="38"/>
      <c r="AE1145" s="54">
        <f t="shared" si="799"/>
        <v>21.419999999227002</v>
      </c>
      <c r="AF1145" s="53"/>
      <c r="AG1145" s="53">
        <f t="shared" si="807"/>
        <v>945.24000000017406</v>
      </c>
      <c r="AH1145" s="38"/>
      <c r="AI1145" s="38"/>
      <c r="AJ1145" s="38"/>
      <c r="AK1145" s="54">
        <f t="shared" si="808"/>
        <v>945.24000000017406</v>
      </c>
      <c r="AL1145" s="53"/>
      <c r="AM1145" s="53">
        <f t="shared" si="821"/>
        <v>0</v>
      </c>
      <c r="AN1145" s="38"/>
      <c r="AO1145" s="38"/>
      <c r="AP1145" s="38"/>
      <c r="AQ1145" s="54">
        <f t="shared" si="822"/>
        <v>0</v>
      </c>
      <c r="AR1145" s="53"/>
      <c r="AS1145" s="29">
        <f t="shared" si="809"/>
        <v>2745420.2499999963</v>
      </c>
      <c r="AT1145" s="29">
        <f t="shared" si="810"/>
        <v>0</v>
      </c>
      <c r="AU1145" s="29">
        <f t="shared" si="811"/>
        <v>0</v>
      </c>
      <c r="AV1145" s="29">
        <f t="shared" si="812"/>
        <v>0</v>
      </c>
      <c r="AW1145" s="29"/>
      <c r="AX1145" s="29">
        <f t="shared" si="813"/>
        <v>2746365.4899999965</v>
      </c>
      <c r="AY1145" s="29">
        <f t="shared" si="814"/>
        <v>9300000</v>
      </c>
      <c r="AZ1145" s="29">
        <f t="shared" si="815"/>
        <v>12046365.489999996</v>
      </c>
    </row>
    <row r="1146" spans="2:52" x14ac:dyDescent="0.3">
      <c r="B1146" s="99">
        <f t="shared" si="820"/>
        <v>45769</v>
      </c>
      <c r="C1146" s="44">
        <f t="shared" si="791"/>
        <v>360918.65999999829</v>
      </c>
      <c r="D1146" s="38">
        <v>78927.509999999995</v>
      </c>
      <c r="E1146" s="38">
        <v>400000</v>
      </c>
      <c r="F1146" s="38">
        <v>-762554.27</v>
      </c>
      <c r="G1146" s="45">
        <f t="shared" si="805"/>
        <v>77291.899999998277</v>
      </c>
      <c r="H1146" s="44">
        <v>4300000</v>
      </c>
      <c r="I1146" s="46">
        <f t="shared" si="792"/>
        <v>2375579.2799999993</v>
      </c>
      <c r="J1146" s="38"/>
      <c r="K1146" s="38">
        <v>-400000</v>
      </c>
      <c r="L1146" s="38">
        <v>-177605.32</v>
      </c>
      <c r="M1146" s="47">
        <f t="shared" si="793"/>
        <v>1797973.9599999993</v>
      </c>
      <c r="N1146" s="46">
        <v>5000000</v>
      </c>
      <c r="O1146" s="48">
        <f t="shared" si="794"/>
        <v>8847.5299999995623</v>
      </c>
      <c r="P1146" s="38"/>
      <c r="Q1146" s="38"/>
      <c r="R1146" s="38">
        <v>-1456.09</v>
      </c>
      <c r="S1146" s="55">
        <f t="shared" si="795"/>
        <v>7391.4399999995621</v>
      </c>
      <c r="T1146" s="48"/>
      <c r="U1146" s="49">
        <f t="shared" si="796"/>
        <v>53.359999999889986</v>
      </c>
      <c r="V1146" s="38"/>
      <c r="W1146" s="38"/>
      <c r="X1146" s="38"/>
      <c r="Y1146" s="51">
        <f t="shared" si="797"/>
        <v>53.359999999889986</v>
      </c>
      <c r="Z1146" s="52"/>
      <c r="AA1146" s="53">
        <f t="shared" si="798"/>
        <v>21.419999999227002</v>
      </c>
      <c r="AB1146" s="38"/>
      <c r="AC1146" s="38"/>
      <c r="AD1146" s="38"/>
      <c r="AE1146" s="54">
        <f t="shared" si="799"/>
        <v>21.419999999227002</v>
      </c>
      <c r="AF1146" s="53"/>
      <c r="AG1146" s="53">
        <f t="shared" si="807"/>
        <v>945.24000000017406</v>
      </c>
      <c r="AH1146" s="38"/>
      <c r="AI1146" s="38"/>
      <c r="AJ1146" s="38"/>
      <c r="AK1146" s="54">
        <f t="shared" si="808"/>
        <v>945.24000000017406</v>
      </c>
      <c r="AL1146" s="53"/>
      <c r="AM1146" s="53">
        <f t="shared" si="821"/>
        <v>0</v>
      </c>
      <c r="AN1146" s="38"/>
      <c r="AO1146" s="38"/>
      <c r="AP1146" s="38"/>
      <c r="AQ1146" s="54">
        <f t="shared" si="822"/>
        <v>0</v>
      </c>
      <c r="AR1146" s="53"/>
      <c r="AS1146" s="29">
        <f t="shared" si="809"/>
        <v>2745420.2499999963</v>
      </c>
      <c r="AT1146" s="29">
        <f t="shared" si="810"/>
        <v>78927.509999999995</v>
      </c>
      <c r="AU1146" s="29">
        <f t="shared" si="811"/>
        <v>0</v>
      </c>
      <c r="AV1146" s="29">
        <f t="shared" si="812"/>
        <v>-941615.68</v>
      </c>
      <c r="AW1146" s="29"/>
      <c r="AX1146" s="29">
        <f t="shared" si="813"/>
        <v>1883677.3199999963</v>
      </c>
      <c r="AY1146" s="29">
        <f t="shared" si="814"/>
        <v>9300000</v>
      </c>
      <c r="AZ1146" s="29">
        <f t="shared" si="815"/>
        <v>11183677.319999997</v>
      </c>
    </row>
    <row r="1147" spans="2:52" x14ac:dyDescent="0.3">
      <c r="B1147" s="99">
        <f t="shared" si="820"/>
        <v>45770</v>
      </c>
      <c r="C1147" s="44">
        <f t="shared" ref="C1147:C1210" si="823">G1146</f>
        <v>77291.899999998277</v>
      </c>
      <c r="D1147" s="38">
        <v>171161.36</v>
      </c>
      <c r="E1147" s="38"/>
      <c r="F1147" s="38">
        <v>-38387.629999999997</v>
      </c>
      <c r="G1147" s="45">
        <f t="shared" si="805"/>
        <v>210065.62999999826</v>
      </c>
      <c r="H1147" s="44">
        <v>4300000</v>
      </c>
      <c r="I1147" s="46">
        <f t="shared" ref="I1147:I1210" si="824">M1146</f>
        <v>1797973.9599999993</v>
      </c>
      <c r="J1147" s="38">
        <v>10242.790000000001</v>
      </c>
      <c r="K1147" s="38"/>
      <c r="L1147" s="38">
        <v>-44281.15</v>
      </c>
      <c r="M1147" s="47">
        <f t="shared" ref="M1147:M1210" si="825">SUM(I1147:L1147)</f>
        <v>1763935.5999999994</v>
      </c>
      <c r="N1147" s="46">
        <v>5000000</v>
      </c>
      <c r="O1147" s="48">
        <f t="shared" ref="O1147:O1210" si="826">S1146</f>
        <v>7391.4399999995621</v>
      </c>
      <c r="P1147" s="38">
        <v>94752.66</v>
      </c>
      <c r="Q1147" s="38"/>
      <c r="R1147" s="38"/>
      <c r="S1147" s="55">
        <f t="shared" ref="S1147:S1210" si="827">SUM(O1147:R1147)</f>
        <v>102144.09999999957</v>
      </c>
      <c r="T1147" s="48"/>
      <c r="U1147" s="49">
        <f t="shared" ref="U1147:U1210" si="828">Y1146</f>
        <v>53.359999999889986</v>
      </c>
      <c r="V1147" s="38"/>
      <c r="W1147" s="38"/>
      <c r="X1147" s="38"/>
      <c r="Y1147" s="51">
        <f t="shared" ref="Y1147:Y1210" si="829">SUM(U1147:X1147)</f>
        <v>53.359999999889986</v>
      </c>
      <c r="Z1147" s="52"/>
      <c r="AA1147" s="53">
        <f t="shared" ref="AA1147:AA1210" si="830">AE1146</f>
        <v>21.419999999227002</v>
      </c>
      <c r="AB1147" s="38"/>
      <c r="AC1147" s="38"/>
      <c r="AD1147" s="38"/>
      <c r="AE1147" s="54">
        <f t="shared" ref="AE1147:AE1210" si="831">SUM(AA1147:AD1147)</f>
        <v>21.419999999227002</v>
      </c>
      <c r="AF1147" s="53"/>
      <c r="AG1147" s="53">
        <f t="shared" si="807"/>
        <v>945.24000000017406</v>
      </c>
      <c r="AH1147" s="38"/>
      <c r="AI1147" s="38"/>
      <c r="AJ1147" s="38"/>
      <c r="AK1147" s="54">
        <f t="shared" si="808"/>
        <v>945.24000000017406</v>
      </c>
      <c r="AL1147" s="53"/>
      <c r="AM1147" s="53">
        <f t="shared" si="821"/>
        <v>0</v>
      </c>
      <c r="AN1147" s="38"/>
      <c r="AO1147" s="38"/>
      <c r="AP1147" s="38"/>
      <c r="AQ1147" s="54">
        <f t="shared" si="822"/>
        <v>0</v>
      </c>
      <c r="AR1147" s="53"/>
      <c r="AS1147" s="29">
        <f t="shared" si="809"/>
        <v>1882732.0799999961</v>
      </c>
      <c r="AT1147" s="29">
        <f t="shared" si="810"/>
        <v>276156.81</v>
      </c>
      <c r="AU1147" s="29">
        <f t="shared" si="811"/>
        <v>0</v>
      </c>
      <c r="AV1147" s="29">
        <f t="shared" si="812"/>
        <v>-82668.78</v>
      </c>
      <c r="AW1147" s="29"/>
      <c r="AX1147" s="29">
        <f t="shared" si="813"/>
        <v>2077165.3499999966</v>
      </c>
      <c r="AY1147" s="29">
        <f t="shared" si="814"/>
        <v>9300000</v>
      </c>
      <c r="AZ1147" s="29">
        <f t="shared" si="815"/>
        <v>11377165.349999996</v>
      </c>
    </row>
    <row r="1148" spans="2:52" x14ac:dyDescent="0.3">
      <c r="B1148" s="99">
        <f t="shared" si="820"/>
        <v>45771</v>
      </c>
      <c r="C1148" s="44">
        <f t="shared" si="823"/>
        <v>210065.62999999826</v>
      </c>
      <c r="D1148" s="38">
        <v>180701.71</v>
      </c>
      <c r="E1148" s="38"/>
      <c r="F1148" s="38">
        <f>-198625-754.78</f>
        <v>-199379.78</v>
      </c>
      <c r="G1148" s="45">
        <f t="shared" si="805"/>
        <v>191387.55999999822</v>
      </c>
      <c r="H1148" s="44">
        <v>4300000</v>
      </c>
      <c r="I1148" s="46">
        <f t="shared" si="824"/>
        <v>1763935.5999999994</v>
      </c>
      <c r="J1148" s="38"/>
      <c r="K1148" s="38">
        <v>380000</v>
      </c>
      <c r="L1148" s="38">
        <v>-40111.96</v>
      </c>
      <c r="M1148" s="47">
        <f t="shared" si="825"/>
        <v>2103823.6399999997</v>
      </c>
      <c r="N1148" s="46">
        <v>5000000</v>
      </c>
      <c r="O1148" s="48">
        <f t="shared" si="826"/>
        <v>102144.09999999957</v>
      </c>
      <c r="P1148" s="38">
        <f>552.23+285809.68</f>
        <v>286361.90999999997</v>
      </c>
      <c r="Q1148" s="38">
        <v>-380000</v>
      </c>
      <c r="R1148" s="38">
        <v>-10</v>
      </c>
      <c r="S1148" s="55">
        <f t="shared" si="827"/>
        <v>8496.0099999995437</v>
      </c>
      <c r="T1148" s="48"/>
      <c r="U1148" s="49">
        <f t="shared" si="828"/>
        <v>53.359999999889986</v>
      </c>
      <c r="V1148" s="38"/>
      <c r="W1148" s="38"/>
      <c r="X1148" s="38"/>
      <c r="Y1148" s="51">
        <f t="shared" si="829"/>
        <v>53.359999999889986</v>
      </c>
      <c r="Z1148" s="52"/>
      <c r="AA1148" s="53">
        <f t="shared" si="830"/>
        <v>21.419999999227002</v>
      </c>
      <c r="AB1148" s="38"/>
      <c r="AC1148" s="38"/>
      <c r="AD1148" s="38"/>
      <c r="AE1148" s="54">
        <f t="shared" si="831"/>
        <v>21.419999999227002</v>
      </c>
      <c r="AF1148" s="53"/>
      <c r="AG1148" s="53">
        <f t="shared" si="807"/>
        <v>945.24000000017406</v>
      </c>
      <c r="AH1148" s="38"/>
      <c r="AI1148" s="38"/>
      <c r="AJ1148" s="38"/>
      <c r="AK1148" s="54">
        <f t="shared" si="808"/>
        <v>945.24000000017406</v>
      </c>
      <c r="AL1148" s="53"/>
      <c r="AM1148" s="53">
        <f t="shared" si="821"/>
        <v>0</v>
      </c>
      <c r="AN1148" s="38"/>
      <c r="AO1148" s="38"/>
      <c r="AP1148" s="38"/>
      <c r="AQ1148" s="54">
        <f t="shared" si="822"/>
        <v>0</v>
      </c>
      <c r="AR1148" s="53"/>
      <c r="AS1148" s="29">
        <f t="shared" si="809"/>
        <v>2076220.1099999964</v>
      </c>
      <c r="AT1148" s="29">
        <f t="shared" si="810"/>
        <v>467063.62</v>
      </c>
      <c r="AU1148" s="29">
        <f t="shared" si="811"/>
        <v>0</v>
      </c>
      <c r="AV1148" s="29">
        <f t="shared" si="812"/>
        <v>-239501.74</v>
      </c>
      <c r="AW1148" s="29"/>
      <c r="AX1148" s="29">
        <f t="shared" si="813"/>
        <v>2304727.2299999967</v>
      </c>
      <c r="AY1148" s="29">
        <f t="shared" si="814"/>
        <v>9300000</v>
      </c>
      <c r="AZ1148" s="29">
        <f t="shared" si="815"/>
        <v>11604727.229999997</v>
      </c>
    </row>
    <row r="1149" spans="2:52" x14ac:dyDescent="0.3">
      <c r="B1149" s="99">
        <f t="shared" si="820"/>
        <v>45772</v>
      </c>
      <c r="C1149" s="44">
        <f t="shared" si="823"/>
        <v>191387.55999999822</v>
      </c>
      <c r="D1149" s="38">
        <v>624403.71</v>
      </c>
      <c r="E1149" s="38"/>
      <c r="F1149" s="38">
        <f>-63412.31-450-35512.23</f>
        <v>-99374.540000000008</v>
      </c>
      <c r="G1149" s="45">
        <f t="shared" si="805"/>
        <v>716416.72999999812</v>
      </c>
      <c r="H1149" s="44">
        <v>4300000</v>
      </c>
      <c r="I1149" s="46">
        <f t="shared" si="824"/>
        <v>2103823.6399999997</v>
      </c>
      <c r="J1149" s="38"/>
      <c r="K1149" s="38">
        <v>240000</v>
      </c>
      <c r="L1149" s="38">
        <v>-520479.53</v>
      </c>
      <c r="M1149" s="47">
        <f t="shared" si="825"/>
        <v>1823344.1099999996</v>
      </c>
      <c r="N1149" s="46">
        <v>5000000</v>
      </c>
      <c r="O1149" s="48">
        <f t="shared" si="826"/>
        <v>8496.0099999995437</v>
      </c>
      <c r="P1149" s="38">
        <v>238216.91</v>
      </c>
      <c r="Q1149" s="38">
        <v>-240100</v>
      </c>
      <c r="R1149" s="38">
        <v>-138.9</v>
      </c>
      <c r="S1149" s="55">
        <f t="shared" si="827"/>
        <v>6474.0199999995475</v>
      </c>
      <c r="T1149" s="48"/>
      <c r="U1149" s="49">
        <f t="shared" si="828"/>
        <v>53.359999999889986</v>
      </c>
      <c r="V1149" s="38"/>
      <c r="W1149" s="38">
        <v>100</v>
      </c>
      <c r="X1149" s="38">
        <v>-66.2</v>
      </c>
      <c r="Y1149" s="51">
        <f t="shared" si="829"/>
        <v>87.15999999988999</v>
      </c>
      <c r="Z1149" s="52"/>
      <c r="AA1149" s="53">
        <f t="shared" si="830"/>
        <v>21.419999999227002</v>
      </c>
      <c r="AB1149" s="38">
        <v>115353.27</v>
      </c>
      <c r="AC1149" s="38"/>
      <c r="AD1149" s="38"/>
      <c r="AE1149" s="54">
        <f t="shared" si="831"/>
        <v>115374.68999999923</v>
      </c>
      <c r="AF1149" s="53"/>
      <c r="AG1149" s="53">
        <f t="shared" si="807"/>
        <v>945.24000000017406</v>
      </c>
      <c r="AH1149" s="38"/>
      <c r="AI1149" s="38"/>
      <c r="AJ1149" s="38"/>
      <c r="AK1149" s="54">
        <f t="shared" si="808"/>
        <v>945.24000000017406</v>
      </c>
      <c r="AL1149" s="53"/>
      <c r="AM1149" s="53">
        <f t="shared" si="821"/>
        <v>0</v>
      </c>
      <c r="AN1149" s="38"/>
      <c r="AO1149" s="38"/>
      <c r="AP1149" s="38"/>
      <c r="AQ1149" s="54">
        <f t="shared" si="822"/>
        <v>0</v>
      </c>
      <c r="AR1149" s="53"/>
      <c r="AS1149" s="29">
        <f t="shared" si="809"/>
        <v>2303781.9899999965</v>
      </c>
      <c r="AT1149" s="29">
        <f t="shared" si="810"/>
        <v>977973.89</v>
      </c>
      <c r="AU1149" s="29">
        <f t="shared" si="811"/>
        <v>0</v>
      </c>
      <c r="AV1149" s="29">
        <f t="shared" si="812"/>
        <v>-620059.17000000004</v>
      </c>
      <c r="AW1149" s="29"/>
      <c r="AX1149" s="29">
        <f t="shared" si="813"/>
        <v>2662641.9499999965</v>
      </c>
      <c r="AY1149" s="29">
        <f t="shared" si="814"/>
        <v>9300000</v>
      </c>
      <c r="AZ1149" s="29">
        <f t="shared" si="815"/>
        <v>11962641.949999996</v>
      </c>
    </row>
    <row r="1150" spans="2:52" x14ac:dyDescent="0.3">
      <c r="B1150" s="99">
        <f>B1149+3</f>
        <v>45775</v>
      </c>
      <c r="C1150" s="44">
        <f t="shared" si="823"/>
        <v>716416.72999999812</v>
      </c>
      <c r="D1150" s="38">
        <v>400063.25</v>
      </c>
      <c r="E1150" s="38"/>
      <c r="F1150" s="38">
        <v>-1889.2</v>
      </c>
      <c r="G1150" s="45">
        <f t="shared" si="805"/>
        <v>1114590.7799999982</v>
      </c>
      <c r="H1150" s="44">
        <v>4300000</v>
      </c>
      <c r="I1150" s="46">
        <f t="shared" si="824"/>
        <v>1823344.1099999996</v>
      </c>
      <c r="J1150" s="38"/>
      <c r="K1150" s="38">
        <f>310000+115000</f>
        <v>425000</v>
      </c>
      <c r="L1150" s="38">
        <v>-345747.58</v>
      </c>
      <c r="M1150" s="47">
        <f t="shared" si="825"/>
        <v>1902596.5299999993</v>
      </c>
      <c r="N1150" s="46">
        <v>5000000</v>
      </c>
      <c r="O1150" s="48">
        <f t="shared" si="826"/>
        <v>6474.0199999995475</v>
      </c>
      <c r="P1150" s="38">
        <v>353570.98</v>
      </c>
      <c r="Q1150" s="38">
        <v>-310000</v>
      </c>
      <c r="R1150" s="38">
        <v>-40860.800000000003</v>
      </c>
      <c r="S1150" s="55">
        <f t="shared" si="827"/>
        <v>9184.1999999995314</v>
      </c>
      <c r="T1150" s="48"/>
      <c r="U1150" s="49">
        <f t="shared" si="828"/>
        <v>87.15999999988999</v>
      </c>
      <c r="V1150" s="38"/>
      <c r="W1150" s="38"/>
      <c r="X1150" s="38"/>
      <c r="Y1150" s="51">
        <f t="shared" si="829"/>
        <v>87.15999999988999</v>
      </c>
      <c r="Z1150" s="52"/>
      <c r="AA1150" s="53">
        <f t="shared" si="830"/>
        <v>115374.68999999923</v>
      </c>
      <c r="AB1150" s="38"/>
      <c r="AC1150" s="38">
        <v>-115000</v>
      </c>
      <c r="AD1150" s="38">
        <v>-189.2</v>
      </c>
      <c r="AE1150" s="54">
        <f t="shared" si="831"/>
        <v>185.48999999923109</v>
      </c>
      <c r="AF1150" s="53"/>
      <c r="AG1150" s="53">
        <f t="shared" si="807"/>
        <v>945.24000000017406</v>
      </c>
      <c r="AH1150" s="38"/>
      <c r="AI1150" s="38"/>
      <c r="AJ1150" s="38"/>
      <c r="AK1150" s="54">
        <f t="shared" si="808"/>
        <v>945.24000000017406</v>
      </c>
      <c r="AL1150" s="53"/>
      <c r="AM1150" s="53">
        <f t="shared" si="821"/>
        <v>0</v>
      </c>
      <c r="AN1150" s="38"/>
      <c r="AO1150" s="38"/>
      <c r="AP1150" s="38"/>
      <c r="AQ1150" s="54">
        <f t="shared" si="822"/>
        <v>0</v>
      </c>
      <c r="AR1150" s="53"/>
      <c r="AS1150" s="29">
        <f t="shared" si="809"/>
        <v>2661696.7099999962</v>
      </c>
      <c r="AT1150" s="29">
        <f t="shared" si="810"/>
        <v>753634.23</v>
      </c>
      <c r="AU1150" s="29">
        <f t="shared" si="811"/>
        <v>0</v>
      </c>
      <c r="AV1150" s="29">
        <f t="shared" si="812"/>
        <v>-388686.78</v>
      </c>
      <c r="AW1150" s="29"/>
      <c r="AX1150" s="29">
        <f t="shared" si="813"/>
        <v>3027589.3999999966</v>
      </c>
      <c r="AY1150" s="29">
        <f t="shared" si="814"/>
        <v>9300000</v>
      </c>
      <c r="AZ1150" s="29">
        <f t="shared" si="815"/>
        <v>12327589.399999997</v>
      </c>
    </row>
    <row r="1151" spans="2:52" x14ac:dyDescent="0.3">
      <c r="B1151" s="99">
        <f t="shared" si="820"/>
        <v>45776</v>
      </c>
      <c r="C1151" s="44">
        <f t="shared" si="823"/>
        <v>1114590.7799999982</v>
      </c>
      <c r="D1151" s="38">
        <v>99246.1</v>
      </c>
      <c r="E1151" s="38"/>
      <c r="F1151" s="38"/>
      <c r="G1151" s="45">
        <f t="shared" si="805"/>
        <v>1213836.8799999983</v>
      </c>
      <c r="H1151" s="44">
        <v>4300000</v>
      </c>
      <c r="I1151" s="46">
        <f t="shared" si="824"/>
        <v>1902596.5299999993</v>
      </c>
      <c r="J1151" s="38">
        <v>348345.62</v>
      </c>
      <c r="K1151" s="38">
        <v>1220000</v>
      </c>
      <c r="L1151" s="38"/>
      <c r="M1151" s="47">
        <f t="shared" si="825"/>
        <v>3470942.1499999994</v>
      </c>
      <c r="N1151" s="46">
        <v>5000000</v>
      </c>
      <c r="O1151" s="48">
        <f t="shared" si="826"/>
        <v>9184.1999999995314</v>
      </c>
      <c r="P1151" s="38">
        <f>97436.33+22311.13</f>
        <v>119747.46</v>
      </c>
      <c r="Q1151" s="38"/>
      <c r="R1151" s="38"/>
      <c r="S1151" s="55">
        <f t="shared" si="827"/>
        <v>128931.65999999954</v>
      </c>
      <c r="T1151" s="48"/>
      <c r="U1151" s="49">
        <f t="shared" si="828"/>
        <v>87.15999999988999</v>
      </c>
      <c r="V1151" s="38"/>
      <c r="W1151" s="38"/>
      <c r="X1151" s="38"/>
      <c r="Y1151" s="51">
        <f t="shared" si="829"/>
        <v>87.15999999988999</v>
      </c>
      <c r="Z1151" s="52"/>
      <c r="AA1151" s="53">
        <f t="shared" si="830"/>
        <v>185.48999999923109</v>
      </c>
      <c r="AB1151" s="38"/>
      <c r="AC1151" s="38"/>
      <c r="AD1151" s="38"/>
      <c r="AE1151" s="54">
        <f t="shared" si="831"/>
        <v>185.48999999923109</v>
      </c>
      <c r="AF1151" s="53"/>
      <c r="AG1151" s="53">
        <f t="shared" si="807"/>
        <v>945.24000000017406</v>
      </c>
      <c r="AH1151" s="38">
        <v>1221060.31</v>
      </c>
      <c r="AI1151" s="38">
        <v>-1220000</v>
      </c>
      <c r="AJ1151" s="38"/>
      <c r="AK1151" s="54">
        <f t="shared" si="808"/>
        <v>2005.5500000002794</v>
      </c>
      <c r="AL1151" s="53"/>
      <c r="AM1151" s="53">
        <f t="shared" si="821"/>
        <v>0</v>
      </c>
      <c r="AN1151" s="38"/>
      <c r="AO1151" s="38"/>
      <c r="AP1151" s="38"/>
      <c r="AQ1151" s="54">
        <f t="shared" si="822"/>
        <v>0</v>
      </c>
      <c r="AR1151" s="53"/>
      <c r="AS1151" s="29">
        <f t="shared" si="809"/>
        <v>3026644.1599999964</v>
      </c>
      <c r="AT1151" s="29">
        <f t="shared" si="810"/>
        <v>1788399.49</v>
      </c>
      <c r="AU1151" s="29">
        <f t="shared" si="811"/>
        <v>0</v>
      </c>
      <c r="AV1151" s="29">
        <f t="shared" si="812"/>
        <v>0</v>
      </c>
      <c r="AW1151" s="29"/>
      <c r="AX1151" s="29">
        <f t="shared" si="813"/>
        <v>4815988.8899999969</v>
      </c>
      <c r="AY1151" s="29">
        <f t="shared" si="814"/>
        <v>9300000</v>
      </c>
      <c r="AZ1151" s="29">
        <f t="shared" si="815"/>
        <v>14115988.889999997</v>
      </c>
    </row>
    <row r="1152" spans="2:52" x14ac:dyDescent="0.3">
      <c r="B1152" s="99">
        <f t="shared" si="820"/>
        <v>45777</v>
      </c>
      <c r="C1152" s="44">
        <f t="shared" si="823"/>
        <v>1213836.8799999983</v>
      </c>
      <c r="D1152" s="38">
        <f>60446.49+48883.52+26419.39+13163.56</f>
        <v>148912.95999999999</v>
      </c>
      <c r="E1152" s="38"/>
      <c r="F1152" s="38">
        <v>-71195.98</v>
      </c>
      <c r="G1152" s="45">
        <f t="shared" si="805"/>
        <v>1291553.8599999982</v>
      </c>
      <c r="H1152" s="44">
        <v>4300000</v>
      </c>
      <c r="I1152" s="46">
        <f t="shared" si="824"/>
        <v>3470942.1499999994</v>
      </c>
      <c r="J1152" s="38">
        <f>170708.04+258645.25</f>
        <v>429353.29000000004</v>
      </c>
      <c r="K1152" s="38">
        <v>1930000</v>
      </c>
      <c r="L1152" s="38">
        <v>-2044521.63</v>
      </c>
      <c r="M1152" s="47">
        <f t="shared" si="825"/>
        <v>3785773.8099999996</v>
      </c>
      <c r="N1152" s="46">
        <v>5000000</v>
      </c>
      <c r="O1152" s="48">
        <f t="shared" si="826"/>
        <v>128931.65999999954</v>
      </c>
      <c r="P1152" s="38">
        <v>1806830.13</v>
      </c>
      <c r="Q1152" s="38">
        <v>-1930000</v>
      </c>
      <c r="R1152" s="38">
        <v>-10</v>
      </c>
      <c r="S1152" s="55">
        <f t="shared" si="827"/>
        <v>5751.7899999993388</v>
      </c>
      <c r="T1152" s="48"/>
      <c r="U1152" s="49">
        <f t="shared" si="828"/>
        <v>87.15999999988999</v>
      </c>
      <c r="V1152" s="38">
        <v>670590</v>
      </c>
      <c r="W1152" s="38"/>
      <c r="X1152" s="38"/>
      <c r="Y1152" s="51">
        <f t="shared" si="829"/>
        <v>670677.15999999992</v>
      </c>
      <c r="Z1152" s="52"/>
      <c r="AA1152" s="53">
        <f t="shared" si="830"/>
        <v>185.48999999923109</v>
      </c>
      <c r="AB1152" s="38">
        <v>0.12</v>
      </c>
      <c r="AC1152" s="38"/>
      <c r="AD1152" s="38"/>
      <c r="AE1152" s="54">
        <f t="shared" si="831"/>
        <v>185.60999999923109</v>
      </c>
      <c r="AF1152" s="53"/>
      <c r="AG1152" s="53">
        <f t="shared" si="807"/>
        <v>2005.5500000002794</v>
      </c>
      <c r="AH1152" s="38"/>
      <c r="AI1152" s="38"/>
      <c r="AJ1152" s="38">
        <f>-89.9+0.08</f>
        <v>-89.820000000000007</v>
      </c>
      <c r="AK1152" s="54">
        <f t="shared" si="808"/>
        <v>1915.7300000002795</v>
      </c>
      <c r="AL1152" s="53"/>
      <c r="AM1152" s="53">
        <f t="shared" si="821"/>
        <v>0</v>
      </c>
      <c r="AN1152" s="38"/>
      <c r="AO1152" s="38"/>
      <c r="AP1152" s="38"/>
      <c r="AQ1152" s="54">
        <f t="shared" si="822"/>
        <v>0</v>
      </c>
      <c r="AR1152" s="53"/>
      <c r="AS1152" s="29">
        <f t="shared" si="809"/>
        <v>4813983.3399999961</v>
      </c>
      <c r="AT1152" s="29">
        <f t="shared" si="810"/>
        <v>3055686.5</v>
      </c>
      <c r="AU1152" s="29">
        <f t="shared" si="811"/>
        <v>0</v>
      </c>
      <c r="AV1152" s="29">
        <f t="shared" si="812"/>
        <v>-2115817.4299999997</v>
      </c>
      <c r="AW1152" s="29"/>
      <c r="AX1152" s="29">
        <f t="shared" si="813"/>
        <v>5755857.9599999972</v>
      </c>
      <c r="AY1152" s="29">
        <f t="shared" si="814"/>
        <v>9300000</v>
      </c>
      <c r="AZ1152" s="29">
        <f t="shared" si="815"/>
        <v>15055857.959999997</v>
      </c>
    </row>
    <row r="1153" spans="2:52" x14ac:dyDescent="0.3">
      <c r="B1153" s="99">
        <f t="shared" si="820"/>
        <v>45778</v>
      </c>
      <c r="C1153" s="44">
        <f t="shared" si="823"/>
        <v>1291553.8599999982</v>
      </c>
      <c r="D1153" s="38"/>
      <c r="E1153" s="38"/>
      <c r="F1153" s="38"/>
      <c r="G1153" s="45">
        <f t="shared" si="805"/>
        <v>1291553.8599999982</v>
      </c>
      <c r="H1153" s="44">
        <v>4300000</v>
      </c>
      <c r="I1153" s="46">
        <f t="shared" si="824"/>
        <v>3785773.8099999996</v>
      </c>
      <c r="J1153" s="38"/>
      <c r="K1153" s="38"/>
      <c r="L1153" s="38"/>
      <c r="M1153" s="47">
        <f t="shared" si="825"/>
        <v>3785773.8099999996</v>
      </c>
      <c r="N1153" s="46">
        <v>5000000</v>
      </c>
      <c r="O1153" s="48">
        <f t="shared" si="826"/>
        <v>5751.7899999993388</v>
      </c>
      <c r="P1153" s="38"/>
      <c r="Q1153" s="38"/>
      <c r="R1153" s="38"/>
      <c r="S1153" s="55">
        <f t="shared" si="827"/>
        <v>5751.7899999993388</v>
      </c>
      <c r="T1153" s="48"/>
      <c r="U1153" s="49">
        <f t="shared" si="828"/>
        <v>670677.15999999992</v>
      </c>
      <c r="V1153" s="38"/>
      <c r="W1153" s="38"/>
      <c r="X1153" s="38"/>
      <c r="Y1153" s="51">
        <f t="shared" si="829"/>
        <v>670677.15999999992</v>
      </c>
      <c r="Z1153" s="52"/>
      <c r="AA1153" s="53">
        <f t="shared" si="830"/>
        <v>185.60999999923109</v>
      </c>
      <c r="AB1153" s="38"/>
      <c r="AC1153" s="38"/>
      <c r="AD1153" s="38"/>
      <c r="AE1153" s="54">
        <f t="shared" si="831"/>
        <v>185.60999999923109</v>
      </c>
      <c r="AF1153" s="53"/>
      <c r="AG1153" s="53">
        <f t="shared" si="807"/>
        <v>1915.7300000002795</v>
      </c>
      <c r="AH1153" s="38"/>
      <c r="AI1153" s="38"/>
      <c r="AJ1153" s="38"/>
      <c r="AK1153" s="54">
        <f t="shared" si="808"/>
        <v>1915.7300000002795</v>
      </c>
      <c r="AL1153" s="53"/>
      <c r="AM1153" s="53">
        <f t="shared" si="821"/>
        <v>0</v>
      </c>
      <c r="AN1153" s="38"/>
      <c r="AO1153" s="38"/>
      <c r="AP1153" s="38"/>
      <c r="AQ1153" s="54">
        <f t="shared" si="822"/>
        <v>0</v>
      </c>
      <c r="AR1153" s="53"/>
      <c r="AS1153" s="29">
        <f t="shared" si="809"/>
        <v>5753942.2299999967</v>
      </c>
      <c r="AT1153" s="29">
        <f t="shared" si="810"/>
        <v>0</v>
      </c>
      <c r="AU1153" s="29">
        <f t="shared" si="811"/>
        <v>0</v>
      </c>
      <c r="AV1153" s="29">
        <f t="shared" si="812"/>
        <v>0</v>
      </c>
      <c r="AW1153" s="29"/>
      <c r="AX1153" s="29">
        <f t="shared" si="813"/>
        <v>5755857.9599999972</v>
      </c>
      <c r="AY1153" s="29">
        <f t="shared" si="814"/>
        <v>9300000</v>
      </c>
      <c r="AZ1153" s="29">
        <f t="shared" si="815"/>
        <v>15055857.959999997</v>
      </c>
    </row>
    <row r="1154" spans="2:52" x14ac:dyDescent="0.3">
      <c r="B1154" s="99">
        <f t="shared" si="820"/>
        <v>45779</v>
      </c>
      <c r="C1154" s="44">
        <f t="shared" si="823"/>
        <v>1291553.8599999982</v>
      </c>
      <c r="D1154" s="38"/>
      <c r="E1154" s="38"/>
      <c r="F1154" s="38">
        <v>-133328.48000000001</v>
      </c>
      <c r="G1154" s="45">
        <f t="shared" si="805"/>
        <v>1158225.3799999983</v>
      </c>
      <c r="H1154" s="44">
        <v>4300000</v>
      </c>
      <c r="I1154" s="46">
        <f t="shared" si="824"/>
        <v>3785773.8099999996</v>
      </c>
      <c r="J1154" s="38"/>
      <c r="K1154" s="38">
        <f>670000+82000</f>
        <v>752000</v>
      </c>
      <c r="L1154" s="38">
        <v>-98725.59</v>
      </c>
      <c r="M1154" s="47">
        <f t="shared" si="825"/>
        <v>4439048.22</v>
      </c>
      <c r="N1154" s="46">
        <v>5000000</v>
      </c>
      <c r="O1154" s="48">
        <f t="shared" si="826"/>
        <v>5751.7899999993388</v>
      </c>
      <c r="P1154" s="38">
        <v>1193444.98</v>
      </c>
      <c r="Q1154" s="38">
        <f>670600-670000</f>
        <v>600</v>
      </c>
      <c r="R1154" s="38">
        <v>-1833.61</v>
      </c>
      <c r="S1154" s="55">
        <f t="shared" si="827"/>
        <v>1197963.1599999992</v>
      </c>
      <c r="T1154" s="48"/>
      <c r="U1154" s="49">
        <f t="shared" si="828"/>
        <v>670677.15999999992</v>
      </c>
      <c r="V1154" s="38"/>
      <c r="W1154" s="38">
        <v>-670600</v>
      </c>
      <c r="X1154" s="38"/>
      <c r="Y1154" s="51">
        <f t="shared" si="829"/>
        <v>77.159999999916181</v>
      </c>
      <c r="Z1154" s="52"/>
      <c r="AA1154" s="53">
        <f t="shared" si="830"/>
        <v>185.60999999923109</v>
      </c>
      <c r="AB1154" s="38"/>
      <c r="AC1154" s="38"/>
      <c r="AD1154" s="38"/>
      <c r="AE1154" s="54">
        <f t="shared" si="831"/>
        <v>185.60999999923109</v>
      </c>
      <c r="AF1154" s="53"/>
      <c r="AG1154" s="53">
        <f t="shared" si="807"/>
        <v>1915.7300000002795</v>
      </c>
      <c r="AH1154" s="38">
        <v>80650</v>
      </c>
      <c r="AI1154" s="38">
        <v>-82000</v>
      </c>
      <c r="AJ1154" s="38"/>
      <c r="AK1154" s="54">
        <f t="shared" si="808"/>
        <v>565.73000000027241</v>
      </c>
      <c r="AL1154" s="53"/>
      <c r="AM1154" s="53">
        <f t="shared" si="821"/>
        <v>0</v>
      </c>
      <c r="AN1154" s="38"/>
      <c r="AO1154" s="38"/>
      <c r="AP1154" s="38"/>
      <c r="AQ1154" s="54">
        <f t="shared" si="822"/>
        <v>0</v>
      </c>
      <c r="AR1154" s="53"/>
      <c r="AS1154" s="29">
        <f t="shared" si="809"/>
        <v>5753942.2299999967</v>
      </c>
      <c r="AT1154" s="29">
        <f t="shared" si="810"/>
        <v>1274094.98</v>
      </c>
      <c r="AU1154" s="29">
        <f t="shared" si="811"/>
        <v>0</v>
      </c>
      <c r="AV1154" s="29">
        <f t="shared" si="812"/>
        <v>-233887.68</v>
      </c>
      <c r="AW1154" s="29"/>
      <c r="AX1154" s="29">
        <f t="shared" si="813"/>
        <v>6796065.259999997</v>
      </c>
      <c r="AY1154" s="29">
        <f t="shared" si="814"/>
        <v>9300000</v>
      </c>
      <c r="AZ1154" s="29">
        <f t="shared" si="815"/>
        <v>16096065.259999998</v>
      </c>
    </row>
    <row r="1155" spans="2:52" x14ac:dyDescent="0.3">
      <c r="B1155" s="99">
        <f>B1154+3</f>
        <v>45782</v>
      </c>
      <c r="C1155" s="44">
        <f t="shared" si="823"/>
        <v>1158225.3799999983</v>
      </c>
      <c r="D1155" s="38">
        <f>2023.05+35236.5</f>
        <v>37259.550000000003</v>
      </c>
      <c r="E1155" s="38"/>
      <c r="F1155" s="38">
        <f>-10382.6-160-8.64-2192.47</f>
        <v>-12743.71</v>
      </c>
      <c r="G1155" s="45">
        <f t="shared" si="805"/>
        <v>1182741.2199999983</v>
      </c>
      <c r="H1155" s="44">
        <v>4300000</v>
      </c>
      <c r="I1155" s="46">
        <f t="shared" si="824"/>
        <v>4439048.22</v>
      </c>
      <c r="J1155" s="38">
        <f>71566.27+3075.39+112686.63+7718.26</f>
        <v>195046.55000000002</v>
      </c>
      <c r="K1155" s="38">
        <f>1170000</f>
        <v>1170000</v>
      </c>
      <c r="L1155" s="38">
        <v>-4388565.1900000004</v>
      </c>
      <c r="M1155" s="47">
        <f t="shared" si="825"/>
        <v>1415529.5799999991</v>
      </c>
      <c r="N1155" s="46">
        <v>5000000</v>
      </c>
      <c r="O1155" s="48">
        <f t="shared" si="826"/>
        <v>1197963.1599999992</v>
      </c>
      <c r="P1155" s="38"/>
      <c r="Q1155" s="38">
        <v>-1170000</v>
      </c>
      <c r="R1155" s="38">
        <f>-11295.19-1659.43-10</f>
        <v>-12964.62</v>
      </c>
      <c r="S1155" s="55">
        <f t="shared" si="827"/>
        <v>14998.539999999217</v>
      </c>
      <c r="T1155" s="48"/>
      <c r="U1155" s="49">
        <f t="shared" si="828"/>
        <v>77.159999999916181</v>
      </c>
      <c r="V1155" s="38"/>
      <c r="W1155" s="38"/>
      <c r="X1155" s="38">
        <v>-70</v>
      </c>
      <c r="Y1155" s="51">
        <f t="shared" si="829"/>
        <v>7.159999999916181</v>
      </c>
      <c r="Z1155" s="52"/>
      <c r="AA1155" s="53">
        <f t="shared" si="830"/>
        <v>185.60999999923109</v>
      </c>
      <c r="AB1155" s="38"/>
      <c r="AC1155" s="38"/>
      <c r="AD1155" s="38"/>
      <c r="AE1155" s="54">
        <f t="shared" si="831"/>
        <v>185.60999999923109</v>
      </c>
      <c r="AF1155" s="53"/>
      <c r="AG1155" s="53">
        <f t="shared" si="807"/>
        <v>565.73000000027241</v>
      </c>
      <c r="AH1155" s="38">
        <v>57841.63</v>
      </c>
      <c r="AI1155" s="38"/>
      <c r="AJ1155" s="38">
        <v>-9.9</v>
      </c>
      <c r="AK1155" s="54">
        <f t="shared" si="808"/>
        <v>58397.460000000268</v>
      </c>
      <c r="AL1155" s="53"/>
      <c r="AM1155" s="53">
        <f t="shared" si="821"/>
        <v>0</v>
      </c>
      <c r="AN1155" s="38"/>
      <c r="AO1155" s="38"/>
      <c r="AP1155" s="38"/>
      <c r="AQ1155" s="54">
        <f t="shared" si="822"/>
        <v>0</v>
      </c>
      <c r="AR1155" s="53"/>
      <c r="AS1155" s="29">
        <f t="shared" si="809"/>
        <v>6795499.5299999965</v>
      </c>
      <c r="AT1155" s="29">
        <f t="shared" si="810"/>
        <v>290147.73000000004</v>
      </c>
      <c r="AU1155" s="29">
        <f t="shared" si="811"/>
        <v>0</v>
      </c>
      <c r="AV1155" s="29">
        <f t="shared" si="812"/>
        <v>-4414353.4200000009</v>
      </c>
      <c r="AW1155" s="29"/>
      <c r="AX1155" s="29">
        <f t="shared" si="813"/>
        <v>2671859.5699999961</v>
      </c>
      <c r="AY1155" s="29">
        <f t="shared" si="814"/>
        <v>9300000</v>
      </c>
      <c r="AZ1155" s="29">
        <f t="shared" si="815"/>
        <v>11971859.569999997</v>
      </c>
    </row>
    <row r="1156" spans="2:52" x14ac:dyDescent="0.3">
      <c r="B1156" s="99">
        <f t="shared" si="820"/>
        <v>45783</v>
      </c>
      <c r="C1156" s="44">
        <f t="shared" si="823"/>
        <v>1182741.2199999983</v>
      </c>
      <c r="D1156" s="38"/>
      <c r="E1156" s="38"/>
      <c r="F1156" s="38">
        <v>-2137.54</v>
      </c>
      <c r="G1156" s="45">
        <f t="shared" si="805"/>
        <v>1180603.6799999983</v>
      </c>
      <c r="H1156" s="44">
        <v>4300000</v>
      </c>
      <c r="I1156" s="46">
        <f t="shared" si="824"/>
        <v>1415529.5799999991</v>
      </c>
      <c r="J1156" s="38"/>
      <c r="K1156" s="38">
        <v>55000</v>
      </c>
      <c r="L1156" s="38">
        <v>-635998</v>
      </c>
      <c r="M1156" s="47">
        <f t="shared" si="825"/>
        <v>834531.57999999914</v>
      </c>
      <c r="N1156" s="46">
        <v>5000000</v>
      </c>
      <c r="O1156" s="48">
        <f t="shared" si="826"/>
        <v>14998.539999999217</v>
      </c>
      <c r="P1156" s="38"/>
      <c r="Q1156" s="38"/>
      <c r="R1156" s="38">
        <v>-3200</v>
      </c>
      <c r="S1156" s="55">
        <f t="shared" si="827"/>
        <v>11798.539999999217</v>
      </c>
      <c r="T1156" s="48"/>
      <c r="U1156" s="49">
        <f t="shared" si="828"/>
        <v>7.159999999916181</v>
      </c>
      <c r="V1156" s="38"/>
      <c r="W1156" s="38"/>
      <c r="X1156" s="38"/>
      <c r="Y1156" s="51">
        <f t="shared" si="829"/>
        <v>7.159999999916181</v>
      </c>
      <c r="Z1156" s="52"/>
      <c r="AA1156" s="53">
        <f t="shared" si="830"/>
        <v>185.60999999923109</v>
      </c>
      <c r="AB1156" s="38"/>
      <c r="AC1156" s="38"/>
      <c r="AD1156" s="38"/>
      <c r="AE1156" s="54">
        <f t="shared" si="831"/>
        <v>185.60999999923109</v>
      </c>
      <c r="AF1156" s="53"/>
      <c r="AG1156" s="53">
        <f t="shared" si="807"/>
        <v>58397.460000000268</v>
      </c>
      <c r="AH1156" s="38"/>
      <c r="AI1156" s="38">
        <v>-55000</v>
      </c>
      <c r="AJ1156" s="38">
        <f>-805-708-1500</f>
        <v>-3013</v>
      </c>
      <c r="AK1156" s="54">
        <f t="shared" si="808"/>
        <v>384.46000000026834</v>
      </c>
      <c r="AL1156" s="53"/>
      <c r="AM1156" s="53">
        <f t="shared" si="821"/>
        <v>0</v>
      </c>
      <c r="AN1156" s="38"/>
      <c r="AO1156" s="38"/>
      <c r="AP1156" s="38"/>
      <c r="AQ1156" s="54">
        <f t="shared" si="822"/>
        <v>0</v>
      </c>
      <c r="AR1156" s="53"/>
      <c r="AS1156" s="29">
        <f t="shared" si="809"/>
        <v>2613462.1099999957</v>
      </c>
      <c r="AT1156" s="29">
        <f t="shared" si="810"/>
        <v>0</v>
      </c>
      <c r="AU1156" s="29">
        <f t="shared" si="811"/>
        <v>0</v>
      </c>
      <c r="AV1156" s="29">
        <f t="shared" si="812"/>
        <v>-644348.54</v>
      </c>
      <c r="AW1156" s="29"/>
      <c r="AX1156" s="29">
        <f t="shared" si="813"/>
        <v>2027511.0299999958</v>
      </c>
      <c r="AY1156" s="29">
        <f t="shared" si="814"/>
        <v>9300000</v>
      </c>
      <c r="AZ1156" s="29">
        <f t="shared" si="815"/>
        <v>11327511.029999996</v>
      </c>
    </row>
    <row r="1157" spans="2:52" x14ac:dyDescent="0.3">
      <c r="B1157" s="99">
        <f t="shared" si="820"/>
        <v>45784</v>
      </c>
      <c r="C1157" s="44">
        <f t="shared" si="823"/>
        <v>1180603.6799999983</v>
      </c>
      <c r="D1157" s="38">
        <v>46980.35</v>
      </c>
      <c r="E1157" s="38"/>
      <c r="F1157" s="38"/>
      <c r="G1157" s="45">
        <f t="shared" si="805"/>
        <v>1227584.0299999984</v>
      </c>
      <c r="H1157" s="44">
        <v>4300000</v>
      </c>
      <c r="I1157" s="46">
        <f t="shared" si="824"/>
        <v>834531.57999999914</v>
      </c>
      <c r="J1157" s="38">
        <v>50000</v>
      </c>
      <c r="K1157" s="38"/>
      <c r="L1157" s="38">
        <v>-131282.22</v>
      </c>
      <c r="M1157" s="47">
        <f t="shared" si="825"/>
        <v>753249.35999999917</v>
      </c>
      <c r="N1157" s="46">
        <v>5000000</v>
      </c>
      <c r="O1157" s="48">
        <f t="shared" si="826"/>
        <v>11798.539999999217</v>
      </c>
      <c r="P1157" s="38"/>
      <c r="Q1157" s="38"/>
      <c r="R1157" s="38">
        <v>-1663.8</v>
      </c>
      <c r="S1157" s="55">
        <f t="shared" si="827"/>
        <v>10134.739999999218</v>
      </c>
      <c r="T1157" s="48"/>
      <c r="U1157" s="49">
        <f t="shared" si="828"/>
        <v>7.159999999916181</v>
      </c>
      <c r="V1157" s="38"/>
      <c r="W1157" s="38"/>
      <c r="X1157" s="38"/>
      <c r="Y1157" s="51">
        <f t="shared" si="829"/>
        <v>7.159999999916181</v>
      </c>
      <c r="Z1157" s="52"/>
      <c r="AA1157" s="53">
        <f t="shared" si="830"/>
        <v>185.60999999923109</v>
      </c>
      <c r="AB1157" s="38"/>
      <c r="AC1157" s="38"/>
      <c r="AD1157" s="38"/>
      <c r="AE1157" s="54">
        <f t="shared" si="831"/>
        <v>185.60999999923109</v>
      </c>
      <c r="AF1157" s="53"/>
      <c r="AG1157" s="53">
        <f t="shared" si="807"/>
        <v>384.46000000026834</v>
      </c>
      <c r="AH1157" s="38"/>
      <c r="AI1157" s="38"/>
      <c r="AJ1157" s="38">
        <v>-9.9</v>
      </c>
      <c r="AK1157" s="54">
        <f t="shared" si="808"/>
        <v>374.56000000026836</v>
      </c>
      <c r="AL1157" s="53"/>
      <c r="AM1157" s="53">
        <f t="shared" si="821"/>
        <v>0</v>
      </c>
      <c r="AN1157" s="38"/>
      <c r="AO1157" s="38"/>
      <c r="AP1157" s="38"/>
      <c r="AQ1157" s="54">
        <f t="shared" si="822"/>
        <v>0</v>
      </c>
      <c r="AR1157" s="53"/>
      <c r="AS1157" s="29">
        <f t="shared" si="809"/>
        <v>2027126.5699999956</v>
      </c>
      <c r="AT1157" s="29">
        <f t="shared" si="810"/>
        <v>96980.35</v>
      </c>
      <c r="AU1157" s="29">
        <f t="shared" si="811"/>
        <v>0</v>
      </c>
      <c r="AV1157" s="29">
        <f t="shared" si="812"/>
        <v>-132955.91999999998</v>
      </c>
      <c r="AW1157" s="29"/>
      <c r="AX1157" s="29">
        <f t="shared" si="813"/>
        <v>1991535.4599999962</v>
      </c>
      <c r="AY1157" s="29">
        <f t="shared" si="814"/>
        <v>9300000</v>
      </c>
      <c r="AZ1157" s="29">
        <f t="shared" si="815"/>
        <v>11291535.459999997</v>
      </c>
    </row>
    <row r="1158" spans="2:52" x14ac:dyDescent="0.3">
      <c r="B1158" s="99">
        <f t="shared" si="820"/>
        <v>45785</v>
      </c>
      <c r="C1158" s="44">
        <f t="shared" si="823"/>
        <v>1227584.0299999984</v>
      </c>
      <c r="D1158" s="38">
        <v>750.8</v>
      </c>
      <c r="E1158" s="38"/>
      <c r="F1158" s="38"/>
      <c r="G1158" s="45">
        <f t="shared" si="805"/>
        <v>1228334.8299999984</v>
      </c>
      <c r="H1158" s="44">
        <v>4300000</v>
      </c>
      <c r="I1158" s="46">
        <f t="shared" si="824"/>
        <v>753249.35999999917</v>
      </c>
      <c r="J1158" s="38">
        <v>301290.93</v>
      </c>
      <c r="K1158" s="38"/>
      <c r="L1158" s="38">
        <v>-24069.63</v>
      </c>
      <c r="M1158" s="47">
        <f t="shared" si="825"/>
        <v>1030470.6599999991</v>
      </c>
      <c r="N1158" s="46">
        <v>5000000</v>
      </c>
      <c r="O1158" s="48">
        <f t="shared" si="826"/>
        <v>10134.739999999218</v>
      </c>
      <c r="P1158" s="38">
        <v>24438.54</v>
      </c>
      <c r="Q1158" s="38"/>
      <c r="R1158" s="38">
        <v>-250</v>
      </c>
      <c r="S1158" s="55">
        <f t="shared" si="827"/>
        <v>34323.27999999922</v>
      </c>
      <c r="T1158" s="48"/>
      <c r="U1158" s="49">
        <f t="shared" si="828"/>
        <v>7.159999999916181</v>
      </c>
      <c r="V1158" s="38"/>
      <c r="W1158" s="38"/>
      <c r="X1158" s="38"/>
      <c r="Y1158" s="51">
        <f t="shared" si="829"/>
        <v>7.159999999916181</v>
      </c>
      <c r="Z1158" s="52"/>
      <c r="AA1158" s="53">
        <f t="shared" si="830"/>
        <v>185.60999999923109</v>
      </c>
      <c r="AB1158" s="38"/>
      <c r="AC1158" s="38"/>
      <c r="AD1158" s="38"/>
      <c r="AE1158" s="54">
        <f t="shared" si="831"/>
        <v>185.60999999923109</v>
      </c>
      <c r="AF1158" s="53"/>
      <c r="AG1158" s="53">
        <f t="shared" si="807"/>
        <v>374.56000000026836</v>
      </c>
      <c r="AH1158" s="38"/>
      <c r="AI1158" s="38"/>
      <c r="AJ1158" s="38"/>
      <c r="AK1158" s="54">
        <f t="shared" si="808"/>
        <v>374.56000000026836</v>
      </c>
      <c r="AL1158" s="53"/>
      <c r="AM1158" s="53">
        <f t="shared" si="821"/>
        <v>0</v>
      </c>
      <c r="AN1158" s="38"/>
      <c r="AO1158" s="38"/>
      <c r="AP1158" s="38"/>
      <c r="AQ1158" s="54">
        <f t="shared" si="822"/>
        <v>0</v>
      </c>
      <c r="AR1158" s="53"/>
      <c r="AS1158" s="29">
        <f t="shared" si="809"/>
        <v>1991160.8999999959</v>
      </c>
      <c r="AT1158" s="29">
        <f t="shared" si="810"/>
        <v>326480.26999999996</v>
      </c>
      <c r="AU1158" s="29">
        <f t="shared" si="811"/>
        <v>0</v>
      </c>
      <c r="AV1158" s="29">
        <f t="shared" si="812"/>
        <v>-24319.63</v>
      </c>
      <c r="AW1158" s="29"/>
      <c r="AX1158" s="29">
        <f t="shared" si="813"/>
        <v>2293696.0999999964</v>
      </c>
      <c r="AY1158" s="29">
        <f t="shared" si="814"/>
        <v>9300000</v>
      </c>
      <c r="AZ1158" s="29">
        <f t="shared" si="815"/>
        <v>11593696.099999996</v>
      </c>
    </row>
    <row r="1159" spans="2:52" x14ac:dyDescent="0.3">
      <c r="B1159" s="99">
        <f t="shared" si="820"/>
        <v>45786</v>
      </c>
      <c r="C1159" s="44">
        <f t="shared" si="823"/>
        <v>1228334.8299999984</v>
      </c>
      <c r="D1159" s="38"/>
      <c r="E1159" s="38"/>
      <c r="F1159" s="38"/>
      <c r="G1159" s="45">
        <f t="shared" si="805"/>
        <v>1228334.8299999984</v>
      </c>
      <c r="H1159" s="44">
        <v>4300000</v>
      </c>
      <c r="I1159" s="46">
        <f t="shared" si="824"/>
        <v>1030470.6599999991</v>
      </c>
      <c r="J1159" s="38"/>
      <c r="K1159" s="38"/>
      <c r="L1159" s="38">
        <v>-103893.65</v>
      </c>
      <c r="M1159" s="47">
        <f t="shared" si="825"/>
        <v>926577.00999999908</v>
      </c>
      <c r="N1159" s="46">
        <v>5000000</v>
      </c>
      <c r="O1159" s="48">
        <f t="shared" si="826"/>
        <v>34323.27999999922</v>
      </c>
      <c r="P1159" s="38"/>
      <c r="Q1159" s="38"/>
      <c r="R1159" s="38">
        <v>-10453.34</v>
      </c>
      <c r="S1159" s="55">
        <f t="shared" si="827"/>
        <v>23869.93999999922</v>
      </c>
      <c r="T1159" s="48"/>
      <c r="U1159" s="49">
        <f t="shared" si="828"/>
        <v>7.159999999916181</v>
      </c>
      <c r="V1159" s="38"/>
      <c r="W1159" s="38"/>
      <c r="X1159" s="38"/>
      <c r="Y1159" s="51">
        <f t="shared" si="829"/>
        <v>7.159999999916181</v>
      </c>
      <c r="Z1159" s="52"/>
      <c r="AA1159" s="53">
        <f t="shared" si="830"/>
        <v>185.60999999923109</v>
      </c>
      <c r="AB1159" s="38"/>
      <c r="AC1159" s="38"/>
      <c r="AD1159" s="38"/>
      <c r="AE1159" s="54">
        <f t="shared" si="831"/>
        <v>185.60999999923109</v>
      </c>
      <c r="AF1159" s="53"/>
      <c r="AG1159" s="53">
        <f t="shared" si="807"/>
        <v>374.56000000026836</v>
      </c>
      <c r="AH1159" s="38"/>
      <c r="AI1159" s="38"/>
      <c r="AJ1159" s="38"/>
      <c r="AK1159" s="54">
        <f t="shared" si="808"/>
        <v>374.56000000026836</v>
      </c>
      <c r="AL1159" s="53"/>
      <c r="AM1159" s="53">
        <f t="shared" si="821"/>
        <v>0</v>
      </c>
      <c r="AN1159" s="38"/>
      <c r="AO1159" s="38"/>
      <c r="AP1159" s="38"/>
      <c r="AQ1159" s="54">
        <f t="shared" si="822"/>
        <v>0</v>
      </c>
      <c r="AR1159" s="53"/>
      <c r="AS1159" s="29">
        <f t="shared" si="809"/>
        <v>2293321.5399999963</v>
      </c>
      <c r="AT1159" s="29">
        <f t="shared" si="810"/>
        <v>0</v>
      </c>
      <c r="AU1159" s="29">
        <f t="shared" si="811"/>
        <v>0</v>
      </c>
      <c r="AV1159" s="29">
        <f t="shared" si="812"/>
        <v>-114346.98999999999</v>
      </c>
      <c r="AW1159" s="29"/>
      <c r="AX1159" s="29">
        <f t="shared" si="813"/>
        <v>2179349.1099999961</v>
      </c>
      <c r="AY1159" s="29">
        <f t="shared" si="814"/>
        <v>9300000</v>
      </c>
      <c r="AZ1159" s="29">
        <f t="shared" si="815"/>
        <v>11479349.109999996</v>
      </c>
    </row>
    <row r="1160" spans="2:52" x14ac:dyDescent="0.3">
      <c r="B1160" s="99">
        <f>B1159+3</f>
        <v>45789</v>
      </c>
      <c r="C1160" s="44">
        <f t="shared" si="823"/>
        <v>1228334.8299999984</v>
      </c>
      <c r="D1160" s="38"/>
      <c r="E1160" s="38"/>
      <c r="F1160" s="38">
        <v>-6262.59</v>
      </c>
      <c r="G1160" s="45">
        <f t="shared" si="805"/>
        <v>1222072.2399999984</v>
      </c>
      <c r="H1160" s="44">
        <v>4300000</v>
      </c>
      <c r="I1160" s="46">
        <f t="shared" si="824"/>
        <v>926577.00999999908</v>
      </c>
      <c r="J1160" s="38">
        <v>4017.99</v>
      </c>
      <c r="K1160" s="38"/>
      <c r="L1160" s="38">
        <v>-287251.89</v>
      </c>
      <c r="M1160" s="47">
        <f t="shared" si="825"/>
        <v>643343.10999999905</v>
      </c>
      <c r="N1160" s="46">
        <v>5000000</v>
      </c>
      <c r="O1160" s="48">
        <f t="shared" si="826"/>
        <v>23869.93999999922</v>
      </c>
      <c r="P1160" s="38"/>
      <c r="Q1160" s="38"/>
      <c r="R1160" s="38">
        <v>-3112.88</v>
      </c>
      <c r="S1160" s="55">
        <f t="shared" si="827"/>
        <v>20757.059999999219</v>
      </c>
      <c r="T1160" s="48"/>
      <c r="U1160" s="49">
        <f t="shared" si="828"/>
        <v>7.159999999916181</v>
      </c>
      <c r="V1160" s="38"/>
      <c r="W1160" s="38"/>
      <c r="X1160" s="38"/>
      <c r="Y1160" s="51">
        <f t="shared" si="829"/>
        <v>7.159999999916181</v>
      </c>
      <c r="Z1160" s="52"/>
      <c r="AA1160" s="53">
        <f t="shared" si="830"/>
        <v>185.60999999923109</v>
      </c>
      <c r="AB1160" s="38"/>
      <c r="AC1160" s="38"/>
      <c r="AD1160" s="38"/>
      <c r="AE1160" s="54">
        <f t="shared" si="831"/>
        <v>185.60999999923109</v>
      </c>
      <c r="AF1160" s="53"/>
      <c r="AG1160" s="53">
        <f t="shared" si="807"/>
        <v>374.56000000026836</v>
      </c>
      <c r="AH1160" s="38"/>
      <c r="AI1160" s="38"/>
      <c r="AJ1160" s="38"/>
      <c r="AK1160" s="54">
        <f t="shared" si="808"/>
        <v>374.56000000026836</v>
      </c>
      <c r="AL1160" s="53"/>
      <c r="AM1160" s="53">
        <f t="shared" si="821"/>
        <v>0</v>
      </c>
      <c r="AN1160" s="38"/>
      <c r="AO1160" s="38"/>
      <c r="AP1160" s="38"/>
      <c r="AQ1160" s="54">
        <f t="shared" si="822"/>
        <v>0</v>
      </c>
      <c r="AR1160" s="53"/>
      <c r="AS1160" s="29">
        <f t="shared" si="809"/>
        <v>2178974.5499999961</v>
      </c>
      <c r="AT1160" s="29">
        <f t="shared" si="810"/>
        <v>4017.99</v>
      </c>
      <c r="AU1160" s="29">
        <f t="shared" si="811"/>
        <v>0</v>
      </c>
      <c r="AV1160" s="29">
        <f t="shared" si="812"/>
        <v>-296627.36000000004</v>
      </c>
      <c r="AW1160" s="29"/>
      <c r="AX1160" s="29">
        <f t="shared" si="813"/>
        <v>1886739.7399999958</v>
      </c>
      <c r="AY1160" s="29">
        <f t="shared" si="814"/>
        <v>9300000</v>
      </c>
      <c r="AZ1160" s="29">
        <f t="shared" si="815"/>
        <v>11186739.739999996</v>
      </c>
    </row>
    <row r="1161" spans="2:52" x14ac:dyDescent="0.3">
      <c r="B1161" s="99">
        <f t="shared" si="820"/>
        <v>45790</v>
      </c>
      <c r="C1161" s="44">
        <f t="shared" si="823"/>
        <v>1222072.2399999984</v>
      </c>
      <c r="D1161" s="38">
        <f>10521.33+35873.12</f>
        <v>46394.450000000004</v>
      </c>
      <c r="E1161" s="38"/>
      <c r="F1161" s="38">
        <f>-562.8-16832.04</f>
        <v>-17394.84</v>
      </c>
      <c r="G1161" s="45">
        <f t="shared" si="805"/>
        <v>1251071.8499999982</v>
      </c>
      <c r="H1161" s="44">
        <v>4300000</v>
      </c>
      <c r="I1161" s="46">
        <f t="shared" si="824"/>
        <v>643343.10999999905</v>
      </c>
      <c r="J1161" s="38"/>
      <c r="K1161" s="38"/>
      <c r="L1161" s="38">
        <v>-50345.13</v>
      </c>
      <c r="M1161" s="47">
        <f t="shared" si="825"/>
        <v>592997.97999999905</v>
      </c>
      <c r="N1161" s="46">
        <v>5000000</v>
      </c>
      <c r="O1161" s="48">
        <f t="shared" si="826"/>
        <v>20757.059999999219</v>
      </c>
      <c r="P1161" s="38">
        <v>34440.629999999997</v>
      </c>
      <c r="Q1161" s="38"/>
      <c r="R1161" s="38"/>
      <c r="S1161" s="55">
        <f t="shared" si="827"/>
        <v>55197.689999999217</v>
      </c>
      <c r="T1161" s="48"/>
      <c r="U1161" s="49">
        <f t="shared" si="828"/>
        <v>7.159999999916181</v>
      </c>
      <c r="V1161" s="38"/>
      <c r="W1161" s="38"/>
      <c r="X1161" s="38"/>
      <c r="Y1161" s="51">
        <f t="shared" si="829"/>
        <v>7.159999999916181</v>
      </c>
      <c r="Z1161" s="52"/>
      <c r="AA1161" s="53">
        <f t="shared" si="830"/>
        <v>185.60999999923109</v>
      </c>
      <c r="AB1161" s="38"/>
      <c r="AC1161" s="38"/>
      <c r="AD1161" s="38"/>
      <c r="AE1161" s="54">
        <f t="shared" si="831"/>
        <v>185.60999999923109</v>
      </c>
      <c r="AF1161" s="53"/>
      <c r="AG1161" s="53">
        <f t="shared" si="807"/>
        <v>374.56000000026836</v>
      </c>
      <c r="AH1161" s="38"/>
      <c r="AI1161" s="38"/>
      <c r="AJ1161" s="38"/>
      <c r="AK1161" s="54">
        <f t="shared" si="808"/>
        <v>374.56000000026836</v>
      </c>
      <c r="AL1161" s="53"/>
      <c r="AM1161" s="53">
        <f t="shared" si="821"/>
        <v>0</v>
      </c>
      <c r="AN1161" s="38"/>
      <c r="AO1161" s="38"/>
      <c r="AP1161" s="38"/>
      <c r="AQ1161" s="54">
        <f t="shared" si="822"/>
        <v>0</v>
      </c>
      <c r="AR1161" s="53"/>
      <c r="AS1161" s="29">
        <f t="shared" si="809"/>
        <v>1886365.1799999955</v>
      </c>
      <c r="AT1161" s="29">
        <f t="shared" si="810"/>
        <v>80835.08</v>
      </c>
      <c r="AU1161" s="29">
        <f t="shared" si="811"/>
        <v>0</v>
      </c>
      <c r="AV1161" s="29">
        <f t="shared" si="812"/>
        <v>-67739.97</v>
      </c>
      <c r="AW1161" s="29"/>
      <c r="AX1161" s="29">
        <f t="shared" si="813"/>
        <v>1899834.8499999959</v>
      </c>
      <c r="AY1161" s="29">
        <f t="shared" si="814"/>
        <v>9300000</v>
      </c>
      <c r="AZ1161" s="29">
        <f t="shared" si="815"/>
        <v>11199834.849999996</v>
      </c>
    </row>
    <row r="1162" spans="2:52" x14ac:dyDescent="0.3">
      <c r="B1162" s="99">
        <f t="shared" si="820"/>
        <v>45791</v>
      </c>
      <c r="C1162" s="44">
        <f t="shared" si="823"/>
        <v>1251071.8499999982</v>
      </c>
      <c r="D1162" s="38"/>
      <c r="E1162" s="38"/>
      <c r="F1162" s="38">
        <v>-7731.57</v>
      </c>
      <c r="G1162" s="45">
        <f t="shared" si="805"/>
        <v>1243340.2799999982</v>
      </c>
      <c r="H1162" s="44">
        <v>4300000</v>
      </c>
      <c r="I1162" s="46">
        <f t="shared" si="824"/>
        <v>592997.97999999905</v>
      </c>
      <c r="J1162" s="38"/>
      <c r="K1162" s="38"/>
      <c r="L1162" s="38">
        <v>-51687.91</v>
      </c>
      <c r="M1162" s="47">
        <f t="shared" si="825"/>
        <v>541310.06999999902</v>
      </c>
      <c r="N1162" s="46">
        <v>5000000</v>
      </c>
      <c r="O1162" s="48">
        <f t="shared" si="826"/>
        <v>55197.689999999217</v>
      </c>
      <c r="P1162" s="38">
        <v>95486.84</v>
      </c>
      <c r="Q1162" s="38"/>
      <c r="R1162" s="38"/>
      <c r="S1162" s="55">
        <f t="shared" si="827"/>
        <v>150684.52999999921</v>
      </c>
      <c r="T1162" s="48"/>
      <c r="U1162" s="49">
        <f t="shared" si="828"/>
        <v>7.159999999916181</v>
      </c>
      <c r="V1162" s="38"/>
      <c r="W1162" s="38"/>
      <c r="X1162" s="38"/>
      <c r="Y1162" s="51">
        <f t="shared" si="829"/>
        <v>7.159999999916181</v>
      </c>
      <c r="Z1162" s="52"/>
      <c r="AA1162" s="53">
        <f t="shared" si="830"/>
        <v>185.60999999923109</v>
      </c>
      <c r="AB1162" s="38"/>
      <c r="AC1162" s="38"/>
      <c r="AD1162" s="38"/>
      <c r="AE1162" s="54">
        <f t="shared" si="831"/>
        <v>185.60999999923109</v>
      </c>
      <c r="AF1162" s="53"/>
      <c r="AG1162" s="53">
        <f t="shared" si="807"/>
        <v>374.56000000026836</v>
      </c>
      <c r="AH1162" s="38"/>
      <c r="AI1162" s="38"/>
      <c r="AJ1162" s="38"/>
      <c r="AK1162" s="54">
        <f t="shared" si="808"/>
        <v>374.56000000026836</v>
      </c>
      <c r="AL1162" s="53"/>
      <c r="AM1162" s="53">
        <f t="shared" si="821"/>
        <v>0</v>
      </c>
      <c r="AN1162" s="38"/>
      <c r="AO1162" s="38"/>
      <c r="AP1162" s="38"/>
      <c r="AQ1162" s="54">
        <f t="shared" si="822"/>
        <v>0</v>
      </c>
      <c r="AR1162" s="53"/>
      <c r="AS1162" s="29">
        <f t="shared" si="809"/>
        <v>1899460.2899999956</v>
      </c>
      <c r="AT1162" s="29">
        <f t="shared" si="810"/>
        <v>95486.84</v>
      </c>
      <c r="AU1162" s="29">
        <f t="shared" si="811"/>
        <v>0</v>
      </c>
      <c r="AV1162" s="29">
        <f t="shared" si="812"/>
        <v>-59419.48</v>
      </c>
      <c r="AW1162" s="29"/>
      <c r="AX1162" s="29">
        <f t="shared" si="813"/>
        <v>1935902.209999996</v>
      </c>
      <c r="AY1162" s="29">
        <f t="shared" si="814"/>
        <v>9300000</v>
      </c>
      <c r="AZ1162" s="29">
        <f t="shared" si="815"/>
        <v>11235902.209999995</v>
      </c>
    </row>
    <row r="1163" spans="2:52" x14ac:dyDescent="0.3">
      <c r="B1163" s="99">
        <f t="shared" si="820"/>
        <v>45792</v>
      </c>
      <c r="C1163" s="44">
        <f t="shared" si="823"/>
        <v>1243340.2799999982</v>
      </c>
      <c r="D1163" s="38">
        <f>276963.36+31737.35+33708.95</f>
        <v>342409.66</v>
      </c>
      <c r="E1163" s="38"/>
      <c r="F1163" s="38">
        <f>-3666.97-13083.1-1003.47-113.5</f>
        <v>-17867.04</v>
      </c>
      <c r="G1163" s="45">
        <f t="shared" si="805"/>
        <v>1567882.899999998</v>
      </c>
      <c r="H1163" s="44">
        <v>4300000</v>
      </c>
      <c r="I1163" s="46">
        <f t="shared" si="824"/>
        <v>541310.06999999902</v>
      </c>
      <c r="J1163" s="38"/>
      <c r="K1163" s="38"/>
      <c r="L1163" s="38">
        <v>-111660.95</v>
      </c>
      <c r="M1163" s="47">
        <f t="shared" si="825"/>
        <v>429649.11999999901</v>
      </c>
      <c r="N1163" s="46">
        <v>5000000</v>
      </c>
      <c r="O1163" s="48">
        <f t="shared" si="826"/>
        <v>150684.52999999921</v>
      </c>
      <c r="P1163" s="38">
        <v>18176.689999999999</v>
      </c>
      <c r="Q1163" s="38"/>
      <c r="R1163" s="38"/>
      <c r="S1163" s="55">
        <f t="shared" si="827"/>
        <v>168861.21999999922</v>
      </c>
      <c r="T1163" s="48"/>
      <c r="U1163" s="49">
        <f t="shared" si="828"/>
        <v>7.159999999916181</v>
      </c>
      <c r="V1163" s="38"/>
      <c r="W1163" s="38"/>
      <c r="X1163" s="38"/>
      <c r="Y1163" s="51">
        <f t="shared" si="829"/>
        <v>7.159999999916181</v>
      </c>
      <c r="Z1163" s="52"/>
      <c r="AA1163" s="53">
        <f t="shared" si="830"/>
        <v>185.60999999923109</v>
      </c>
      <c r="AB1163" s="38"/>
      <c r="AC1163" s="38"/>
      <c r="AD1163" s="38"/>
      <c r="AE1163" s="54">
        <f t="shared" si="831"/>
        <v>185.60999999923109</v>
      </c>
      <c r="AF1163" s="53"/>
      <c r="AG1163" s="53">
        <f t="shared" si="807"/>
        <v>374.56000000026836</v>
      </c>
      <c r="AH1163" s="38"/>
      <c r="AI1163" s="38"/>
      <c r="AJ1163" s="38"/>
      <c r="AK1163" s="54">
        <f t="shared" si="808"/>
        <v>374.56000000026836</v>
      </c>
      <c r="AL1163" s="53"/>
      <c r="AM1163" s="53">
        <f t="shared" si="821"/>
        <v>0</v>
      </c>
      <c r="AN1163" s="38"/>
      <c r="AO1163" s="38"/>
      <c r="AP1163" s="38"/>
      <c r="AQ1163" s="54">
        <f t="shared" si="822"/>
        <v>0</v>
      </c>
      <c r="AR1163" s="53"/>
      <c r="AS1163" s="29">
        <f t="shared" si="809"/>
        <v>1935527.6499999957</v>
      </c>
      <c r="AT1163" s="29">
        <f t="shared" si="810"/>
        <v>360586.35</v>
      </c>
      <c r="AU1163" s="29">
        <f t="shared" si="811"/>
        <v>0</v>
      </c>
      <c r="AV1163" s="29">
        <f t="shared" si="812"/>
        <v>-129527.98999999999</v>
      </c>
      <c r="AW1163" s="29"/>
      <c r="AX1163" s="29">
        <f t="shared" si="813"/>
        <v>2166960.5699999952</v>
      </c>
      <c r="AY1163" s="29">
        <f t="shared" si="814"/>
        <v>9300000</v>
      </c>
      <c r="AZ1163" s="29">
        <f t="shared" si="815"/>
        <v>11466960.569999995</v>
      </c>
    </row>
    <row r="1164" spans="2:52" x14ac:dyDescent="0.3">
      <c r="B1164" s="99">
        <f t="shared" si="820"/>
        <v>45793</v>
      </c>
      <c r="C1164" s="44">
        <f t="shared" si="823"/>
        <v>1567882.899999998</v>
      </c>
      <c r="D1164" s="38"/>
      <c r="E1164" s="38"/>
      <c r="F1164" s="38">
        <v>-47.3</v>
      </c>
      <c r="G1164" s="45">
        <f t="shared" si="805"/>
        <v>1567835.599999998</v>
      </c>
      <c r="H1164" s="44">
        <v>4300000</v>
      </c>
      <c r="I1164" s="46">
        <f t="shared" si="824"/>
        <v>429649.11999999901</v>
      </c>
      <c r="J1164" s="38"/>
      <c r="K1164" s="38">
        <v>210000</v>
      </c>
      <c r="L1164" s="38">
        <v>-120549.38</v>
      </c>
      <c r="M1164" s="47">
        <f t="shared" si="825"/>
        <v>519099.73999999894</v>
      </c>
      <c r="N1164" s="46">
        <v>5000000</v>
      </c>
      <c r="O1164" s="48">
        <f t="shared" si="826"/>
        <v>168861.21999999922</v>
      </c>
      <c r="P1164" s="38">
        <f>13109.47+34440.63</f>
        <v>47550.1</v>
      </c>
      <c r="Q1164" s="38">
        <v>-210000</v>
      </c>
      <c r="R1164" s="38">
        <v>-10</v>
      </c>
      <c r="S1164" s="55">
        <f t="shared" si="827"/>
        <v>6401.3199999992212</v>
      </c>
      <c r="T1164" s="48"/>
      <c r="U1164" s="49">
        <f t="shared" si="828"/>
        <v>7.159999999916181</v>
      </c>
      <c r="V1164" s="38"/>
      <c r="W1164" s="38"/>
      <c r="X1164" s="38"/>
      <c r="Y1164" s="51">
        <f t="shared" si="829"/>
        <v>7.159999999916181</v>
      </c>
      <c r="Z1164" s="52"/>
      <c r="AA1164" s="53">
        <f t="shared" si="830"/>
        <v>185.60999999923109</v>
      </c>
      <c r="AB1164" s="38"/>
      <c r="AC1164" s="38"/>
      <c r="AD1164" s="38"/>
      <c r="AE1164" s="54">
        <f t="shared" si="831"/>
        <v>185.60999999923109</v>
      </c>
      <c r="AF1164" s="53"/>
      <c r="AG1164" s="53">
        <f t="shared" si="807"/>
        <v>374.56000000026836</v>
      </c>
      <c r="AH1164" s="38"/>
      <c r="AI1164" s="38"/>
      <c r="AJ1164" s="38"/>
      <c r="AK1164" s="54">
        <f t="shared" si="808"/>
        <v>374.56000000026836</v>
      </c>
      <c r="AL1164" s="53"/>
      <c r="AM1164" s="53">
        <f t="shared" si="821"/>
        <v>0</v>
      </c>
      <c r="AN1164" s="38"/>
      <c r="AO1164" s="38"/>
      <c r="AP1164" s="38"/>
      <c r="AQ1164" s="54">
        <f t="shared" si="822"/>
        <v>0</v>
      </c>
      <c r="AR1164" s="53"/>
      <c r="AS1164" s="29">
        <f t="shared" si="809"/>
        <v>2166586.0099999951</v>
      </c>
      <c r="AT1164" s="29">
        <f t="shared" si="810"/>
        <v>47550.1</v>
      </c>
      <c r="AU1164" s="29">
        <f t="shared" si="811"/>
        <v>0</v>
      </c>
      <c r="AV1164" s="29">
        <f t="shared" si="812"/>
        <v>-120606.68000000001</v>
      </c>
      <c r="AW1164" s="29"/>
      <c r="AX1164" s="29">
        <f t="shared" si="813"/>
        <v>2093903.9899999956</v>
      </c>
      <c r="AY1164" s="29">
        <f t="shared" si="814"/>
        <v>9300000</v>
      </c>
      <c r="AZ1164" s="29">
        <f t="shared" si="815"/>
        <v>11393903.989999995</v>
      </c>
    </row>
    <row r="1165" spans="2:52" x14ac:dyDescent="0.3">
      <c r="B1165" s="99">
        <f>B1164+3</f>
        <v>45796</v>
      </c>
      <c r="C1165" s="44">
        <f t="shared" si="823"/>
        <v>1567835.599999998</v>
      </c>
      <c r="D1165" s="38">
        <v>135144</v>
      </c>
      <c r="E1165" s="38">
        <v>-500000</v>
      </c>
      <c r="F1165" s="38">
        <v>-2975030.47</v>
      </c>
      <c r="G1165" s="45">
        <f t="shared" si="805"/>
        <v>-1772050.8700000022</v>
      </c>
      <c r="H1165" s="44">
        <v>4300000</v>
      </c>
      <c r="I1165" s="46">
        <f t="shared" si="824"/>
        <v>519099.73999999894</v>
      </c>
      <c r="J1165" s="38"/>
      <c r="K1165" s="38">
        <v>757000</v>
      </c>
      <c r="L1165" s="38">
        <v>-910410.87</v>
      </c>
      <c r="M1165" s="47">
        <f t="shared" si="825"/>
        <v>365688.86999999883</v>
      </c>
      <c r="N1165" s="46">
        <v>5000000</v>
      </c>
      <c r="O1165" s="48">
        <f t="shared" si="826"/>
        <v>6401.3199999992212</v>
      </c>
      <c r="P1165" s="38">
        <f>79087.69+104011.41</f>
        <v>183099.1</v>
      </c>
      <c r="Q1165" s="38">
        <f>72300-257000</f>
        <v>-184700</v>
      </c>
      <c r="R1165" s="38">
        <v>-10</v>
      </c>
      <c r="S1165" s="55">
        <f t="shared" si="827"/>
        <v>4790.419999999227</v>
      </c>
      <c r="T1165" s="48"/>
      <c r="U1165" s="49">
        <f t="shared" si="828"/>
        <v>7.159999999916181</v>
      </c>
      <c r="V1165" s="38">
        <f>34292.79+38103.1</f>
        <v>72395.89</v>
      </c>
      <c r="W1165" s="38">
        <v>-72300</v>
      </c>
      <c r="X1165" s="38">
        <v>-1.6</v>
      </c>
      <c r="Y1165" s="51">
        <f t="shared" si="829"/>
        <v>101.4499999999156</v>
      </c>
      <c r="Z1165" s="52"/>
      <c r="AA1165" s="53">
        <f t="shared" si="830"/>
        <v>185.60999999923109</v>
      </c>
      <c r="AB1165" s="38"/>
      <c r="AC1165" s="38"/>
      <c r="AD1165" s="38"/>
      <c r="AE1165" s="54">
        <f t="shared" si="831"/>
        <v>185.60999999923109</v>
      </c>
      <c r="AF1165" s="53"/>
      <c r="AG1165" s="53">
        <f t="shared" si="807"/>
        <v>374.56000000026836</v>
      </c>
      <c r="AH1165" s="38"/>
      <c r="AI1165" s="38"/>
      <c r="AJ1165" s="38"/>
      <c r="AK1165" s="54">
        <f t="shared" si="808"/>
        <v>374.56000000026836</v>
      </c>
      <c r="AL1165" s="53"/>
      <c r="AM1165" s="53">
        <f t="shared" si="821"/>
        <v>0</v>
      </c>
      <c r="AN1165" s="38"/>
      <c r="AO1165" s="38"/>
      <c r="AP1165" s="38"/>
      <c r="AQ1165" s="54">
        <f t="shared" si="822"/>
        <v>0</v>
      </c>
      <c r="AR1165" s="53"/>
      <c r="AS1165" s="29">
        <f t="shared" si="809"/>
        <v>2093529.4299999953</v>
      </c>
      <c r="AT1165" s="29">
        <f t="shared" si="810"/>
        <v>390638.99</v>
      </c>
      <c r="AU1165" s="29">
        <f t="shared" si="811"/>
        <v>0</v>
      </c>
      <c r="AV1165" s="29">
        <f t="shared" si="812"/>
        <v>-3885452.9400000004</v>
      </c>
      <c r="AW1165" s="29"/>
      <c r="AX1165" s="29">
        <f t="shared" si="813"/>
        <v>-1400909.9600000046</v>
      </c>
      <c r="AY1165" s="29">
        <f t="shared" si="814"/>
        <v>9300000</v>
      </c>
      <c r="AZ1165" s="29">
        <f t="shared" si="815"/>
        <v>7899090.0399999954</v>
      </c>
    </row>
    <row r="1166" spans="2:52" x14ac:dyDescent="0.3">
      <c r="B1166" s="99">
        <f t="shared" si="820"/>
        <v>45797</v>
      </c>
      <c r="C1166" s="44">
        <f t="shared" si="823"/>
        <v>-1772050.8700000022</v>
      </c>
      <c r="D1166" s="38">
        <f>142384.04+258.5</f>
        <v>142642.54</v>
      </c>
      <c r="E1166" s="38"/>
      <c r="F1166" s="38">
        <f>-786984.91-125</f>
        <v>-787109.91</v>
      </c>
      <c r="G1166" s="45">
        <f t="shared" si="805"/>
        <v>-2416518.2400000021</v>
      </c>
      <c r="H1166" s="44">
        <v>4300000</v>
      </c>
      <c r="I1166" s="46">
        <f t="shared" si="824"/>
        <v>365688.86999999883</v>
      </c>
      <c r="J1166" s="38"/>
      <c r="K1166" s="38"/>
      <c r="L1166" s="38">
        <v>-87558.01</v>
      </c>
      <c r="M1166" s="47">
        <f t="shared" si="825"/>
        <v>278130.85999999882</v>
      </c>
      <c r="N1166" s="46">
        <v>5000000</v>
      </c>
      <c r="O1166" s="48">
        <f t="shared" si="826"/>
        <v>4790.419999999227</v>
      </c>
      <c r="P1166" s="38">
        <v>282.56</v>
      </c>
      <c r="Q1166" s="38"/>
      <c r="R1166" s="38">
        <v>-730</v>
      </c>
      <c r="S1166" s="55">
        <f t="shared" si="827"/>
        <v>4342.9799999992274</v>
      </c>
      <c r="T1166" s="48"/>
      <c r="U1166" s="49">
        <f t="shared" si="828"/>
        <v>101.4499999999156</v>
      </c>
      <c r="V1166" s="38"/>
      <c r="W1166" s="38"/>
      <c r="X1166" s="38"/>
      <c r="Y1166" s="51">
        <f t="shared" si="829"/>
        <v>101.4499999999156</v>
      </c>
      <c r="Z1166" s="52"/>
      <c r="AA1166" s="53">
        <f t="shared" si="830"/>
        <v>185.60999999923109</v>
      </c>
      <c r="AB1166" s="38"/>
      <c r="AC1166" s="38"/>
      <c r="AD1166" s="38"/>
      <c r="AE1166" s="54">
        <f t="shared" si="831"/>
        <v>185.60999999923109</v>
      </c>
      <c r="AF1166" s="53"/>
      <c r="AG1166" s="53">
        <f t="shared" si="807"/>
        <v>374.56000000026836</v>
      </c>
      <c r="AH1166" s="38"/>
      <c r="AI1166" s="38"/>
      <c r="AJ1166" s="38"/>
      <c r="AK1166" s="54">
        <f t="shared" si="808"/>
        <v>374.56000000026836</v>
      </c>
      <c r="AL1166" s="53"/>
      <c r="AM1166" s="53">
        <f t="shared" si="821"/>
        <v>0</v>
      </c>
      <c r="AN1166" s="38"/>
      <c r="AO1166" s="38"/>
      <c r="AP1166" s="38"/>
      <c r="AQ1166" s="54">
        <f t="shared" si="822"/>
        <v>0</v>
      </c>
      <c r="AR1166" s="53"/>
      <c r="AS1166" s="29">
        <f t="shared" si="809"/>
        <v>-1401284.5200000049</v>
      </c>
      <c r="AT1166" s="29">
        <f t="shared" si="810"/>
        <v>142925.1</v>
      </c>
      <c r="AU1166" s="29">
        <f t="shared" si="811"/>
        <v>0</v>
      </c>
      <c r="AV1166" s="29">
        <f t="shared" si="812"/>
        <v>-875397.92</v>
      </c>
      <c r="AW1166" s="29"/>
      <c r="AX1166" s="29">
        <f t="shared" si="813"/>
        <v>-2133382.7800000049</v>
      </c>
      <c r="AY1166" s="29">
        <f t="shared" si="814"/>
        <v>9300000</v>
      </c>
      <c r="AZ1166" s="29">
        <f t="shared" si="815"/>
        <v>7166617.2199999951</v>
      </c>
    </row>
    <row r="1167" spans="2:52" x14ac:dyDescent="0.3">
      <c r="B1167" s="99">
        <f t="shared" si="820"/>
        <v>45798</v>
      </c>
      <c r="C1167" s="44">
        <f t="shared" si="823"/>
        <v>-2416518.2400000021</v>
      </c>
      <c r="D1167" s="38">
        <v>32301.82</v>
      </c>
      <c r="E1167" s="38"/>
      <c r="F1167" s="38">
        <v>-0.21</v>
      </c>
      <c r="G1167" s="45">
        <f t="shared" si="805"/>
        <v>-2384216.6300000022</v>
      </c>
      <c r="H1167" s="44">
        <v>4300000</v>
      </c>
      <c r="I1167" s="46">
        <f t="shared" si="824"/>
        <v>278130.85999999882</v>
      </c>
      <c r="J1167" s="38">
        <v>220361.12</v>
      </c>
      <c r="K1167" s="38"/>
      <c r="L1167" s="38">
        <v>-36902.339999999997</v>
      </c>
      <c r="M1167" s="47">
        <f t="shared" si="825"/>
        <v>461589.63999999885</v>
      </c>
      <c r="N1167" s="46">
        <v>5000000</v>
      </c>
      <c r="O1167" s="48">
        <f t="shared" si="826"/>
        <v>4342.9799999992274</v>
      </c>
      <c r="P1167" s="38"/>
      <c r="Q1167" s="38"/>
      <c r="R1167" s="38"/>
      <c r="S1167" s="55">
        <f t="shared" si="827"/>
        <v>4342.9799999992274</v>
      </c>
      <c r="T1167" s="48"/>
      <c r="U1167" s="49">
        <f t="shared" si="828"/>
        <v>101.4499999999156</v>
      </c>
      <c r="V1167" s="38"/>
      <c r="W1167" s="38"/>
      <c r="X1167" s="38"/>
      <c r="Y1167" s="51">
        <f t="shared" si="829"/>
        <v>101.4499999999156</v>
      </c>
      <c r="Z1167" s="52"/>
      <c r="AA1167" s="53">
        <f t="shared" si="830"/>
        <v>185.60999999923109</v>
      </c>
      <c r="AB1167" s="38"/>
      <c r="AC1167" s="38"/>
      <c r="AD1167" s="38"/>
      <c r="AE1167" s="54">
        <f t="shared" si="831"/>
        <v>185.60999999923109</v>
      </c>
      <c r="AF1167" s="53"/>
      <c r="AG1167" s="53">
        <f t="shared" si="807"/>
        <v>374.56000000026836</v>
      </c>
      <c r="AH1167" s="38"/>
      <c r="AI1167" s="38"/>
      <c r="AJ1167" s="38"/>
      <c r="AK1167" s="54">
        <f t="shared" si="808"/>
        <v>374.56000000026836</v>
      </c>
      <c r="AL1167" s="53"/>
      <c r="AM1167" s="53">
        <f t="shared" si="821"/>
        <v>0</v>
      </c>
      <c r="AN1167" s="38"/>
      <c r="AO1167" s="38"/>
      <c r="AP1167" s="38"/>
      <c r="AQ1167" s="54">
        <f t="shared" si="822"/>
        <v>0</v>
      </c>
      <c r="AR1167" s="53"/>
      <c r="AS1167" s="29">
        <f t="shared" si="809"/>
        <v>-2133757.340000005</v>
      </c>
      <c r="AT1167" s="29">
        <f t="shared" si="810"/>
        <v>252662.94</v>
      </c>
      <c r="AU1167" s="29">
        <f t="shared" si="811"/>
        <v>0</v>
      </c>
      <c r="AV1167" s="29">
        <f t="shared" si="812"/>
        <v>-36902.549999999996</v>
      </c>
      <c r="AW1167" s="29"/>
      <c r="AX1167" s="29">
        <f t="shared" si="813"/>
        <v>-1917622.3900000048</v>
      </c>
      <c r="AY1167" s="29">
        <f t="shared" si="814"/>
        <v>9300000</v>
      </c>
      <c r="AZ1167" s="29">
        <f t="shared" si="815"/>
        <v>7382377.6099999957</v>
      </c>
    </row>
    <row r="1168" spans="2:52" x14ac:dyDescent="0.3">
      <c r="B1168" s="99">
        <f t="shared" si="820"/>
        <v>45799</v>
      </c>
      <c r="C1168" s="44">
        <f t="shared" si="823"/>
        <v>-2384216.6300000022</v>
      </c>
      <c r="D1168" s="38">
        <v>424694.98</v>
      </c>
      <c r="E1168" s="38">
        <v>1410000</v>
      </c>
      <c r="F1168" s="38">
        <v>-2365</v>
      </c>
      <c r="G1168" s="45">
        <f t="shared" si="805"/>
        <v>-551886.65000000224</v>
      </c>
      <c r="H1168" s="44">
        <v>4300000</v>
      </c>
      <c r="I1168" s="46">
        <f t="shared" si="824"/>
        <v>461589.63999999885</v>
      </c>
      <c r="J1168" s="38"/>
      <c r="K1168" s="38"/>
      <c r="L1168" s="38">
        <v>-14146.52</v>
      </c>
      <c r="M1168" s="47">
        <f t="shared" si="825"/>
        <v>447443.11999999883</v>
      </c>
      <c r="N1168" s="46">
        <v>5000000</v>
      </c>
      <c r="O1168" s="48">
        <f t="shared" si="826"/>
        <v>4342.9799999992274</v>
      </c>
      <c r="P1168" s="38">
        <v>1408092.34</v>
      </c>
      <c r="Q1168" s="38">
        <v>-1410000</v>
      </c>
      <c r="R1168" s="38">
        <v>-10</v>
      </c>
      <c r="S1168" s="55">
        <f t="shared" si="827"/>
        <v>2425.3199999993667</v>
      </c>
      <c r="T1168" s="48"/>
      <c r="U1168" s="49">
        <f t="shared" si="828"/>
        <v>101.4499999999156</v>
      </c>
      <c r="V1168" s="38"/>
      <c r="W1168" s="38"/>
      <c r="X1168" s="38"/>
      <c r="Y1168" s="51">
        <f t="shared" si="829"/>
        <v>101.4499999999156</v>
      </c>
      <c r="Z1168" s="52"/>
      <c r="AA1168" s="53">
        <f t="shared" si="830"/>
        <v>185.60999999923109</v>
      </c>
      <c r="AB1168" s="38"/>
      <c r="AC1168" s="38"/>
      <c r="AD1168" s="38"/>
      <c r="AE1168" s="54">
        <f t="shared" si="831"/>
        <v>185.60999999923109</v>
      </c>
      <c r="AF1168" s="53"/>
      <c r="AG1168" s="53">
        <f t="shared" si="807"/>
        <v>374.56000000026836</v>
      </c>
      <c r="AH1168" s="38"/>
      <c r="AI1168" s="38"/>
      <c r="AJ1168" s="38"/>
      <c r="AK1168" s="54">
        <f t="shared" si="808"/>
        <v>374.56000000026836</v>
      </c>
      <c r="AL1168" s="53"/>
      <c r="AM1168" s="53">
        <f t="shared" si="821"/>
        <v>0</v>
      </c>
      <c r="AN1168" s="38"/>
      <c r="AO1168" s="38"/>
      <c r="AP1168" s="38"/>
      <c r="AQ1168" s="54">
        <f t="shared" si="822"/>
        <v>0</v>
      </c>
      <c r="AR1168" s="53"/>
      <c r="AS1168" s="29">
        <f t="shared" si="809"/>
        <v>-1917996.9500000051</v>
      </c>
      <c r="AT1168" s="29">
        <f t="shared" si="810"/>
        <v>1832787.32</v>
      </c>
      <c r="AU1168" s="29">
        <f t="shared" si="811"/>
        <v>0</v>
      </c>
      <c r="AV1168" s="29">
        <f t="shared" si="812"/>
        <v>-16521.52</v>
      </c>
      <c r="AW1168" s="29"/>
      <c r="AX1168" s="29">
        <f t="shared" si="813"/>
        <v>-101356.59000000462</v>
      </c>
      <c r="AY1168" s="29">
        <f t="shared" si="814"/>
        <v>9300000</v>
      </c>
      <c r="AZ1168" s="29">
        <f t="shared" si="815"/>
        <v>9198643.4099999946</v>
      </c>
    </row>
    <row r="1169" spans="2:52" x14ac:dyDescent="0.3">
      <c r="B1169" s="99">
        <f t="shared" si="820"/>
        <v>45800</v>
      </c>
      <c r="C1169" s="44">
        <f t="shared" si="823"/>
        <v>-551886.65000000224</v>
      </c>
      <c r="D1169" s="38">
        <f>29101.01+12304.05</f>
        <v>41405.06</v>
      </c>
      <c r="E1169" s="38">
        <v>600000</v>
      </c>
      <c r="F1169" s="38">
        <v>-1500</v>
      </c>
      <c r="G1169" s="45">
        <f t="shared" si="805"/>
        <v>88018.409999997762</v>
      </c>
      <c r="H1169" s="44">
        <v>4300000</v>
      </c>
      <c r="I1169" s="46">
        <f t="shared" si="824"/>
        <v>447443.11999999883</v>
      </c>
      <c r="J1169" s="38">
        <v>258645.25</v>
      </c>
      <c r="K1169" s="38">
        <v>583000</v>
      </c>
      <c r="L1169" s="38">
        <v>-149094.39999999999</v>
      </c>
      <c r="M1169" s="47">
        <f t="shared" si="825"/>
        <v>1139993.9699999988</v>
      </c>
      <c r="N1169" s="46">
        <v>5000000</v>
      </c>
      <c r="O1169" s="48">
        <f t="shared" si="826"/>
        <v>2425.3199999993667</v>
      </c>
      <c r="P1169" s="38">
        <f>75392.93+1000+950729.47</f>
        <v>1027122.3999999999</v>
      </c>
      <c r="Q1169" s="38">
        <f>132600-560000-600000</f>
        <v>-1027400</v>
      </c>
      <c r="R1169" s="38">
        <v>-20</v>
      </c>
      <c r="S1169" s="55">
        <f t="shared" si="827"/>
        <v>2127.7199999992736</v>
      </c>
      <c r="T1169" s="48"/>
      <c r="U1169" s="49">
        <f t="shared" si="828"/>
        <v>101.4499999999156</v>
      </c>
      <c r="V1169" s="38">
        <v>132577.99</v>
      </c>
      <c r="W1169" s="38">
        <v>-132600</v>
      </c>
      <c r="X1169" s="38">
        <v>-1.6</v>
      </c>
      <c r="Y1169" s="51">
        <f t="shared" si="829"/>
        <v>77.839999999915022</v>
      </c>
      <c r="Z1169" s="52"/>
      <c r="AA1169" s="53">
        <f t="shared" si="830"/>
        <v>185.60999999923109</v>
      </c>
      <c r="AB1169" s="38"/>
      <c r="AC1169" s="38"/>
      <c r="AD1169" s="38"/>
      <c r="AE1169" s="54">
        <f t="shared" si="831"/>
        <v>185.60999999923109</v>
      </c>
      <c r="AF1169" s="53"/>
      <c r="AG1169" s="53">
        <f t="shared" si="807"/>
        <v>374.56000000026836</v>
      </c>
      <c r="AH1169" s="38">
        <v>23282.23</v>
      </c>
      <c r="AI1169" s="38">
        <v>-23000</v>
      </c>
      <c r="AJ1169" s="38"/>
      <c r="AK1169" s="54">
        <f t="shared" si="808"/>
        <v>656.79000000026645</v>
      </c>
      <c r="AL1169" s="53"/>
      <c r="AM1169" s="53">
        <f t="shared" si="821"/>
        <v>0</v>
      </c>
      <c r="AN1169" s="38"/>
      <c r="AO1169" s="38"/>
      <c r="AP1169" s="38"/>
      <c r="AQ1169" s="54">
        <f t="shared" si="822"/>
        <v>0</v>
      </c>
      <c r="AR1169" s="53"/>
      <c r="AS1169" s="29">
        <f t="shared" si="809"/>
        <v>-101731.1500000049</v>
      </c>
      <c r="AT1169" s="29">
        <f t="shared" si="810"/>
        <v>1483032.93</v>
      </c>
      <c r="AU1169" s="29">
        <f t="shared" si="811"/>
        <v>0</v>
      </c>
      <c r="AV1169" s="29">
        <f t="shared" si="812"/>
        <v>-150616</v>
      </c>
      <c r="AW1169" s="29"/>
      <c r="AX1169" s="29">
        <f t="shared" si="813"/>
        <v>1231060.3399999952</v>
      </c>
      <c r="AY1169" s="29">
        <f t="shared" si="814"/>
        <v>9300000</v>
      </c>
      <c r="AZ1169" s="29">
        <f t="shared" si="815"/>
        <v>10531060.339999996</v>
      </c>
    </row>
    <row r="1170" spans="2:52" x14ac:dyDescent="0.3">
      <c r="B1170" s="99">
        <f>B1169+3</f>
        <v>45803</v>
      </c>
      <c r="C1170" s="44">
        <f t="shared" si="823"/>
        <v>88018.409999997762</v>
      </c>
      <c r="D1170" s="38">
        <v>622344.65</v>
      </c>
      <c r="E1170" s="38"/>
      <c r="F1170" s="38">
        <v>-82950.52</v>
      </c>
      <c r="G1170" s="45">
        <f t="shared" si="805"/>
        <v>627412.53999999771</v>
      </c>
      <c r="H1170" s="44">
        <v>4300000</v>
      </c>
      <c r="I1170" s="46">
        <f t="shared" si="824"/>
        <v>1139993.9699999988</v>
      </c>
      <c r="J1170" s="38"/>
      <c r="K1170" s="38">
        <v>345000</v>
      </c>
      <c r="L1170" s="38">
        <v>-475188.53</v>
      </c>
      <c r="M1170" s="47">
        <f t="shared" si="825"/>
        <v>1009805.4399999988</v>
      </c>
      <c r="N1170" s="46">
        <v>5000000</v>
      </c>
      <c r="O1170" s="48">
        <f t="shared" si="826"/>
        <v>2127.7199999992736</v>
      </c>
      <c r="P1170" s="38">
        <f>269044.28+79220</f>
        <v>348264.28</v>
      </c>
      <c r="Q1170" s="38">
        <v>-345000</v>
      </c>
      <c r="R1170" s="38">
        <v>-138.9</v>
      </c>
      <c r="S1170" s="55">
        <f t="shared" si="827"/>
        <v>5253.0999999993019</v>
      </c>
      <c r="T1170" s="48"/>
      <c r="U1170" s="49">
        <f t="shared" si="828"/>
        <v>77.839999999915022</v>
      </c>
      <c r="V1170" s="38">
        <v>13536.17</v>
      </c>
      <c r="W1170" s="38"/>
      <c r="X1170" s="38"/>
      <c r="Y1170" s="51">
        <f t="shared" si="829"/>
        <v>13614.009999999915</v>
      </c>
      <c r="Z1170" s="52"/>
      <c r="AA1170" s="53">
        <f t="shared" si="830"/>
        <v>185.60999999923109</v>
      </c>
      <c r="AB1170" s="38"/>
      <c r="AC1170" s="38"/>
      <c r="AD1170" s="38"/>
      <c r="AE1170" s="54">
        <f t="shared" si="831"/>
        <v>185.60999999923109</v>
      </c>
      <c r="AF1170" s="53"/>
      <c r="AG1170" s="53">
        <f t="shared" si="807"/>
        <v>656.79000000026645</v>
      </c>
      <c r="AH1170" s="38"/>
      <c r="AI1170" s="38"/>
      <c r="AJ1170" s="38">
        <v>-9.9</v>
      </c>
      <c r="AK1170" s="54">
        <f t="shared" si="808"/>
        <v>646.89000000026647</v>
      </c>
      <c r="AL1170" s="53"/>
      <c r="AM1170" s="53">
        <f t="shared" si="821"/>
        <v>0</v>
      </c>
      <c r="AN1170" s="38"/>
      <c r="AO1170" s="38"/>
      <c r="AP1170" s="38"/>
      <c r="AQ1170" s="54">
        <f t="shared" si="822"/>
        <v>0</v>
      </c>
      <c r="AR1170" s="53"/>
      <c r="AS1170" s="29">
        <f t="shared" si="809"/>
        <v>1230403.5499999949</v>
      </c>
      <c r="AT1170" s="29">
        <f t="shared" si="810"/>
        <v>984145.10000000009</v>
      </c>
      <c r="AU1170" s="29">
        <f t="shared" si="811"/>
        <v>0</v>
      </c>
      <c r="AV1170" s="29">
        <f t="shared" si="812"/>
        <v>-558287.85000000009</v>
      </c>
      <c r="AW1170" s="29"/>
      <c r="AX1170" s="29">
        <f t="shared" si="813"/>
        <v>1656917.5899999954</v>
      </c>
      <c r="AY1170" s="29">
        <f t="shared" si="814"/>
        <v>9300000</v>
      </c>
      <c r="AZ1170" s="29">
        <f t="shared" si="815"/>
        <v>10956917.589999996</v>
      </c>
    </row>
    <row r="1171" spans="2:52" x14ac:dyDescent="0.3">
      <c r="B1171" s="99">
        <f t="shared" si="820"/>
        <v>45804</v>
      </c>
      <c r="C1171" s="44">
        <f t="shared" si="823"/>
        <v>627412.53999999771</v>
      </c>
      <c r="D1171" s="38">
        <v>401019.81</v>
      </c>
      <c r="E1171" s="38"/>
      <c r="F1171" s="38"/>
      <c r="G1171" s="45">
        <f t="shared" si="805"/>
        <v>1028432.3499999978</v>
      </c>
      <c r="H1171" s="44">
        <v>4300000</v>
      </c>
      <c r="I1171" s="46">
        <f t="shared" si="824"/>
        <v>1009805.4399999988</v>
      </c>
      <c r="J1171" s="38"/>
      <c r="K1171" s="38">
        <f>93500+13500</f>
        <v>107000</v>
      </c>
      <c r="L1171" s="38">
        <v>-134695.01999999999</v>
      </c>
      <c r="M1171" s="47">
        <f t="shared" si="825"/>
        <v>982110.41999999876</v>
      </c>
      <c r="N1171" s="46">
        <v>5000000</v>
      </c>
      <c r="O1171" s="48">
        <f t="shared" si="826"/>
        <v>5253.0999999993019</v>
      </c>
      <c r="P1171" s="38"/>
      <c r="Q1171" s="38"/>
      <c r="R1171" s="38">
        <f>-1804.56-1288.45</f>
        <v>-3093.01</v>
      </c>
      <c r="S1171" s="55">
        <f t="shared" si="827"/>
        <v>2160.0899999993017</v>
      </c>
      <c r="T1171" s="48"/>
      <c r="U1171" s="49">
        <f t="shared" si="828"/>
        <v>13614.009999999915</v>
      </c>
      <c r="V1171" s="38"/>
      <c r="W1171" s="38">
        <v>-13500</v>
      </c>
      <c r="X1171" s="38">
        <v>-10</v>
      </c>
      <c r="Y1171" s="51">
        <f t="shared" si="829"/>
        <v>104.00999999991473</v>
      </c>
      <c r="Z1171" s="52"/>
      <c r="AA1171" s="53">
        <f t="shared" si="830"/>
        <v>185.60999999923109</v>
      </c>
      <c r="AB1171" s="38"/>
      <c r="AC1171" s="38"/>
      <c r="AD1171" s="38"/>
      <c r="AE1171" s="54">
        <f t="shared" si="831"/>
        <v>185.60999999923109</v>
      </c>
      <c r="AF1171" s="53"/>
      <c r="AG1171" s="53">
        <f t="shared" si="807"/>
        <v>646.89000000026647</v>
      </c>
      <c r="AH1171" s="38">
        <v>93573.87</v>
      </c>
      <c r="AI1171" s="38">
        <v>-93500</v>
      </c>
      <c r="AJ1171" s="38">
        <v>-201.25</v>
      </c>
      <c r="AK1171" s="54">
        <f t="shared" si="808"/>
        <v>519.5100000002567</v>
      </c>
      <c r="AL1171" s="53"/>
      <c r="AM1171" s="53">
        <f t="shared" si="821"/>
        <v>0</v>
      </c>
      <c r="AN1171" s="38"/>
      <c r="AO1171" s="38"/>
      <c r="AP1171" s="38"/>
      <c r="AQ1171" s="54">
        <f t="shared" si="822"/>
        <v>0</v>
      </c>
      <c r="AR1171" s="53"/>
      <c r="AS1171" s="29">
        <f t="shared" si="809"/>
        <v>1656270.6999999951</v>
      </c>
      <c r="AT1171" s="29">
        <f t="shared" si="810"/>
        <v>494593.68</v>
      </c>
      <c r="AU1171" s="29">
        <f t="shared" si="811"/>
        <v>0</v>
      </c>
      <c r="AV1171" s="29">
        <f t="shared" si="812"/>
        <v>-137999.28</v>
      </c>
      <c r="AW1171" s="29"/>
      <c r="AX1171" s="29">
        <f t="shared" si="813"/>
        <v>2013511.9899999953</v>
      </c>
      <c r="AY1171" s="29">
        <f t="shared" si="814"/>
        <v>9300000</v>
      </c>
      <c r="AZ1171" s="29">
        <f t="shared" si="815"/>
        <v>11313511.989999995</v>
      </c>
    </row>
    <row r="1172" spans="2:52" x14ac:dyDescent="0.3">
      <c r="B1172" s="99">
        <f t="shared" si="820"/>
        <v>45805</v>
      </c>
      <c r="C1172" s="44">
        <f t="shared" si="823"/>
        <v>1028432.3499999978</v>
      </c>
      <c r="D1172" s="38">
        <f>23963.96+6653.1+272771.27+3373.86</f>
        <v>306762.19</v>
      </c>
      <c r="E1172" s="38"/>
      <c r="F1172" s="38">
        <f>-879.9-400-539.6-359.1</f>
        <v>-2178.6</v>
      </c>
      <c r="G1172" s="45">
        <f t="shared" si="805"/>
        <v>1333015.9399999976</v>
      </c>
      <c r="H1172" s="44">
        <v>4300000</v>
      </c>
      <c r="I1172" s="46">
        <f t="shared" si="824"/>
        <v>982110.41999999876</v>
      </c>
      <c r="J1172" s="38"/>
      <c r="K1172" s="38"/>
      <c r="L1172" s="38">
        <v>-215033.60000000001</v>
      </c>
      <c r="M1172" s="47">
        <f t="shared" si="825"/>
        <v>767076.81999999878</v>
      </c>
      <c r="N1172" s="46">
        <v>5000000</v>
      </c>
      <c r="O1172" s="48">
        <f t="shared" si="826"/>
        <v>2160.0899999993017</v>
      </c>
      <c r="P1172" s="38"/>
      <c r="Q1172" s="38"/>
      <c r="R1172" s="38">
        <f>-678.3-209-180.6</f>
        <v>-1067.8999999999999</v>
      </c>
      <c r="S1172" s="55">
        <f t="shared" si="827"/>
        <v>1092.1899999993018</v>
      </c>
      <c r="T1172" s="48"/>
      <c r="U1172" s="49">
        <f t="shared" si="828"/>
        <v>104.00999999991473</v>
      </c>
      <c r="V1172" s="38"/>
      <c r="W1172" s="38"/>
      <c r="X1172" s="38"/>
      <c r="Y1172" s="51">
        <f t="shared" si="829"/>
        <v>104.00999999991473</v>
      </c>
      <c r="Z1172" s="52"/>
      <c r="AA1172" s="53">
        <f t="shared" si="830"/>
        <v>185.60999999923109</v>
      </c>
      <c r="AB1172" s="38"/>
      <c r="AC1172" s="38"/>
      <c r="AD1172" s="38"/>
      <c r="AE1172" s="54">
        <f t="shared" si="831"/>
        <v>185.60999999923109</v>
      </c>
      <c r="AF1172" s="53"/>
      <c r="AG1172" s="53">
        <f t="shared" si="807"/>
        <v>519.5100000002567</v>
      </c>
      <c r="AH1172" s="38"/>
      <c r="AI1172" s="38"/>
      <c r="AJ1172" s="38">
        <v>-332.7</v>
      </c>
      <c r="AK1172" s="54">
        <f t="shared" si="808"/>
        <v>186.81000000025671</v>
      </c>
      <c r="AL1172" s="53"/>
      <c r="AM1172" s="53">
        <f t="shared" si="821"/>
        <v>0</v>
      </c>
      <c r="AN1172" s="38"/>
      <c r="AO1172" s="38"/>
      <c r="AP1172" s="38"/>
      <c r="AQ1172" s="54">
        <f t="shared" si="822"/>
        <v>0</v>
      </c>
      <c r="AR1172" s="53"/>
      <c r="AS1172" s="29">
        <f t="shared" si="809"/>
        <v>2012992.4799999951</v>
      </c>
      <c r="AT1172" s="29">
        <f t="shared" si="810"/>
        <v>306762.19</v>
      </c>
      <c r="AU1172" s="29">
        <f t="shared" si="811"/>
        <v>0</v>
      </c>
      <c r="AV1172" s="29">
        <f t="shared" si="812"/>
        <v>-218612.80000000002</v>
      </c>
      <c r="AW1172" s="29"/>
      <c r="AX1172" s="29">
        <f t="shared" si="813"/>
        <v>2101661.3799999952</v>
      </c>
      <c r="AY1172" s="29">
        <f t="shared" si="814"/>
        <v>9300000</v>
      </c>
      <c r="AZ1172" s="29">
        <f t="shared" si="815"/>
        <v>11401661.379999995</v>
      </c>
    </row>
    <row r="1173" spans="2:52" x14ac:dyDescent="0.3">
      <c r="B1173" s="99">
        <f t="shared" si="820"/>
        <v>45806</v>
      </c>
      <c r="C1173" s="44">
        <f t="shared" si="823"/>
        <v>1333015.9399999976</v>
      </c>
      <c r="D1173" s="38">
        <v>154425.89000000001</v>
      </c>
      <c r="E1173" s="38"/>
      <c r="F1173" s="38"/>
      <c r="G1173" s="45">
        <f t="shared" ref="G1173:G1236" si="832">SUM(C1173:F1173)</f>
        <v>1487441.8299999977</v>
      </c>
      <c r="H1173" s="44">
        <v>4300000</v>
      </c>
      <c r="I1173" s="46">
        <f t="shared" si="824"/>
        <v>767076.81999999878</v>
      </c>
      <c r="J1173" s="38">
        <v>876670.42</v>
      </c>
      <c r="K1173" s="38">
        <f>300000+1172000</f>
        <v>1472000</v>
      </c>
      <c r="L1173" s="38"/>
      <c r="M1173" s="47">
        <f t="shared" si="825"/>
        <v>3115747.2399999988</v>
      </c>
      <c r="N1173" s="46">
        <v>5000000</v>
      </c>
      <c r="O1173" s="48">
        <f t="shared" si="826"/>
        <v>1092.1899999993018</v>
      </c>
      <c r="P1173" s="38">
        <v>304261.55</v>
      </c>
      <c r="Q1173" s="38">
        <v>-300000</v>
      </c>
      <c r="R1173" s="38">
        <v>-10</v>
      </c>
      <c r="S1173" s="55">
        <f t="shared" si="827"/>
        <v>5343.7399999992922</v>
      </c>
      <c r="T1173" s="48"/>
      <c r="U1173" s="49">
        <f t="shared" si="828"/>
        <v>104.00999999991473</v>
      </c>
      <c r="V1173" s="38"/>
      <c r="W1173" s="38"/>
      <c r="X1173" s="38"/>
      <c r="Y1173" s="51">
        <f t="shared" si="829"/>
        <v>104.00999999991473</v>
      </c>
      <c r="Z1173" s="52"/>
      <c r="AA1173" s="53">
        <f t="shared" si="830"/>
        <v>185.60999999923109</v>
      </c>
      <c r="AB1173" s="38"/>
      <c r="AC1173" s="38"/>
      <c r="AD1173" s="38"/>
      <c r="AE1173" s="54">
        <f t="shared" si="831"/>
        <v>185.60999999923109</v>
      </c>
      <c r="AF1173" s="53"/>
      <c r="AG1173" s="53">
        <f t="shared" si="807"/>
        <v>186.81000000025671</v>
      </c>
      <c r="AH1173" s="38">
        <f>82320.28+1090427.94</f>
        <v>1172748.22</v>
      </c>
      <c r="AI1173" s="38">
        <v>-1172000</v>
      </c>
      <c r="AJ1173" s="38">
        <v>-90</v>
      </c>
      <c r="AK1173" s="54">
        <f t="shared" si="808"/>
        <v>845.03000000026077</v>
      </c>
      <c r="AL1173" s="53"/>
      <c r="AM1173" s="53">
        <f t="shared" si="821"/>
        <v>0</v>
      </c>
      <c r="AN1173" s="38"/>
      <c r="AO1173" s="38"/>
      <c r="AP1173" s="38"/>
      <c r="AQ1173" s="54">
        <f t="shared" si="822"/>
        <v>0</v>
      </c>
      <c r="AR1173" s="53"/>
      <c r="AS1173" s="29">
        <f t="shared" si="809"/>
        <v>2101474.5699999952</v>
      </c>
      <c r="AT1173" s="29">
        <f t="shared" si="810"/>
        <v>2508106.08</v>
      </c>
      <c r="AU1173" s="29">
        <f t="shared" si="811"/>
        <v>0</v>
      </c>
      <c r="AV1173" s="29">
        <f t="shared" si="812"/>
        <v>-100</v>
      </c>
      <c r="AW1173" s="29"/>
      <c r="AX1173" s="29">
        <f t="shared" si="813"/>
        <v>4609667.4599999953</v>
      </c>
      <c r="AY1173" s="29">
        <f t="shared" si="814"/>
        <v>9300000</v>
      </c>
      <c r="AZ1173" s="29">
        <f t="shared" si="815"/>
        <v>13909667.459999995</v>
      </c>
    </row>
    <row r="1174" spans="2:52" x14ac:dyDescent="0.3">
      <c r="B1174" s="99">
        <f t="shared" si="820"/>
        <v>45807</v>
      </c>
      <c r="C1174" s="44">
        <f t="shared" si="823"/>
        <v>1487441.8299999977</v>
      </c>
      <c r="D1174" s="38">
        <v>564071.04</v>
      </c>
      <c r="E1174" s="38"/>
      <c r="F1174" s="38">
        <v>-75415.28</v>
      </c>
      <c r="G1174" s="45">
        <f t="shared" si="832"/>
        <v>1976097.5899999978</v>
      </c>
      <c r="H1174" s="44">
        <v>4300000</v>
      </c>
      <c r="I1174" s="46">
        <f t="shared" si="824"/>
        <v>3115747.2399999988</v>
      </c>
      <c r="J1174" s="38">
        <v>5609.27</v>
      </c>
      <c r="K1174" s="38">
        <v>180000</v>
      </c>
      <c r="L1174" s="38"/>
      <c r="M1174" s="47">
        <f t="shared" si="825"/>
        <v>3301356.5099999988</v>
      </c>
      <c r="N1174" s="46">
        <v>5000000</v>
      </c>
      <c r="O1174" s="48">
        <f t="shared" si="826"/>
        <v>5343.7399999992922</v>
      </c>
      <c r="P1174" s="38"/>
      <c r="Q1174" s="38">
        <f>102000-105000</f>
        <v>-3000</v>
      </c>
      <c r="R1174" s="38">
        <v>-967.69</v>
      </c>
      <c r="S1174" s="55">
        <f t="shared" si="827"/>
        <v>1376.0499999992921</v>
      </c>
      <c r="T1174" s="48"/>
      <c r="U1174" s="49">
        <f t="shared" si="828"/>
        <v>104.00999999991473</v>
      </c>
      <c r="V1174" s="38">
        <f>102046.65+167767.76</f>
        <v>269814.41000000003</v>
      </c>
      <c r="W1174" s="38">
        <v>-102000</v>
      </c>
      <c r="X1174" s="38">
        <v>-1.6</v>
      </c>
      <c r="Y1174" s="51">
        <f t="shared" si="829"/>
        <v>167916.81999999992</v>
      </c>
      <c r="Z1174" s="52"/>
      <c r="AA1174" s="53">
        <f t="shared" si="830"/>
        <v>185.60999999923109</v>
      </c>
      <c r="AB1174" s="38">
        <v>0.02</v>
      </c>
      <c r="AC1174" s="38"/>
      <c r="AD1174" s="38"/>
      <c r="AE1174" s="54">
        <f t="shared" si="831"/>
        <v>185.6299999992311</v>
      </c>
      <c r="AF1174" s="53"/>
      <c r="AG1174" s="53">
        <f t="shared" si="807"/>
        <v>845.03000000026077</v>
      </c>
      <c r="AH1174" s="38">
        <f>77648.67+0.06</f>
        <v>77648.73</v>
      </c>
      <c r="AI1174" s="38">
        <v>-75000</v>
      </c>
      <c r="AJ1174" s="38">
        <v>-9.9</v>
      </c>
      <c r="AK1174" s="54">
        <f t="shared" si="808"/>
        <v>3483.8600000002566</v>
      </c>
      <c r="AL1174" s="53"/>
      <c r="AM1174" s="53">
        <f t="shared" si="821"/>
        <v>0</v>
      </c>
      <c r="AN1174" s="38"/>
      <c r="AO1174" s="38"/>
      <c r="AP1174" s="38"/>
      <c r="AQ1174" s="54">
        <f t="shared" si="822"/>
        <v>0</v>
      </c>
      <c r="AR1174" s="53"/>
      <c r="AS1174" s="29">
        <f t="shared" si="809"/>
        <v>4608822.429999995</v>
      </c>
      <c r="AT1174" s="29">
        <f t="shared" si="810"/>
        <v>917143.47000000009</v>
      </c>
      <c r="AU1174" s="29">
        <f t="shared" si="811"/>
        <v>0</v>
      </c>
      <c r="AV1174" s="29">
        <f t="shared" si="812"/>
        <v>-76394.47</v>
      </c>
      <c r="AW1174" s="29"/>
      <c r="AX1174" s="29">
        <f t="shared" si="813"/>
        <v>5450416.4599999953</v>
      </c>
      <c r="AY1174" s="29">
        <f t="shared" si="814"/>
        <v>9300000</v>
      </c>
      <c r="AZ1174" s="29">
        <f t="shared" si="815"/>
        <v>14750416.459999995</v>
      </c>
    </row>
    <row r="1175" spans="2:52" x14ac:dyDescent="0.3">
      <c r="B1175" s="99">
        <f>B1174+3</f>
        <v>45810</v>
      </c>
      <c r="C1175" s="44">
        <f t="shared" si="823"/>
        <v>1976097.5899999978</v>
      </c>
      <c r="D1175" s="38">
        <v>35236.5</v>
      </c>
      <c r="E1175" s="38"/>
      <c r="F1175" s="38">
        <f>-133328.48-1500</f>
        <v>-134828.48000000001</v>
      </c>
      <c r="G1175" s="45">
        <f t="shared" si="832"/>
        <v>1876505.6099999978</v>
      </c>
      <c r="H1175" s="44">
        <v>4300000</v>
      </c>
      <c r="I1175" s="46">
        <f t="shared" si="824"/>
        <v>3301356.5099999988</v>
      </c>
      <c r="J1175" s="38"/>
      <c r="K1175" s="38">
        <v>191000</v>
      </c>
      <c r="L1175" s="38">
        <v>-65719.77</v>
      </c>
      <c r="M1175" s="47">
        <f t="shared" si="825"/>
        <v>3426636.7399999988</v>
      </c>
      <c r="N1175" s="46">
        <v>5000000</v>
      </c>
      <c r="O1175" s="48">
        <f t="shared" si="826"/>
        <v>1376.0499999992921</v>
      </c>
      <c r="P1175" s="38">
        <v>40179.26</v>
      </c>
      <c r="Q1175" s="38">
        <f>167800-160000</f>
        <v>7800</v>
      </c>
      <c r="R1175" s="38">
        <v>-12235.21</v>
      </c>
      <c r="S1175" s="55">
        <f t="shared" si="827"/>
        <v>37120.099999999293</v>
      </c>
      <c r="T1175" s="48"/>
      <c r="U1175" s="49">
        <f t="shared" si="828"/>
        <v>167916.81999999992</v>
      </c>
      <c r="V1175" s="38"/>
      <c r="W1175" s="38">
        <v>-167800</v>
      </c>
      <c r="X1175" s="38"/>
      <c r="Y1175" s="51">
        <f t="shared" si="829"/>
        <v>116.81999999991967</v>
      </c>
      <c r="Z1175" s="52"/>
      <c r="AA1175" s="53">
        <f t="shared" si="830"/>
        <v>185.6299999992311</v>
      </c>
      <c r="AB1175" s="38"/>
      <c r="AC1175" s="38"/>
      <c r="AD1175" s="38"/>
      <c r="AE1175" s="54">
        <f t="shared" si="831"/>
        <v>185.6299999992311</v>
      </c>
      <c r="AF1175" s="53"/>
      <c r="AG1175" s="53">
        <f t="shared" si="807"/>
        <v>3483.8600000002566</v>
      </c>
      <c r="AH1175" s="38">
        <v>28183.75</v>
      </c>
      <c r="AI1175" s="38">
        <v>-31000</v>
      </c>
      <c r="AJ1175" s="38">
        <v>-9.9</v>
      </c>
      <c r="AK1175" s="54">
        <f t="shared" si="808"/>
        <v>657.71000000025526</v>
      </c>
      <c r="AL1175" s="53"/>
      <c r="AM1175" s="53">
        <f t="shared" si="821"/>
        <v>0</v>
      </c>
      <c r="AN1175" s="38"/>
      <c r="AO1175" s="38"/>
      <c r="AP1175" s="38"/>
      <c r="AQ1175" s="54">
        <f t="shared" si="822"/>
        <v>0</v>
      </c>
      <c r="AR1175" s="53"/>
      <c r="AS1175" s="29">
        <f t="shared" si="809"/>
        <v>5446932.599999995</v>
      </c>
      <c r="AT1175" s="29">
        <f t="shared" si="810"/>
        <v>103599.51000000001</v>
      </c>
      <c r="AU1175" s="29">
        <f t="shared" si="811"/>
        <v>0</v>
      </c>
      <c r="AV1175" s="29">
        <f t="shared" si="812"/>
        <v>-212793.36</v>
      </c>
      <c r="AW1175" s="29"/>
      <c r="AX1175" s="29">
        <f t="shared" si="813"/>
        <v>5341222.6099999957</v>
      </c>
      <c r="AY1175" s="29">
        <f t="shared" si="814"/>
        <v>9300000</v>
      </c>
      <c r="AZ1175" s="29">
        <f t="shared" si="815"/>
        <v>14641222.609999996</v>
      </c>
    </row>
    <row r="1176" spans="2:52" x14ac:dyDescent="0.3">
      <c r="B1176" s="99">
        <f t="shared" si="820"/>
        <v>45811</v>
      </c>
      <c r="C1176" s="44">
        <f t="shared" si="823"/>
        <v>1876505.6099999978</v>
      </c>
      <c r="D1176" s="38"/>
      <c r="E1176" s="38"/>
      <c r="F1176" s="38">
        <f>-15296.3</f>
        <v>-15296.3</v>
      </c>
      <c r="G1176" s="45">
        <f t="shared" si="832"/>
        <v>1861209.3099999977</v>
      </c>
      <c r="H1176" s="44">
        <v>4300000</v>
      </c>
      <c r="I1176" s="46">
        <f t="shared" si="824"/>
        <v>3426636.7399999988</v>
      </c>
      <c r="J1176" s="38"/>
      <c r="K1176" s="38"/>
      <c r="L1176" s="38">
        <v>-25206.61</v>
      </c>
      <c r="M1176" s="47">
        <f t="shared" si="825"/>
        <v>3401430.129999999</v>
      </c>
      <c r="N1176" s="46">
        <v>5000000</v>
      </c>
      <c r="O1176" s="48">
        <f t="shared" si="826"/>
        <v>37120.099999999293</v>
      </c>
      <c r="P1176" s="38"/>
      <c r="Q1176" s="38"/>
      <c r="R1176" s="38"/>
      <c r="S1176" s="55">
        <f t="shared" si="827"/>
        <v>37120.099999999293</v>
      </c>
      <c r="T1176" s="48"/>
      <c r="U1176" s="49">
        <f t="shared" si="828"/>
        <v>116.81999999991967</v>
      </c>
      <c r="V1176" s="38"/>
      <c r="W1176" s="38"/>
      <c r="X1176" s="38">
        <v>-70</v>
      </c>
      <c r="Y1176" s="51">
        <f t="shared" si="829"/>
        <v>46.819999999919673</v>
      </c>
      <c r="Z1176" s="52"/>
      <c r="AA1176" s="53">
        <f t="shared" si="830"/>
        <v>185.6299999992311</v>
      </c>
      <c r="AB1176" s="38"/>
      <c r="AC1176" s="38"/>
      <c r="AD1176" s="38"/>
      <c r="AE1176" s="54">
        <f t="shared" si="831"/>
        <v>185.6299999992311</v>
      </c>
      <c r="AF1176" s="53"/>
      <c r="AG1176" s="53">
        <f t="shared" si="807"/>
        <v>657.71000000025526</v>
      </c>
      <c r="AH1176" s="38"/>
      <c r="AI1176" s="38"/>
      <c r="AJ1176" s="38">
        <v>-9.9</v>
      </c>
      <c r="AK1176" s="54">
        <f t="shared" si="808"/>
        <v>647.81000000025529</v>
      </c>
      <c r="AL1176" s="53"/>
      <c r="AM1176" s="53">
        <f t="shared" si="821"/>
        <v>0</v>
      </c>
      <c r="AN1176" s="38"/>
      <c r="AO1176" s="38"/>
      <c r="AP1176" s="38"/>
      <c r="AQ1176" s="54">
        <f t="shared" si="822"/>
        <v>0</v>
      </c>
      <c r="AR1176" s="53"/>
      <c r="AS1176" s="29">
        <f t="shared" si="809"/>
        <v>5340564.8999999957</v>
      </c>
      <c r="AT1176" s="29">
        <f t="shared" si="810"/>
        <v>0</v>
      </c>
      <c r="AU1176" s="29">
        <f t="shared" si="811"/>
        <v>0</v>
      </c>
      <c r="AV1176" s="29">
        <f t="shared" si="812"/>
        <v>-40582.810000000005</v>
      </c>
      <c r="AW1176" s="29"/>
      <c r="AX1176" s="29">
        <f t="shared" si="813"/>
        <v>5300639.7999999961</v>
      </c>
      <c r="AY1176" s="29">
        <f t="shared" si="814"/>
        <v>9300000</v>
      </c>
      <c r="AZ1176" s="29">
        <f t="shared" si="815"/>
        <v>14600639.799999997</v>
      </c>
    </row>
    <row r="1177" spans="2:52" x14ac:dyDescent="0.3">
      <c r="B1177" s="99">
        <f t="shared" si="820"/>
        <v>45812</v>
      </c>
      <c r="C1177" s="44">
        <f t="shared" si="823"/>
        <v>1861209.3099999977</v>
      </c>
      <c r="D1177" s="38">
        <f>49527.08+6411.22</f>
        <v>55938.3</v>
      </c>
      <c r="E1177" s="38">
        <v>-500000</v>
      </c>
      <c r="F1177" s="38">
        <v>-35589.68</v>
      </c>
      <c r="G1177" s="45">
        <f t="shared" si="832"/>
        <v>1381557.9299999978</v>
      </c>
      <c r="H1177" s="44">
        <v>4300000</v>
      </c>
      <c r="I1177" s="46">
        <f t="shared" si="824"/>
        <v>3401430.129999999</v>
      </c>
      <c r="J1177" s="38"/>
      <c r="K1177" s="38">
        <v>680000</v>
      </c>
      <c r="L1177" s="38">
        <v>-3524430.9</v>
      </c>
      <c r="M1177" s="47">
        <f t="shared" si="825"/>
        <v>556999.22999999905</v>
      </c>
      <c r="N1177" s="46">
        <v>5000000</v>
      </c>
      <c r="O1177" s="48">
        <f t="shared" si="826"/>
        <v>37120.099999999293</v>
      </c>
      <c r="P1177" s="38">
        <v>166026.79</v>
      </c>
      <c r="Q1177" s="38">
        <v>-180000</v>
      </c>
      <c r="R1177" s="38">
        <f>-2464.2-1192.75-1663-10</f>
        <v>-5329.95</v>
      </c>
      <c r="S1177" s="55">
        <f t="shared" si="827"/>
        <v>17816.939999999315</v>
      </c>
      <c r="T1177" s="48"/>
      <c r="U1177" s="49">
        <f t="shared" si="828"/>
        <v>46.819999999919673</v>
      </c>
      <c r="V1177" s="38"/>
      <c r="W1177" s="38"/>
      <c r="X1177" s="38"/>
      <c r="Y1177" s="51">
        <f t="shared" si="829"/>
        <v>46.819999999919673</v>
      </c>
      <c r="Z1177" s="52"/>
      <c r="AA1177" s="53">
        <f t="shared" si="830"/>
        <v>185.6299999992311</v>
      </c>
      <c r="AB1177" s="38"/>
      <c r="AC1177" s="38"/>
      <c r="AD1177" s="38"/>
      <c r="AE1177" s="54">
        <f t="shared" si="831"/>
        <v>185.6299999992311</v>
      </c>
      <c r="AF1177" s="53"/>
      <c r="AG1177" s="53">
        <f t="shared" ref="AG1177:AG1240" si="833">AK1176</f>
        <v>647.81000000025529</v>
      </c>
      <c r="AH1177" s="38"/>
      <c r="AI1177" s="38"/>
      <c r="AJ1177" s="38">
        <v>-449.07</v>
      </c>
      <c r="AK1177" s="54">
        <f t="shared" ref="AK1177:AK1240" si="834">SUM(AG1177:AJ1177)</f>
        <v>198.74000000025529</v>
      </c>
      <c r="AL1177" s="53"/>
      <c r="AM1177" s="53">
        <f t="shared" si="821"/>
        <v>0</v>
      </c>
      <c r="AN1177" s="38"/>
      <c r="AO1177" s="38"/>
      <c r="AP1177" s="38"/>
      <c r="AQ1177" s="54">
        <f t="shared" si="822"/>
        <v>0</v>
      </c>
      <c r="AR1177" s="53"/>
      <c r="AS1177" s="29">
        <f t="shared" ref="AS1177:AS1240" si="835">SUM(C1177,I1177,O1177,U1177,AA1177,)</f>
        <v>5299991.9899999956</v>
      </c>
      <c r="AT1177" s="29">
        <f t="shared" ref="AT1177:AT1240" si="836">SUM(D1177,J1177,P1177,V1177,AB1177,AH1177)</f>
        <v>221965.09000000003</v>
      </c>
      <c r="AU1177" s="29">
        <f t="shared" ref="AU1177:AU1240" si="837">SUM(E1177,K1177,Q1177,W1177,AC1177,AI1177)</f>
        <v>0</v>
      </c>
      <c r="AV1177" s="29">
        <f t="shared" ref="AV1177:AV1240" si="838">SUM(F1177,L1177,R1177,X1177,AD1177,AJ1177)</f>
        <v>-3565799.6</v>
      </c>
      <c r="AW1177" s="29"/>
      <c r="AX1177" s="29">
        <f t="shared" ref="AX1177:AX1240" si="839">SUM(G1177,M1177,S1177,Y1177,AE1177,AK1177)</f>
        <v>1956805.2899999954</v>
      </c>
      <c r="AY1177" s="29">
        <f t="shared" ref="AY1177:AY1240" si="840">SUM(H1177,N1177,T1177,Z1177,AF1177,AL1177)</f>
        <v>9300000</v>
      </c>
      <c r="AZ1177" s="29">
        <f t="shared" ref="AZ1177:AZ1240" si="841">AX1177+AY1177</f>
        <v>11256805.289999995</v>
      </c>
    </row>
    <row r="1178" spans="2:52" x14ac:dyDescent="0.3">
      <c r="B1178" s="99">
        <f t="shared" si="820"/>
        <v>45813</v>
      </c>
      <c r="C1178" s="44">
        <f t="shared" si="823"/>
        <v>1381557.9299999978</v>
      </c>
      <c r="D1178" s="38">
        <v>46980.35</v>
      </c>
      <c r="E1178" s="38">
        <v>-300000</v>
      </c>
      <c r="F1178" s="38">
        <v>-875430.53</v>
      </c>
      <c r="G1178" s="45">
        <f t="shared" si="832"/>
        <v>253107.7499999979</v>
      </c>
      <c r="H1178" s="44">
        <v>4300000</v>
      </c>
      <c r="I1178" s="46">
        <f t="shared" si="824"/>
        <v>556999.22999999905</v>
      </c>
      <c r="J1178" s="38">
        <v>504224.55</v>
      </c>
      <c r="K1178" s="38">
        <v>472000</v>
      </c>
      <c r="L1178" s="38">
        <v>-605768.16</v>
      </c>
      <c r="M1178" s="47">
        <f t="shared" si="825"/>
        <v>927455.61999999906</v>
      </c>
      <c r="N1178" s="46">
        <v>5000000</v>
      </c>
      <c r="O1178" s="48">
        <f t="shared" si="826"/>
        <v>17816.939999999315</v>
      </c>
      <c r="P1178" s="38">
        <v>128694.68</v>
      </c>
      <c r="Q1178" s="38">
        <v>-140000</v>
      </c>
      <c r="R1178" s="38">
        <v>-10</v>
      </c>
      <c r="S1178" s="55">
        <f t="shared" si="827"/>
        <v>6501.6199999992969</v>
      </c>
      <c r="T1178" s="48"/>
      <c r="U1178" s="49">
        <f t="shared" si="828"/>
        <v>46.819999999919673</v>
      </c>
      <c r="V1178" s="38"/>
      <c r="W1178" s="38"/>
      <c r="X1178" s="38"/>
      <c r="Y1178" s="51">
        <f t="shared" si="829"/>
        <v>46.819999999919673</v>
      </c>
      <c r="Z1178" s="52"/>
      <c r="AA1178" s="53">
        <f t="shared" si="830"/>
        <v>185.6299999992311</v>
      </c>
      <c r="AB1178" s="38">
        <v>33336.269999999997</v>
      </c>
      <c r="AC1178" s="38">
        <v>-32000</v>
      </c>
      <c r="AD1178" s="38">
        <v>-540</v>
      </c>
      <c r="AE1178" s="54">
        <f t="shared" si="831"/>
        <v>981.8999999992302</v>
      </c>
      <c r="AF1178" s="53"/>
      <c r="AG1178" s="53">
        <f t="shared" si="833"/>
        <v>198.74000000025529</v>
      </c>
      <c r="AH1178" s="38"/>
      <c r="AI1178" s="38"/>
      <c r="AJ1178" s="38"/>
      <c r="AK1178" s="54">
        <f t="shared" si="834"/>
        <v>198.74000000025529</v>
      </c>
      <c r="AL1178" s="53"/>
      <c r="AM1178" s="53">
        <f t="shared" si="821"/>
        <v>0</v>
      </c>
      <c r="AN1178" s="38"/>
      <c r="AO1178" s="38"/>
      <c r="AP1178" s="38"/>
      <c r="AQ1178" s="54">
        <f t="shared" si="822"/>
        <v>0</v>
      </c>
      <c r="AR1178" s="53"/>
      <c r="AS1178" s="29">
        <f t="shared" si="835"/>
        <v>1956606.5499999952</v>
      </c>
      <c r="AT1178" s="29">
        <f t="shared" si="836"/>
        <v>713235.85000000009</v>
      </c>
      <c r="AU1178" s="29">
        <f t="shared" si="837"/>
        <v>0</v>
      </c>
      <c r="AV1178" s="29">
        <f t="shared" si="838"/>
        <v>-1481748.69</v>
      </c>
      <c r="AW1178" s="29"/>
      <c r="AX1178" s="29">
        <f t="shared" si="839"/>
        <v>1188292.4499999953</v>
      </c>
      <c r="AY1178" s="29">
        <f t="shared" si="840"/>
        <v>9300000</v>
      </c>
      <c r="AZ1178" s="29">
        <f t="shared" si="841"/>
        <v>10488292.449999996</v>
      </c>
    </row>
    <row r="1179" spans="2:52" x14ac:dyDescent="0.3">
      <c r="B1179" s="99">
        <f t="shared" si="820"/>
        <v>45814</v>
      </c>
      <c r="C1179" s="44">
        <f t="shared" si="823"/>
        <v>253107.7499999979</v>
      </c>
      <c r="D1179" s="38">
        <v>1657.19</v>
      </c>
      <c r="E1179" s="38"/>
      <c r="F1179" s="38">
        <v>-2137.75</v>
      </c>
      <c r="G1179" s="45">
        <f t="shared" si="832"/>
        <v>252627.18999999791</v>
      </c>
      <c r="H1179" s="44">
        <v>4300000</v>
      </c>
      <c r="I1179" s="46">
        <f t="shared" si="824"/>
        <v>927455.61999999906</v>
      </c>
      <c r="J1179" s="38"/>
      <c r="K1179" s="38"/>
      <c r="L1179" s="38">
        <v>-31438.86</v>
      </c>
      <c r="M1179" s="47">
        <f t="shared" si="825"/>
        <v>896016.75999999908</v>
      </c>
      <c r="N1179" s="46">
        <v>5000000</v>
      </c>
      <c r="O1179" s="48">
        <f t="shared" si="826"/>
        <v>6501.6199999992969</v>
      </c>
      <c r="P1179" s="38"/>
      <c r="Q1179" s="38"/>
      <c r="R1179" s="38">
        <v>-3200</v>
      </c>
      <c r="S1179" s="55">
        <f t="shared" si="827"/>
        <v>3301.6199999992969</v>
      </c>
      <c r="T1179" s="48"/>
      <c r="U1179" s="49">
        <f t="shared" si="828"/>
        <v>46.819999999919673</v>
      </c>
      <c r="V1179" s="38"/>
      <c r="W1179" s="38"/>
      <c r="X1179" s="38"/>
      <c r="Y1179" s="51">
        <f t="shared" si="829"/>
        <v>46.819999999919673</v>
      </c>
      <c r="Z1179" s="52"/>
      <c r="AA1179" s="53">
        <f t="shared" si="830"/>
        <v>981.8999999992302</v>
      </c>
      <c r="AB1179" s="38"/>
      <c r="AC1179" s="38"/>
      <c r="AD1179" s="38"/>
      <c r="AE1179" s="54">
        <f t="shared" si="831"/>
        <v>981.8999999992302</v>
      </c>
      <c r="AF1179" s="53"/>
      <c r="AG1179" s="53">
        <f t="shared" si="833"/>
        <v>198.74000000025529</v>
      </c>
      <c r="AH1179" s="38"/>
      <c r="AI1179" s="38"/>
      <c r="AJ1179" s="38"/>
      <c r="AK1179" s="54">
        <f t="shared" si="834"/>
        <v>198.74000000025529</v>
      </c>
      <c r="AL1179" s="53"/>
      <c r="AM1179" s="53">
        <f t="shared" si="821"/>
        <v>0</v>
      </c>
      <c r="AN1179" s="38"/>
      <c r="AO1179" s="38"/>
      <c r="AP1179" s="38"/>
      <c r="AQ1179" s="54">
        <f t="shared" si="822"/>
        <v>0</v>
      </c>
      <c r="AR1179" s="53"/>
      <c r="AS1179" s="29">
        <f t="shared" si="835"/>
        <v>1188093.7099999951</v>
      </c>
      <c r="AT1179" s="29">
        <f t="shared" si="836"/>
        <v>1657.19</v>
      </c>
      <c r="AU1179" s="29">
        <f t="shared" si="837"/>
        <v>0</v>
      </c>
      <c r="AV1179" s="29">
        <f t="shared" si="838"/>
        <v>-36776.61</v>
      </c>
      <c r="AW1179" s="29"/>
      <c r="AX1179" s="29">
        <f t="shared" si="839"/>
        <v>1153173.0299999954</v>
      </c>
      <c r="AY1179" s="29">
        <f t="shared" si="840"/>
        <v>9300000</v>
      </c>
      <c r="AZ1179" s="29">
        <f t="shared" si="841"/>
        <v>10453173.029999996</v>
      </c>
    </row>
    <row r="1180" spans="2:52" x14ac:dyDescent="0.3">
      <c r="B1180" s="99">
        <f>B1179+3</f>
        <v>45817</v>
      </c>
      <c r="C1180" s="44">
        <f t="shared" si="823"/>
        <v>252627.18999999791</v>
      </c>
      <c r="D1180" s="38">
        <v>24488.79</v>
      </c>
      <c r="E1180" s="38"/>
      <c r="F1180" s="38">
        <f>-47.51</f>
        <v>-47.51</v>
      </c>
      <c r="G1180" s="45">
        <f t="shared" si="832"/>
        <v>277068.46999999788</v>
      </c>
      <c r="H1180" s="44">
        <v>4300000</v>
      </c>
      <c r="I1180" s="46">
        <f t="shared" si="824"/>
        <v>896016.75999999908</v>
      </c>
      <c r="J1180" s="38">
        <v>4017.99</v>
      </c>
      <c r="K1180" s="38"/>
      <c r="L1180" s="38">
        <v>-180761.98</v>
      </c>
      <c r="M1180" s="47">
        <f t="shared" si="825"/>
        <v>719272.76999999909</v>
      </c>
      <c r="N1180" s="46">
        <v>5000000</v>
      </c>
      <c r="O1180" s="48">
        <f t="shared" si="826"/>
        <v>3301.6199999992969</v>
      </c>
      <c r="P1180" s="38"/>
      <c r="Q1180" s="38"/>
      <c r="R1180" s="38"/>
      <c r="S1180" s="55">
        <f t="shared" si="827"/>
        <v>3301.6199999992969</v>
      </c>
      <c r="T1180" s="48"/>
      <c r="U1180" s="49">
        <f t="shared" si="828"/>
        <v>46.819999999919673</v>
      </c>
      <c r="V1180" s="38"/>
      <c r="W1180" s="38"/>
      <c r="X1180" s="38"/>
      <c r="Y1180" s="51">
        <f t="shared" si="829"/>
        <v>46.819999999919673</v>
      </c>
      <c r="Z1180" s="52"/>
      <c r="AA1180" s="53">
        <f t="shared" si="830"/>
        <v>981.8999999992302</v>
      </c>
      <c r="AB1180" s="38"/>
      <c r="AC1180" s="38"/>
      <c r="AD1180" s="38"/>
      <c r="AE1180" s="54">
        <f t="shared" si="831"/>
        <v>981.8999999992302</v>
      </c>
      <c r="AF1180" s="53"/>
      <c r="AG1180" s="53">
        <f t="shared" si="833"/>
        <v>198.74000000025529</v>
      </c>
      <c r="AH1180" s="38"/>
      <c r="AI1180" s="38"/>
      <c r="AJ1180" s="38"/>
      <c r="AK1180" s="54">
        <f t="shared" si="834"/>
        <v>198.74000000025529</v>
      </c>
      <c r="AL1180" s="53"/>
      <c r="AM1180" s="53">
        <f t="shared" si="821"/>
        <v>0</v>
      </c>
      <c r="AN1180" s="38"/>
      <c r="AO1180" s="38"/>
      <c r="AP1180" s="38"/>
      <c r="AQ1180" s="54">
        <f t="shared" si="822"/>
        <v>0</v>
      </c>
      <c r="AR1180" s="53"/>
      <c r="AS1180" s="29">
        <f t="shared" si="835"/>
        <v>1152974.2899999951</v>
      </c>
      <c r="AT1180" s="29">
        <f t="shared" si="836"/>
        <v>28506.78</v>
      </c>
      <c r="AU1180" s="29">
        <f t="shared" si="837"/>
        <v>0</v>
      </c>
      <c r="AV1180" s="29">
        <f t="shared" si="838"/>
        <v>-180809.49000000002</v>
      </c>
      <c r="AW1180" s="29"/>
      <c r="AX1180" s="29">
        <f t="shared" si="839"/>
        <v>1000870.3199999956</v>
      </c>
      <c r="AY1180" s="29">
        <f t="shared" si="840"/>
        <v>9300000</v>
      </c>
      <c r="AZ1180" s="29">
        <f t="shared" si="841"/>
        <v>10300870.319999997</v>
      </c>
    </row>
    <row r="1181" spans="2:52" x14ac:dyDescent="0.3">
      <c r="B1181" s="99">
        <f t="shared" si="820"/>
        <v>45818</v>
      </c>
      <c r="C1181" s="44">
        <f t="shared" si="823"/>
        <v>277068.46999999788</v>
      </c>
      <c r="D1181" s="38"/>
      <c r="E1181" s="38"/>
      <c r="F1181" s="38">
        <v>-42.58</v>
      </c>
      <c r="G1181" s="45">
        <f t="shared" si="832"/>
        <v>277025.88999999786</v>
      </c>
      <c r="H1181" s="44">
        <v>4300000</v>
      </c>
      <c r="I1181" s="46">
        <f t="shared" si="824"/>
        <v>719272.76999999909</v>
      </c>
      <c r="J1181" s="38">
        <f>378451.41+30890.18+135916.79</f>
        <v>545258.38</v>
      </c>
      <c r="K1181" s="38">
        <v>115000</v>
      </c>
      <c r="L1181" s="38">
        <v>-266567.93</v>
      </c>
      <c r="M1181" s="47">
        <f t="shared" si="825"/>
        <v>1112963.219999999</v>
      </c>
      <c r="N1181" s="46">
        <v>5000000</v>
      </c>
      <c r="O1181" s="48">
        <f t="shared" si="826"/>
        <v>3301.6199999992969</v>
      </c>
      <c r="P1181" s="38">
        <v>118695.6</v>
      </c>
      <c r="Q1181" s="38">
        <v>-115000</v>
      </c>
      <c r="R1181" s="38">
        <v>-1902.88</v>
      </c>
      <c r="S1181" s="55">
        <f t="shared" si="827"/>
        <v>5094.3399999993026</v>
      </c>
      <c r="T1181" s="48"/>
      <c r="U1181" s="49">
        <f t="shared" si="828"/>
        <v>46.819999999919673</v>
      </c>
      <c r="V1181" s="38"/>
      <c r="W1181" s="38"/>
      <c r="X1181" s="38"/>
      <c r="Y1181" s="51">
        <f t="shared" si="829"/>
        <v>46.819999999919673</v>
      </c>
      <c r="Z1181" s="52"/>
      <c r="AA1181" s="53">
        <f t="shared" si="830"/>
        <v>981.8999999992302</v>
      </c>
      <c r="AB1181" s="38"/>
      <c r="AC1181" s="38"/>
      <c r="AD1181" s="38">
        <v>-540</v>
      </c>
      <c r="AE1181" s="54">
        <f t="shared" si="831"/>
        <v>441.8999999992302</v>
      </c>
      <c r="AF1181" s="53"/>
      <c r="AG1181" s="53">
        <f t="shared" si="833"/>
        <v>198.74000000025529</v>
      </c>
      <c r="AH1181" s="38"/>
      <c r="AI1181" s="38"/>
      <c r="AJ1181" s="38"/>
      <c r="AK1181" s="54">
        <f t="shared" si="834"/>
        <v>198.74000000025529</v>
      </c>
      <c r="AL1181" s="53"/>
      <c r="AM1181" s="53">
        <f t="shared" si="821"/>
        <v>0</v>
      </c>
      <c r="AN1181" s="38"/>
      <c r="AO1181" s="38"/>
      <c r="AP1181" s="38"/>
      <c r="AQ1181" s="54">
        <f t="shared" si="822"/>
        <v>0</v>
      </c>
      <c r="AR1181" s="53"/>
      <c r="AS1181" s="29">
        <f t="shared" si="835"/>
        <v>1000671.5799999954</v>
      </c>
      <c r="AT1181" s="29">
        <f t="shared" si="836"/>
        <v>663953.98</v>
      </c>
      <c r="AU1181" s="29">
        <f t="shared" si="837"/>
        <v>0</v>
      </c>
      <c r="AV1181" s="29">
        <f t="shared" si="838"/>
        <v>-269053.39</v>
      </c>
      <c r="AW1181" s="29"/>
      <c r="AX1181" s="29">
        <f t="shared" si="839"/>
        <v>1395770.9099999955</v>
      </c>
      <c r="AY1181" s="29">
        <f t="shared" si="840"/>
        <v>9300000</v>
      </c>
      <c r="AZ1181" s="29">
        <f t="shared" si="841"/>
        <v>10695770.909999996</v>
      </c>
    </row>
    <row r="1182" spans="2:52" x14ac:dyDescent="0.3">
      <c r="B1182" s="99">
        <f t="shared" ref="B1182:B1184" si="842">B1181+1</f>
        <v>45819</v>
      </c>
      <c r="C1182" s="44">
        <f t="shared" si="823"/>
        <v>277025.88999999786</v>
      </c>
      <c r="D1182" s="38">
        <f>49527.08+2032.05</f>
        <v>51559.130000000005</v>
      </c>
      <c r="E1182" s="38"/>
      <c r="F1182" s="38"/>
      <c r="G1182" s="45">
        <f t="shared" si="832"/>
        <v>328585.01999999786</v>
      </c>
      <c r="H1182" s="44">
        <v>4300000</v>
      </c>
      <c r="I1182" s="46">
        <f t="shared" si="824"/>
        <v>1112963.219999999</v>
      </c>
      <c r="J1182" s="38"/>
      <c r="K1182" s="38">
        <v>428700</v>
      </c>
      <c r="L1182" s="38">
        <v>-195405.44</v>
      </c>
      <c r="M1182" s="47">
        <f t="shared" si="825"/>
        <v>1346257.7799999991</v>
      </c>
      <c r="N1182" s="46">
        <v>5000000</v>
      </c>
      <c r="O1182" s="48">
        <f t="shared" si="826"/>
        <v>5094.3399999993026</v>
      </c>
      <c r="P1182" s="38">
        <v>400625.25</v>
      </c>
      <c r="Q1182" s="38">
        <v>-400000</v>
      </c>
      <c r="R1182" s="38">
        <v>-2179.2399999999998</v>
      </c>
      <c r="S1182" s="55">
        <f t="shared" si="827"/>
        <v>3540.3499999993273</v>
      </c>
      <c r="T1182" s="48"/>
      <c r="U1182" s="49">
        <f t="shared" si="828"/>
        <v>46.819999999919673</v>
      </c>
      <c r="V1182" s="38">
        <v>28763.15</v>
      </c>
      <c r="W1182" s="38">
        <v>-28700</v>
      </c>
      <c r="X1182" s="38">
        <v>-10</v>
      </c>
      <c r="Y1182" s="51">
        <f t="shared" si="829"/>
        <v>99.969999999921129</v>
      </c>
      <c r="Z1182" s="52"/>
      <c r="AA1182" s="53">
        <f t="shared" si="830"/>
        <v>441.8999999992302</v>
      </c>
      <c r="AB1182" s="38"/>
      <c r="AC1182" s="38"/>
      <c r="AD1182" s="38"/>
      <c r="AE1182" s="54">
        <f t="shared" si="831"/>
        <v>441.8999999992302</v>
      </c>
      <c r="AF1182" s="53"/>
      <c r="AG1182" s="53">
        <f t="shared" si="833"/>
        <v>198.74000000025529</v>
      </c>
      <c r="AH1182" s="38"/>
      <c r="AI1182" s="38"/>
      <c r="AJ1182" s="38"/>
      <c r="AK1182" s="54">
        <f t="shared" si="834"/>
        <v>198.74000000025529</v>
      </c>
      <c r="AL1182" s="53"/>
      <c r="AM1182" s="53">
        <f t="shared" si="821"/>
        <v>0</v>
      </c>
      <c r="AN1182" s="38"/>
      <c r="AO1182" s="38"/>
      <c r="AP1182" s="38"/>
      <c r="AQ1182" s="54">
        <f t="shared" si="822"/>
        <v>0</v>
      </c>
      <c r="AR1182" s="53"/>
      <c r="AS1182" s="29">
        <f t="shared" si="835"/>
        <v>1395572.1699999953</v>
      </c>
      <c r="AT1182" s="29">
        <f t="shared" si="836"/>
        <v>480947.53</v>
      </c>
      <c r="AU1182" s="29">
        <f t="shared" si="837"/>
        <v>0</v>
      </c>
      <c r="AV1182" s="29">
        <f t="shared" si="838"/>
        <v>-197594.68</v>
      </c>
      <c r="AW1182" s="29"/>
      <c r="AX1182" s="29">
        <f t="shared" si="839"/>
        <v>1679123.7599999958</v>
      </c>
      <c r="AY1182" s="29">
        <f t="shared" si="840"/>
        <v>9300000</v>
      </c>
      <c r="AZ1182" s="29">
        <f t="shared" si="841"/>
        <v>10979123.759999996</v>
      </c>
    </row>
    <row r="1183" spans="2:52" x14ac:dyDescent="0.3">
      <c r="B1183" s="99">
        <f t="shared" si="842"/>
        <v>45820</v>
      </c>
      <c r="C1183" s="44">
        <f t="shared" si="823"/>
        <v>328585.01999999786</v>
      </c>
      <c r="D1183" s="38">
        <v>25409.9</v>
      </c>
      <c r="E1183" s="38"/>
      <c r="F1183" s="38">
        <v>-6158.63</v>
      </c>
      <c r="G1183" s="45">
        <f t="shared" si="832"/>
        <v>347836.28999999788</v>
      </c>
      <c r="H1183" s="44">
        <v>4300000</v>
      </c>
      <c r="I1183" s="46">
        <f t="shared" si="824"/>
        <v>1346257.7799999991</v>
      </c>
      <c r="J1183" s="38"/>
      <c r="K1183" s="38">
        <v>350000</v>
      </c>
      <c r="L1183" s="38">
        <v>-107940.28</v>
      </c>
      <c r="M1183" s="47">
        <f t="shared" si="825"/>
        <v>1588317.4999999991</v>
      </c>
      <c r="N1183" s="46">
        <v>5000000</v>
      </c>
      <c r="O1183" s="48">
        <f t="shared" si="826"/>
        <v>3540.3499999993273</v>
      </c>
      <c r="P1183" s="38">
        <f>296785.38+108562.77+207279.96+34440.63</f>
        <v>647068.74</v>
      </c>
      <c r="Q1183" s="38">
        <v>-350000</v>
      </c>
      <c r="R1183" s="38">
        <v>-505.6</v>
      </c>
      <c r="S1183" s="55">
        <f t="shared" si="827"/>
        <v>300103.48999999929</v>
      </c>
      <c r="T1183" s="48"/>
      <c r="U1183" s="49">
        <f t="shared" si="828"/>
        <v>99.969999999921129</v>
      </c>
      <c r="V1183" s="38"/>
      <c r="W1183" s="38"/>
      <c r="X1183" s="38"/>
      <c r="Y1183" s="51">
        <f t="shared" si="829"/>
        <v>99.969999999921129</v>
      </c>
      <c r="Z1183" s="52"/>
      <c r="AA1183" s="53">
        <f t="shared" si="830"/>
        <v>441.8999999992302</v>
      </c>
      <c r="AB1183" s="38"/>
      <c r="AC1183" s="38"/>
      <c r="AD1183" s="38"/>
      <c r="AE1183" s="54">
        <f t="shared" si="831"/>
        <v>441.8999999992302</v>
      </c>
      <c r="AF1183" s="53"/>
      <c r="AG1183" s="53">
        <f t="shared" si="833"/>
        <v>198.74000000025529</v>
      </c>
      <c r="AH1183" s="38"/>
      <c r="AI1183" s="38"/>
      <c r="AJ1183" s="38"/>
      <c r="AK1183" s="54">
        <f t="shared" si="834"/>
        <v>198.74000000025529</v>
      </c>
      <c r="AL1183" s="53"/>
      <c r="AM1183" s="53">
        <f t="shared" si="821"/>
        <v>0</v>
      </c>
      <c r="AN1183" s="38"/>
      <c r="AO1183" s="38"/>
      <c r="AP1183" s="38"/>
      <c r="AQ1183" s="54">
        <f t="shared" si="822"/>
        <v>0</v>
      </c>
      <c r="AR1183" s="53"/>
      <c r="AS1183" s="29">
        <f t="shared" si="835"/>
        <v>1678925.0199999956</v>
      </c>
      <c r="AT1183" s="29">
        <f t="shared" si="836"/>
        <v>672478.64</v>
      </c>
      <c r="AU1183" s="29">
        <f t="shared" si="837"/>
        <v>0</v>
      </c>
      <c r="AV1183" s="29">
        <f t="shared" si="838"/>
        <v>-114604.51000000001</v>
      </c>
      <c r="AW1183" s="29"/>
      <c r="AX1183" s="29">
        <f t="shared" si="839"/>
        <v>2236997.8899999959</v>
      </c>
      <c r="AY1183" s="29">
        <f t="shared" si="840"/>
        <v>9300000</v>
      </c>
      <c r="AZ1183" s="29">
        <f t="shared" si="841"/>
        <v>11536997.889999997</v>
      </c>
    </row>
    <row r="1184" spans="2:52" x14ac:dyDescent="0.3">
      <c r="B1184" s="99">
        <f t="shared" si="842"/>
        <v>45821</v>
      </c>
      <c r="C1184" s="44">
        <f t="shared" si="823"/>
        <v>347836.28999999788</v>
      </c>
      <c r="D1184" s="38">
        <v>169199.83</v>
      </c>
      <c r="E1184" s="38">
        <v>-250000</v>
      </c>
      <c r="F1184" s="38">
        <v>-113.5</v>
      </c>
      <c r="G1184" s="45">
        <f t="shared" si="832"/>
        <v>266922.6199999979</v>
      </c>
      <c r="H1184" s="44">
        <v>4300000</v>
      </c>
      <c r="I1184" s="46">
        <f t="shared" si="824"/>
        <v>1588317.4999999991</v>
      </c>
      <c r="J1184" s="38">
        <f>112686.63+7718.26+5333.34</f>
        <v>125738.23</v>
      </c>
      <c r="K1184" s="38">
        <f>295000+250000</f>
        <v>545000</v>
      </c>
      <c r="L1184" s="38">
        <v>-2889272.05</v>
      </c>
      <c r="M1184" s="47">
        <f t="shared" si="825"/>
        <v>-630216.32000000076</v>
      </c>
      <c r="N1184" s="46">
        <v>5000000</v>
      </c>
      <c r="O1184" s="48">
        <f t="shared" si="826"/>
        <v>300103.48999999929</v>
      </c>
      <c r="P1184" s="38"/>
      <c r="Q1184" s="38">
        <v>-295000</v>
      </c>
      <c r="R1184" s="38">
        <v>-10</v>
      </c>
      <c r="S1184" s="55">
        <f t="shared" si="827"/>
        <v>5093.4899999992922</v>
      </c>
      <c r="T1184" s="48"/>
      <c r="U1184" s="49">
        <f t="shared" si="828"/>
        <v>99.969999999921129</v>
      </c>
      <c r="V1184" s="38"/>
      <c r="W1184" s="38"/>
      <c r="X1184" s="38"/>
      <c r="Y1184" s="51">
        <f t="shared" si="829"/>
        <v>99.969999999921129</v>
      </c>
      <c r="Z1184" s="52"/>
      <c r="AA1184" s="53">
        <f t="shared" si="830"/>
        <v>441.8999999992302</v>
      </c>
      <c r="AB1184" s="38"/>
      <c r="AC1184" s="38"/>
      <c r="AD1184" s="38"/>
      <c r="AE1184" s="54">
        <f t="shared" si="831"/>
        <v>441.8999999992302</v>
      </c>
      <c r="AF1184" s="53"/>
      <c r="AG1184" s="53">
        <f t="shared" si="833"/>
        <v>198.74000000025529</v>
      </c>
      <c r="AH1184" s="38"/>
      <c r="AI1184" s="38"/>
      <c r="AJ1184" s="38"/>
      <c r="AK1184" s="54">
        <f t="shared" si="834"/>
        <v>198.74000000025529</v>
      </c>
      <c r="AL1184" s="53"/>
      <c r="AM1184" s="53">
        <f t="shared" si="821"/>
        <v>0</v>
      </c>
      <c r="AN1184" s="38"/>
      <c r="AO1184" s="38"/>
      <c r="AP1184" s="38"/>
      <c r="AQ1184" s="54">
        <f t="shared" si="822"/>
        <v>0</v>
      </c>
      <c r="AR1184" s="53"/>
      <c r="AS1184" s="29">
        <f t="shared" si="835"/>
        <v>2236799.1499999957</v>
      </c>
      <c r="AT1184" s="29">
        <f t="shared" si="836"/>
        <v>294938.06</v>
      </c>
      <c r="AU1184" s="29">
        <f t="shared" si="837"/>
        <v>0</v>
      </c>
      <c r="AV1184" s="29">
        <f t="shared" si="838"/>
        <v>-2889395.55</v>
      </c>
      <c r="AW1184" s="29"/>
      <c r="AX1184" s="29">
        <f t="shared" si="839"/>
        <v>-357459.60000000417</v>
      </c>
      <c r="AY1184" s="29">
        <f t="shared" si="840"/>
        <v>9300000</v>
      </c>
      <c r="AZ1184" s="29">
        <f t="shared" si="841"/>
        <v>8942540.3999999966</v>
      </c>
    </row>
    <row r="1185" spans="2:52" x14ac:dyDescent="0.3">
      <c r="B1185" s="99">
        <f>B1184+3</f>
        <v>45824</v>
      </c>
      <c r="C1185" s="44">
        <f t="shared" si="823"/>
        <v>266922.6199999979</v>
      </c>
      <c r="D1185" s="38">
        <v>376545.85</v>
      </c>
      <c r="E1185" s="38">
        <v>-500000</v>
      </c>
      <c r="F1185" s="38">
        <v>-38460.65</v>
      </c>
      <c r="G1185" s="45">
        <f t="shared" si="832"/>
        <v>105007.81999999788</v>
      </c>
      <c r="H1185" s="44">
        <v>4300000</v>
      </c>
      <c r="I1185" s="46">
        <f t="shared" si="824"/>
        <v>-630216.32000000076</v>
      </c>
      <c r="J1185" s="38"/>
      <c r="K1185" s="38">
        <v>590000</v>
      </c>
      <c r="L1185" s="38">
        <v>-167157.35999999999</v>
      </c>
      <c r="M1185" s="47">
        <f t="shared" si="825"/>
        <v>-207373.68000000075</v>
      </c>
      <c r="N1185" s="46">
        <v>5000000</v>
      </c>
      <c r="O1185" s="48">
        <f t="shared" si="826"/>
        <v>5093.4899999992922</v>
      </c>
      <c r="P1185" s="38">
        <v>85469.63</v>
      </c>
      <c r="Q1185" s="38">
        <v>-90000</v>
      </c>
      <c r="R1185" s="38">
        <v>-510</v>
      </c>
      <c r="S1185" s="55">
        <f t="shared" si="827"/>
        <v>53.119999999296851</v>
      </c>
      <c r="T1185" s="48"/>
      <c r="U1185" s="49">
        <f t="shared" si="828"/>
        <v>99.969999999921129</v>
      </c>
      <c r="V1185" s="38"/>
      <c r="W1185" s="38"/>
      <c r="X1185" s="38"/>
      <c r="Y1185" s="51">
        <f t="shared" si="829"/>
        <v>99.969999999921129</v>
      </c>
      <c r="Z1185" s="52"/>
      <c r="AA1185" s="53">
        <f t="shared" si="830"/>
        <v>441.8999999992302</v>
      </c>
      <c r="AB1185" s="38"/>
      <c r="AC1185" s="38"/>
      <c r="AD1185" s="38"/>
      <c r="AE1185" s="54">
        <f t="shared" si="831"/>
        <v>441.8999999992302</v>
      </c>
      <c r="AF1185" s="53"/>
      <c r="AG1185" s="53">
        <f t="shared" si="833"/>
        <v>198.74000000025529</v>
      </c>
      <c r="AH1185" s="38"/>
      <c r="AI1185" s="38"/>
      <c r="AJ1185" s="38"/>
      <c r="AK1185" s="54">
        <f t="shared" si="834"/>
        <v>198.74000000025529</v>
      </c>
      <c r="AL1185" s="53"/>
      <c r="AM1185" s="53">
        <f t="shared" si="821"/>
        <v>0</v>
      </c>
      <c r="AN1185" s="38"/>
      <c r="AO1185" s="38"/>
      <c r="AP1185" s="38"/>
      <c r="AQ1185" s="54">
        <f t="shared" si="822"/>
        <v>0</v>
      </c>
      <c r="AR1185" s="53"/>
      <c r="AS1185" s="29">
        <f t="shared" si="835"/>
        <v>-357658.34000000445</v>
      </c>
      <c r="AT1185" s="29">
        <f t="shared" si="836"/>
        <v>462015.48</v>
      </c>
      <c r="AU1185" s="29">
        <f t="shared" si="837"/>
        <v>0</v>
      </c>
      <c r="AV1185" s="29">
        <f t="shared" si="838"/>
        <v>-206128.00999999998</v>
      </c>
      <c r="AW1185" s="29"/>
      <c r="AX1185" s="29">
        <f t="shared" si="839"/>
        <v>-101572.13000000417</v>
      </c>
      <c r="AY1185" s="29">
        <f t="shared" si="840"/>
        <v>9300000</v>
      </c>
      <c r="AZ1185" s="29">
        <f t="shared" si="841"/>
        <v>9198427.8699999955</v>
      </c>
    </row>
    <row r="1186" spans="2:52" x14ac:dyDescent="0.3">
      <c r="B1186" s="99">
        <f t="shared" ref="B1186:B1249" si="843">B1185+1</f>
        <v>45825</v>
      </c>
      <c r="C1186" s="44">
        <f t="shared" si="823"/>
        <v>105007.81999999788</v>
      </c>
      <c r="D1186" s="38"/>
      <c r="E1186" s="38"/>
      <c r="F1186" s="38">
        <v>-14722.35</v>
      </c>
      <c r="G1186" s="45">
        <f t="shared" si="832"/>
        <v>90285.469999997877</v>
      </c>
      <c r="H1186" s="44">
        <v>4300000</v>
      </c>
      <c r="I1186" s="46">
        <f t="shared" si="824"/>
        <v>-207373.68000000075</v>
      </c>
      <c r="J1186" s="38"/>
      <c r="K1186" s="38">
        <v>950000</v>
      </c>
      <c r="L1186" s="38">
        <v>-33706.300000000003</v>
      </c>
      <c r="M1186" s="47">
        <f t="shared" si="825"/>
        <v>708920.0199999992</v>
      </c>
      <c r="N1186" s="46">
        <v>5000000</v>
      </c>
      <c r="O1186" s="48">
        <f t="shared" si="826"/>
        <v>53.119999999296851</v>
      </c>
      <c r="P1186" s="38">
        <v>950729.47</v>
      </c>
      <c r="Q1186" s="38">
        <v>-950000</v>
      </c>
      <c r="R1186" s="38">
        <v>-10</v>
      </c>
      <c r="S1186" s="55">
        <f t="shared" si="827"/>
        <v>772.58999999926891</v>
      </c>
      <c r="T1186" s="48"/>
      <c r="U1186" s="49">
        <f t="shared" si="828"/>
        <v>99.969999999921129</v>
      </c>
      <c r="V1186" s="38"/>
      <c r="W1186" s="38"/>
      <c r="X1186" s="38"/>
      <c r="Y1186" s="51">
        <f t="shared" si="829"/>
        <v>99.969999999921129</v>
      </c>
      <c r="Z1186" s="52"/>
      <c r="AA1186" s="53">
        <f t="shared" si="830"/>
        <v>441.8999999992302</v>
      </c>
      <c r="AB1186" s="38"/>
      <c r="AC1186" s="38"/>
      <c r="AD1186" s="38"/>
      <c r="AE1186" s="54">
        <f t="shared" si="831"/>
        <v>441.8999999992302</v>
      </c>
      <c r="AF1186" s="53"/>
      <c r="AG1186" s="53">
        <f t="shared" si="833"/>
        <v>198.74000000025529</v>
      </c>
      <c r="AH1186" s="38"/>
      <c r="AI1186" s="38"/>
      <c r="AJ1186" s="38"/>
      <c r="AK1186" s="54">
        <f t="shared" si="834"/>
        <v>198.74000000025529</v>
      </c>
      <c r="AL1186" s="53"/>
      <c r="AM1186" s="53">
        <f t="shared" si="821"/>
        <v>0</v>
      </c>
      <c r="AN1186" s="38"/>
      <c r="AO1186" s="38"/>
      <c r="AP1186" s="38"/>
      <c r="AQ1186" s="54">
        <f t="shared" si="822"/>
        <v>0</v>
      </c>
      <c r="AR1186" s="53"/>
      <c r="AS1186" s="29">
        <f t="shared" si="835"/>
        <v>-101770.87000000442</v>
      </c>
      <c r="AT1186" s="29">
        <f t="shared" si="836"/>
        <v>950729.47</v>
      </c>
      <c r="AU1186" s="29">
        <f t="shared" si="837"/>
        <v>0</v>
      </c>
      <c r="AV1186" s="29">
        <f t="shared" si="838"/>
        <v>-48438.65</v>
      </c>
      <c r="AW1186" s="29"/>
      <c r="AX1186" s="29">
        <f t="shared" si="839"/>
        <v>800718.68999999575</v>
      </c>
      <c r="AY1186" s="29">
        <f t="shared" si="840"/>
        <v>9300000</v>
      </c>
      <c r="AZ1186" s="29">
        <f t="shared" si="841"/>
        <v>10100718.689999996</v>
      </c>
    </row>
    <row r="1187" spans="2:52" x14ac:dyDescent="0.3">
      <c r="B1187" s="99">
        <f t="shared" si="843"/>
        <v>45826</v>
      </c>
      <c r="C1187" s="44">
        <f t="shared" si="823"/>
        <v>90285.469999997877</v>
      </c>
      <c r="D1187" s="38">
        <v>52124.22</v>
      </c>
      <c r="E1187" s="38">
        <v>-500000</v>
      </c>
      <c r="F1187" s="38">
        <v>-0.21</v>
      </c>
      <c r="G1187" s="45">
        <f t="shared" si="832"/>
        <v>-357590.52000000217</v>
      </c>
      <c r="H1187" s="44">
        <v>4300000</v>
      </c>
      <c r="I1187" s="46">
        <f t="shared" si="824"/>
        <v>708920.0199999992</v>
      </c>
      <c r="J1187" s="38">
        <v>506.46</v>
      </c>
      <c r="K1187" s="38">
        <v>500000</v>
      </c>
      <c r="L1187" s="38">
        <v>-989677.61</v>
      </c>
      <c r="M1187" s="47">
        <f t="shared" si="825"/>
        <v>219748.86999999906</v>
      </c>
      <c r="N1187" s="46">
        <v>5000000</v>
      </c>
      <c r="O1187" s="48">
        <f t="shared" si="826"/>
        <v>772.58999999926891</v>
      </c>
      <c r="P1187" s="38"/>
      <c r="Q1187" s="38"/>
      <c r="R1187" s="38"/>
      <c r="S1187" s="55">
        <f t="shared" si="827"/>
        <v>772.58999999926891</v>
      </c>
      <c r="T1187" s="48"/>
      <c r="U1187" s="49">
        <f t="shared" si="828"/>
        <v>99.969999999921129</v>
      </c>
      <c r="V1187" s="38"/>
      <c r="W1187" s="38"/>
      <c r="X1187" s="38"/>
      <c r="Y1187" s="51">
        <f t="shared" si="829"/>
        <v>99.969999999921129</v>
      </c>
      <c r="Z1187" s="52"/>
      <c r="AA1187" s="53">
        <f t="shared" si="830"/>
        <v>441.8999999992302</v>
      </c>
      <c r="AB1187" s="38"/>
      <c r="AC1187" s="38"/>
      <c r="AD1187" s="38"/>
      <c r="AE1187" s="54">
        <f t="shared" si="831"/>
        <v>441.8999999992302</v>
      </c>
      <c r="AF1187" s="53"/>
      <c r="AG1187" s="53">
        <f t="shared" si="833"/>
        <v>198.74000000025529</v>
      </c>
      <c r="AH1187" s="38"/>
      <c r="AI1187" s="38"/>
      <c r="AJ1187" s="38"/>
      <c r="AK1187" s="54">
        <f t="shared" si="834"/>
        <v>198.74000000025529</v>
      </c>
      <c r="AL1187" s="53"/>
      <c r="AM1187" s="53">
        <f t="shared" si="821"/>
        <v>0</v>
      </c>
      <c r="AN1187" s="38"/>
      <c r="AO1187" s="38"/>
      <c r="AP1187" s="38"/>
      <c r="AQ1187" s="54">
        <f t="shared" si="822"/>
        <v>0</v>
      </c>
      <c r="AR1187" s="53"/>
      <c r="AS1187" s="29">
        <f t="shared" si="835"/>
        <v>800519.94999999553</v>
      </c>
      <c r="AT1187" s="29">
        <f t="shared" si="836"/>
        <v>52630.68</v>
      </c>
      <c r="AU1187" s="29">
        <f t="shared" si="837"/>
        <v>0</v>
      </c>
      <c r="AV1187" s="29">
        <f t="shared" si="838"/>
        <v>-989677.82</v>
      </c>
      <c r="AW1187" s="29"/>
      <c r="AX1187" s="29">
        <f t="shared" si="839"/>
        <v>-136328.45000000444</v>
      </c>
      <c r="AY1187" s="29">
        <f t="shared" si="840"/>
        <v>9300000</v>
      </c>
      <c r="AZ1187" s="29">
        <f t="shared" si="841"/>
        <v>9163671.5499999952</v>
      </c>
    </row>
    <row r="1188" spans="2:52" x14ac:dyDescent="0.3">
      <c r="B1188" s="99">
        <f t="shared" si="843"/>
        <v>45827</v>
      </c>
      <c r="C1188" s="44">
        <f t="shared" si="823"/>
        <v>-357590.52000000217</v>
      </c>
      <c r="D1188" s="38"/>
      <c r="E1188" s="38"/>
      <c r="F1188" s="38"/>
      <c r="G1188" s="45">
        <f t="shared" si="832"/>
        <v>-357590.52000000217</v>
      </c>
      <c r="H1188" s="44">
        <v>4300000</v>
      </c>
      <c r="I1188" s="46">
        <f t="shared" si="824"/>
        <v>219748.86999999906</v>
      </c>
      <c r="J1188" s="38"/>
      <c r="K1188" s="38"/>
      <c r="L1188" s="38"/>
      <c r="M1188" s="47">
        <f t="shared" si="825"/>
        <v>219748.86999999906</v>
      </c>
      <c r="N1188" s="46">
        <v>5000000</v>
      </c>
      <c r="O1188" s="48">
        <f t="shared" si="826"/>
        <v>772.58999999926891</v>
      </c>
      <c r="P1188" s="38"/>
      <c r="Q1188" s="38"/>
      <c r="R1188" s="38"/>
      <c r="S1188" s="55">
        <f t="shared" si="827"/>
        <v>772.58999999926891</v>
      </c>
      <c r="T1188" s="48"/>
      <c r="U1188" s="49">
        <f t="shared" si="828"/>
        <v>99.969999999921129</v>
      </c>
      <c r="V1188" s="38"/>
      <c r="W1188" s="38"/>
      <c r="X1188" s="38"/>
      <c r="Y1188" s="51">
        <f t="shared" si="829"/>
        <v>99.969999999921129</v>
      </c>
      <c r="Z1188" s="52"/>
      <c r="AA1188" s="53">
        <f t="shared" si="830"/>
        <v>441.8999999992302</v>
      </c>
      <c r="AB1188" s="38"/>
      <c r="AC1188" s="38"/>
      <c r="AD1188" s="38"/>
      <c r="AE1188" s="54">
        <f t="shared" si="831"/>
        <v>441.8999999992302</v>
      </c>
      <c r="AF1188" s="53"/>
      <c r="AG1188" s="53">
        <f t="shared" si="833"/>
        <v>198.74000000025529</v>
      </c>
      <c r="AH1188" s="38"/>
      <c r="AI1188" s="38"/>
      <c r="AJ1188" s="38"/>
      <c r="AK1188" s="54">
        <f t="shared" si="834"/>
        <v>198.74000000025529</v>
      </c>
      <c r="AL1188" s="53"/>
      <c r="AM1188" s="53">
        <f t="shared" si="821"/>
        <v>0</v>
      </c>
      <c r="AN1188" s="38"/>
      <c r="AO1188" s="38"/>
      <c r="AP1188" s="38"/>
      <c r="AQ1188" s="54">
        <f t="shared" si="822"/>
        <v>0</v>
      </c>
      <c r="AR1188" s="53"/>
      <c r="AS1188" s="29">
        <f t="shared" si="835"/>
        <v>-136527.19000000469</v>
      </c>
      <c r="AT1188" s="29">
        <f t="shared" si="836"/>
        <v>0</v>
      </c>
      <c r="AU1188" s="29">
        <f t="shared" si="837"/>
        <v>0</v>
      </c>
      <c r="AV1188" s="29">
        <f t="shared" si="838"/>
        <v>0</v>
      </c>
      <c r="AW1188" s="29"/>
      <c r="AX1188" s="29">
        <f t="shared" si="839"/>
        <v>-136328.45000000444</v>
      </c>
      <c r="AY1188" s="29">
        <f t="shared" si="840"/>
        <v>9300000</v>
      </c>
      <c r="AZ1188" s="29">
        <f t="shared" si="841"/>
        <v>9163671.5499999952</v>
      </c>
    </row>
    <row r="1189" spans="2:52" x14ac:dyDescent="0.3">
      <c r="B1189" s="99">
        <f t="shared" si="843"/>
        <v>45828</v>
      </c>
      <c r="C1189" s="44">
        <f t="shared" si="823"/>
        <v>-357590.52000000217</v>
      </c>
      <c r="D1189" s="38">
        <v>118815.59</v>
      </c>
      <c r="E1189" s="38"/>
      <c r="F1189" s="38">
        <v>-758798.88</v>
      </c>
      <c r="G1189" s="45">
        <f t="shared" si="832"/>
        <v>-997573.81000000215</v>
      </c>
      <c r="H1189" s="44">
        <v>4300000</v>
      </c>
      <c r="I1189" s="46">
        <f t="shared" si="824"/>
        <v>219748.86999999906</v>
      </c>
      <c r="J1189" s="38"/>
      <c r="K1189" s="38">
        <v>957.99</v>
      </c>
      <c r="L1189" s="38">
        <v>-140708.85</v>
      </c>
      <c r="M1189" s="47">
        <f t="shared" si="825"/>
        <v>79998.009999999049</v>
      </c>
      <c r="N1189" s="46">
        <v>5000000</v>
      </c>
      <c r="O1189" s="48">
        <f t="shared" si="826"/>
        <v>772.58999999926891</v>
      </c>
      <c r="P1189" s="38">
        <v>83260.22</v>
      </c>
      <c r="Q1189" s="38"/>
      <c r="R1189" s="38">
        <v>-1230</v>
      </c>
      <c r="S1189" s="55">
        <f t="shared" si="827"/>
        <v>82802.80999999927</v>
      </c>
      <c r="T1189" s="48"/>
      <c r="U1189" s="49">
        <f t="shared" si="828"/>
        <v>99.969999999921129</v>
      </c>
      <c r="V1189" s="38"/>
      <c r="W1189" s="38"/>
      <c r="X1189" s="38"/>
      <c r="Y1189" s="51">
        <f t="shared" si="829"/>
        <v>99.969999999921129</v>
      </c>
      <c r="Z1189" s="52"/>
      <c r="AA1189" s="53">
        <f t="shared" si="830"/>
        <v>441.8999999992302</v>
      </c>
      <c r="AB1189" s="38"/>
      <c r="AC1189" s="38"/>
      <c r="AD1189" s="38"/>
      <c r="AE1189" s="54">
        <f t="shared" si="831"/>
        <v>441.8999999992302</v>
      </c>
      <c r="AF1189" s="53"/>
      <c r="AG1189" s="53">
        <f t="shared" si="833"/>
        <v>198.74000000025529</v>
      </c>
      <c r="AH1189" s="38"/>
      <c r="AI1189" s="38"/>
      <c r="AJ1189" s="38"/>
      <c r="AK1189" s="54">
        <f t="shared" si="834"/>
        <v>198.74000000025529</v>
      </c>
      <c r="AL1189" s="53"/>
      <c r="AM1189" s="53">
        <f t="shared" si="821"/>
        <v>0</v>
      </c>
      <c r="AN1189" s="38"/>
      <c r="AO1189" s="38"/>
      <c r="AP1189" s="38"/>
      <c r="AQ1189" s="54">
        <f t="shared" si="822"/>
        <v>0</v>
      </c>
      <c r="AR1189" s="53"/>
      <c r="AS1189" s="29">
        <f t="shared" si="835"/>
        <v>-136527.19000000469</v>
      </c>
      <c r="AT1189" s="29">
        <f t="shared" si="836"/>
        <v>202075.81</v>
      </c>
      <c r="AU1189" s="29">
        <f t="shared" si="837"/>
        <v>957.99</v>
      </c>
      <c r="AV1189" s="29">
        <f t="shared" si="838"/>
        <v>-900737.73</v>
      </c>
      <c r="AW1189" s="29"/>
      <c r="AX1189" s="29">
        <f t="shared" si="839"/>
        <v>-834032.38000000443</v>
      </c>
      <c r="AY1189" s="29">
        <f t="shared" si="840"/>
        <v>9300000</v>
      </c>
      <c r="AZ1189" s="29">
        <f t="shared" si="841"/>
        <v>8465967.6199999955</v>
      </c>
    </row>
    <row r="1190" spans="2:52" x14ac:dyDescent="0.3">
      <c r="B1190" s="99">
        <f>B1189+3</f>
        <v>45831</v>
      </c>
      <c r="C1190" s="44">
        <f t="shared" si="823"/>
        <v>-997573.81000000215</v>
      </c>
      <c r="D1190" s="38">
        <v>93574.56</v>
      </c>
      <c r="E1190" s="38">
        <v>1000000</v>
      </c>
      <c r="F1190" s="38">
        <v>-0.21</v>
      </c>
      <c r="G1190" s="45">
        <f t="shared" si="832"/>
        <v>96000.539999997898</v>
      </c>
      <c r="H1190" s="44">
        <v>4300000</v>
      </c>
      <c r="I1190" s="46">
        <f t="shared" si="824"/>
        <v>79998.009999999049</v>
      </c>
      <c r="J1190" s="38"/>
      <c r="K1190" s="38">
        <v>450000</v>
      </c>
      <c r="L1190" s="38">
        <v>-49536.54</v>
      </c>
      <c r="M1190" s="47">
        <f t="shared" si="825"/>
        <v>480461.4699999991</v>
      </c>
      <c r="N1190" s="46">
        <v>5000000</v>
      </c>
      <c r="O1190" s="48">
        <f t="shared" si="826"/>
        <v>82802.80999999927</v>
      </c>
      <c r="P1190" s="38">
        <v>1375269.52</v>
      </c>
      <c r="Q1190" s="38">
        <v>-1450000</v>
      </c>
      <c r="R1190" s="38">
        <v>-20</v>
      </c>
      <c r="S1190" s="55">
        <f t="shared" si="827"/>
        <v>8052.329999999376</v>
      </c>
      <c r="T1190" s="48"/>
      <c r="U1190" s="49">
        <f t="shared" si="828"/>
        <v>99.969999999921129</v>
      </c>
      <c r="V1190" s="38"/>
      <c r="W1190" s="38"/>
      <c r="X1190" s="38"/>
      <c r="Y1190" s="51">
        <f t="shared" si="829"/>
        <v>99.969999999921129</v>
      </c>
      <c r="Z1190" s="52"/>
      <c r="AA1190" s="53">
        <f t="shared" si="830"/>
        <v>441.8999999992302</v>
      </c>
      <c r="AB1190" s="38"/>
      <c r="AC1190" s="38"/>
      <c r="AD1190" s="38"/>
      <c r="AE1190" s="54">
        <f t="shared" si="831"/>
        <v>441.8999999992302</v>
      </c>
      <c r="AF1190" s="53"/>
      <c r="AG1190" s="53">
        <f t="shared" si="833"/>
        <v>198.74000000025529</v>
      </c>
      <c r="AH1190" s="38"/>
      <c r="AI1190" s="38"/>
      <c r="AJ1190" s="38"/>
      <c r="AK1190" s="54">
        <f t="shared" si="834"/>
        <v>198.74000000025529</v>
      </c>
      <c r="AL1190" s="53"/>
      <c r="AM1190" s="53">
        <f t="shared" si="821"/>
        <v>0</v>
      </c>
      <c r="AN1190" s="38"/>
      <c r="AO1190" s="38"/>
      <c r="AP1190" s="38"/>
      <c r="AQ1190" s="54">
        <f t="shared" si="822"/>
        <v>0</v>
      </c>
      <c r="AR1190" s="53"/>
      <c r="AS1190" s="29">
        <f t="shared" si="835"/>
        <v>-834231.12000000465</v>
      </c>
      <c r="AT1190" s="29">
        <f t="shared" si="836"/>
        <v>1468844.08</v>
      </c>
      <c r="AU1190" s="29">
        <f t="shared" si="837"/>
        <v>0</v>
      </c>
      <c r="AV1190" s="29">
        <f t="shared" si="838"/>
        <v>-49556.75</v>
      </c>
      <c r="AW1190" s="29"/>
      <c r="AX1190" s="29">
        <f t="shared" si="839"/>
        <v>585254.94999999576</v>
      </c>
      <c r="AY1190" s="29">
        <f t="shared" si="840"/>
        <v>9300000</v>
      </c>
      <c r="AZ1190" s="29">
        <f t="shared" si="841"/>
        <v>9885254.9499999955</v>
      </c>
    </row>
    <row r="1191" spans="2:52" x14ac:dyDescent="0.3">
      <c r="B1191" s="99">
        <f t="shared" si="843"/>
        <v>45832</v>
      </c>
      <c r="C1191" s="44">
        <f t="shared" si="823"/>
        <v>96000.539999997898</v>
      </c>
      <c r="D1191" s="38"/>
      <c r="E1191" s="38"/>
      <c r="F1191" s="38"/>
      <c r="G1191" s="45">
        <f t="shared" si="832"/>
        <v>96000.539999997898</v>
      </c>
      <c r="H1191" s="44">
        <v>4300000</v>
      </c>
      <c r="I1191" s="46">
        <f t="shared" si="824"/>
        <v>480461.4699999991</v>
      </c>
      <c r="J1191" s="38"/>
      <c r="K1191" s="38"/>
      <c r="L1191" s="38"/>
      <c r="M1191" s="47">
        <f t="shared" si="825"/>
        <v>480461.4699999991</v>
      </c>
      <c r="N1191" s="46">
        <v>5000000</v>
      </c>
      <c r="O1191" s="48">
        <f t="shared" si="826"/>
        <v>8052.329999999376</v>
      </c>
      <c r="P1191" s="38"/>
      <c r="Q1191" s="38"/>
      <c r="R1191" s="38"/>
      <c r="S1191" s="55">
        <f t="shared" si="827"/>
        <v>8052.329999999376</v>
      </c>
      <c r="T1191" s="48"/>
      <c r="U1191" s="49">
        <f t="shared" si="828"/>
        <v>99.969999999921129</v>
      </c>
      <c r="V1191" s="38"/>
      <c r="W1191" s="38"/>
      <c r="X1191" s="38"/>
      <c r="Y1191" s="51">
        <f t="shared" si="829"/>
        <v>99.969999999921129</v>
      </c>
      <c r="Z1191" s="52"/>
      <c r="AA1191" s="53">
        <f t="shared" si="830"/>
        <v>441.8999999992302</v>
      </c>
      <c r="AB1191" s="38"/>
      <c r="AC1191" s="38"/>
      <c r="AD1191" s="38"/>
      <c r="AE1191" s="54">
        <f t="shared" si="831"/>
        <v>441.8999999992302</v>
      </c>
      <c r="AF1191" s="53"/>
      <c r="AG1191" s="53">
        <f t="shared" si="833"/>
        <v>198.74000000025529</v>
      </c>
      <c r="AH1191" s="38">
        <v>110623.81</v>
      </c>
      <c r="AI1191" s="38"/>
      <c r="AJ1191" s="38"/>
      <c r="AK1191" s="54">
        <f t="shared" si="834"/>
        <v>110822.55000000025</v>
      </c>
      <c r="AL1191" s="53"/>
      <c r="AM1191" s="53">
        <f t="shared" si="821"/>
        <v>0</v>
      </c>
      <c r="AN1191" s="38"/>
      <c r="AO1191" s="38"/>
      <c r="AP1191" s="38"/>
      <c r="AQ1191" s="54">
        <f t="shared" si="822"/>
        <v>0</v>
      </c>
      <c r="AR1191" s="53"/>
      <c r="AS1191" s="29">
        <f t="shared" si="835"/>
        <v>585056.20999999554</v>
      </c>
      <c r="AT1191" s="29">
        <f t="shared" si="836"/>
        <v>110623.81</v>
      </c>
      <c r="AU1191" s="29">
        <f t="shared" si="837"/>
        <v>0</v>
      </c>
      <c r="AV1191" s="29">
        <f t="shared" si="838"/>
        <v>0</v>
      </c>
      <c r="AW1191" s="29"/>
      <c r="AX1191" s="29">
        <f t="shared" si="839"/>
        <v>695878.75999999582</v>
      </c>
      <c r="AY1191" s="29">
        <f t="shared" si="840"/>
        <v>9300000</v>
      </c>
      <c r="AZ1191" s="29">
        <f t="shared" si="841"/>
        <v>9995878.7599999961</v>
      </c>
    </row>
    <row r="1192" spans="2:52" x14ac:dyDescent="0.3">
      <c r="B1192" s="99">
        <f t="shared" si="843"/>
        <v>45833</v>
      </c>
      <c r="C1192" s="44">
        <f t="shared" si="823"/>
        <v>96000.539999997898</v>
      </c>
      <c r="D1192" s="38">
        <v>1508563.84</v>
      </c>
      <c r="E1192" s="38"/>
      <c r="F1192" s="38">
        <v>-76679.460000000006</v>
      </c>
      <c r="G1192" s="45">
        <f t="shared" si="832"/>
        <v>1527884.9199999981</v>
      </c>
      <c r="H1192" s="44">
        <v>4300000</v>
      </c>
      <c r="I1192" s="46">
        <f t="shared" si="824"/>
        <v>480461.4699999991</v>
      </c>
      <c r="J1192" s="38">
        <v>10242.790000000001</v>
      </c>
      <c r="K1192" s="38">
        <v>2110000</v>
      </c>
      <c r="L1192" s="38">
        <v>-316707.76</v>
      </c>
      <c r="M1192" s="47">
        <f t="shared" si="825"/>
        <v>2283996.4999999991</v>
      </c>
      <c r="N1192" s="46">
        <v>5000000</v>
      </c>
      <c r="O1192" s="48">
        <f t="shared" si="826"/>
        <v>8052.329999999376</v>
      </c>
      <c r="P1192" s="38"/>
      <c r="Q1192" s="38">
        <f>2348500-2000000</f>
        <v>348500</v>
      </c>
      <c r="R1192" s="38">
        <f>-128.9-10</f>
        <v>-138.9</v>
      </c>
      <c r="S1192" s="55">
        <f t="shared" si="827"/>
        <v>356413.42999999935</v>
      </c>
      <c r="T1192" s="48"/>
      <c r="U1192" s="49">
        <f t="shared" si="828"/>
        <v>99.969999999921129</v>
      </c>
      <c r="V1192" s="38">
        <v>2348469.0299999998</v>
      </c>
      <c r="W1192" s="38">
        <v>-2348500</v>
      </c>
      <c r="X1192" s="38"/>
      <c r="Y1192" s="51">
        <f t="shared" si="829"/>
        <v>68.999999999534339</v>
      </c>
      <c r="Z1192" s="52"/>
      <c r="AA1192" s="53">
        <f t="shared" si="830"/>
        <v>441.8999999992302</v>
      </c>
      <c r="AB1192" s="38"/>
      <c r="AC1192" s="38"/>
      <c r="AD1192" s="38"/>
      <c r="AE1192" s="54">
        <f t="shared" si="831"/>
        <v>441.8999999992302</v>
      </c>
      <c r="AF1192" s="53"/>
      <c r="AG1192" s="53">
        <f t="shared" si="833"/>
        <v>110822.55000000025</v>
      </c>
      <c r="AH1192" s="38"/>
      <c r="AI1192" s="38">
        <v>-110000</v>
      </c>
      <c r="AJ1192" s="38"/>
      <c r="AK1192" s="54">
        <f t="shared" si="834"/>
        <v>822.55000000025029</v>
      </c>
      <c r="AL1192" s="53"/>
      <c r="AM1192" s="53">
        <f t="shared" si="821"/>
        <v>0</v>
      </c>
      <c r="AN1192" s="38"/>
      <c r="AO1192" s="38"/>
      <c r="AP1192" s="38"/>
      <c r="AQ1192" s="54">
        <f t="shared" si="822"/>
        <v>0</v>
      </c>
      <c r="AR1192" s="53"/>
      <c r="AS1192" s="29">
        <f t="shared" si="835"/>
        <v>585056.20999999554</v>
      </c>
      <c r="AT1192" s="29">
        <f t="shared" si="836"/>
        <v>3867275.66</v>
      </c>
      <c r="AU1192" s="29">
        <f t="shared" si="837"/>
        <v>0</v>
      </c>
      <c r="AV1192" s="29">
        <f t="shared" si="838"/>
        <v>-393526.12000000005</v>
      </c>
      <c r="AW1192" s="29"/>
      <c r="AX1192" s="29">
        <f t="shared" si="839"/>
        <v>4169628.2999999956</v>
      </c>
      <c r="AY1192" s="29">
        <f t="shared" si="840"/>
        <v>9300000</v>
      </c>
      <c r="AZ1192" s="29">
        <f t="shared" si="841"/>
        <v>13469628.299999995</v>
      </c>
    </row>
    <row r="1193" spans="2:52" x14ac:dyDescent="0.3">
      <c r="B1193" s="99">
        <f t="shared" si="843"/>
        <v>45834</v>
      </c>
      <c r="C1193" s="44">
        <f t="shared" si="823"/>
        <v>1527884.9199999981</v>
      </c>
      <c r="D1193" s="38">
        <f>28886.35+302576.15</f>
        <v>331462.5</v>
      </c>
      <c r="E1193" s="38"/>
      <c r="F1193" s="38">
        <v>-2400.88</v>
      </c>
      <c r="G1193" s="45">
        <f t="shared" si="832"/>
        <v>1856946.5399999982</v>
      </c>
      <c r="H1193" s="44">
        <v>4300000</v>
      </c>
      <c r="I1193" s="46">
        <f t="shared" si="824"/>
        <v>2283996.4999999991</v>
      </c>
      <c r="J1193" s="38"/>
      <c r="K1193" s="38">
        <v>350000</v>
      </c>
      <c r="L1193" s="38">
        <v>-424701.63</v>
      </c>
      <c r="M1193" s="47">
        <f t="shared" si="825"/>
        <v>2209294.8699999992</v>
      </c>
      <c r="N1193" s="46">
        <v>5000000</v>
      </c>
      <c r="O1193" s="48">
        <f t="shared" si="826"/>
        <v>356413.42999999935</v>
      </c>
      <c r="P1193" s="38"/>
      <c r="Q1193" s="38">
        <v>-350000</v>
      </c>
      <c r="R1193" s="38">
        <v>-3309.49</v>
      </c>
      <c r="S1193" s="55">
        <f t="shared" si="827"/>
        <v>3103.9399999993529</v>
      </c>
      <c r="T1193" s="48"/>
      <c r="U1193" s="49">
        <f t="shared" si="828"/>
        <v>68.999999999534339</v>
      </c>
      <c r="V1193" s="38"/>
      <c r="W1193" s="38"/>
      <c r="X1193" s="38"/>
      <c r="Y1193" s="51">
        <f t="shared" si="829"/>
        <v>68.999999999534339</v>
      </c>
      <c r="Z1193" s="52"/>
      <c r="AA1193" s="53">
        <f t="shared" si="830"/>
        <v>441.8999999992302</v>
      </c>
      <c r="AB1193" s="38"/>
      <c r="AC1193" s="38"/>
      <c r="AD1193" s="38"/>
      <c r="AE1193" s="54">
        <f t="shared" si="831"/>
        <v>441.8999999992302</v>
      </c>
      <c r="AF1193" s="53"/>
      <c r="AG1193" s="53">
        <f t="shared" si="833"/>
        <v>822.55000000025029</v>
      </c>
      <c r="AH1193" s="38"/>
      <c r="AI1193" s="38"/>
      <c r="AJ1193" s="38">
        <v>-9.9</v>
      </c>
      <c r="AK1193" s="54">
        <f t="shared" si="834"/>
        <v>812.65000000025032</v>
      </c>
      <c r="AL1193" s="53"/>
      <c r="AM1193" s="53">
        <f t="shared" si="821"/>
        <v>0</v>
      </c>
      <c r="AN1193" s="38"/>
      <c r="AO1193" s="38"/>
      <c r="AP1193" s="38"/>
      <c r="AQ1193" s="54">
        <f t="shared" si="822"/>
        <v>0</v>
      </c>
      <c r="AR1193" s="53"/>
      <c r="AS1193" s="29">
        <f t="shared" si="835"/>
        <v>4168805.7499999953</v>
      </c>
      <c r="AT1193" s="29">
        <f t="shared" si="836"/>
        <v>331462.5</v>
      </c>
      <c r="AU1193" s="29">
        <f t="shared" si="837"/>
        <v>0</v>
      </c>
      <c r="AV1193" s="29">
        <f t="shared" si="838"/>
        <v>-430421.9</v>
      </c>
      <c r="AW1193" s="29"/>
      <c r="AX1193" s="29">
        <f t="shared" si="839"/>
        <v>4070668.8999999962</v>
      </c>
      <c r="AY1193" s="29">
        <f t="shared" si="840"/>
        <v>9300000</v>
      </c>
      <c r="AZ1193" s="29">
        <f t="shared" si="841"/>
        <v>13370668.899999997</v>
      </c>
    </row>
    <row r="1194" spans="2:52" x14ac:dyDescent="0.3">
      <c r="B1194" s="99">
        <f t="shared" si="843"/>
        <v>45835</v>
      </c>
      <c r="C1194" s="44">
        <f t="shared" si="823"/>
        <v>1856946.5399999982</v>
      </c>
      <c r="D1194" s="38">
        <v>833747.1</v>
      </c>
      <c r="E1194" s="38"/>
      <c r="F1194" s="38"/>
      <c r="G1194" s="45">
        <f t="shared" si="832"/>
        <v>2690693.6399999983</v>
      </c>
      <c r="H1194" s="44">
        <v>4300000</v>
      </c>
      <c r="I1194" s="46">
        <f t="shared" si="824"/>
        <v>2209294.8699999992</v>
      </c>
      <c r="J1194" s="38">
        <v>992100.74</v>
      </c>
      <c r="K1194" s="38"/>
      <c r="L1194" s="38">
        <f>-1123674.24+0.67</f>
        <v>-1123673.57</v>
      </c>
      <c r="M1194" s="47">
        <f t="shared" si="825"/>
        <v>2077722.0399999993</v>
      </c>
      <c r="N1194" s="46">
        <v>5000000</v>
      </c>
      <c r="O1194" s="48">
        <f t="shared" si="826"/>
        <v>3103.9399999993529</v>
      </c>
      <c r="P1194" s="38">
        <v>460392.14</v>
      </c>
      <c r="Q1194" s="38"/>
      <c r="R1194" s="38"/>
      <c r="S1194" s="55">
        <f t="shared" si="827"/>
        <v>463496.07999999938</v>
      </c>
      <c r="T1194" s="48"/>
      <c r="U1194" s="49">
        <f t="shared" si="828"/>
        <v>68.999999999534339</v>
      </c>
      <c r="V1194" s="38"/>
      <c r="W1194" s="38"/>
      <c r="X1194" s="38"/>
      <c r="Y1194" s="51">
        <f t="shared" si="829"/>
        <v>68.999999999534339</v>
      </c>
      <c r="Z1194" s="52"/>
      <c r="AA1194" s="53">
        <f t="shared" si="830"/>
        <v>441.8999999992302</v>
      </c>
      <c r="AB1194" s="38"/>
      <c r="AC1194" s="38"/>
      <c r="AD1194" s="38"/>
      <c r="AE1194" s="54">
        <f t="shared" si="831"/>
        <v>441.8999999992302</v>
      </c>
      <c r="AF1194" s="53"/>
      <c r="AG1194" s="53">
        <f t="shared" si="833"/>
        <v>812.65000000025032</v>
      </c>
      <c r="AH1194" s="38">
        <v>1324567.3</v>
      </c>
      <c r="AI1194" s="38"/>
      <c r="AJ1194" s="38"/>
      <c r="AK1194" s="54">
        <f t="shared" si="834"/>
        <v>1325379.9500000002</v>
      </c>
      <c r="AL1194" s="53"/>
      <c r="AM1194" s="53">
        <f t="shared" si="821"/>
        <v>0</v>
      </c>
      <c r="AN1194" s="38"/>
      <c r="AO1194" s="38"/>
      <c r="AP1194" s="38"/>
      <c r="AQ1194" s="54">
        <f t="shared" si="822"/>
        <v>0</v>
      </c>
      <c r="AR1194" s="53"/>
      <c r="AS1194" s="29">
        <f t="shared" si="835"/>
        <v>4069856.2499999958</v>
      </c>
      <c r="AT1194" s="29">
        <f t="shared" si="836"/>
        <v>3610807.2800000003</v>
      </c>
      <c r="AU1194" s="29">
        <f t="shared" si="837"/>
        <v>0</v>
      </c>
      <c r="AV1194" s="29">
        <f t="shared" si="838"/>
        <v>-1123673.57</v>
      </c>
      <c r="AW1194" s="29"/>
      <c r="AX1194" s="29">
        <f t="shared" si="839"/>
        <v>6557802.6099999957</v>
      </c>
      <c r="AY1194" s="29">
        <f t="shared" si="840"/>
        <v>9300000</v>
      </c>
      <c r="AZ1194" s="29">
        <f t="shared" si="841"/>
        <v>15857802.609999996</v>
      </c>
    </row>
    <row r="1195" spans="2:52" x14ac:dyDescent="0.3">
      <c r="B1195" s="99">
        <f>B1194+3</f>
        <v>45838</v>
      </c>
      <c r="C1195" s="44">
        <f t="shared" si="823"/>
        <v>2690693.6399999983</v>
      </c>
      <c r="D1195" s="38">
        <f>53562.07+56973.87+122184.82+47712+104.35</f>
        <v>280537.11</v>
      </c>
      <c r="E1195" s="38"/>
      <c r="F1195" s="38">
        <v>-72629.100000000006</v>
      </c>
      <c r="G1195" s="45">
        <f t="shared" si="832"/>
        <v>2898601.649999998</v>
      </c>
      <c r="H1195" s="44">
        <v>4300000</v>
      </c>
      <c r="I1195" s="46">
        <f t="shared" si="824"/>
        <v>2077722.0399999993</v>
      </c>
      <c r="J1195" s="38"/>
      <c r="K1195" s="38">
        <v>780000</v>
      </c>
      <c r="L1195" s="38"/>
      <c r="M1195" s="47">
        <f t="shared" si="825"/>
        <v>2857722.0399999991</v>
      </c>
      <c r="N1195" s="46">
        <v>5000000</v>
      </c>
      <c r="O1195" s="48">
        <f t="shared" si="826"/>
        <v>463496.07999999938</v>
      </c>
      <c r="P1195" s="38">
        <v>317729.99</v>
      </c>
      <c r="Q1195" s="38">
        <v>-780000</v>
      </c>
      <c r="R1195" s="38">
        <v>-10</v>
      </c>
      <c r="S1195" s="55">
        <f t="shared" si="827"/>
        <v>1216.0699999993667</v>
      </c>
      <c r="T1195" s="48"/>
      <c r="U1195" s="49">
        <f t="shared" si="828"/>
        <v>68.999999999534339</v>
      </c>
      <c r="V1195" s="38"/>
      <c r="W1195" s="38"/>
      <c r="X1195" s="38"/>
      <c r="Y1195" s="51">
        <f t="shared" si="829"/>
        <v>68.999999999534339</v>
      </c>
      <c r="Z1195" s="52"/>
      <c r="AA1195" s="53">
        <f t="shared" si="830"/>
        <v>441.8999999992302</v>
      </c>
      <c r="AB1195" s="38">
        <v>0.05</v>
      </c>
      <c r="AC1195" s="38"/>
      <c r="AD1195" s="38"/>
      <c r="AE1195" s="54">
        <f t="shared" si="831"/>
        <v>441.94999999923022</v>
      </c>
      <c r="AF1195" s="53"/>
      <c r="AG1195" s="53">
        <f t="shared" si="833"/>
        <v>1325379.9500000002</v>
      </c>
      <c r="AH1195" s="38">
        <f>77648.68+1.67</f>
        <v>77650.349999999991</v>
      </c>
      <c r="AI1195" s="38"/>
      <c r="AJ1195" s="38"/>
      <c r="AK1195" s="54">
        <f t="shared" si="834"/>
        <v>1403030.3000000003</v>
      </c>
      <c r="AL1195" s="53"/>
      <c r="AM1195" s="53">
        <f t="shared" si="821"/>
        <v>0</v>
      </c>
      <c r="AN1195" s="38"/>
      <c r="AO1195" s="38"/>
      <c r="AP1195" s="38"/>
      <c r="AQ1195" s="54">
        <f t="shared" si="822"/>
        <v>0</v>
      </c>
      <c r="AR1195" s="53"/>
      <c r="AS1195" s="29">
        <f t="shared" si="835"/>
        <v>5232422.6599999955</v>
      </c>
      <c r="AT1195" s="29">
        <f t="shared" si="836"/>
        <v>675917.5</v>
      </c>
      <c r="AU1195" s="29">
        <f t="shared" si="837"/>
        <v>0</v>
      </c>
      <c r="AV1195" s="29">
        <f t="shared" si="838"/>
        <v>-72639.100000000006</v>
      </c>
      <c r="AW1195" s="29"/>
      <c r="AX1195" s="29">
        <f t="shared" si="839"/>
        <v>7161081.0099999961</v>
      </c>
      <c r="AY1195" s="29">
        <f t="shared" si="840"/>
        <v>9300000</v>
      </c>
      <c r="AZ1195" s="29">
        <f t="shared" si="841"/>
        <v>16461081.009999996</v>
      </c>
    </row>
    <row r="1196" spans="2:52" x14ac:dyDescent="0.3">
      <c r="B1196" s="99">
        <f t="shared" si="843"/>
        <v>45839</v>
      </c>
      <c r="C1196" s="44">
        <f t="shared" si="823"/>
        <v>2898601.649999998</v>
      </c>
      <c r="D1196" s="38">
        <v>11571.75</v>
      </c>
      <c r="E1196" s="38"/>
      <c r="F1196" s="38">
        <v>-19600</v>
      </c>
      <c r="G1196" s="45">
        <f t="shared" si="832"/>
        <v>2890573.399999998</v>
      </c>
      <c r="H1196" s="44">
        <v>4300000</v>
      </c>
      <c r="I1196" s="46">
        <f t="shared" si="824"/>
        <v>2857722.0399999991</v>
      </c>
      <c r="J1196" s="38"/>
      <c r="K1196" s="38"/>
      <c r="L1196" s="38">
        <v>-120607.7</v>
      </c>
      <c r="M1196" s="47">
        <f t="shared" si="825"/>
        <v>2737114.3399999989</v>
      </c>
      <c r="N1196" s="46">
        <v>5000000</v>
      </c>
      <c r="O1196" s="48">
        <f t="shared" si="826"/>
        <v>1216.0699999993667</v>
      </c>
      <c r="P1196" s="38">
        <v>179937.77</v>
      </c>
      <c r="Q1196" s="38"/>
      <c r="R1196" s="38"/>
      <c r="S1196" s="55">
        <f t="shared" si="827"/>
        <v>181153.83999999936</v>
      </c>
      <c r="T1196" s="48"/>
      <c r="U1196" s="49">
        <f t="shared" si="828"/>
        <v>68.999999999534339</v>
      </c>
      <c r="V1196" s="38"/>
      <c r="W1196" s="38"/>
      <c r="X1196" s="38"/>
      <c r="Y1196" s="51">
        <f t="shared" si="829"/>
        <v>68.999999999534339</v>
      </c>
      <c r="Z1196" s="52"/>
      <c r="AA1196" s="53">
        <f t="shared" si="830"/>
        <v>441.94999999923022</v>
      </c>
      <c r="AB1196" s="38"/>
      <c r="AC1196" s="38"/>
      <c r="AD1196" s="38"/>
      <c r="AE1196" s="54">
        <f t="shared" si="831"/>
        <v>441.94999999923022</v>
      </c>
      <c r="AF1196" s="53"/>
      <c r="AG1196" s="53">
        <f t="shared" si="833"/>
        <v>1403030.3000000003</v>
      </c>
      <c r="AH1196" s="38"/>
      <c r="AI1196" s="38"/>
      <c r="AJ1196" s="38"/>
      <c r="AK1196" s="54">
        <f t="shared" si="834"/>
        <v>1403030.3000000003</v>
      </c>
      <c r="AL1196" s="53"/>
      <c r="AM1196" s="53">
        <f t="shared" si="821"/>
        <v>0</v>
      </c>
      <c r="AN1196" s="38"/>
      <c r="AO1196" s="38"/>
      <c r="AP1196" s="38"/>
      <c r="AQ1196" s="54">
        <f t="shared" si="822"/>
        <v>0</v>
      </c>
      <c r="AR1196" s="53"/>
      <c r="AS1196" s="29">
        <f t="shared" si="835"/>
        <v>5758050.7099999953</v>
      </c>
      <c r="AT1196" s="29">
        <f t="shared" si="836"/>
        <v>191509.52</v>
      </c>
      <c r="AU1196" s="29">
        <f t="shared" si="837"/>
        <v>0</v>
      </c>
      <c r="AV1196" s="29">
        <f t="shared" si="838"/>
        <v>-140207.70000000001</v>
      </c>
      <c r="AW1196" s="29"/>
      <c r="AX1196" s="29">
        <f t="shared" si="839"/>
        <v>7212382.8299999945</v>
      </c>
      <c r="AY1196" s="29">
        <f t="shared" si="840"/>
        <v>9300000</v>
      </c>
      <c r="AZ1196" s="29">
        <f t="shared" si="841"/>
        <v>16512382.829999994</v>
      </c>
    </row>
    <row r="1197" spans="2:52" x14ac:dyDescent="0.3">
      <c r="B1197" s="99">
        <f t="shared" si="843"/>
        <v>45840</v>
      </c>
      <c r="C1197" s="44">
        <f t="shared" si="823"/>
        <v>2890573.399999998</v>
      </c>
      <c r="D1197" s="38"/>
      <c r="E1197" s="38"/>
      <c r="F1197" s="38"/>
      <c r="G1197" s="45">
        <f t="shared" si="832"/>
        <v>2890573.399999998</v>
      </c>
      <c r="H1197" s="44">
        <v>4300000</v>
      </c>
      <c r="I1197" s="46">
        <f t="shared" si="824"/>
        <v>2737114.3399999989</v>
      </c>
      <c r="J1197" s="38"/>
      <c r="K1197" s="38"/>
      <c r="L1197" s="38"/>
      <c r="M1197" s="47">
        <f t="shared" si="825"/>
        <v>2737114.3399999989</v>
      </c>
      <c r="N1197" s="46">
        <v>5000000</v>
      </c>
      <c r="O1197" s="48">
        <f t="shared" si="826"/>
        <v>181153.83999999936</v>
      </c>
      <c r="P1197" s="38">
        <v>541944.82999999996</v>
      </c>
      <c r="Q1197" s="38"/>
      <c r="R1197" s="38"/>
      <c r="S1197" s="55">
        <f t="shared" si="827"/>
        <v>723098.66999999934</v>
      </c>
      <c r="T1197" s="48"/>
      <c r="U1197" s="49">
        <f t="shared" si="828"/>
        <v>68.999999999534339</v>
      </c>
      <c r="V1197" s="38"/>
      <c r="W1197" s="38"/>
      <c r="X1197" s="38">
        <v>-68.400000000000006</v>
      </c>
      <c r="Y1197" s="51">
        <f t="shared" si="829"/>
        <v>0.59999999953433303</v>
      </c>
      <c r="Z1197" s="52"/>
      <c r="AA1197" s="53">
        <f t="shared" si="830"/>
        <v>441.94999999923022</v>
      </c>
      <c r="AB1197" s="38"/>
      <c r="AC1197" s="38"/>
      <c r="AD1197" s="38"/>
      <c r="AE1197" s="54">
        <f t="shared" si="831"/>
        <v>441.94999999923022</v>
      </c>
      <c r="AF1197" s="53"/>
      <c r="AG1197" s="53">
        <f t="shared" si="833"/>
        <v>1403030.3000000003</v>
      </c>
      <c r="AH1197" s="38"/>
      <c r="AI1197" s="38"/>
      <c r="AJ1197" s="38"/>
      <c r="AK1197" s="54">
        <f t="shared" si="834"/>
        <v>1403030.3000000003</v>
      </c>
      <c r="AL1197" s="53"/>
      <c r="AM1197" s="53">
        <f t="shared" si="821"/>
        <v>0</v>
      </c>
      <c r="AN1197" s="38"/>
      <c r="AO1197" s="38"/>
      <c r="AP1197" s="38"/>
      <c r="AQ1197" s="54">
        <f t="shared" si="822"/>
        <v>0</v>
      </c>
      <c r="AR1197" s="53"/>
      <c r="AS1197" s="29">
        <f t="shared" si="835"/>
        <v>5809352.5299999937</v>
      </c>
      <c r="AT1197" s="29">
        <f t="shared" si="836"/>
        <v>541944.82999999996</v>
      </c>
      <c r="AU1197" s="29">
        <f t="shared" si="837"/>
        <v>0</v>
      </c>
      <c r="AV1197" s="29">
        <f t="shared" si="838"/>
        <v>-68.400000000000006</v>
      </c>
      <c r="AW1197" s="29"/>
      <c r="AX1197" s="29">
        <f t="shared" si="839"/>
        <v>7754259.2599999942</v>
      </c>
      <c r="AY1197" s="29">
        <f t="shared" si="840"/>
        <v>9300000</v>
      </c>
      <c r="AZ1197" s="29">
        <f t="shared" si="841"/>
        <v>17054259.259999994</v>
      </c>
    </row>
    <row r="1198" spans="2:52" x14ac:dyDescent="0.3">
      <c r="B1198" s="99">
        <f t="shared" si="843"/>
        <v>45841</v>
      </c>
      <c r="C1198" s="44">
        <f t="shared" si="823"/>
        <v>2890573.399999998</v>
      </c>
      <c r="D1198" s="38">
        <f>7946.37+316088.96</f>
        <v>324035.33</v>
      </c>
      <c r="E1198" s="38"/>
      <c r="F1198" s="38">
        <v>-155716.31</v>
      </c>
      <c r="G1198" s="45">
        <f t="shared" si="832"/>
        <v>3058892.4199999981</v>
      </c>
      <c r="H1198" s="44">
        <v>4300000</v>
      </c>
      <c r="I1198" s="46">
        <f t="shared" si="824"/>
        <v>2737114.3399999989</v>
      </c>
      <c r="J1198" s="38"/>
      <c r="K1198" s="38">
        <v>1402000</v>
      </c>
      <c r="L1198" s="38">
        <v>-3440503.09</v>
      </c>
      <c r="M1198" s="47">
        <f t="shared" si="825"/>
        <v>698611.24999999907</v>
      </c>
      <c r="N1198" s="46">
        <v>5000000</v>
      </c>
      <c r="O1198" s="48">
        <f t="shared" si="826"/>
        <v>723098.66999999934</v>
      </c>
      <c r="P1198" s="38">
        <f>70248.43+307326.14+40179.26</f>
        <v>417753.83</v>
      </c>
      <c r="Q1198" s="38"/>
      <c r="R1198" s="38">
        <v>-4737.78</v>
      </c>
      <c r="S1198" s="55">
        <f t="shared" si="827"/>
        <v>1136114.7199999993</v>
      </c>
      <c r="T1198" s="48"/>
      <c r="U1198" s="49">
        <f t="shared" si="828"/>
        <v>0.59999999953433303</v>
      </c>
      <c r="V1198" s="38"/>
      <c r="W1198" s="38"/>
      <c r="X1198" s="38"/>
      <c r="Y1198" s="51">
        <f t="shared" si="829"/>
        <v>0.59999999953433303</v>
      </c>
      <c r="Z1198" s="52"/>
      <c r="AA1198" s="53">
        <f t="shared" si="830"/>
        <v>441.94999999923022</v>
      </c>
      <c r="AB1198" s="38"/>
      <c r="AC1198" s="38"/>
      <c r="AD1198" s="38"/>
      <c r="AE1198" s="54">
        <f t="shared" si="831"/>
        <v>441.94999999923022</v>
      </c>
      <c r="AF1198" s="53"/>
      <c r="AG1198" s="53">
        <f t="shared" si="833"/>
        <v>1403030.3000000003</v>
      </c>
      <c r="AH1198" s="38"/>
      <c r="AI1198" s="38">
        <v>-1402000</v>
      </c>
      <c r="AJ1198" s="38"/>
      <c r="AK1198" s="54">
        <f t="shared" si="834"/>
        <v>1030.3000000002794</v>
      </c>
      <c r="AL1198" s="53"/>
      <c r="AM1198" s="53">
        <f t="shared" si="821"/>
        <v>0</v>
      </c>
      <c r="AN1198" s="38"/>
      <c r="AO1198" s="38"/>
      <c r="AP1198" s="38"/>
      <c r="AQ1198" s="54">
        <f t="shared" si="822"/>
        <v>0</v>
      </c>
      <c r="AR1198" s="53"/>
      <c r="AS1198" s="29">
        <f t="shared" si="835"/>
        <v>6351228.9599999944</v>
      </c>
      <c r="AT1198" s="29">
        <f t="shared" si="836"/>
        <v>741789.16</v>
      </c>
      <c r="AU1198" s="29">
        <f t="shared" si="837"/>
        <v>0</v>
      </c>
      <c r="AV1198" s="29">
        <f t="shared" si="838"/>
        <v>-3600957.1799999997</v>
      </c>
      <c r="AW1198" s="29"/>
      <c r="AX1198" s="29">
        <f t="shared" si="839"/>
        <v>4895091.2399999965</v>
      </c>
      <c r="AY1198" s="29">
        <f t="shared" si="840"/>
        <v>9300000</v>
      </c>
      <c r="AZ1198" s="29">
        <f t="shared" si="841"/>
        <v>14195091.239999996</v>
      </c>
    </row>
    <row r="1199" spans="2:52" x14ac:dyDescent="0.3">
      <c r="B1199" s="99">
        <f t="shared" si="843"/>
        <v>45842</v>
      </c>
      <c r="C1199" s="44">
        <f t="shared" si="823"/>
        <v>3058892.4199999981</v>
      </c>
      <c r="D1199" s="38"/>
      <c r="E1199" s="38"/>
      <c r="F1199" s="38">
        <v>-16795</v>
      </c>
      <c r="G1199" s="45">
        <f t="shared" si="832"/>
        <v>3042097.4199999981</v>
      </c>
      <c r="H1199" s="44">
        <v>4300000</v>
      </c>
      <c r="I1199" s="46">
        <f t="shared" si="824"/>
        <v>698611.24999999907</v>
      </c>
      <c r="J1199" s="38">
        <v>698672.87</v>
      </c>
      <c r="K1199" s="38">
        <v>1110000</v>
      </c>
      <c r="L1199" s="38">
        <v>-509464.19</v>
      </c>
      <c r="M1199" s="47">
        <f t="shared" si="825"/>
        <v>1997819.9299999992</v>
      </c>
      <c r="N1199" s="46">
        <v>5000000</v>
      </c>
      <c r="O1199" s="48">
        <f t="shared" si="826"/>
        <v>1136114.7199999993</v>
      </c>
      <c r="P1199" s="38"/>
      <c r="Q1199" s="38">
        <v>-1110000</v>
      </c>
      <c r="R1199" s="38">
        <v>-24525.09</v>
      </c>
      <c r="S1199" s="55">
        <f t="shared" si="827"/>
        <v>1589.6299999992734</v>
      </c>
      <c r="T1199" s="48"/>
      <c r="U1199" s="49">
        <f t="shared" si="828"/>
        <v>0.59999999953433303</v>
      </c>
      <c r="V1199" s="38"/>
      <c r="W1199" s="38"/>
      <c r="X1199" s="38"/>
      <c r="Y1199" s="51">
        <f t="shared" si="829"/>
        <v>0.59999999953433303</v>
      </c>
      <c r="Z1199" s="52"/>
      <c r="AA1199" s="53">
        <f t="shared" si="830"/>
        <v>441.94999999923022</v>
      </c>
      <c r="AB1199" s="38"/>
      <c r="AC1199" s="38"/>
      <c r="AD1199" s="38"/>
      <c r="AE1199" s="54">
        <f t="shared" si="831"/>
        <v>441.94999999923022</v>
      </c>
      <c r="AF1199" s="53"/>
      <c r="AG1199" s="53">
        <f t="shared" si="833"/>
        <v>1030.3000000002794</v>
      </c>
      <c r="AH1199" s="38"/>
      <c r="AI1199" s="38"/>
      <c r="AJ1199" s="38">
        <v>-9.9</v>
      </c>
      <c r="AK1199" s="54">
        <f t="shared" si="834"/>
        <v>1020.4000000002794</v>
      </c>
      <c r="AL1199" s="53"/>
      <c r="AM1199" s="53">
        <f t="shared" si="821"/>
        <v>0</v>
      </c>
      <c r="AN1199" s="38"/>
      <c r="AO1199" s="38"/>
      <c r="AP1199" s="38"/>
      <c r="AQ1199" s="54">
        <f t="shared" si="822"/>
        <v>0</v>
      </c>
      <c r="AR1199" s="53"/>
      <c r="AS1199" s="29">
        <f t="shared" si="835"/>
        <v>4894060.9399999958</v>
      </c>
      <c r="AT1199" s="29">
        <f t="shared" si="836"/>
        <v>698672.87</v>
      </c>
      <c r="AU1199" s="29">
        <f t="shared" si="837"/>
        <v>0</v>
      </c>
      <c r="AV1199" s="29">
        <f t="shared" si="838"/>
        <v>-550794.17999999993</v>
      </c>
      <c r="AW1199" s="29"/>
      <c r="AX1199" s="29">
        <f t="shared" si="839"/>
        <v>5042969.929999996</v>
      </c>
      <c r="AY1199" s="29">
        <f t="shared" si="840"/>
        <v>9300000</v>
      </c>
      <c r="AZ1199" s="29">
        <f t="shared" si="841"/>
        <v>14342969.929999996</v>
      </c>
    </row>
    <row r="1200" spans="2:52" x14ac:dyDescent="0.3">
      <c r="B1200" s="99">
        <f>B1199+3</f>
        <v>45845</v>
      </c>
      <c r="C1200" s="44">
        <f t="shared" si="823"/>
        <v>3042097.4199999981</v>
      </c>
      <c r="D1200" s="38">
        <f>3343.43+46980.35+2032.05</f>
        <v>52355.83</v>
      </c>
      <c r="E1200" s="38"/>
      <c r="F1200" s="38">
        <v>-1600</v>
      </c>
      <c r="G1200" s="45">
        <f t="shared" si="832"/>
        <v>3092853.2499999981</v>
      </c>
      <c r="H1200" s="44">
        <v>4300000</v>
      </c>
      <c r="I1200" s="46">
        <f t="shared" si="824"/>
        <v>1997819.9299999992</v>
      </c>
      <c r="J1200" s="38"/>
      <c r="K1200" s="38">
        <v>690000</v>
      </c>
      <c r="L1200" s="38">
        <v>-1234568.3600000001</v>
      </c>
      <c r="M1200" s="47">
        <f t="shared" si="825"/>
        <v>1453251.5699999991</v>
      </c>
      <c r="N1200" s="46">
        <v>5000000</v>
      </c>
      <c r="O1200" s="48">
        <f t="shared" si="826"/>
        <v>1589.6299999992734</v>
      </c>
      <c r="P1200" s="38">
        <v>696180.11</v>
      </c>
      <c r="Q1200" s="38">
        <v>-690000</v>
      </c>
      <c r="R1200" s="38">
        <v>-3210</v>
      </c>
      <c r="S1200" s="55">
        <f t="shared" si="827"/>
        <v>4559.7399999992922</v>
      </c>
      <c r="T1200" s="48"/>
      <c r="U1200" s="49">
        <f t="shared" si="828"/>
        <v>0.59999999953433303</v>
      </c>
      <c r="V1200" s="38"/>
      <c r="W1200" s="38"/>
      <c r="X1200" s="38"/>
      <c r="Y1200" s="51">
        <f t="shared" si="829"/>
        <v>0.59999999953433303</v>
      </c>
      <c r="Z1200" s="52"/>
      <c r="AA1200" s="53">
        <f t="shared" si="830"/>
        <v>441.94999999923022</v>
      </c>
      <c r="AB1200" s="38"/>
      <c r="AC1200" s="38"/>
      <c r="AD1200" s="38"/>
      <c r="AE1200" s="54">
        <f t="shared" si="831"/>
        <v>441.94999999923022</v>
      </c>
      <c r="AF1200" s="53"/>
      <c r="AG1200" s="53">
        <f t="shared" si="833"/>
        <v>1020.4000000002794</v>
      </c>
      <c r="AH1200" s="38"/>
      <c r="AI1200" s="38"/>
      <c r="AJ1200" s="38"/>
      <c r="AK1200" s="54">
        <f t="shared" si="834"/>
        <v>1020.4000000002794</v>
      </c>
      <c r="AL1200" s="53"/>
      <c r="AM1200" s="53">
        <f t="shared" si="821"/>
        <v>0</v>
      </c>
      <c r="AN1200" s="38"/>
      <c r="AO1200" s="38"/>
      <c r="AP1200" s="38"/>
      <c r="AQ1200" s="54">
        <f t="shared" si="822"/>
        <v>0</v>
      </c>
      <c r="AR1200" s="53"/>
      <c r="AS1200" s="29">
        <f t="shared" si="835"/>
        <v>5041949.5299999956</v>
      </c>
      <c r="AT1200" s="29">
        <f t="shared" si="836"/>
        <v>748535.94</v>
      </c>
      <c r="AU1200" s="29">
        <f t="shared" si="837"/>
        <v>0</v>
      </c>
      <c r="AV1200" s="29">
        <f t="shared" si="838"/>
        <v>-1239378.3600000001</v>
      </c>
      <c r="AW1200" s="29"/>
      <c r="AX1200" s="29">
        <f t="shared" si="839"/>
        <v>4552127.5099999961</v>
      </c>
      <c r="AY1200" s="29">
        <f t="shared" si="840"/>
        <v>9300000</v>
      </c>
      <c r="AZ1200" s="29">
        <f t="shared" si="841"/>
        <v>13852127.509999996</v>
      </c>
    </row>
    <row r="1201" spans="2:52" x14ac:dyDescent="0.3">
      <c r="B1201" s="99">
        <f t="shared" si="843"/>
        <v>45846</v>
      </c>
      <c r="C1201" s="44">
        <f t="shared" si="823"/>
        <v>3092853.2499999981</v>
      </c>
      <c r="D1201" s="38">
        <f>25552.11+49527.08</f>
        <v>75079.19</v>
      </c>
      <c r="E1201" s="38"/>
      <c r="F1201" s="38">
        <v>-764.75</v>
      </c>
      <c r="G1201" s="45">
        <f t="shared" si="832"/>
        <v>3167167.6899999981</v>
      </c>
      <c r="H1201" s="44">
        <v>4300000</v>
      </c>
      <c r="I1201" s="46">
        <f t="shared" si="824"/>
        <v>1453251.5699999991</v>
      </c>
      <c r="J1201" s="38"/>
      <c r="K1201" s="38"/>
      <c r="L1201" s="38">
        <v>-8078.62</v>
      </c>
      <c r="M1201" s="47">
        <f t="shared" si="825"/>
        <v>1445172.949999999</v>
      </c>
      <c r="N1201" s="46">
        <v>5000000</v>
      </c>
      <c r="O1201" s="48">
        <f t="shared" si="826"/>
        <v>4559.7399999992922</v>
      </c>
      <c r="P1201" s="38"/>
      <c r="Q1201" s="38"/>
      <c r="R1201" s="38"/>
      <c r="S1201" s="55">
        <f t="shared" si="827"/>
        <v>4559.7399999992922</v>
      </c>
      <c r="T1201" s="48"/>
      <c r="U1201" s="49">
        <f t="shared" si="828"/>
        <v>0.59999999953433303</v>
      </c>
      <c r="V1201" s="38"/>
      <c r="W1201" s="38"/>
      <c r="X1201" s="38"/>
      <c r="Y1201" s="51">
        <f t="shared" si="829"/>
        <v>0.59999999953433303</v>
      </c>
      <c r="Z1201" s="52"/>
      <c r="AA1201" s="53">
        <f t="shared" si="830"/>
        <v>441.94999999923022</v>
      </c>
      <c r="AB1201" s="38"/>
      <c r="AC1201" s="38"/>
      <c r="AD1201" s="38"/>
      <c r="AE1201" s="54">
        <f t="shared" si="831"/>
        <v>441.94999999923022</v>
      </c>
      <c r="AF1201" s="53"/>
      <c r="AG1201" s="53">
        <f t="shared" si="833"/>
        <v>1020.4000000002794</v>
      </c>
      <c r="AH1201" s="38"/>
      <c r="AI1201" s="38"/>
      <c r="AJ1201" s="38"/>
      <c r="AK1201" s="54">
        <f t="shared" si="834"/>
        <v>1020.4000000002794</v>
      </c>
      <c r="AL1201" s="53"/>
      <c r="AM1201" s="53">
        <f t="shared" si="821"/>
        <v>0</v>
      </c>
      <c r="AN1201" s="38"/>
      <c r="AO1201" s="38"/>
      <c r="AP1201" s="38"/>
      <c r="AQ1201" s="54">
        <f t="shared" si="822"/>
        <v>0</v>
      </c>
      <c r="AR1201" s="53"/>
      <c r="AS1201" s="29">
        <f t="shared" si="835"/>
        <v>4551107.1099999957</v>
      </c>
      <c r="AT1201" s="29">
        <f t="shared" si="836"/>
        <v>75079.19</v>
      </c>
      <c r="AU1201" s="29">
        <f t="shared" si="837"/>
        <v>0</v>
      </c>
      <c r="AV1201" s="29">
        <f t="shared" si="838"/>
        <v>-8843.369999999999</v>
      </c>
      <c r="AW1201" s="29"/>
      <c r="AX1201" s="29">
        <f t="shared" si="839"/>
        <v>4618363.3299999954</v>
      </c>
      <c r="AY1201" s="29">
        <f t="shared" si="840"/>
        <v>9300000</v>
      </c>
      <c r="AZ1201" s="29">
        <f t="shared" si="841"/>
        <v>13918363.329999994</v>
      </c>
    </row>
    <row r="1202" spans="2:52" x14ac:dyDescent="0.3">
      <c r="B1202" s="99">
        <f t="shared" si="843"/>
        <v>45847</v>
      </c>
      <c r="C1202" s="44">
        <f t="shared" si="823"/>
        <v>3167167.6899999981</v>
      </c>
      <c r="D1202" s="38"/>
      <c r="E1202" s="38"/>
      <c r="F1202" s="38">
        <v>-584.84</v>
      </c>
      <c r="G1202" s="45">
        <f t="shared" si="832"/>
        <v>3166582.8499999982</v>
      </c>
      <c r="H1202" s="44">
        <v>4300000</v>
      </c>
      <c r="I1202" s="46">
        <f t="shared" si="824"/>
        <v>1445172.949999999</v>
      </c>
      <c r="J1202" s="38">
        <v>4017.99</v>
      </c>
      <c r="K1202" s="38"/>
      <c r="L1202" s="38">
        <v>-81788.789999999994</v>
      </c>
      <c r="M1202" s="47">
        <f t="shared" si="825"/>
        <v>1367402.149999999</v>
      </c>
      <c r="N1202" s="46">
        <v>5000000</v>
      </c>
      <c r="O1202" s="48">
        <f t="shared" si="826"/>
        <v>4559.7399999992922</v>
      </c>
      <c r="P1202" s="38"/>
      <c r="Q1202" s="38"/>
      <c r="R1202" s="38"/>
      <c r="S1202" s="55">
        <f t="shared" si="827"/>
        <v>4559.7399999992922</v>
      </c>
      <c r="T1202" s="48"/>
      <c r="U1202" s="49">
        <f t="shared" si="828"/>
        <v>0.59999999953433303</v>
      </c>
      <c r="V1202" s="38"/>
      <c r="W1202" s="38"/>
      <c r="X1202" s="38"/>
      <c r="Y1202" s="51">
        <f t="shared" si="829"/>
        <v>0.59999999953433303</v>
      </c>
      <c r="Z1202" s="52"/>
      <c r="AA1202" s="53">
        <f t="shared" si="830"/>
        <v>441.94999999923022</v>
      </c>
      <c r="AB1202" s="38"/>
      <c r="AC1202" s="38"/>
      <c r="AD1202" s="38"/>
      <c r="AE1202" s="54">
        <f t="shared" si="831"/>
        <v>441.94999999923022</v>
      </c>
      <c r="AF1202" s="53"/>
      <c r="AG1202" s="53">
        <f t="shared" si="833"/>
        <v>1020.4000000002794</v>
      </c>
      <c r="AH1202" s="38"/>
      <c r="AI1202" s="38"/>
      <c r="AJ1202" s="38"/>
      <c r="AK1202" s="54">
        <f t="shared" si="834"/>
        <v>1020.4000000002794</v>
      </c>
      <c r="AL1202" s="53"/>
      <c r="AM1202" s="53">
        <f t="shared" si="821"/>
        <v>0</v>
      </c>
      <c r="AN1202" s="38"/>
      <c r="AO1202" s="38"/>
      <c r="AP1202" s="38"/>
      <c r="AQ1202" s="54">
        <f t="shared" si="822"/>
        <v>0</v>
      </c>
      <c r="AR1202" s="53"/>
      <c r="AS1202" s="29">
        <f t="shared" si="835"/>
        <v>4617342.929999995</v>
      </c>
      <c r="AT1202" s="29">
        <f t="shared" si="836"/>
        <v>4017.99</v>
      </c>
      <c r="AU1202" s="29">
        <f t="shared" si="837"/>
        <v>0</v>
      </c>
      <c r="AV1202" s="29">
        <f t="shared" si="838"/>
        <v>-82373.62999999999</v>
      </c>
      <c r="AW1202" s="29"/>
      <c r="AX1202" s="29">
        <f t="shared" si="839"/>
        <v>4540007.6899999958</v>
      </c>
      <c r="AY1202" s="29">
        <f t="shared" si="840"/>
        <v>9300000</v>
      </c>
      <c r="AZ1202" s="29">
        <f t="shared" si="841"/>
        <v>13840007.689999996</v>
      </c>
    </row>
    <row r="1203" spans="2:52" x14ac:dyDescent="0.3">
      <c r="B1203" s="99">
        <f t="shared" si="843"/>
        <v>45848</v>
      </c>
      <c r="C1203" s="44">
        <f t="shared" si="823"/>
        <v>3166582.8499999982</v>
      </c>
      <c r="D1203" s="38"/>
      <c r="E1203" s="38"/>
      <c r="F1203" s="38">
        <v>-42.58</v>
      </c>
      <c r="G1203" s="45">
        <f t="shared" si="832"/>
        <v>3166540.2699999982</v>
      </c>
      <c r="H1203" s="44">
        <v>4300000</v>
      </c>
      <c r="I1203" s="46">
        <f t="shared" si="824"/>
        <v>1367402.149999999</v>
      </c>
      <c r="J1203" s="38"/>
      <c r="K1203" s="38"/>
      <c r="L1203" s="38">
        <v>-334111.23</v>
      </c>
      <c r="M1203" s="47">
        <f t="shared" si="825"/>
        <v>1033290.919999999</v>
      </c>
      <c r="N1203" s="46">
        <v>5000000</v>
      </c>
      <c r="O1203" s="48">
        <f t="shared" si="826"/>
        <v>4559.7399999992922</v>
      </c>
      <c r="P1203" s="38"/>
      <c r="Q1203" s="38"/>
      <c r="R1203" s="38">
        <v>-1892.88</v>
      </c>
      <c r="S1203" s="55">
        <f t="shared" si="827"/>
        <v>2666.8599999992921</v>
      </c>
      <c r="T1203" s="48"/>
      <c r="U1203" s="49">
        <f t="shared" si="828"/>
        <v>0.59999999953433303</v>
      </c>
      <c r="V1203" s="38"/>
      <c r="W1203" s="38"/>
      <c r="X1203" s="38"/>
      <c r="Y1203" s="51">
        <f t="shared" si="829"/>
        <v>0.59999999953433303</v>
      </c>
      <c r="Z1203" s="52"/>
      <c r="AA1203" s="53">
        <f t="shared" si="830"/>
        <v>441.94999999923022</v>
      </c>
      <c r="AB1203" s="38"/>
      <c r="AC1203" s="38"/>
      <c r="AD1203" s="38"/>
      <c r="AE1203" s="54">
        <f t="shared" si="831"/>
        <v>441.94999999923022</v>
      </c>
      <c r="AF1203" s="53"/>
      <c r="AG1203" s="53">
        <f t="shared" si="833"/>
        <v>1020.4000000002794</v>
      </c>
      <c r="AH1203" s="38"/>
      <c r="AI1203" s="38"/>
      <c r="AJ1203" s="38"/>
      <c r="AK1203" s="54">
        <f t="shared" si="834"/>
        <v>1020.4000000002794</v>
      </c>
      <c r="AL1203" s="53"/>
      <c r="AM1203" s="53">
        <f t="shared" si="821"/>
        <v>0</v>
      </c>
      <c r="AN1203" s="38"/>
      <c r="AO1203" s="38"/>
      <c r="AP1203" s="38"/>
      <c r="AQ1203" s="54">
        <f t="shared" si="822"/>
        <v>0</v>
      </c>
      <c r="AR1203" s="53"/>
      <c r="AS1203" s="29">
        <f t="shared" si="835"/>
        <v>4538987.2899999954</v>
      </c>
      <c r="AT1203" s="29">
        <f t="shared" si="836"/>
        <v>0</v>
      </c>
      <c r="AU1203" s="29">
        <f t="shared" si="837"/>
        <v>0</v>
      </c>
      <c r="AV1203" s="29">
        <f t="shared" si="838"/>
        <v>-336046.69</v>
      </c>
      <c r="AW1203" s="29"/>
      <c r="AX1203" s="29">
        <f t="shared" si="839"/>
        <v>4203960.9999999963</v>
      </c>
      <c r="AY1203" s="29">
        <f t="shared" si="840"/>
        <v>9300000</v>
      </c>
      <c r="AZ1203" s="29">
        <f t="shared" si="841"/>
        <v>13503960.999999996</v>
      </c>
    </row>
    <row r="1204" spans="2:52" x14ac:dyDescent="0.3">
      <c r="B1204" s="99">
        <f t="shared" si="843"/>
        <v>45849</v>
      </c>
      <c r="C1204" s="44">
        <f t="shared" si="823"/>
        <v>3166540.2699999982</v>
      </c>
      <c r="D1204" s="38"/>
      <c r="E1204" s="38"/>
      <c r="F1204" s="38">
        <v>-30267.41</v>
      </c>
      <c r="G1204" s="45">
        <f t="shared" si="832"/>
        <v>3136272.859999998</v>
      </c>
      <c r="H1204" s="44">
        <v>4300000</v>
      </c>
      <c r="I1204" s="46">
        <f t="shared" si="824"/>
        <v>1033290.919999999</v>
      </c>
      <c r="J1204" s="38"/>
      <c r="K1204" s="38"/>
      <c r="L1204" s="38">
        <v>-140848.85999999999</v>
      </c>
      <c r="M1204" s="47">
        <f t="shared" si="825"/>
        <v>892442.05999999901</v>
      </c>
      <c r="N1204" s="46">
        <v>5000000</v>
      </c>
      <c r="O1204" s="48">
        <f t="shared" si="826"/>
        <v>2666.8599999992921</v>
      </c>
      <c r="P1204" s="38">
        <v>5550.06</v>
      </c>
      <c r="Q1204" s="38"/>
      <c r="R1204" s="38"/>
      <c r="S1204" s="55">
        <f t="shared" si="827"/>
        <v>8216.9199999992925</v>
      </c>
      <c r="T1204" s="48"/>
      <c r="U1204" s="49">
        <f t="shared" si="828"/>
        <v>0.59999999953433303</v>
      </c>
      <c r="V1204" s="38"/>
      <c r="W1204" s="38"/>
      <c r="X1204" s="38"/>
      <c r="Y1204" s="51">
        <f t="shared" si="829"/>
        <v>0.59999999953433303</v>
      </c>
      <c r="Z1204" s="52"/>
      <c r="AA1204" s="53">
        <f t="shared" si="830"/>
        <v>441.94999999923022</v>
      </c>
      <c r="AB1204" s="38"/>
      <c r="AC1204" s="38"/>
      <c r="AD1204" s="38"/>
      <c r="AE1204" s="54">
        <f t="shared" si="831"/>
        <v>441.94999999923022</v>
      </c>
      <c r="AF1204" s="53"/>
      <c r="AG1204" s="53">
        <f t="shared" si="833"/>
        <v>1020.4000000002794</v>
      </c>
      <c r="AH1204" s="38"/>
      <c r="AI1204" s="38"/>
      <c r="AJ1204" s="38"/>
      <c r="AK1204" s="54">
        <f t="shared" si="834"/>
        <v>1020.4000000002794</v>
      </c>
      <c r="AL1204" s="53"/>
      <c r="AM1204" s="53">
        <f t="shared" si="821"/>
        <v>0</v>
      </c>
      <c r="AN1204" s="38"/>
      <c r="AO1204" s="38"/>
      <c r="AP1204" s="38"/>
      <c r="AQ1204" s="54">
        <f t="shared" si="822"/>
        <v>0</v>
      </c>
      <c r="AR1204" s="53"/>
      <c r="AS1204" s="29">
        <f t="shared" si="835"/>
        <v>4202940.5999999959</v>
      </c>
      <c r="AT1204" s="29">
        <f t="shared" si="836"/>
        <v>5550.06</v>
      </c>
      <c r="AU1204" s="29">
        <f t="shared" si="837"/>
        <v>0</v>
      </c>
      <c r="AV1204" s="29">
        <f t="shared" si="838"/>
        <v>-171116.27</v>
      </c>
      <c r="AW1204" s="29"/>
      <c r="AX1204" s="29">
        <f t="shared" si="839"/>
        <v>4038394.7899999958</v>
      </c>
      <c r="AY1204" s="29">
        <f t="shared" si="840"/>
        <v>9300000</v>
      </c>
      <c r="AZ1204" s="29">
        <f t="shared" si="841"/>
        <v>13338394.789999995</v>
      </c>
    </row>
    <row r="1205" spans="2:52" x14ac:dyDescent="0.3">
      <c r="B1205" s="99">
        <f>B1204+3</f>
        <v>45852</v>
      </c>
      <c r="C1205" s="44">
        <f t="shared" si="823"/>
        <v>3136272.859999998</v>
      </c>
      <c r="D1205" s="38"/>
      <c r="E1205" s="38"/>
      <c r="F1205" s="38">
        <f>-6073.6-5003.76</f>
        <v>-11077.36</v>
      </c>
      <c r="G1205" s="45">
        <f t="shared" si="832"/>
        <v>3125195.4999999981</v>
      </c>
      <c r="H1205" s="44">
        <v>4300000</v>
      </c>
      <c r="I1205" s="46">
        <f t="shared" si="824"/>
        <v>892442.05999999901</v>
      </c>
      <c r="J1205" s="38"/>
      <c r="K1205" s="38">
        <v>120000</v>
      </c>
      <c r="L1205" s="38">
        <v>-227894.59</v>
      </c>
      <c r="M1205" s="47">
        <f t="shared" si="825"/>
        <v>784547.46999999904</v>
      </c>
      <c r="N1205" s="46">
        <v>5000000</v>
      </c>
      <c r="O1205" s="48">
        <f t="shared" si="826"/>
        <v>8216.9199999992925</v>
      </c>
      <c r="P1205" s="38">
        <v>117388.29</v>
      </c>
      <c r="Q1205" s="38">
        <v>-120000</v>
      </c>
      <c r="R1205" s="38">
        <v>-10</v>
      </c>
      <c r="S1205" s="55">
        <f t="shared" si="827"/>
        <v>5595.2099999992934</v>
      </c>
      <c r="T1205" s="48"/>
      <c r="U1205" s="49">
        <f t="shared" si="828"/>
        <v>0.59999999953433303</v>
      </c>
      <c r="V1205" s="38"/>
      <c r="W1205" s="38"/>
      <c r="X1205" s="38"/>
      <c r="Y1205" s="51">
        <f t="shared" si="829"/>
        <v>0.59999999953433303</v>
      </c>
      <c r="Z1205" s="52"/>
      <c r="AA1205" s="53">
        <f t="shared" si="830"/>
        <v>441.94999999923022</v>
      </c>
      <c r="AB1205" s="38"/>
      <c r="AC1205" s="38"/>
      <c r="AD1205" s="38"/>
      <c r="AE1205" s="54">
        <f t="shared" si="831"/>
        <v>441.94999999923022</v>
      </c>
      <c r="AF1205" s="53"/>
      <c r="AG1205" s="53">
        <f t="shared" si="833"/>
        <v>1020.4000000002794</v>
      </c>
      <c r="AH1205" s="38"/>
      <c r="AI1205" s="38"/>
      <c r="AJ1205" s="38"/>
      <c r="AK1205" s="54">
        <f t="shared" si="834"/>
        <v>1020.4000000002794</v>
      </c>
      <c r="AL1205" s="53"/>
      <c r="AM1205" s="53">
        <f t="shared" ref="AM1205:AM1268" si="844">AQ1204</f>
        <v>0</v>
      </c>
      <c r="AN1205" s="38"/>
      <c r="AO1205" s="38"/>
      <c r="AP1205" s="38"/>
      <c r="AQ1205" s="54">
        <f t="shared" ref="AQ1205:AQ1256" si="845">SUM(AM1205:AP1205)</f>
        <v>0</v>
      </c>
      <c r="AR1205" s="53"/>
      <c r="AS1205" s="29">
        <f t="shared" si="835"/>
        <v>4037374.3899999955</v>
      </c>
      <c r="AT1205" s="29">
        <f t="shared" si="836"/>
        <v>117388.29</v>
      </c>
      <c r="AU1205" s="29">
        <f t="shared" si="837"/>
        <v>0</v>
      </c>
      <c r="AV1205" s="29">
        <f t="shared" si="838"/>
        <v>-238981.95</v>
      </c>
      <c r="AW1205" s="29"/>
      <c r="AX1205" s="29">
        <f t="shared" si="839"/>
        <v>3916801.1299999957</v>
      </c>
      <c r="AY1205" s="29">
        <f t="shared" si="840"/>
        <v>9300000</v>
      </c>
      <c r="AZ1205" s="29">
        <f t="shared" si="841"/>
        <v>13216801.129999995</v>
      </c>
    </row>
    <row r="1206" spans="2:52" x14ac:dyDescent="0.3">
      <c r="B1206" s="99">
        <f t="shared" si="843"/>
        <v>45853</v>
      </c>
      <c r="C1206" s="44">
        <f t="shared" si="823"/>
        <v>3125195.4999999981</v>
      </c>
      <c r="D1206" s="38"/>
      <c r="E1206" s="38"/>
      <c r="F1206" s="38">
        <v>-14851.26</v>
      </c>
      <c r="G1206" s="45">
        <f t="shared" si="832"/>
        <v>3110344.2399999984</v>
      </c>
      <c r="H1206" s="44">
        <v>4300000</v>
      </c>
      <c r="I1206" s="46">
        <f t="shared" si="824"/>
        <v>784547.46999999904</v>
      </c>
      <c r="J1206" s="38"/>
      <c r="K1206" s="38">
        <v>845000</v>
      </c>
      <c r="L1206" s="38">
        <v>-153258.29999999999</v>
      </c>
      <c r="M1206" s="47">
        <f t="shared" si="825"/>
        <v>1476289.169999999</v>
      </c>
      <c r="N1206" s="46">
        <v>5000000</v>
      </c>
      <c r="O1206" s="48">
        <f t="shared" si="826"/>
        <v>5595.2099999992934</v>
      </c>
      <c r="P1206" s="38">
        <v>844870.6</v>
      </c>
      <c r="Q1206" s="38">
        <v>-845000</v>
      </c>
      <c r="R1206" s="38">
        <f>-338.8-65.5-250</f>
        <v>-654.29999999999995</v>
      </c>
      <c r="S1206" s="55">
        <f t="shared" si="827"/>
        <v>4811.5099999992408</v>
      </c>
      <c r="T1206" s="48"/>
      <c r="U1206" s="49">
        <f t="shared" si="828"/>
        <v>0.59999999953433303</v>
      </c>
      <c r="V1206" s="38">
        <v>87728.91</v>
      </c>
      <c r="W1206" s="38"/>
      <c r="X1206" s="38"/>
      <c r="Y1206" s="51">
        <f t="shared" si="829"/>
        <v>87729.509999999544</v>
      </c>
      <c r="Z1206" s="52"/>
      <c r="AA1206" s="53">
        <f t="shared" si="830"/>
        <v>441.94999999923022</v>
      </c>
      <c r="AB1206" s="38"/>
      <c r="AC1206" s="38"/>
      <c r="AD1206" s="38"/>
      <c r="AE1206" s="54">
        <f t="shared" si="831"/>
        <v>441.94999999923022</v>
      </c>
      <c r="AF1206" s="53"/>
      <c r="AG1206" s="53">
        <f t="shared" si="833"/>
        <v>1020.4000000002794</v>
      </c>
      <c r="AH1206" s="38"/>
      <c r="AI1206" s="38"/>
      <c r="AJ1206" s="38"/>
      <c r="AK1206" s="54">
        <f t="shared" si="834"/>
        <v>1020.4000000002794</v>
      </c>
      <c r="AL1206" s="53"/>
      <c r="AM1206" s="53">
        <f t="shared" si="844"/>
        <v>0</v>
      </c>
      <c r="AN1206" s="38"/>
      <c r="AO1206" s="38"/>
      <c r="AP1206" s="38"/>
      <c r="AQ1206" s="54">
        <f t="shared" si="845"/>
        <v>0</v>
      </c>
      <c r="AR1206" s="53"/>
      <c r="AS1206" s="29">
        <f t="shared" si="835"/>
        <v>3915780.7299999953</v>
      </c>
      <c r="AT1206" s="29">
        <f t="shared" si="836"/>
        <v>932599.51</v>
      </c>
      <c r="AU1206" s="29">
        <f t="shared" si="837"/>
        <v>0</v>
      </c>
      <c r="AV1206" s="29">
        <f t="shared" si="838"/>
        <v>-168763.86</v>
      </c>
      <c r="AW1206" s="29"/>
      <c r="AX1206" s="29">
        <f t="shared" si="839"/>
        <v>4680636.7799999956</v>
      </c>
      <c r="AY1206" s="29">
        <f t="shared" si="840"/>
        <v>9300000</v>
      </c>
      <c r="AZ1206" s="29">
        <f t="shared" si="841"/>
        <v>13980636.779999996</v>
      </c>
    </row>
    <row r="1207" spans="2:52" x14ac:dyDescent="0.3">
      <c r="B1207" s="99">
        <f t="shared" si="843"/>
        <v>45854</v>
      </c>
      <c r="C1207" s="44">
        <f t="shared" si="823"/>
        <v>3110344.2399999984</v>
      </c>
      <c r="D1207" s="38">
        <v>293783.28000000003</v>
      </c>
      <c r="E1207" s="38"/>
      <c r="F1207" s="38">
        <v>-1852.34</v>
      </c>
      <c r="G1207" s="45">
        <f t="shared" si="832"/>
        <v>3402275.1799999988</v>
      </c>
      <c r="H1207" s="44">
        <v>4300000</v>
      </c>
      <c r="I1207" s="46">
        <f t="shared" si="824"/>
        <v>1476289.169999999</v>
      </c>
      <c r="J1207" s="38"/>
      <c r="K1207" s="38">
        <v>307000</v>
      </c>
      <c r="L1207" s="38">
        <v>-132012.93</v>
      </c>
      <c r="M1207" s="47">
        <f t="shared" si="825"/>
        <v>1651276.2399999991</v>
      </c>
      <c r="N1207" s="46">
        <v>5000000</v>
      </c>
      <c r="O1207" s="48">
        <f t="shared" si="826"/>
        <v>4811.5099999992408</v>
      </c>
      <c r="P1207" s="38">
        <v>217851.23</v>
      </c>
      <c r="Q1207" s="38">
        <f>87670-307000</f>
        <v>-219330</v>
      </c>
      <c r="R1207" s="38">
        <v>-166.8</v>
      </c>
      <c r="S1207" s="55">
        <f t="shared" si="827"/>
        <v>3165.9399999992629</v>
      </c>
      <c r="T1207" s="48"/>
      <c r="U1207" s="49">
        <f t="shared" si="828"/>
        <v>87729.509999999544</v>
      </c>
      <c r="V1207" s="38">
        <v>1105.23</v>
      </c>
      <c r="W1207" s="38">
        <v>-87670</v>
      </c>
      <c r="X1207" s="38">
        <v>-1.6</v>
      </c>
      <c r="Y1207" s="51">
        <f t="shared" si="829"/>
        <v>1163.1399999995397</v>
      </c>
      <c r="Z1207" s="52"/>
      <c r="AA1207" s="53">
        <f t="shared" si="830"/>
        <v>441.94999999923022</v>
      </c>
      <c r="AB1207" s="38"/>
      <c r="AC1207" s="38"/>
      <c r="AD1207" s="38"/>
      <c r="AE1207" s="54">
        <f t="shared" si="831"/>
        <v>441.94999999923022</v>
      </c>
      <c r="AF1207" s="53"/>
      <c r="AG1207" s="53">
        <f t="shared" si="833"/>
        <v>1020.4000000002794</v>
      </c>
      <c r="AH1207" s="38"/>
      <c r="AI1207" s="38"/>
      <c r="AJ1207" s="38"/>
      <c r="AK1207" s="54">
        <f t="shared" si="834"/>
        <v>1020.4000000002794</v>
      </c>
      <c r="AL1207" s="53"/>
      <c r="AM1207" s="53">
        <f t="shared" si="844"/>
        <v>0</v>
      </c>
      <c r="AN1207" s="38"/>
      <c r="AO1207" s="38"/>
      <c r="AP1207" s="38"/>
      <c r="AQ1207" s="54">
        <f t="shared" si="845"/>
        <v>0</v>
      </c>
      <c r="AR1207" s="53"/>
      <c r="AS1207" s="29">
        <f t="shared" si="835"/>
        <v>4679616.3799999952</v>
      </c>
      <c r="AT1207" s="29">
        <f t="shared" si="836"/>
        <v>512739.74</v>
      </c>
      <c r="AU1207" s="29">
        <f t="shared" si="837"/>
        <v>0</v>
      </c>
      <c r="AV1207" s="29">
        <f t="shared" si="838"/>
        <v>-134033.66999999998</v>
      </c>
      <c r="AW1207" s="29"/>
      <c r="AX1207" s="29">
        <f t="shared" si="839"/>
        <v>5059342.8499999968</v>
      </c>
      <c r="AY1207" s="29">
        <f t="shared" si="840"/>
        <v>9300000</v>
      </c>
      <c r="AZ1207" s="29">
        <f t="shared" si="841"/>
        <v>14359342.849999998</v>
      </c>
    </row>
    <row r="1208" spans="2:52" x14ac:dyDescent="0.3">
      <c r="B1208" s="99">
        <f t="shared" si="843"/>
        <v>45855</v>
      </c>
      <c r="C1208" s="44">
        <f t="shared" si="823"/>
        <v>3402275.1799999988</v>
      </c>
      <c r="D1208" s="38">
        <v>307259.8</v>
      </c>
      <c r="E1208" s="38"/>
      <c r="F1208" s="38"/>
      <c r="G1208" s="45">
        <f t="shared" si="832"/>
        <v>3709534.9799999986</v>
      </c>
      <c r="H1208" s="44">
        <v>4300000</v>
      </c>
      <c r="I1208" s="46">
        <f t="shared" si="824"/>
        <v>1651276.2399999991</v>
      </c>
      <c r="J1208" s="38"/>
      <c r="K1208" s="38"/>
      <c r="L1208" s="38">
        <v>-916201.97</v>
      </c>
      <c r="M1208" s="47">
        <f t="shared" si="825"/>
        <v>735074.26999999909</v>
      </c>
      <c r="N1208" s="46">
        <v>5000000</v>
      </c>
      <c r="O1208" s="48">
        <f t="shared" si="826"/>
        <v>3165.9399999992629</v>
      </c>
      <c r="P1208" s="38">
        <v>16665.32</v>
      </c>
      <c r="Q1208" s="38"/>
      <c r="R1208" s="38"/>
      <c r="S1208" s="55">
        <f t="shared" si="827"/>
        <v>19831.259999999264</v>
      </c>
      <c r="T1208" s="48"/>
      <c r="U1208" s="49">
        <f t="shared" si="828"/>
        <v>1163.1399999995397</v>
      </c>
      <c r="V1208" s="38"/>
      <c r="W1208" s="38"/>
      <c r="X1208" s="38"/>
      <c r="Y1208" s="51">
        <f t="shared" si="829"/>
        <v>1163.1399999995397</v>
      </c>
      <c r="Z1208" s="52"/>
      <c r="AA1208" s="53">
        <f t="shared" si="830"/>
        <v>441.94999999923022</v>
      </c>
      <c r="AB1208" s="38"/>
      <c r="AC1208" s="38"/>
      <c r="AD1208" s="38"/>
      <c r="AE1208" s="54">
        <f t="shared" si="831"/>
        <v>441.94999999923022</v>
      </c>
      <c r="AF1208" s="53"/>
      <c r="AG1208" s="53">
        <f t="shared" si="833"/>
        <v>1020.4000000002794</v>
      </c>
      <c r="AH1208" s="38"/>
      <c r="AI1208" s="38"/>
      <c r="AJ1208" s="38"/>
      <c r="AK1208" s="54">
        <f t="shared" si="834"/>
        <v>1020.4000000002794</v>
      </c>
      <c r="AL1208" s="53"/>
      <c r="AM1208" s="53">
        <f t="shared" si="844"/>
        <v>0</v>
      </c>
      <c r="AN1208" s="38"/>
      <c r="AO1208" s="38"/>
      <c r="AP1208" s="38"/>
      <c r="AQ1208" s="54">
        <f t="shared" si="845"/>
        <v>0</v>
      </c>
      <c r="AR1208" s="53"/>
      <c r="AS1208" s="29">
        <f t="shared" si="835"/>
        <v>5058322.4499999965</v>
      </c>
      <c r="AT1208" s="29">
        <f t="shared" si="836"/>
        <v>323925.12</v>
      </c>
      <c r="AU1208" s="29">
        <f t="shared" si="837"/>
        <v>0</v>
      </c>
      <c r="AV1208" s="29">
        <f t="shared" si="838"/>
        <v>-916201.97</v>
      </c>
      <c r="AW1208" s="29"/>
      <c r="AX1208" s="29">
        <f t="shared" si="839"/>
        <v>4467065.9999999963</v>
      </c>
      <c r="AY1208" s="29">
        <f t="shared" si="840"/>
        <v>9300000</v>
      </c>
      <c r="AZ1208" s="29">
        <f t="shared" si="841"/>
        <v>13767065.999999996</v>
      </c>
    </row>
    <row r="1209" spans="2:52" x14ac:dyDescent="0.3">
      <c r="B1209" s="99">
        <f t="shared" si="843"/>
        <v>45856</v>
      </c>
      <c r="C1209" s="44">
        <f t="shared" si="823"/>
        <v>3709534.9799999986</v>
      </c>
      <c r="D1209" s="38">
        <v>63414.42</v>
      </c>
      <c r="E1209" s="38"/>
      <c r="F1209" s="38">
        <v>-3113010.61</v>
      </c>
      <c r="G1209" s="45">
        <f t="shared" si="832"/>
        <v>659938.78999999864</v>
      </c>
      <c r="H1209" s="44">
        <v>4300000</v>
      </c>
      <c r="I1209" s="46">
        <f t="shared" si="824"/>
        <v>735074.26999999909</v>
      </c>
      <c r="J1209" s="38"/>
      <c r="K1209" s="38">
        <v>965000</v>
      </c>
      <c r="L1209" s="38">
        <v>-55843.54</v>
      </c>
      <c r="M1209" s="47">
        <f t="shared" si="825"/>
        <v>1644230.7299999991</v>
      </c>
      <c r="N1209" s="46">
        <v>5000000</v>
      </c>
      <c r="O1209" s="48">
        <f t="shared" si="826"/>
        <v>19831.259999999264</v>
      </c>
      <c r="P1209" s="38">
        <v>950729.47</v>
      </c>
      <c r="Q1209" s="38">
        <v>-965000</v>
      </c>
      <c r="R1209" s="38">
        <v>-10</v>
      </c>
      <c r="S1209" s="55">
        <f t="shared" si="827"/>
        <v>5550.7299999992829</v>
      </c>
      <c r="T1209" s="48"/>
      <c r="U1209" s="49">
        <f t="shared" si="828"/>
        <v>1163.1399999995397</v>
      </c>
      <c r="V1209" s="38"/>
      <c r="W1209" s="38"/>
      <c r="X1209" s="38"/>
      <c r="Y1209" s="51">
        <f t="shared" si="829"/>
        <v>1163.1399999995397</v>
      </c>
      <c r="Z1209" s="52"/>
      <c r="AA1209" s="53">
        <f t="shared" si="830"/>
        <v>441.94999999923022</v>
      </c>
      <c r="AB1209" s="38"/>
      <c r="AC1209" s="38"/>
      <c r="AD1209" s="38"/>
      <c r="AE1209" s="54">
        <f t="shared" si="831"/>
        <v>441.94999999923022</v>
      </c>
      <c r="AF1209" s="53"/>
      <c r="AG1209" s="53">
        <f t="shared" si="833"/>
        <v>1020.4000000002794</v>
      </c>
      <c r="AH1209" s="38"/>
      <c r="AI1209" s="38"/>
      <c r="AJ1209" s="38"/>
      <c r="AK1209" s="54">
        <f t="shared" si="834"/>
        <v>1020.4000000002794</v>
      </c>
      <c r="AL1209" s="53"/>
      <c r="AM1209" s="53">
        <f t="shared" si="844"/>
        <v>0</v>
      </c>
      <c r="AN1209" s="38"/>
      <c r="AO1209" s="38"/>
      <c r="AP1209" s="38"/>
      <c r="AQ1209" s="54">
        <f t="shared" si="845"/>
        <v>0</v>
      </c>
      <c r="AR1209" s="53"/>
      <c r="AS1209" s="29">
        <f t="shared" si="835"/>
        <v>4466045.5999999959</v>
      </c>
      <c r="AT1209" s="29">
        <f t="shared" si="836"/>
        <v>1014143.89</v>
      </c>
      <c r="AU1209" s="29">
        <f t="shared" si="837"/>
        <v>0</v>
      </c>
      <c r="AV1209" s="29">
        <f t="shared" si="838"/>
        <v>-3168864.15</v>
      </c>
      <c r="AW1209" s="29"/>
      <c r="AX1209" s="29">
        <f t="shared" si="839"/>
        <v>2312345.7399999965</v>
      </c>
      <c r="AY1209" s="29">
        <f t="shared" si="840"/>
        <v>9300000</v>
      </c>
      <c r="AZ1209" s="29">
        <f t="shared" si="841"/>
        <v>11612345.739999996</v>
      </c>
    </row>
    <row r="1210" spans="2:52" x14ac:dyDescent="0.3">
      <c r="B1210" s="99">
        <f>B1209+3</f>
        <v>45859</v>
      </c>
      <c r="C1210" s="44">
        <f t="shared" si="823"/>
        <v>659938.78999999864</v>
      </c>
      <c r="D1210" s="38"/>
      <c r="E1210" s="38">
        <v>250000</v>
      </c>
      <c r="F1210" s="38">
        <v>-824172.2</v>
      </c>
      <c r="G1210" s="45">
        <f t="shared" si="832"/>
        <v>85766.589999998687</v>
      </c>
      <c r="H1210" s="44">
        <v>4300000</v>
      </c>
      <c r="I1210" s="46">
        <f t="shared" si="824"/>
        <v>1644230.7299999991</v>
      </c>
      <c r="J1210" s="38"/>
      <c r="K1210" s="38"/>
      <c r="L1210" s="38">
        <v>-113946.85</v>
      </c>
      <c r="M1210" s="47">
        <f t="shared" si="825"/>
        <v>1530283.879999999</v>
      </c>
      <c r="N1210" s="46">
        <v>5000000</v>
      </c>
      <c r="O1210" s="48">
        <f t="shared" si="826"/>
        <v>5550.7299999992829</v>
      </c>
      <c r="P1210" s="38">
        <v>255860.38</v>
      </c>
      <c r="Q1210" s="38">
        <v>-250000</v>
      </c>
      <c r="R1210" s="38">
        <v>-260</v>
      </c>
      <c r="S1210" s="55">
        <f t="shared" si="827"/>
        <v>11151.109999999288</v>
      </c>
      <c r="T1210" s="48"/>
      <c r="U1210" s="49">
        <f t="shared" si="828"/>
        <v>1163.1399999995397</v>
      </c>
      <c r="V1210" s="38"/>
      <c r="W1210" s="38"/>
      <c r="X1210" s="38"/>
      <c r="Y1210" s="51">
        <f t="shared" si="829"/>
        <v>1163.1399999995397</v>
      </c>
      <c r="Z1210" s="52"/>
      <c r="AA1210" s="53">
        <f t="shared" si="830"/>
        <v>441.94999999923022</v>
      </c>
      <c r="AB1210" s="38"/>
      <c r="AC1210" s="38"/>
      <c r="AD1210" s="38"/>
      <c r="AE1210" s="54">
        <f t="shared" si="831"/>
        <v>441.94999999923022</v>
      </c>
      <c r="AF1210" s="53"/>
      <c r="AG1210" s="53">
        <f t="shared" si="833"/>
        <v>1020.4000000002794</v>
      </c>
      <c r="AH1210" s="38"/>
      <c r="AI1210" s="38"/>
      <c r="AJ1210" s="38"/>
      <c r="AK1210" s="54">
        <f t="shared" si="834"/>
        <v>1020.4000000002794</v>
      </c>
      <c r="AL1210" s="53"/>
      <c r="AM1210" s="53">
        <f t="shared" si="844"/>
        <v>0</v>
      </c>
      <c r="AN1210" s="38"/>
      <c r="AO1210" s="38"/>
      <c r="AP1210" s="38"/>
      <c r="AQ1210" s="54">
        <f t="shared" si="845"/>
        <v>0</v>
      </c>
      <c r="AR1210" s="53"/>
      <c r="AS1210" s="29">
        <f t="shared" si="835"/>
        <v>2311325.3399999961</v>
      </c>
      <c r="AT1210" s="29">
        <f t="shared" si="836"/>
        <v>255860.38</v>
      </c>
      <c r="AU1210" s="29">
        <f t="shared" si="837"/>
        <v>0</v>
      </c>
      <c r="AV1210" s="29">
        <f t="shared" si="838"/>
        <v>-938379.04999999993</v>
      </c>
      <c r="AW1210" s="29"/>
      <c r="AX1210" s="29">
        <f t="shared" si="839"/>
        <v>1629827.0699999959</v>
      </c>
      <c r="AY1210" s="29">
        <f t="shared" si="840"/>
        <v>9300000</v>
      </c>
      <c r="AZ1210" s="29">
        <f t="shared" si="841"/>
        <v>10929827.069999997</v>
      </c>
    </row>
    <row r="1211" spans="2:52" x14ac:dyDescent="0.3">
      <c r="B1211" s="99">
        <f t="shared" si="843"/>
        <v>45860</v>
      </c>
      <c r="C1211" s="44">
        <f t="shared" ref="C1211:C1256" si="846">G1210</f>
        <v>85766.589999998687</v>
      </c>
      <c r="D1211" s="38"/>
      <c r="E1211" s="38"/>
      <c r="F1211" s="38">
        <v>-1170</v>
      </c>
      <c r="G1211" s="45">
        <f t="shared" si="832"/>
        <v>84596.589999998687</v>
      </c>
      <c r="H1211" s="44">
        <v>4300000</v>
      </c>
      <c r="I1211" s="46">
        <f t="shared" ref="I1211:I1256" si="847">M1210</f>
        <v>1530283.879999999</v>
      </c>
      <c r="J1211" s="38"/>
      <c r="K1211" s="38">
        <v>290000</v>
      </c>
      <c r="L1211" s="38">
        <v>-75372.479999999996</v>
      </c>
      <c r="M1211" s="47">
        <f t="shared" ref="M1211:M1256" si="848">SUM(I1211:L1211)</f>
        <v>1744911.399999999</v>
      </c>
      <c r="N1211" s="46">
        <v>5000000</v>
      </c>
      <c r="O1211" s="48">
        <f t="shared" ref="O1211:O1256" si="849">S1210</f>
        <v>11151.109999999288</v>
      </c>
      <c r="P1211" s="38">
        <v>285809.68</v>
      </c>
      <c r="Q1211" s="38">
        <v>-290000</v>
      </c>
      <c r="R1211" s="38">
        <v>-406</v>
      </c>
      <c r="S1211" s="55">
        <f t="shared" ref="S1211:S1256" si="850">SUM(O1211:R1211)</f>
        <v>6554.7899999992806</v>
      </c>
      <c r="T1211" s="48"/>
      <c r="U1211" s="49">
        <f t="shared" ref="U1211:U1256" si="851">Y1210</f>
        <v>1163.1399999995397</v>
      </c>
      <c r="V1211" s="38"/>
      <c r="W1211" s="38"/>
      <c r="X1211" s="38"/>
      <c r="Y1211" s="51">
        <f t="shared" ref="Y1211:Y1256" si="852">SUM(U1211:X1211)</f>
        <v>1163.1399999995397</v>
      </c>
      <c r="Z1211" s="52"/>
      <c r="AA1211" s="53">
        <f t="shared" ref="AA1211:AA1256" si="853">AE1210</f>
        <v>441.94999999923022</v>
      </c>
      <c r="AB1211" s="38"/>
      <c r="AC1211" s="38"/>
      <c r="AD1211" s="38"/>
      <c r="AE1211" s="54">
        <f t="shared" ref="AE1211:AE1256" si="854">SUM(AA1211:AD1211)</f>
        <v>441.94999999923022</v>
      </c>
      <c r="AF1211" s="53"/>
      <c r="AG1211" s="53">
        <f t="shared" si="833"/>
        <v>1020.4000000002794</v>
      </c>
      <c r="AH1211" s="38"/>
      <c r="AI1211" s="38"/>
      <c r="AJ1211" s="38"/>
      <c r="AK1211" s="54">
        <f t="shared" si="834"/>
        <v>1020.4000000002794</v>
      </c>
      <c r="AL1211" s="53"/>
      <c r="AM1211" s="53">
        <f t="shared" si="844"/>
        <v>0</v>
      </c>
      <c r="AN1211" s="38"/>
      <c r="AO1211" s="38"/>
      <c r="AP1211" s="38"/>
      <c r="AQ1211" s="54">
        <f t="shared" si="845"/>
        <v>0</v>
      </c>
      <c r="AR1211" s="53"/>
      <c r="AS1211" s="29">
        <f t="shared" si="835"/>
        <v>1628806.6699999955</v>
      </c>
      <c r="AT1211" s="29">
        <f t="shared" si="836"/>
        <v>285809.68</v>
      </c>
      <c r="AU1211" s="29">
        <f t="shared" si="837"/>
        <v>0</v>
      </c>
      <c r="AV1211" s="29">
        <f t="shared" si="838"/>
        <v>-76948.479999999996</v>
      </c>
      <c r="AW1211" s="29"/>
      <c r="AX1211" s="29">
        <f t="shared" si="839"/>
        <v>1838688.2699999961</v>
      </c>
      <c r="AY1211" s="29">
        <f t="shared" si="840"/>
        <v>9300000</v>
      </c>
      <c r="AZ1211" s="29">
        <f t="shared" si="841"/>
        <v>11138688.269999996</v>
      </c>
    </row>
    <row r="1212" spans="2:52" x14ac:dyDescent="0.3">
      <c r="B1212" s="99">
        <f t="shared" si="843"/>
        <v>45861</v>
      </c>
      <c r="C1212" s="44">
        <f t="shared" si="846"/>
        <v>84596.589999998687</v>
      </c>
      <c r="D1212" s="38">
        <v>874737.44</v>
      </c>
      <c r="E1212" s="38"/>
      <c r="F1212" s="38">
        <v>-80</v>
      </c>
      <c r="G1212" s="45">
        <f t="shared" si="832"/>
        <v>959254.02999999863</v>
      </c>
      <c r="H1212" s="44">
        <v>4300000</v>
      </c>
      <c r="I1212" s="46">
        <f t="shared" si="847"/>
        <v>1744911.399999999</v>
      </c>
      <c r="J1212" s="38">
        <v>10242.790000000001</v>
      </c>
      <c r="K1212" s="38"/>
      <c r="L1212" s="38">
        <v>-43330.47</v>
      </c>
      <c r="M1212" s="47">
        <f t="shared" si="848"/>
        <v>1711823.719999999</v>
      </c>
      <c r="N1212" s="46">
        <v>5000000</v>
      </c>
      <c r="O1212" s="48">
        <f t="shared" si="849"/>
        <v>6554.7899999992806</v>
      </c>
      <c r="P1212" s="38">
        <v>72278.44</v>
      </c>
      <c r="Q1212" s="38"/>
      <c r="R1212" s="38">
        <v>-50</v>
      </c>
      <c r="S1212" s="55">
        <f t="shared" si="850"/>
        <v>78783.229999999283</v>
      </c>
      <c r="T1212" s="48"/>
      <c r="U1212" s="49">
        <f t="shared" si="851"/>
        <v>1163.1399999995397</v>
      </c>
      <c r="V1212" s="38"/>
      <c r="W1212" s="38"/>
      <c r="X1212" s="38"/>
      <c r="Y1212" s="51">
        <f t="shared" si="852"/>
        <v>1163.1399999995397</v>
      </c>
      <c r="Z1212" s="52"/>
      <c r="AA1212" s="53">
        <f t="shared" si="853"/>
        <v>441.94999999923022</v>
      </c>
      <c r="AB1212" s="38"/>
      <c r="AC1212" s="38"/>
      <c r="AD1212" s="38">
        <v>-60</v>
      </c>
      <c r="AE1212" s="54">
        <f t="shared" si="854"/>
        <v>381.94999999923022</v>
      </c>
      <c r="AF1212" s="53"/>
      <c r="AG1212" s="53">
        <f t="shared" si="833"/>
        <v>1020.4000000002794</v>
      </c>
      <c r="AH1212" s="38"/>
      <c r="AI1212" s="38"/>
      <c r="AJ1212" s="38"/>
      <c r="AK1212" s="54">
        <f t="shared" si="834"/>
        <v>1020.4000000002794</v>
      </c>
      <c r="AL1212" s="53"/>
      <c r="AM1212" s="53">
        <f t="shared" si="844"/>
        <v>0</v>
      </c>
      <c r="AN1212" s="38"/>
      <c r="AO1212" s="38"/>
      <c r="AP1212" s="38"/>
      <c r="AQ1212" s="54">
        <f t="shared" si="845"/>
        <v>0</v>
      </c>
      <c r="AR1212" s="53"/>
      <c r="AS1212" s="29">
        <f t="shared" si="835"/>
        <v>1837667.8699999957</v>
      </c>
      <c r="AT1212" s="29">
        <f t="shared" si="836"/>
        <v>957258.66999999993</v>
      </c>
      <c r="AU1212" s="29">
        <f t="shared" si="837"/>
        <v>0</v>
      </c>
      <c r="AV1212" s="29">
        <f t="shared" si="838"/>
        <v>-43520.47</v>
      </c>
      <c r="AW1212" s="29"/>
      <c r="AX1212" s="29">
        <f t="shared" si="839"/>
        <v>2752426.469999996</v>
      </c>
      <c r="AY1212" s="29">
        <f t="shared" si="840"/>
        <v>9300000</v>
      </c>
      <c r="AZ1212" s="29">
        <f t="shared" si="841"/>
        <v>12052426.469999995</v>
      </c>
    </row>
    <row r="1213" spans="2:52" x14ac:dyDescent="0.3">
      <c r="B1213" s="99">
        <f t="shared" si="843"/>
        <v>45862</v>
      </c>
      <c r="C1213" s="44">
        <f t="shared" si="846"/>
        <v>959254.02999999863</v>
      </c>
      <c r="D1213" s="38"/>
      <c r="E1213" s="38"/>
      <c r="F1213" s="38"/>
      <c r="G1213" s="45">
        <f t="shared" si="832"/>
        <v>959254.02999999863</v>
      </c>
      <c r="H1213" s="44">
        <v>4300000</v>
      </c>
      <c r="I1213" s="46">
        <f t="shared" si="847"/>
        <v>1711823.719999999</v>
      </c>
      <c r="J1213" s="38"/>
      <c r="K1213" s="38"/>
      <c r="L1213" s="38">
        <v>-114635.95</v>
      </c>
      <c r="M1213" s="47">
        <f t="shared" si="848"/>
        <v>1597187.7699999991</v>
      </c>
      <c r="N1213" s="46">
        <v>5000000</v>
      </c>
      <c r="O1213" s="48">
        <f t="shared" si="849"/>
        <v>78783.229999999283</v>
      </c>
      <c r="P1213" s="38"/>
      <c r="Q1213" s="38"/>
      <c r="R1213" s="38"/>
      <c r="S1213" s="55">
        <f t="shared" si="850"/>
        <v>78783.229999999283</v>
      </c>
      <c r="T1213" s="48"/>
      <c r="U1213" s="49">
        <f t="shared" si="851"/>
        <v>1163.1399999995397</v>
      </c>
      <c r="V1213" s="38"/>
      <c r="W1213" s="38"/>
      <c r="X1213" s="38"/>
      <c r="Y1213" s="51">
        <f t="shared" si="852"/>
        <v>1163.1399999995397</v>
      </c>
      <c r="Z1213" s="52"/>
      <c r="AA1213" s="53">
        <f t="shared" si="853"/>
        <v>381.94999999923022</v>
      </c>
      <c r="AB1213" s="38"/>
      <c r="AC1213" s="38"/>
      <c r="AD1213" s="38"/>
      <c r="AE1213" s="54">
        <f t="shared" si="854"/>
        <v>381.94999999923022</v>
      </c>
      <c r="AF1213" s="53"/>
      <c r="AG1213" s="53">
        <f t="shared" si="833"/>
        <v>1020.4000000002794</v>
      </c>
      <c r="AH1213" s="38">
        <v>126427.21</v>
      </c>
      <c r="AI1213" s="38"/>
      <c r="AJ1213" s="38"/>
      <c r="AK1213" s="54">
        <f t="shared" si="834"/>
        <v>127447.61000000029</v>
      </c>
      <c r="AL1213" s="53"/>
      <c r="AM1213" s="53">
        <f t="shared" si="844"/>
        <v>0</v>
      </c>
      <c r="AN1213" s="38"/>
      <c r="AO1213" s="38"/>
      <c r="AP1213" s="38"/>
      <c r="AQ1213" s="54">
        <f t="shared" si="845"/>
        <v>0</v>
      </c>
      <c r="AR1213" s="53"/>
      <c r="AS1213" s="29">
        <f t="shared" si="835"/>
        <v>2751406.0699999956</v>
      </c>
      <c r="AT1213" s="29">
        <f t="shared" si="836"/>
        <v>126427.21</v>
      </c>
      <c r="AU1213" s="29">
        <f t="shared" si="837"/>
        <v>0</v>
      </c>
      <c r="AV1213" s="29">
        <f t="shared" si="838"/>
        <v>-114635.95</v>
      </c>
      <c r="AW1213" s="29"/>
      <c r="AX1213" s="29">
        <f t="shared" si="839"/>
        <v>2764217.7299999967</v>
      </c>
      <c r="AY1213" s="29">
        <f t="shared" si="840"/>
        <v>9300000</v>
      </c>
      <c r="AZ1213" s="29">
        <f t="shared" si="841"/>
        <v>12064217.729999997</v>
      </c>
    </row>
    <row r="1214" spans="2:52" x14ac:dyDescent="0.3">
      <c r="B1214" s="99">
        <f t="shared" si="843"/>
        <v>45863</v>
      </c>
      <c r="C1214" s="44">
        <f t="shared" si="846"/>
        <v>959254.02999999863</v>
      </c>
      <c r="D1214" s="38">
        <f>89144.47+26135.27</f>
        <v>115279.74</v>
      </c>
      <c r="E1214" s="38"/>
      <c r="F1214" s="38">
        <v>-222596.33</v>
      </c>
      <c r="G1214" s="45">
        <f t="shared" si="832"/>
        <v>851937.43999999866</v>
      </c>
      <c r="H1214" s="44">
        <v>4300000</v>
      </c>
      <c r="I1214" s="46">
        <f t="shared" si="847"/>
        <v>1597187.7699999991</v>
      </c>
      <c r="J1214" s="38">
        <v>258645.25</v>
      </c>
      <c r="K1214" s="38">
        <v>127000</v>
      </c>
      <c r="L1214" s="38">
        <v>-278234.34000000003</v>
      </c>
      <c r="M1214" s="47">
        <f t="shared" si="848"/>
        <v>1704598.679999999</v>
      </c>
      <c r="N1214" s="46">
        <v>5000000</v>
      </c>
      <c r="O1214" s="48">
        <f t="shared" si="849"/>
        <v>78783.229999999283</v>
      </c>
      <c r="P1214" s="38">
        <f>34680+13802.64</f>
        <v>48482.64</v>
      </c>
      <c r="Q1214" s="38"/>
      <c r="R1214" s="38">
        <v>-128.9</v>
      </c>
      <c r="S1214" s="55">
        <f t="shared" si="850"/>
        <v>127136.96999999929</v>
      </c>
      <c r="T1214" s="48"/>
      <c r="U1214" s="49">
        <f t="shared" si="851"/>
        <v>1163.1399999995397</v>
      </c>
      <c r="V1214" s="38">
        <v>33317.800000000003</v>
      </c>
      <c r="W1214" s="38"/>
      <c r="X1214" s="38"/>
      <c r="Y1214" s="51">
        <f t="shared" si="852"/>
        <v>34480.939999999544</v>
      </c>
      <c r="Z1214" s="52"/>
      <c r="AA1214" s="53">
        <f t="shared" si="853"/>
        <v>381.94999999923022</v>
      </c>
      <c r="AB1214" s="38"/>
      <c r="AC1214" s="38"/>
      <c r="AD1214" s="38"/>
      <c r="AE1214" s="54">
        <f t="shared" si="854"/>
        <v>381.94999999923022</v>
      </c>
      <c r="AF1214" s="53"/>
      <c r="AG1214" s="53">
        <f t="shared" si="833"/>
        <v>127447.61000000029</v>
      </c>
      <c r="AH1214" s="38"/>
      <c r="AI1214" s="38">
        <v>-127000</v>
      </c>
      <c r="AJ1214" s="38"/>
      <c r="AK1214" s="54">
        <f t="shared" si="834"/>
        <v>447.61000000029162</v>
      </c>
      <c r="AL1214" s="53"/>
      <c r="AM1214" s="53">
        <f t="shared" si="844"/>
        <v>0</v>
      </c>
      <c r="AN1214" s="38"/>
      <c r="AO1214" s="38"/>
      <c r="AP1214" s="38"/>
      <c r="AQ1214" s="54">
        <f t="shared" si="845"/>
        <v>0</v>
      </c>
      <c r="AR1214" s="53"/>
      <c r="AS1214" s="29">
        <f t="shared" si="835"/>
        <v>2636770.1199999964</v>
      </c>
      <c r="AT1214" s="29">
        <f t="shared" si="836"/>
        <v>455725.43</v>
      </c>
      <c r="AU1214" s="29">
        <f t="shared" si="837"/>
        <v>0</v>
      </c>
      <c r="AV1214" s="29">
        <f t="shared" si="838"/>
        <v>-500959.57000000007</v>
      </c>
      <c r="AW1214" s="29"/>
      <c r="AX1214" s="29">
        <f t="shared" si="839"/>
        <v>2718983.5899999961</v>
      </c>
      <c r="AY1214" s="29">
        <f t="shared" si="840"/>
        <v>9300000</v>
      </c>
      <c r="AZ1214" s="29">
        <f t="shared" si="841"/>
        <v>12018983.589999996</v>
      </c>
    </row>
    <row r="1215" spans="2:52" x14ac:dyDescent="0.3">
      <c r="B1215" s="99">
        <f>B1214+3</f>
        <v>45866</v>
      </c>
      <c r="C1215" s="44">
        <f t="shared" si="846"/>
        <v>851937.43999999866</v>
      </c>
      <c r="D1215" s="38">
        <v>1319113.19</v>
      </c>
      <c r="E1215" s="38"/>
      <c r="F1215" s="38"/>
      <c r="G1215" s="45">
        <f t="shared" si="832"/>
        <v>2171050.6299999985</v>
      </c>
      <c r="H1215" s="44">
        <v>4300000</v>
      </c>
      <c r="I1215" s="46">
        <f t="shared" si="847"/>
        <v>1704598.679999999</v>
      </c>
      <c r="J1215" s="38"/>
      <c r="K1215" s="38">
        <v>300000</v>
      </c>
      <c r="L1215" s="38">
        <v>-432589.55</v>
      </c>
      <c r="M1215" s="47">
        <f t="shared" si="848"/>
        <v>1572009.129999999</v>
      </c>
      <c r="N1215" s="46">
        <v>5000000</v>
      </c>
      <c r="O1215" s="48">
        <f t="shared" si="849"/>
        <v>127136.96999999929</v>
      </c>
      <c r="P1215" s="38">
        <v>141577.46</v>
      </c>
      <c r="Q1215" s="38">
        <f>34400-300000</f>
        <v>-265600</v>
      </c>
      <c r="R1215" s="38">
        <v>-10</v>
      </c>
      <c r="S1215" s="55">
        <f t="shared" si="850"/>
        <v>3104.4299999992945</v>
      </c>
      <c r="T1215" s="48"/>
      <c r="U1215" s="49">
        <f t="shared" si="851"/>
        <v>34480.939999999544</v>
      </c>
      <c r="V1215" s="38"/>
      <c r="W1215" s="38">
        <v>-34400</v>
      </c>
      <c r="X1215" s="38"/>
      <c r="Y1215" s="51">
        <f t="shared" si="852"/>
        <v>80.939999999543943</v>
      </c>
      <c r="Z1215" s="52"/>
      <c r="AA1215" s="53">
        <f t="shared" si="853"/>
        <v>381.94999999923022</v>
      </c>
      <c r="AB1215" s="38"/>
      <c r="AC1215" s="38"/>
      <c r="AD1215" s="38"/>
      <c r="AE1215" s="54">
        <f t="shared" si="854"/>
        <v>381.94999999923022</v>
      </c>
      <c r="AF1215" s="53"/>
      <c r="AG1215" s="53">
        <f t="shared" si="833"/>
        <v>447.61000000029162</v>
      </c>
      <c r="AH1215" s="38"/>
      <c r="AI1215" s="38"/>
      <c r="AJ1215" s="38">
        <v>-9.9</v>
      </c>
      <c r="AK1215" s="54">
        <f t="shared" si="834"/>
        <v>437.71000000029164</v>
      </c>
      <c r="AL1215" s="53"/>
      <c r="AM1215" s="53">
        <f t="shared" si="844"/>
        <v>0</v>
      </c>
      <c r="AN1215" s="38"/>
      <c r="AO1215" s="38"/>
      <c r="AP1215" s="38"/>
      <c r="AQ1215" s="54">
        <f t="shared" si="845"/>
        <v>0</v>
      </c>
      <c r="AR1215" s="53"/>
      <c r="AS1215" s="29">
        <f t="shared" si="835"/>
        <v>2718535.9799999958</v>
      </c>
      <c r="AT1215" s="29">
        <f t="shared" si="836"/>
        <v>1460690.65</v>
      </c>
      <c r="AU1215" s="29">
        <f t="shared" si="837"/>
        <v>0</v>
      </c>
      <c r="AV1215" s="29">
        <f t="shared" si="838"/>
        <v>-432609.45</v>
      </c>
      <c r="AW1215" s="29"/>
      <c r="AX1215" s="29">
        <f t="shared" si="839"/>
        <v>3747064.7899999958</v>
      </c>
      <c r="AY1215" s="29">
        <f t="shared" si="840"/>
        <v>9300000</v>
      </c>
      <c r="AZ1215" s="29">
        <f t="shared" si="841"/>
        <v>13047064.789999995</v>
      </c>
    </row>
    <row r="1216" spans="2:52" x14ac:dyDescent="0.3">
      <c r="B1216" s="99">
        <f t="shared" si="843"/>
        <v>45867</v>
      </c>
      <c r="C1216" s="44">
        <f t="shared" si="846"/>
        <v>2171050.6299999985</v>
      </c>
      <c r="D1216" s="38">
        <v>595563.38</v>
      </c>
      <c r="E1216" s="38"/>
      <c r="F1216" s="38">
        <v>-2037.3</v>
      </c>
      <c r="G1216" s="45">
        <f t="shared" si="832"/>
        <v>2764576.7099999986</v>
      </c>
      <c r="H1216" s="44">
        <v>4300000</v>
      </c>
      <c r="I1216" s="46">
        <f t="shared" si="847"/>
        <v>1572009.129999999</v>
      </c>
      <c r="J1216" s="38">
        <v>379</v>
      </c>
      <c r="K1216" s="38">
        <f>125000+78000</f>
        <v>203000</v>
      </c>
      <c r="L1216" s="38">
        <v>-315882.65999999997</v>
      </c>
      <c r="M1216" s="47">
        <f t="shared" si="848"/>
        <v>1459505.469999999</v>
      </c>
      <c r="N1216" s="46">
        <v>5000000</v>
      </c>
      <c r="O1216" s="48">
        <f t="shared" si="849"/>
        <v>3104.4299999992945</v>
      </c>
      <c r="P1216" s="38">
        <f>115.08+124749.07</f>
        <v>124864.15000000001</v>
      </c>
      <c r="Q1216" s="38">
        <v>-125000</v>
      </c>
      <c r="R1216" s="38">
        <v>-892</v>
      </c>
      <c r="S1216" s="55">
        <f t="shared" si="850"/>
        <v>2076.5799999993033</v>
      </c>
      <c r="T1216" s="48"/>
      <c r="U1216" s="49">
        <f t="shared" si="851"/>
        <v>80.939999999543943</v>
      </c>
      <c r="V1216" s="38"/>
      <c r="W1216" s="38"/>
      <c r="X1216" s="38">
        <v>-1.6</v>
      </c>
      <c r="Y1216" s="51">
        <f t="shared" si="852"/>
        <v>79.339999999543949</v>
      </c>
      <c r="Z1216" s="52"/>
      <c r="AA1216" s="53">
        <f t="shared" si="853"/>
        <v>381.94999999923022</v>
      </c>
      <c r="AB1216" s="38"/>
      <c r="AC1216" s="38"/>
      <c r="AD1216" s="38">
        <v>-235.2</v>
      </c>
      <c r="AE1216" s="54">
        <f t="shared" si="854"/>
        <v>146.74999999923023</v>
      </c>
      <c r="AF1216" s="53"/>
      <c r="AG1216" s="53">
        <f t="shared" si="833"/>
        <v>437.71000000029164</v>
      </c>
      <c r="AH1216" s="38">
        <v>77648.679999999993</v>
      </c>
      <c r="AI1216" s="38">
        <v>-78000</v>
      </c>
      <c r="AJ1216" s="38"/>
      <c r="AK1216" s="54">
        <f t="shared" si="834"/>
        <v>86.390000000290456</v>
      </c>
      <c r="AL1216" s="53"/>
      <c r="AM1216" s="53">
        <f t="shared" si="844"/>
        <v>0</v>
      </c>
      <c r="AN1216" s="38"/>
      <c r="AO1216" s="38"/>
      <c r="AP1216" s="38"/>
      <c r="AQ1216" s="54">
        <f t="shared" si="845"/>
        <v>0</v>
      </c>
      <c r="AR1216" s="53"/>
      <c r="AS1216" s="29">
        <f t="shared" si="835"/>
        <v>3746627.0799999954</v>
      </c>
      <c r="AT1216" s="29">
        <f t="shared" si="836"/>
        <v>798455.21</v>
      </c>
      <c r="AU1216" s="29">
        <f t="shared" si="837"/>
        <v>0</v>
      </c>
      <c r="AV1216" s="29">
        <f t="shared" si="838"/>
        <v>-319048.75999999995</v>
      </c>
      <c r="AW1216" s="29"/>
      <c r="AX1216" s="29">
        <f t="shared" si="839"/>
        <v>4226471.2399999965</v>
      </c>
      <c r="AY1216" s="29">
        <f t="shared" si="840"/>
        <v>9300000</v>
      </c>
      <c r="AZ1216" s="29">
        <f t="shared" si="841"/>
        <v>13526471.239999996</v>
      </c>
    </row>
    <row r="1217" spans="2:52" x14ac:dyDescent="0.3">
      <c r="B1217" s="99">
        <f t="shared" si="843"/>
        <v>45868</v>
      </c>
      <c r="C1217" s="44">
        <f t="shared" si="846"/>
        <v>2764576.7099999986</v>
      </c>
      <c r="D1217" s="38">
        <v>173297.73</v>
      </c>
      <c r="E1217" s="38"/>
      <c r="F1217" s="38"/>
      <c r="G1217" s="45">
        <f t="shared" si="832"/>
        <v>2937874.4399999985</v>
      </c>
      <c r="H1217" s="44">
        <v>4300000</v>
      </c>
      <c r="I1217" s="46">
        <f t="shared" si="847"/>
        <v>1459505.469999999</v>
      </c>
      <c r="J1217" s="38">
        <v>85598.720000000001</v>
      </c>
      <c r="K1217" s="38"/>
      <c r="L1217" s="38"/>
      <c r="M1217" s="47">
        <f t="shared" si="848"/>
        <v>1545104.189999999</v>
      </c>
      <c r="N1217" s="46">
        <v>5000000</v>
      </c>
      <c r="O1217" s="48">
        <f t="shared" si="849"/>
        <v>2076.5799999993033</v>
      </c>
      <c r="P1217" s="38">
        <v>74286.210000000006</v>
      </c>
      <c r="Q1217" s="38"/>
      <c r="R1217" s="38"/>
      <c r="S1217" s="55">
        <f t="shared" si="850"/>
        <v>76362.78999999931</v>
      </c>
      <c r="T1217" s="48"/>
      <c r="U1217" s="49">
        <f t="shared" si="851"/>
        <v>79.339999999543949</v>
      </c>
      <c r="V1217" s="38">
        <v>309390.34000000003</v>
      </c>
      <c r="W1217" s="38"/>
      <c r="X1217" s="38"/>
      <c r="Y1217" s="51">
        <f t="shared" si="852"/>
        <v>309469.67999999959</v>
      </c>
      <c r="Z1217" s="52"/>
      <c r="AA1217" s="53">
        <f t="shared" si="853"/>
        <v>146.74999999923023</v>
      </c>
      <c r="AB1217" s="38"/>
      <c r="AC1217" s="38"/>
      <c r="AD1217" s="38"/>
      <c r="AE1217" s="54">
        <f t="shared" si="854"/>
        <v>146.74999999923023</v>
      </c>
      <c r="AF1217" s="53"/>
      <c r="AG1217" s="53">
        <f t="shared" si="833"/>
        <v>86.390000000290456</v>
      </c>
      <c r="AH1217" s="38">
        <f>37861.34+73491.69+94494.18+1103297.05</f>
        <v>1309144.26</v>
      </c>
      <c r="AI1217" s="38"/>
      <c r="AJ1217" s="38">
        <v>-99.9</v>
      </c>
      <c r="AK1217" s="54">
        <f t="shared" si="834"/>
        <v>1309130.7500000005</v>
      </c>
      <c r="AL1217" s="53"/>
      <c r="AM1217" s="53">
        <f t="shared" si="844"/>
        <v>0</v>
      </c>
      <c r="AN1217" s="38"/>
      <c r="AO1217" s="38"/>
      <c r="AP1217" s="38"/>
      <c r="AQ1217" s="54">
        <f t="shared" si="845"/>
        <v>0</v>
      </c>
      <c r="AR1217" s="53"/>
      <c r="AS1217" s="29">
        <f t="shared" si="835"/>
        <v>4226384.8499999959</v>
      </c>
      <c r="AT1217" s="29">
        <f t="shared" si="836"/>
        <v>1951717.26</v>
      </c>
      <c r="AU1217" s="29">
        <f t="shared" si="837"/>
        <v>0</v>
      </c>
      <c r="AV1217" s="29">
        <f t="shared" si="838"/>
        <v>-99.9</v>
      </c>
      <c r="AW1217" s="29"/>
      <c r="AX1217" s="29">
        <f t="shared" si="839"/>
        <v>6178088.5999999959</v>
      </c>
      <c r="AY1217" s="29">
        <f t="shared" si="840"/>
        <v>9300000</v>
      </c>
      <c r="AZ1217" s="29">
        <f t="shared" si="841"/>
        <v>15478088.599999996</v>
      </c>
    </row>
    <row r="1218" spans="2:52" x14ac:dyDescent="0.3">
      <c r="B1218" s="99">
        <f t="shared" si="843"/>
        <v>45869</v>
      </c>
      <c r="C1218" s="44">
        <f t="shared" si="846"/>
        <v>2937874.4399999985</v>
      </c>
      <c r="D1218" s="38">
        <v>145986.65</v>
      </c>
      <c r="E1218" s="38"/>
      <c r="F1218" s="38">
        <v>-73193.929999999993</v>
      </c>
      <c r="G1218" s="45">
        <f t="shared" si="832"/>
        <v>3010667.1599999983</v>
      </c>
      <c r="H1218" s="44">
        <v>4300000</v>
      </c>
      <c r="I1218" s="46">
        <f t="shared" si="847"/>
        <v>1545104.189999999</v>
      </c>
      <c r="J1218" s="38">
        <v>361474.47</v>
      </c>
      <c r="K1218" s="38">
        <f>1309000+1060000</f>
        <v>2369000</v>
      </c>
      <c r="L1218" s="38"/>
      <c r="M1218" s="47">
        <f t="shared" si="848"/>
        <v>4275578.6599999992</v>
      </c>
      <c r="N1218" s="46">
        <v>5000000</v>
      </c>
      <c r="O1218" s="48">
        <f t="shared" si="849"/>
        <v>76362.78999999931</v>
      </c>
      <c r="P1218" s="38">
        <v>1031356.75</v>
      </c>
      <c r="Q1218" s="38">
        <f>309400-1060000</f>
        <v>-750600</v>
      </c>
      <c r="R1218" s="38">
        <v>-10</v>
      </c>
      <c r="S1218" s="55">
        <f t="shared" si="850"/>
        <v>357109.53999999934</v>
      </c>
      <c r="T1218" s="48"/>
      <c r="U1218" s="49">
        <f t="shared" si="851"/>
        <v>309469.67999999959</v>
      </c>
      <c r="V1218" s="38"/>
      <c r="W1218" s="38">
        <v>-309400</v>
      </c>
      <c r="X1218" s="38">
        <v>-1.6</v>
      </c>
      <c r="Y1218" s="51">
        <f t="shared" si="852"/>
        <v>68.079999999585567</v>
      </c>
      <c r="Z1218" s="52"/>
      <c r="AA1218" s="53">
        <f t="shared" si="853"/>
        <v>146.74999999923023</v>
      </c>
      <c r="AB1218" s="38">
        <v>0.04</v>
      </c>
      <c r="AC1218" s="38"/>
      <c r="AD1218" s="38"/>
      <c r="AE1218" s="54">
        <f t="shared" si="854"/>
        <v>146.78999999923022</v>
      </c>
      <c r="AF1218" s="53"/>
      <c r="AG1218" s="53">
        <f t="shared" si="833"/>
        <v>1309130.7500000005</v>
      </c>
      <c r="AH1218" s="38">
        <v>3.36</v>
      </c>
      <c r="AI1218" s="38">
        <v>-1309000</v>
      </c>
      <c r="AJ1218" s="38"/>
      <c r="AK1218" s="54">
        <f t="shared" si="834"/>
        <v>134.11000000056811</v>
      </c>
      <c r="AL1218" s="53"/>
      <c r="AM1218" s="53">
        <f t="shared" si="844"/>
        <v>0</v>
      </c>
      <c r="AN1218" s="38"/>
      <c r="AO1218" s="38"/>
      <c r="AP1218" s="38"/>
      <c r="AQ1218" s="54">
        <f t="shared" si="845"/>
        <v>0</v>
      </c>
      <c r="AR1218" s="53"/>
      <c r="AS1218" s="29">
        <f t="shared" si="835"/>
        <v>4868957.849999995</v>
      </c>
      <c r="AT1218" s="29">
        <f t="shared" si="836"/>
        <v>1538821.2700000003</v>
      </c>
      <c r="AU1218" s="29">
        <f t="shared" si="837"/>
        <v>0</v>
      </c>
      <c r="AV1218" s="29">
        <f t="shared" si="838"/>
        <v>-73205.53</v>
      </c>
      <c r="AW1218" s="29"/>
      <c r="AX1218" s="29">
        <f t="shared" si="839"/>
        <v>7643704.3399999952</v>
      </c>
      <c r="AY1218" s="29">
        <f t="shared" si="840"/>
        <v>9300000</v>
      </c>
      <c r="AZ1218" s="29">
        <f t="shared" si="841"/>
        <v>16943704.339999996</v>
      </c>
    </row>
    <row r="1219" spans="2:52" x14ac:dyDescent="0.3">
      <c r="B1219" s="99">
        <f t="shared" si="843"/>
        <v>45870</v>
      </c>
      <c r="C1219" s="44">
        <f t="shared" si="846"/>
        <v>3010667.1599999983</v>
      </c>
      <c r="D1219" s="38"/>
      <c r="E1219" s="38"/>
      <c r="F1219" s="38">
        <v>-1771</v>
      </c>
      <c r="G1219" s="45">
        <f t="shared" si="832"/>
        <v>3008896.1599999983</v>
      </c>
      <c r="H1219" s="44">
        <v>4300000</v>
      </c>
      <c r="I1219" s="46">
        <f t="shared" si="847"/>
        <v>4275578.6599999992</v>
      </c>
      <c r="J1219" s="38">
        <v>235.2</v>
      </c>
      <c r="K1219" s="38">
        <v>830000</v>
      </c>
      <c r="L1219" s="38">
        <v>-111869.56</v>
      </c>
      <c r="M1219" s="47">
        <f t="shared" si="848"/>
        <v>4993944.3</v>
      </c>
      <c r="N1219" s="46">
        <v>5000000</v>
      </c>
      <c r="O1219" s="48">
        <f t="shared" si="849"/>
        <v>357109.53999999934</v>
      </c>
      <c r="P1219" s="38">
        <v>480147.9</v>
      </c>
      <c r="Q1219" s="38">
        <v>-830000</v>
      </c>
      <c r="R1219" s="38">
        <v>-934</v>
      </c>
      <c r="S1219" s="55">
        <f t="shared" si="850"/>
        <v>6323.439999999362</v>
      </c>
      <c r="T1219" s="48"/>
      <c r="U1219" s="49">
        <f t="shared" si="851"/>
        <v>68.079999999585567</v>
      </c>
      <c r="V1219" s="38"/>
      <c r="W1219" s="38"/>
      <c r="X1219" s="38"/>
      <c r="Y1219" s="51">
        <f t="shared" si="852"/>
        <v>68.079999999585567</v>
      </c>
      <c r="Z1219" s="52"/>
      <c r="AA1219" s="53">
        <f t="shared" si="853"/>
        <v>146.78999999923022</v>
      </c>
      <c r="AB1219" s="38"/>
      <c r="AC1219" s="38"/>
      <c r="AD1219" s="38"/>
      <c r="AE1219" s="54">
        <f t="shared" si="854"/>
        <v>146.78999999923022</v>
      </c>
      <c r="AF1219" s="53"/>
      <c r="AG1219" s="53">
        <f t="shared" si="833"/>
        <v>134.11000000056811</v>
      </c>
      <c r="AH1219" s="38"/>
      <c r="AI1219" s="38"/>
      <c r="AJ1219" s="38">
        <v>-9.9</v>
      </c>
      <c r="AK1219" s="54">
        <f t="shared" si="834"/>
        <v>124.2100000005681</v>
      </c>
      <c r="AL1219" s="53"/>
      <c r="AM1219" s="53">
        <f t="shared" si="844"/>
        <v>0</v>
      </c>
      <c r="AN1219" s="38"/>
      <c r="AO1219" s="38"/>
      <c r="AP1219" s="38"/>
      <c r="AQ1219" s="54">
        <f t="shared" si="845"/>
        <v>0</v>
      </c>
      <c r="AR1219" s="53"/>
      <c r="AS1219" s="29">
        <f t="shared" si="835"/>
        <v>7643570.2299999949</v>
      </c>
      <c r="AT1219" s="29">
        <f t="shared" si="836"/>
        <v>480383.10000000003</v>
      </c>
      <c r="AU1219" s="29">
        <f t="shared" si="837"/>
        <v>0</v>
      </c>
      <c r="AV1219" s="29">
        <f t="shared" si="838"/>
        <v>-114584.45999999999</v>
      </c>
      <c r="AW1219" s="29"/>
      <c r="AX1219" s="29">
        <f t="shared" si="839"/>
        <v>8009502.9799999967</v>
      </c>
      <c r="AY1219" s="29">
        <f t="shared" si="840"/>
        <v>9300000</v>
      </c>
      <c r="AZ1219" s="29">
        <f t="shared" si="841"/>
        <v>17309502.979999997</v>
      </c>
    </row>
    <row r="1220" spans="2:52" x14ac:dyDescent="0.3">
      <c r="B1220" s="99">
        <f>B1219+3</f>
        <v>45873</v>
      </c>
      <c r="C1220" s="44">
        <f t="shared" si="846"/>
        <v>3008896.1599999983</v>
      </c>
      <c r="D1220" s="38">
        <v>2032.05</v>
      </c>
      <c r="E1220" s="38"/>
      <c r="F1220" s="38">
        <v>-171410.74</v>
      </c>
      <c r="G1220" s="45">
        <f t="shared" si="832"/>
        <v>2839517.4699999979</v>
      </c>
      <c r="H1220" s="44">
        <v>4300000</v>
      </c>
      <c r="I1220" s="46">
        <f t="shared" si="847"/>
        <v>4993944.3</v>
      </c>
      <c r="J1220" s="38"/>
      <c r="K1220" s="38"/>
      <c r="L1220" s="38">
        <v>-3690678.98</v>
      </c>
      <c r="M1220" s="47">
        <f t="shared" si="848"/>
        <v>1303265.3199999998</v>
      </c>
      <c r="N1220" s="46">
        <v>5000000</v>
      </c>
      <c r="O1220" s="48">
        <f t="shared" si="849"/>
        <v>6323.439999999362</v>
      </c>
      <c r="P1220" s="38">
        <v>40179.26</v>
      </c>
      <c r="Q1220" s="38"/>
      <c r="R1220" s="38">
        <v>-6122.21</v>
      </c>
      <c r="S1220" s="55">
        <f t="shared" si="850"/>
        <v>40380.489999999365</v>
      </c>
      <c r="T1220" s="48"/>
      <c r="U1220" s="49">
        <f t="shared" si="851"/>
        <v>68.079999999585567</v>
      </c>
      <c r="V1220" s="38"/>
      <c r="W1220" s="38"/>
      <c r="X1220" s="38">
        <v>-68.08</v>
      </c>
      <c r="Y1220" s="51">
        <f t="shared" si="852"/>
        <v>-4.1443115605943603E-10</v>
      </c>
      <c r="Z1220" s="52"/>
      <c r="AA1220" s="53">
        <f t="shared" si="853"/>
        <v>146.78999999923022</v>
      </c>
      <c r="AB1220" s="38"/>
      <c r="AC1220" s="38"/>
      <c r="AD1220" s="38"/>
      <c r="AE1220" s="54">
        <f t="shared" si="854"/>
        <v>146.78999999923022</v>
      </c>
      <c r="AF1220" s="53"/>
      <c r="AG1220" s="53">
        <f t="shared" si="833"/>
        <v>124.2100000005681</v>
      </c>
      <c r="AH1220" s="38"/>
      <c r="AI1220" s="38"/>
      <c r="AJ1220" s="38"/>
      <c r="AK1220" s="54">
        <f t="shared" si="834"/>
        <v>124.2100000005681</v>
      </c>
      <c r="AL1220" s="53"/>
      <c r="AM1220" s="53">
        <f t="shared" si="844"/>
        <v>0</v>
      </c>
      <c r="AN1220" s="38"/>
      <c r="AO1220" s="38"/>
      <c r="AP1220" s="38"/>
      <c r="AQ1220" s="54">
        <f t="shared" si="845"/>
        <v>0</v>
      </c>
      <c r="AR1220" s="53"/>
      <c r="AS1220" s="29">
        <f t="shared" si="835"/>
        <v>8009378.7699999958</v>
      </c>
      <c r="AT1220" s="29">
        <f t="shared" si="836"/>
        <v>42211.310000000005</v>
      </c>
      <c r="AU1220" s="29">
        <f t="shared" si="837"/>
        <v>0</v>
      </c>
      <c r="AV1220" s="29">
        <f t="shared" si="838"/>
        <v>-3868280.01</v>
      </c>
      <c r="AW1220" s="29"/>
      <c r="AX1220" s="29">
        <f t="shared" si="839"/>
        <v>4183434.2799999961</v>
      </c>
      <c r="AY1220" s="29">
        <f t="shared" si="840"/>
        <v>9300000</v>
      </c>
      <c r="AZ1220" s="29">
        <f t="shared" si="841"/>
        <v>13483434.279999996</v>
      </c>
    </row>
    <row r="1221" spans="2:52" x14ac:dyDescent="0.3">
      <c r="B1221" s="99">
        <f t="shared" si="843"/>
        <v>45874</v>
      </c>
      <c r="C1221" s="44">
        <f t="shared" si="846"/>
        <v>2839517.4699999979</v>
      </c>
      <c r="D1221" s="38">
        <v>31353.41</v>
      </c>
      <c r="E1221" s="38"/>
      <c r="F1221" s="38">
        <v>-3205</v>
      </c>
      <c r="G1221" s="45">
        <f t="shared" si="832"/>
        <v>2867665.879999998</v>
      </c>
      <c r="H1221" s="44">
        <v>4300000</v>
      </c>
      <c r="I1221" s="46">
        <f t="shared" si="847"/>
        <v>1303265.3199999998</v>
      </c>
      <c r="J1221" s="38"/>
      <c r="K1221" s="38"/>
      <c r="L1221" s="38">
        <v>-669375.13</v>
      </c>
      <c r="M1221" s="47">
        <f t="shared" si="848"/>
        <v>633890.18999999983</v>
      </c>
      <c r="N1221" s="46">
        <v>5000000</v>
      </c>
      <c r="O1221" s="48">
        <f t="shared" si="849"/>
        <v>40380.489999999365</v>
      </c>
      <c r="P1221" s="38"/>
      <c r="Q1221" s="38">
        <v>-100</v>
      </c>
      <c r="R1221" s="38">
        <v>-25691.67</v>
      </c>
      <c r="S1221" s="55">
        <f t="shared" si="850"/>
        <v>14588.819999999367</v>
      </c>
      <c r="T1221" s="48"/>
      <c r="U1221" s="49">
        <f t="shared" si="851"/>
        <v>-4.1443115605943603E-10</v>
      </c>
      <c r="V1221" s="38"/>
      <c r="W1221" s="38">
        <v>100</v>
      </c>
      <c r="X1221" s="38">
        <v>-0.32</v>
      </c>
      <c r="Y1221" s="51">
        <f t="shared" si="852"/>
        <v>99.679999999585576</v>
      </c>
      <c r="Z1221" s="52"/>
      <c r="AA1221" s="53">
        <f t="shared" si="853"/>
        <v>146.78999999923022</v>
      </c>
      <c r="AB1221" s="38"/>
      <c r="AC1221" s="38"/>
      <c r="AD1221" s="38"/>
      <c r="AE1221" s="54">
        <f t="shared" si="854"/>
        <v>146.78999999923022</v>
      </c>
      <c r="AF1221" s="53"/>
      <c r="AG1221" s="53">
        <f t="shared" si="833"/>
        <v>124.2100000005681</v>
      </c>
      <c r="AH1221" s="38"/>
      <c r="AI1221" s="38"/>
      <c r="AJ1221" s="38"/>
      <c r="AK1221" s="54">
        <f t="shared" si="834"/>
        <v>124.2100000005681</v>
      </c>
      <c r="AL1221" s="53"/>
      <c r="AM1221" s="53">
        <f t="shared" si="844"/>
        <v>0</v>
      </c>
      <c r="AN1221" s="38"/>
      <c r="AO1221" s="38"/>
      <c r="AP1221" s="38"/>
      <c r="AQ1221" s="54">
        <f t="shared" si="845"/>
        <v>0</v>
      </c>
      <c r="AR1221" s="53"/>
      <c r="AS1221" s="29">
        <f t="shared" si="835"/>
        <v>4183310.0699999956</v>
      </c>
      <c r="AT1221" s="29">
        <f t="shared" si="836"/>
        <v>31353.41</v>
      </c>
      <c r="AU1221" s="29">
        <f t="shared" si="837"/>
        <v>0</v>
      </c>
      <c r="AV1221" s="29">
        <f t="shared" si="838"/>
        <v>-698272.12</v>
      </c>
      <c r="AW1221" s="29"/>
      <c r="AX1221" s="29">
        <f t="shared" si="839"/>
        <v>3516515.5699999966</v>
      </c>
      <c r="AY1221" s="29">
        <f t="shared" si="840"/>
        <v>9300000</v>
      </c>
      <c r="AZ1221" s="29">
        <f t="shared" si="841"/>
        <v>12816515.569999997</v>
      </c>
    </row>
    <row r="1222" spans="2:52" x14ac:dyDescent="0.3">
      <c r="B1222" s="99">
        <f t="shared" si="843"/>
        <v>45875</v>
      </c>
      <c r="C1222" s="44">
        <f t="shared" si="846"/>
        <v>2867665.879999998</v>
      </c>
      <c r="D1222" s="38">
        <v>79244.61</v>
      </c>
      <c r="E1222" s="38"/>
      <c r="F1222" s="38">
        <v>-1600.66</v>
      </c>
      <c r="G1222" s="45">
        <f t="shared" si="832"/>
        <v>2945309.8299999977</v>
      </c>
      <c r="H1222" s="44">
        <v>4300000</v>
      </c>
      <c r="I1222" s="46">
        <f t="shared" si="847"/>
        <v>633890.18999999983</v>
      </c>
      <c r="J1222" s="38"/>
      <c r="K1222" s="38">
        <v>230000</v>
      </c>
      <c r="L1222" s="38">
        <v>-79137.8</v>
      </c>
      <c r="M1222" s="47">
        <f t="shared" si="848"/>
        <v>784752.38999999978</v>
      </c>
      <c r="N1222" s="46">
        <v>5000000</v>
      </c>
      <c r="O1222" s="48">
        <f t="shared" si="849"/>
        <v>14588.819999999367</v>
      </c>
      <c r="P1222" s="38">
        <v>266133.13</v>
      </c>
      <c r="Q1222" s="38">
        <v>-230000</v>
      </c>
      <c r="R1222" s="38">
        <v>-41435.949999999997</v>
      </c>
      <c r="S1222" s="55">
        <f t="shared" si="850"/>
        <v>9285.9999999993743</v>
      </c>
      <c r="T1222" s="48"/>
      <c r="U1222" s="49">
        <f t="shared" si="851"/>
        <v>99.679999999585576</v>
      </c>
      <c r="V1222" s="38"/>
      <c r="W1222" s="38"/>
      <c r="X1222" s="38"/>
      <c r="Y1222" s="51">
        <f t="shared" si="852"/>
        <v>99.679999999585576</v>
      </c>
      <c r="Z1222" s="52"/>
      <c r="AA1222" s="53">
        <f t="shared" si="853"/>
        <v>146.78999999923022</v>
      </c>
      <c r="AB1222" s="38"/>
      <c r="AC1222" s="38"/>
      <c r="AD1222" s="38">
        <v>-21</v>
      </c>
      <c r="AE1222" s="54">
        <f t="shared" si="854"/>
        <v>125.78999999923022</v>
      </c>
      <c r="AF1222" s="53"/>
      <c r="AG1222" s="53">
        <f t="shared" si="833"/>
        <v>124.2100000005681</v>
      </c>
      <c r="AH1222" s="38"/>
      <c r="AI1222" s="38"/>
      <c r="AJ1222" s="38"/>
      <c r="AK1222" s="54">
        <f t="shared" si="834"/>
        <v>124.2100000005681</v>
      </c>
      <c r="AL1222" s="53"/>
      <c r="AM1222" s="53">
        <f t="shared" si="844"/>
        <v>0</v>
      </c>
      <c r="AN1222" s="38"/>
      <c r="AO1222" s="38"/>
      <c r="AP1222" s="38"/>
      <c r="AQ1222" s="54">
        <f t="shared" si="845"/>
        <v>0</v>
      </c>
      <c r="AR1222" s="53"/>
      <c r="AS1222" s="29">
        <f t="shared" si="835"/>
        <v>3516391.3599999961</v>
      </c>
      <c r="AT1222" s="29">
        <f t="shared" si="836"/>
        <v>345377.74</v>
      </c>
      <c r="AU1222" s="29">
        <f t="shared" si="837"/>
        <v>0</v>
      </c>
      <c r="AV1222" s="29">
        <f t="shared" si="838"/>
        <v>-122195.41</v>
      </c>
      <c r="AW1222" s="29"/>
      <c r="AX1222" s="29">
        <f t="shared" si="839"/>
        <v>3739697.8999999962</v>
      </c>
      <c r="AY1222" s="29">
        <f t="shared" si="840"/>
        <v>9300000</v>
      </c>
      <c r="AZ1222" s="29">
        <f t="shared" si="841"/>
        <v>13039697.899999997</v>
      </c>
    </row>
    <row r="1223" spans="2:52" x14ac:dyDescent="0.3">
      <c r="B1223" s="99">
        <f t="shared" si="843"/>
        <v>45876</v>
      </c>
      <c r="C1223" s="44">
        <f t="shared" si="846"/>
        <v>2945309.8299999977</v>
      </c>
      <c r="D1223" s="38"/>
      <c r="E1223" s="38"/>
      <c r="F1223" s="38">
        <v>-1105.71</v>
      </c>
      <c r="G1223" s="45">
        <f t="shared" si="832"/>
        <v>2944204.1199999978</v>
      </c>
      <c r="H1223" s="44">
        <v>4300000</v>
      </c>
      <c r="I1223" s="46">
        <f t="shared" si="847"/>
        <v>784752.38999999978</v>
      </c>
      <c r="J1223" s="38"/>
      <c r="K1223" s="38">
        <v>530000</v>
      </c>
      <c r="L1223" s="38">
        <v>-1011662.2</v>
      </c>
      <c r="M1223" s="47">
        <f t="shared" si="848"/>
        <v>303090.18999999971</v>
      </c>
      <c r="N1223" s="46">
        <v>5000000</v>
      </c>
      <c r="O1223" s="48">
        <f t="shared" si="849"/>
        <v>9285.9999999993743</v>
      </c>
      <c r="P1223" s="38">
        <v>530114.43000000005</v>
      </c>
      <c r="Q1223" s="38">
        <v>-530000</v>
      </c>
      <c r="R1223" s="38">
        <v>-46</v>
      </c>
      <c r="S1223" s="55">
        <f t="shared" si="850"/>
        <v>9354.4299999994691</v>
      </c>
      <c r="T1223" s="48"/>
      <c r="U1223" s="49">
        <f t="shared" si="851"/>
        <v>99.679999999585576</v>
      </c>
      <c r="V1223" s="38"/>
      <c r="W1223" s="38"/>
      <c r="X1223" s="38"/>
      <c r="Y1223" s="51">
        <f t="shared" si="852"/>
        <v>99.679999999585576</v>
      </c>
      <c r="Z1223" s="52"/>
      <c r="AA1223" s="53">
        <f t="shared" si="853"/>
        <v>125.78999999923022</v>
      </c>
      <c r="AB1223" s="38"/>
      <c r="AC1223" s="38"/>
      <c r="AD1223" s="38"/>
      <c r="AE1223" s="54">
        <f t="shared" si="854"/>
        <v>125.78999999923022</v>
      </c>
      <c r="AF1223" s="53"/>
      <c r="AG1223" s="53">
        <f t="shared" si="833"/>
        <v>124.2100000005681</v>
      </c>
      <c r="AH1223" s="38"/>
      <c r="AI1223" s="38"/>
      <c r="AJ1223" s="38"/>
      <c r="AK1223" s="54">
        <f t="shared" si="834"/>
        <v>124.2100000005681</v>
      </c>
      <c r="AL1223" s="53"/>
      <c r="AM1223" s="53">
        <f t="shared" si="844"/>
        <v>0</v>
      </c>
      <c r="AN1223" s="38"/>
      <c r="AO1223" s="38"/>
      <c r="AP1223" s="38"/>
      <c r="AQ1223" s="54">
        <f t="shared" si="845"/>
        <v>0</v>
      </c>
      <c r="AR1223" s="53"/>
      <c r="AS1223" s="29">
        <f t="shared" si="835"/>
        <v>3739573.6899999958</v>
      </c>
      <c r="AT1223" s="29">
        <f t="shared" si="836"/>
        <v>530114.43000000005</v>
      </c>
      <c r="AU1223" s="29">
        <f t="shared" si="837"/>
        <v>0</v>
      </c>
      <c r="AV1223" s="29">
        <f t="shared" si="838"/>
        <v>-1012813.9099999999</v>
      </c>
      <c r="AW1223" s="29"/>
      <c r="AX1223" s="29">
        <f t="shared" si="839"/>
        <v>3256998.4199999967</v>
      </c>
      <c r="AY1223" s="29">
        <f t="shared" si="840"/>
        <v>9300000</v>
      </c>
      <c r="AZ1223" s="29">
        <f t="shared" si="841"/>
        <v>12556998.419999996</v>
      </c>
    </row>
    <row r="1224" spans="2:52" x14ac:dyDescent="0.3">
      <c r="B1224" s="99">
        <f t="shared" si="843"/>
        <v>45877</v>
      </c>
      <c r="C1224" s="44">
        <f t="shared" si="846"/>
        <v>2944204.1199999978</v>
      </c>
      <c r="D1224" s="38"/>
      <c r="E1224" s="38"/>
      <c r="F1224" s="38">
        <v>-5873.94</v>
      </c>
      <c r="G1224" s="45">
        <f t="shared" si="832"/>
        <v>2938330.1799999978</v>
      </c>
      <c r="H1224" s="44">
        <v>4300000</v>
      </c>
      <c r="I1224" s="46">
        <f t="shared" si="847"/>
        <v>303090.18999999971</v>
      </c>
      <c r="J1224" s="38">
        <f>7718.26+82939.37+33960.35</f>
        <v>124617.97999999998</v>
      </c>
      <c r="K1224" s="38"/>
      <c r="L1224" s="38">
        <v>-86313.17</v>
      </c>
      <c r="M1224" s="47">
        <f t="shared" si="848"/>
        <v>341394.99999999971</v>
      </c>
      <c r="N1224" s="46">
        <v>5000000</v>
      </c>
      <c r="O1224" s="48">
        <f t="shared" si="849"/>
        <v>9354.4299999994691</v>
      </c>
      <c r="P1224" s="38"/>
      <c r="Q1224" s="38"/>
      <c r="R1224" s="38"/>
      <c r="S1224" s="55">
        <f t="shared" si="850"/>
        <v>9354.4299999994691</v>
      </c>
      <c r="T1224" s="48"/>
      <c r="U1224" s="49">
        <f t="shared" si="851"/>
        <v>99.679999999585576</v>
      </c>
      <c r="V1224" s="38"/>
      <c r="W1224" s="38"/>
      <c r="X1224" s="38"/>
      <c r="Y1224" s="51">
        <f t="shared" si="852"/>
        <v>99.679999999585576</v>
      </c>
      <c r="Z1224" s="52"/>
      <c r="AA1224" s="53">
        <f t="shared" si="853"/>
        <v>125.78999999923022</v>
      </c>
      <c r="AB1224" s="38"/>
      <c r="AC1224" s="38"/>
      <c r="AD1224" s="38"/>
      <c r="AE1224" s="54">
        <f t="shared" si="854"/>
        <v>125.78999999923022</v>
      </c>
      <c r="AF1224" s="53"/>
      <c r="AG1224" s="53">
        <f t="shared" si="833"/>
        <v>124.2100000005681</v>
      </c>
      <c r="AH1224" s="38"/>
      <c r="AI1224" s="38"/>
      <c r="AJ1224" s="38"/>
      <c r="AK1224" s="54">
        <f t="shared" si="834"/>
        <v>124.2100000005681</v>
      </c>
      <c r="AL1224" s="53"/>
      <c r="AM1224" s="53">
        <f t="shared" si="844"/>
        <v>0</v>
      </c>
      <c r="AN1224" s="38"/>
      <c r="AO1224" s="38"/>
      <c r="AP1224" s="38"/>
      <c r="AQ1224" s="54">
        <f t="shared" si="845"/>
        <v>0</v>
      </c>
      <c r="AR1224" s="53"/>
      <c r="AS1224" s="29">
        <f t="shared" si="835"/>
        <v>3256874.2099999962</v>
      </c>
      <c r="AT1224" s="29">
        <f t="shared" si="836"/>
        <v>124617.97999999998</v>
      </c>
      <c r="AU1224" s="29">
        <f t="shared" si="837"/>
        <v>0</v>
      </c>
      <c r="AV1224" s="29">
        <f t="shared" si="838"/>
        <v>-92187.11</v>
      </c>
      <c r="AW1224" s="29"/>
      <c r="AX1224" s="29">
        <f t="shared" si="839"/>
        <v>3289429.2899999958</v>
      </c>
      <c r="AY1224" s="29">
        <f t="shared" si="840"/>
        <v>9300000</v>
      </c>
      <c r="AZ1224" s="29">
        <f t="shared" si="841"/>
        <v>12589429.289999995</v>
      </c>
    </row>
    <row r="1225" spans="2:52" x14ac:dyDescent="0.3">
      <c r="B1225" s="99">
        <f>B1224+3</f>
        <v>45880</v>
      </c>
      <c r="C1225" s="44">
        <f t="shared" si="846"/>
        <v>2938330.1799999978</v>
      </c>
      <c r="D1225" s="38">
        <v>1260.0899999999999</v>
      </c>
      <c r="E1225" s="38"/>
      <c r="F1225" s="38">
        <v>-236417.72</v>
      </c>
      <c r="G1225" s="45">
        <f t="shared" si="832"/>
        <v>2703172.5499999975</v>
      </c>
      <c r="H1225" s="44">
        <v>4300000</v>
      </c>
      <c r="I1225" s="46">
        <f t="shared" si="847"/>
        <v>341394.99999999971</v>
      </c>
      <c r="J1225" s="38"/>
      <c r="K1225" s="38"/>
      <c r="L1225" s="38">
        <v>-283538.46999999997</v>
      </c>
      <c r="M1225" s="47">
        <f t="shared" si="848"/>
        <v>57856.529999999737</v>
      </c>
      <c r="N1225" s="46">
        <v>5000000</v>
      </c>
      <c r="O1225" s="48">
        <f t="shared" si="849"/>
        <v>9354.4299999994691</v>
      </c>
      <c r="P1225" s="38">
        <v>7836.87</v>
      </c>
      <c r="Q1225" s="38"/>
      <c r="R1225" s="38">
        <v>-1892.88</v>
      </c>
      <c r="S1225" s="55">
        <f t="shared" si="850"/>
        <v>15298.419999999467</v>
      </c>
      <c r="T1225" s="48"/>
      <c r="U1225" s="49">
        <f t="shared" si="851"/>
        <v>99.679999999585576</v>
      </c>
      <c r="V1225" s="38"/>
      <c r="W1225" s="38"/>
      <c r="X1225" s="38"/>
      <c r="Y1225" s="51">
        <f t="shared" si="852"/>
        <v>99.679999999585576</v>
      </c>
      <c r="Z1225" s="52"/>
      <c r="AA1225" s="53">
        <f t="shared" si="853"/>
        <v>125.78999999923022</v>
      </c>
      <c r="AB1225" s="38"/>
      <c r="AC1225" s="38"/>
      <c r="AD1225" s="38"/>
      <c r="AE1225" s="54">
        <f t="shared" si="854"/>
        <v>125.78999999923022</v>
      </c>
      <c r="AF1225" s="53"/>
      <c r="AG1225" s="53">
        <f t="shared" si="833"/>
        <v>124.2100000005681</v>
      </c>
      <c r="AH1225" s="38"/>
      <c r="AI1225" s="38"/>
      <c r="AJ1225" s="38"/>
      <c r="AK1225" s="54">
        <f t="shared" si="834"/>
        <v>124.2100000005681</v>
      </c>
      <c r="AL1225" s="53"/>
      <c r="AM1225" s="53">
        <f t="shared" si="844"/>
        <v>0</v>
      </c>
      <c r="AN1225" s="38"/>
      <c r="AO1225" s="38"/>
      <c r="AP1225" s="38"/>
      <c r="AQ1225" s="54">
        <f t="shared" si="845"/>
        <v>0</v>
      </c>
      <c r="AR1225" s="53"/>
      <c r="AS1225" s="29">
        <f t="shared" si="835"/>
        <v>3289305.0799999954</v>
      </c>
      <c r="AT1225" s="29">
        <f t="shared" si="836"/>
        <v>9096.9599999999991</v>
      </c>
      <c r="AU1225" s="29">
        <f t="shared" si="837"/>
        <v>0</v>
      </c>
      <c r="AV1225" s="29">
        <f t="shared" si="838"/>
        <v>-521849.06999999995</v>
      </c>
      <c r="AW1225" s="29"/>
      <c r="AX1225" s="29">
        <f t="shared" si="839"/>
        <v>2776677.179999996</v>
      </c>
      <c r="AY1225" s="29">
        <f t="shared" si="840"/>
        <v>9300000</v>
      </c>
      <c r="AZ1225" s="29">
        <f t="shared" si="841"/>
        <v>12076677.179999996</v>
      </c>
    </row>
    <row r="1226" spans="2:52" x14ac:dyDescent="0.3">
      <c r="B1226" s="99">
        <f t="shared" si="843"/>
        <v>45881</v>
      </c>
      <c r="C1226" s="44">
        <f t="shared" si="846"/>
        <v>2703172.5499999975</v>
      </c>
      <c r="D1226" s="38"/>
      <c r="E1226" s="38"/>
      <c r="F1226" s="38">
        <v>-7472.18</v>
      </c>
      <c r="G1226" s="45">
        <f t="shared" si="832"/>
        <v>2695700.3699999973</v>
      </c>
      <c r="H1226" s="44">
        <v>4300000</v>
      </c>
      <c r="I1226" s="46">
        <f t="shared" si="847"/>
        <v>57856.529999999737</v>
      </c>
      <c r="J1226" s="38">
        <f>107093.69+38.43+4017.99</f>
        <v>111150.11</v>
      </c>
      <c r="K1226" s="38"/>
      <c r="L1226" s="38">
        <v>-7166.8</v>
      </c>
      <c r="M1226" s="47">
        <f t="shared" si="848"/>
        <v>161839.83999999973</v>
      </c>
      <c r="N1226" s="46">
        <v>5000000</v>
      </c>
      <c r="O1226" s="48">
        <f t="shared" si="849"/>
        <v>15298.419999999467</v>
      </c>
      <c r="P1226" s="38"/>
      <c r="Q1226" s="38"/>
      <c r="R1226" s="38">
        <v>-603.75</v>
      </c>
      <c r="S1226" s="55">
        <f t="shared" si="850"/>
        <v>14694.669999999467</v>
      </c>
      <c r="T1226" s="48"/>
      <c r="U1226" s="49">
        <f t="shared" si="851"/>
        <v>99.679999999585576</v>
      </c>
      <c r="V1226" s="38"/>
      <c r="W1226" s="38"/>
      <c r="X1226" s="38"/>
      <c r="Y1226" s="51">
        <f t="shared" si="852"/>
        <v>99.679999999585576</v>
      </c>
      <c r="Z1226" s="52"/>
      <c r="AA1226" s="53">
        <f t="shared" si="853"/>
        <v>125.78999999923022</v>
      </c>
      <c r="AB1226" s="38"/>
      <c r="AC1226" s="38"/>
      <c r="AD1226" s="38"/>
      <c r="AE1226" s="54">
        <f t="shared" si="854"/>
        <v>125.78999999923022</v>
      </c>
      <c r="AF1226" s="53"/>
      <c r="AG1226" s="53">
        <f t="shared" si="833"/>
        <v>124.2100000005681</v>
      </c>
      <c r="AH1226" s="38"/>
      <c r="AI1226" s="38"/>
      <c r="AJ1226" s="38"/>
      <c r="AK1226" s="54">
        <f t="shared" si="834"/>
        <v>124.2100000005681</v>
      </c>
      <c r="AL1226" s="53"/>
      <c r="AM1226" s="53">
        <f t="shared" si="844"/>
        <v>0</v>
      </c>
      <c r="AN1226" s="38"/>
      <c r="AO1226" s="38"/>
      <c r="AP1226" s="38"/>
      <c r="AQ1226" s="54">
        <f t="shared" si="845"/>
        <v>0</v>
      </c>
      <c r="AR1226" s="53"/>
      <c r="AS1226" s="29">
        <f t="shared" si="835"/>
        <v>2776552.9699999955</v>
      </c>
      <c r="AT1226" s="29">
        <f t="shared" si="836"/>
        <v>111150.11</v>
      </c>
      <c r="AU1226" s="29">
        <f t="shared" si="837"/>
        <v>0</v>
      </c>
      <c r="AV1226" s="29">
        <f t="shared" si="838"/>
        <v>-15242.73</v>
      </c>
      <c r="AW1226" s="29"/>
      <c r="AX1226" s="29">
        <f t="shared" si="839"/>
        <v>2872584.5599999959</v>
      </c>
      <c r="AY1226" s="29">
        <f t="shared" si="840"/>
        <v>9300000</v>
      </c>
      <c r="AZ1226" s="29">
        <f t="shared" si="841"/>
        <v>12172584.559999995</v>
      </c>
    </row>
    <row r="1227" spans="2:52" x14ac:dyDescent="0.3">
      <c r="B1227" s="99">
        <f t="shared" si="843"/>
        <v>45882</v>
      </c>
      <c r="C1227" s="44">
        <f t="shared" si="846"/>
        <v>2695700.3699999973</v>
      </c>
      <c r="D1227" s="38">
        <f>63414.42+49527.08</f>
        <v>112941.5</v>
      </c>
      <c r="E1227" s="38"/>
      <c r="F1227" s="38">
        <f>-20107.11-703.75-450</f>
        <v>-21260.86</v>
      </c>
      <c r="G1227" s="45">
        <f t="shared" si="832"/>
        <v>2787381.0099999974</v>
      </c>
      <c r="H1227" s="44">
        <v>4300000</v>
      </c>
      <c r="I1227" s="46">
        <f t="shared" si="847"/>
        <v>161839.83999999973</v>
      </c>
      <c r="J1227" s="38">
        <v>846.25</v>
      </c>
      <c r="K1227" s="38">
        <v>120000</v>
      </c>
      <c r="L1227" s="38">
        <v>-90628.26</v>
      </c>
      <c r="M1227" s="47">
        <f t="shared" si="848"/>
        <v>192057.82999999973</v>
      </c>
      <c r="N1227" s="46">
        <v>5000000</v>
      </c>
      <c r="O1227" s="48">
        <f t="shared" si="849"/>
        <v>14694.669999999467</v>
      </c>
      <c r="P1227" s="38">
        <v>109315.98</v>
      </c>
      <c r="Q1227" s="38">
        <v>-120000</v>
      </c>
      <c r="R1227" s="38">
        <v>-1843.23</v>
      </c>
      <c r="S1227" s="55">
        <f t="shared" si="850"/>
        <v>2167.4199999994703</v>
      </c>
      <c r="T1227" s="48"/>
      <c r="U1227" s="49">
        <f t="shared" si="851"/>
        <v>99.679999999585576</v>
      </c>
      <c r="V1227" s="38"/>
      <c r="W1227" s="38"/>
      <c r="X1227" s="38"/>
      <c r="Y1227" s="51">
        <f t="shared" si="852"/>
        <v>99.679999999585576</v>
      </c>
      <c r="Z1227" s="52"/>
      <c r="AA1227" s="53">
        <f t="shared" si="853"/>
        <v>125.78999999923022</v>
      </c>
      <c r="AB1227" s="38"/>
      <c r="AC1227" s="38"/>
      <c r="AD1227" s="38"/>
      <c r="AE1227" s="54">
        <f t="shared" si="854"/>
        <v>125.78999999923022</v>
      </c>
      <c r="AF1227" s="53"/>
      <c r="AG1227" s="53">
        <f t="shared" si="833"/>
        <v>124.2100000005681</v>
      </c>
      <c r="AH1227" s="38"/>
      <c r="AI1227" s="38"/>
      <c r="AJ1227" s="38">
        <v>-90</v>
      </c>
      <c r="AK1227" s="54">
        <f t="shared" si="834"/>
        <v>34.210000000568101</v>
      </c>
      <c r="AL1227" s="53"/>
      <c r="AM1227" s="53">
        <f t="shared" si="844"/>
        <v>0</v>
      </c>
      <c r="AN1227" s="38"/>
      <c r="AO1227" s="38"/>
      <c r="AP1227" s="38"/>
      <c r="AQ1227" s="54">
        <f t="shared" si="845"/>
        <v>0</v>
      </c>
      <c r="AR1227" s="53"/>
      <c r="AS1227" s="29">
        <f t="shared" si="835"/>
        <v>2872460.3499999954</v>
      </c>
      <c r="AT1227" s="29">
        <f t="shared" si="836"/>
        <v>223103.72999999998</v>
      </c>
      <c r="AU1227" s="29">
        <f t="shared" si="837"/>
        <v>0</v>
      </c>
      <c r="AV1227" s="29">
        <f t="shared" si="838"/>
        <v>-113822.34999999999</v>
      </c>
      <c r="AW1227" s="29"/>
      <c r="AX1227" s="29">
        <f t="shared" si="839"/>
        <v>2981865.9399999958</v>
      </c>
      <c r="AY1227" s="29">
        <f t="shared" si="840"/>
        <v>9300000</v>
      </c>
      <c r="AZ1227" s="29">
        <f t="shared" si="841"/>
        <v>12281865.939999996</v>
      </c>
    </row>
    <row r="1228" spans="2:52" x14ac:dyDescent="0.3">
      <c r="B1228" s="99">
        <f t="shared" si="843"/>
        <v>45883</v>
      </c>
      <c r="C1228" s="44">
        <f t="shared" si="846"/>
        <v>2787381.0099999974</v>
      </c>
      <c r="D1228" s="38"/>
      <c r="E1228" s="38"/>
      <c r="F1228" s="38">
        <v>-118493.02</v>
      </c>
      <c r="G1228" s="45">
        <f t="shared" si="832"/>
        <v>2668887.9899999974</v>
      </c>
      <c r="H1228" s="44">
        <v>4300000</v>
      </c>
      <c r="I1228" s="46">
        <f t="shared" si="847"/>
        <v>192057.82999999973</v>
      </c>
      <c r="J1228" s="38"/>
      <c r="K1228" s="38">
        <v>315000</v>
      </c>
      <c r="L1228" s="38">
        <v>-41809.47</v>
      </c>
      <c r="M1228" s="47">
        <f t="shared" si="848"/>
        <v>465248.35999999975</v>
      </c>
      <c r="N1228" s="46">
        <v>5000000</v>
      </c>
      <c r="O1228" s="48">
        <f t="shared" si="849"/>
        <v>2167.4199999994703</v>
      </c>
      <c r="P1228" s="38">
        <f>238216.91+79968.13</f>
        <v>318185.04000000004</v>
      </c>
      <c r="Q1228" s="38">
        <v>-315000</v>
      </c>
      <c r="R1228" s="38">
        <v>-10</v>
      </c>
      <c r="S1228" s="55">
        <f t="shared" si="850"/>
        <v>5342.4599999994971</v>
      </c>
      <c r="T1228" s="48"/>
      <c r="U1228" s="49">
        <f t="shared" si="851"/>
        <v>99.679999999585576</v>
      </c>
      <c r="V1228" s="38"/>
      <c r="W1228" s="38"/>
      <c r="X1228" s="38"/>
      <c r="Y1228" s="51">
        <f t="shared" si="852"/>
        <v>99.679999999585576</v>
      </c>
      <c r="Z1228" s="52"/>
      <c r="AA1228" s="53">
        <f t="shared" si="853"/>
        <v>125.78999999923022</v>
      </c>
      <c r="AB1228" s="38"/>
      <c r="AC1228" s="38"/>
      <c r="AD1228" s="38"/>
      <c r="AE1228" s="54">
        <f t="shared" si="854"/>
        <v>125.78999999923022</v>
      </c>
      <c r="AF1228" s="53"/>
      <c r="AG1228" s="53">
        <f t="shared" si="833"/>
        <v>34.210000000568101</v>
      </c>
      <c r="AH1228" s="38"/>
      <c r="AI1228" s="38"/>
      <c r="AJ1228" s="38"/>
      <c r="AK1228" s="54">
        <f t="shared" si="834"/>
        <v>34.210000000568101</v>
      </c>
      <c r="AL1228" s="53"/>
      <c r="AM1228" s="53">
        <f t="shared" si="844"/>
        <v>0</v>
      </c>
      <c r="AN1228" s="38"/>
      <c r="AO1228" s="38"/>
      <c r="AP1228" s="38"/>
      <c r="AQ1228" s="54">
        <f t="shared" si="845"/>
        <v>0</v>
      </c>
      <c r="AR1228" s="53"/>
      <c r="AS1228" s="29">
        <f t="shared" si="835"/>
        <v>2981831.7299999953</v>
      </c>
      <c r="AT1228" s="29">
        <f t="shared" si="836"/>
        <v>318185.04000000004</v>
      </c>
      <c r="AU1228" s="29">
        <f t="shared" si="837"/>
        <v>0</v>
      </c>
      <c r="AV1228" s="29">
        <f t="shared" si="838"/>
        <v>-160312.49</v>
      </c>
      <c r="AW1228" s="29"/>
      <c r="AX1228" s="29">
        <f t="shared" si="839"/>
        <v>3139738.489999996</v>
      </c>
      <c r="AY1228" s="29">
        <f t="shared" si="840"/>
        <v>9300000</v>
      </c>
      <c r="AZ1228" s="29">
        <f t="shared" si="841"/>
        <v>12439738.489999996</v>
      </c>
    </row>
    <row r="1229" spans="2:52" x14ac:dyDescent="0.3">
      <c r="B1229" s="99">
        <f t="shared" si="843"/>
        <v>45884</v>
      </c>
      <c r="C1229" s="44">
        <f t="shared" si="846"/>
        <v>2668887.9899999974</v>
      </c>
      <c r="D1229" s="38">
        <v>1260.0899999999999</v>
      </c>
      <c r="E1229" s="38"/>
      <c r="F1229" s="38">
        <f>-6114.44-18725.11-113.5</f>
        <v>-24953.05</v>
      </c>
      <c r="G1229" s="45">
        <f t="shared" si="832"/>
        <v>2645195.0299999975</v>
      </c>
      <c r="H1229" s="44">
        <v>4300000</v>
      </c>
      <c r="I1229" s="46">
        <f t="shared" si="847"/>
        <v>465248.35999999975</v>
      </c>
      <c r="J1229" s="38">
        <f>331421.4+105881.29+24063.94+38951.85</f>
        <v>500318.48</v>
      </c>
      <c r="K1229" s="38">
        <v>200000</v>
      </c>
      <c r="L1229" s="38">
        <v>-41618.339999999997</v>
      </c>
      <c r="M1229" s="47">
        <f t="shared" si="848"/>
        <v>1123948.4999999998</v>
      </c>
      <c r="N1229" s="46">
        <v>5000000</v>
      </c>
      <c r="O1229" s="48">
        <f t="shared" si="849"/>
        <v>5342.4599999994971</v>
      </c>
      <c r="P1229" s="38">
        <v>207875.76</v>
      </c>
      <c r="Q1229" s="38">
        <v>-200000</v>
      </c>
      <c r="R1229" s="38">
        <v>-197.8</v>
      </c>
      <c r="S1229" s="55">
        <f t="shared" si="850"/>
        <v>13020.419999999507</v>
      </c>
      <c r="T1229" s="48"/>
      <c r="U1229" s="49">
        <f t="shared" si="851"/>
        <v>99.679999999585576</v>
      </c>
      <c r="V1229" s="38"/>
      <c r="W1229" s="38"/>
      <c r="X1229" s="38"/>
      <c r="Y1229" s="51">
        <f t="shared" si="852"/>
        <v>99.679999999585576</v>
      </c>
      <c r="Z1229" s="52"/>
      <c r="AA1229" s="53">
        <f t="shared" si="853"/>
        <v>125.78999999923022</v>
      </c>
      <c r="AB1229" s="38"/>
      <c r="AC1229" s="38"/>
      <c r="AD1229" s="38"/>
      <c r="AE1229" s="54">
        <f t="shared" si="854"/>
        <v>125.78999999923022</v>
      </c>
      <c r="AF1229" s="53"/>
      <c r="AG1229" s="53">
        <f t="shared" si="833"/>
        <v>34.210000000568101</v>
      </c>
      <c r="AH1229" s="38"/>
      <c r="AI1229" s="38"/>
      <c r="AJ1229" s="38"/>
      <c r="AK1229" s="54">
        <f t="shared" si="834"/>
        <v>34.210000000568101</v>
      </c>
      <c r="AL1229" s="53"/>
      <c r="AM1229" s="53">
        <f t="shared" si="844"/>
        <v>0</v>
      </c>
      <c r="AN1229" s="38"/>
      <c r="AO1229" s="38"/>
      <c r="AP1229" s="38"/>
      <c r="AQ1229" s="54">
        <f t="shared" si="845"/>
        <v>0</v>
      </c>
      <c r="AR1229" s="53"/>
      <c r="AS1229" s="29">
        <f t="shared" si="835"/>
        <v>3139704.2799999956</v>
      </c>
      <c r="AT1229" s="29">
        <f t="shared" si="836"/>
        <v>709454.33000000007</v>
      </c>
      <c r="AU1229" s="29">
        <f t="shared" si="837"/>
        <v>0</v>
      </c>
      <c r="AV1229" s="29">
        <f t="shared" si="838"/>
        <v>-66769.19</v>
      </c>
      <c r="AW1229" s="29"/>
      <c r="AX1229" s="29">
        <f t="shared" si="839"/>
        <v>3782423.6299999962</v>
      </c>
      <c r="AY1229" s="29">
        <f t="shared" si="840"/>
        <v>9300000</v>
      </c>
      <c r="AZ1229" s="29">
        <f t="shared" si="841"/>
        <v>13082423.629999995</v>
      </c>
    </row>
    <row r="1230" spans="2:52" x14ac:dyDescent="0.3">
      <c r="B1230" s="99">
        <f>B1229+3</f>
        <v>45887</v>
      </c>
      <c r="C1230" s="44">
        <f t="shared" si="846"/>
        <v>2645195.0299999975</v>
      </c>
      <c r="D1230" s="38">
        <f>264268.92</f>
        <v>264268.92</v>
      </c>
      <c r="E1230" s="38">
        <v>230000</v>
      </c>
      <c r="F1230" s="38">
        <f>-3085.24-2.16-2557228.49-543490.57</f>
        <v>-3103806.46</v>
      </c>
      <c r="G1230" s="45">
        <f t="shared" si="832"/>
        <v>35657.48999999743</v>
      </c>
      <c r="H1230" s="44">
        <v>4300000</v>
      </c>
      <c r="I1230" s="46">
        <f t="shared" si="847"/>
        <v>1123948.4999999998</v>
      </c>
      <c r="J1230" s="38"/>
      <c r="K1230" s="38"/>
      <c r="L1230" s="38">
        <v>-1004857.09</v>
      </c>
      <c r="M1230" s="47">
        <f t="shared" si="848"/>
        <v>119091.4099999998</v>
      </c>
      <c r="N1230" s="46">
        <v>5000000</v>
      </c>
      <c r="O1230" s="48">
        <f t="shared" si="849"/>
        <v>13020.419999999507</v>
      </c>
      <c r="P1230" s="38">
        <f>92513.83+45370.28+80850.74</f>
        <v>218734.84999999998</v>
      </c>
      <c r="Q1230" s="38">
        <v>-230000</v>
      </c>
      <c r="R1230" s="38">
        <v>-10</v>
      </c>
      <c r="S1230" s="55">
        <f t="shared" si="850"/>
        <v>1745.2699999994948</v>
      </c>
      <c r="T1230" s="48"/>
      <c r="U1230" s="49">
        <f t="shared" si="851"/>
        <v>99.679999999585576</v>
      </c>
      <c r="V1230" s="38"/>
      <c r="W1230" s="38"/>
      <c r="X1230" s="38"/>
      <c r="Y1230" s="51">
        <f t="shared" si="852"/>
        <v>99.679999999585576</v>
      </c>
      <c r="Z1230" s="52"/>
      <c r="AA1230" s="53">
        <f t="shared" si="853"/>
        <v>125.78999999923022</v>
      </c>
      <c r="AB1230" s="38"/>
      <c r="AC1230" s="38"/>
      <c r="AD1230" s="38"/>
      <c r="AE1230" s="54">
        <f t="shared" si="854"/>
        <v>125.78999999923022</v>
      </c>
      <c r="AF1230" s="53"/>
      <c r="AG1230" s="53">
        <f t="shared" si="833"/>
        <v>34.210000000568101</v>
      </c>
      <c r="AH1230" s="38"/>
      <c r="AI1230" s="38"/>
      <c r="AJ1230" s="38"/>
      <c r="AK1230" s="54">
        <f t="shared" si="834"/>
        <v>34.210000000568101</v>
      </c>
      <c r="AL1230" s="53"/>
      <c r="AM1230" s="53">
        <f t="shared" si="844"/>
        <v>0</v>
      </c>
      <c r="AN1230" s="38"/>
      <c r="AO1230" s="38"/>
      <c r="AP1230" s="38"/>
      <c r="AQ1230" s="54">
        <f t="shared" si="845"/>
        <v>0</v>
      </c>
      <c r="AR1230" s="53"/>
      <c r="AS1230" s="29">
        <f t="shared" si="835"/>
        <v>3782389.4199999957</v>
      </c>
      <c r="AT1230" s="29">
        <f t="shared" si="836"/>
        <v>483003.76999999996</v>
      </c>
      <c r="AU1230" s="29">
        <f t="shared" si="837"/>
        <v>0</v>
      </c>
      <c r="AV1230" s="29">
        <f t="shared" si="838"/>
        <v>-4108673.55</v>
      </c>
      <c r="AW1230" s="29"/>
      <c r="AX1230" s="29">
        <f t="shared" si="839"/>
        <v>156753.84999999611</v>
      </c>
      <c r="AY1230" s="29">
        <f t="shared" si="840"/>
        <v>9300000</v>
      </c>
      <c r="AZ1230" s="29">
        <f t="shared" si="841"/>
        <v>9456753.8499999959</v>
      </c>
    </row>
    <row r="1231" spans="2:52" x14ac:dyDescent="0.3">
      <c r="B1231" s="99">
        <f t="shared" si="843"/>
        <v>45888</v>
      </c>
      <c r="C1231" s="44">
        <f t="shared" si="846"/>
        <v>35657.48999999743</v>
      </c>
      <c r="D1231" s="38">
        <v>45048</v>
      </c>
      <c r="E1231" s="38"/>
      <c r="F1231" s="38"/>
      <c r="G1231" s="45">
        <f t="shared" si="832"/>
        <v>80705.48999999743</v>
      </c>
      <c r="H1231" s="44">
        <v>4300000</v>
      </c>
      <c r="I1231" s="46">
        <f t="shared" si="847"/>
        <v>119091.4099999998</v>
      </c>
      <c r="J1231" s="38"/>
      <c r="K1231" s="38"/>
      <c r="L1231" s="38">
        <v>-30968.66</v>
      </c>
      <c r="M1231" s="47">
        <f t="shared" si="848"/>
        <v>88122.749999999796</v>
      </c>
      <c r="N1231" s="46">
        <v>5000000</v>
      </c>
      <c r="O1231" s="48">
        <f t="shared" si="849"/>
        <v>1745.2699999994948</v>
      </c>
      <c r="P1231" s="38"/>
      <c r="Q1231" s="38"/>
      <c r="R1231" s="38">
        <v>-395.2</v>
      </c>
      <c r="S1231" s="55">
        <f t="shared" si="850"/>
        <v>1350.0699999994947</v>
      </c>
      <c r="T1231" s="48"/>
      <c r="U1231" s="49">
        <f t="shared" si="851"/>
        <v>99.679999999585576</v>
      </c>
      <c r="V1231" s="38"/>
      <c r="W1231" s="38"/>
      <c r="X1231" s="38"/>
      <c r="Y1231" s="51">
        <f t="shared" si="852"/>
        <v>99.679999999585576</v>
      </c>
      <c r="Z1231" s="52"/>
      <c r="AA1231" s="53">
        <f t="shared" si="853"/>
        <v>125.78999999923022</v>
      </c>
      <c r="AB1231" s="38"/>
      <c r="AC1231" s="38"/>
      <c r="AD1231" s="38"/>
      <c r="AE1231" s="54">
        <f t="shared" si="854"/>
        <v>125.78999999923022</v>
      </c>
      <c r="AF1231" s="53"/>
      <c r="AG1231" s="53">
        <f t="shared" si="833"/>
        <v>34.210000000568101</v>
      </c>
      <c r="AH1231" s="38"/>
      <c r="AI1231" s="38"/>
      <c r="AJ1231" s="38"/>
      <c r="AK1231" s="54">
        <f t="shared" si="834"/>
        <v>34.210000000568101</v>
      </c>
      <c r="AL1231" s="53"/>
      <c r="AM1231" s="53">
        <f t="shared" si="844"/>
        <v>0</v>
      </c>
      <c r="AN1231" s="38"/>
      <c r="AO1231" s="38"/>
      <c r="AP1231" s="38"/>
      <c r="AQ1231" s="54">
        <f t="shared" si="845"/>
        <v>0</v>
      </c>
      <c r="AR1231" s="53"/>
      <c r="AS1231" s="29">
        <f t="shared" si="835"/>
        <v>156719.63999999553</v>
      </c>
      <c r="AT1231" s="29">
        <f t="shared" si="836"/>
        <v>45048</v>
      </c>
      <c r="AU1231" s="29">
        <f t="shared" si="837"/>
        <v>0</v>
      </c>
      <c r="AV1231" s="29">
        <f t="shared" si="838"/>
        <v>-31363.86</v>
      </c>
      <c r="AW1231" s="29"/>
      <c r="AX1231" s="29">
        <f t="shared" si="839"/>
        <v>170437.98999999609</v>
      </c>
      <c r="AY1231" s="29">
        <f t="shared" si="840"/>
        <v>9300000</v>
      </c>
      <c r="AZ1231" s="29">
        <f t="shared" si="841"/>
        <v>9470437.9899999965</v>
      </c>
    </row>
    <row r="1232" spans="2:52" x14ac:dyDescent="0.3">
      <c r="B1232" s="99">
        <f t="shared" si="843"/>
        <v>45889</v>
      </c>
      <c r="C1232" s="44">
        <f t="shared" si="846"/>
        <v>80705.48999999743</v>
      </c>
      <c r="D1232" s="38">
        <v>26062.11</v>
      </c>
      <c r="E1232" s="38">
        <v>-900000</v>
      </c>
      <c r="F1232" s="38">
        <v>-841892.86</v>
      </c>
      <c r="G1232" s="45">
        <f t="shared" si="832"/>
        <v>-1635125.2600000026</v>
      </c>
      <c r="H1232" s="44">
        <v>4300000</v>
      </c>
      <c r="I1232" s="46">
        <f t="shared" si="847"/>
        <v>88122.749999999796</v>
      </c>
      <c r="J1232" s="38">
        <v>10242.790000000001</v>
      </c>
      <c r="K1232" s="38">
        <v>900000</v>
      </c>
      <c r="L1232" s="38">
        <v>-926033.43</v>
      </c>
      <c r="M1232" s="47">
        <f t="shared" si="848"/>
        <v>72332.109999999753</v>
      </c>
      <c r="N1232" s="46">
        <v>5000000</v>
      </c>
      <c r="O1232" s="48">
        <f t="shared" si="849"/>
        <v>1350.0699999994947</v>
      </c>
      <c r="P1232" s="38">
        <f>65.88+34440.63</f>
        <v>34506.509999999995</v>
      </c>
      <c r="Q1232" s="38"/>
      <c r="R1232" s="38">
        <v>-730</v>
      </c>
      <c r="S1232" s="55">
        <f t="shared" si="850"/>
        <v>35126.579999999492</v>
      </c>
      <c r="T1232" s="48"/>
      <c r="U1232" s="49">
        <f t="shared" si="851"/>
        <v>99.679999999585576</v>
      </c>
      <c r="V1232" s="38"/>
      <c r="W1232" s="38"/>
      <c r="X1232" s="38"/>
      <c r="Y1232" s="51">
        <f t="shared" si="852"/>
        <v>99.679999999585576</v>
      </c>
      <c r="Z1232" s="52"/>
      <c r="AA1232" s="53">
        <f t="shared" si="853"/>
        <v>125.78999999923022</v>
      </c>
      <c r="AB1232" s="38"/>
      <c r="AC1232" s="38"/>
      <c r="AD1232" s="38"/>
      <c r="AE1232" s="54">
        <f t="shared" si="854"/>
        <v>125.78999999923022</v>
      </c>
      <c r="AF1232" s="53"/>
      <c r="AG1232" s="53">
        <f t="shared" si="833"/>
        <v>34.210000000568101</v>
      </c>
      <c r="AH1232" s="38"/>
      <c r="AI1232" s="38"/>
      <c r="AJ1232" s="38"/>
      <c r="AK1232" s="54">
        <f t="shared" si="834"/>
        <v>34.210000000568101</v>
      </c>
      <c r="AL1232" s="53"/>
      <c r="AM1232" s="53">
        <f t="shared" si="844"/>
        <v>0</v>
      </c>
      <c r="AN1232" s="38"/>
      <c r="AO1232" s="38"/>
      <c r="AP1232" s="38"/>
      <c r="AQ1232" s="54">
        <f t="shared" si="845"/>
        <v>0</v>
      </c>
      <c r="AR1232" s="53"/>
      <c r="AS1232" s="29">
        <f t="shared" si="835"/>
        <v>170403.77999999552</v>
      </c>
      <c r="AT1232" s="29">
        <f t="shared" si="836"/>
        <v>70811.41</v>
      </c>
      <c r="AU1232" s="29">
        <f t="shared" si="837"/>
        <v>0</v>
      </c>
      <c r="AV1232" s="29">
        <f t="shared" si="838"/>
        <v>-1768656.29</v>
      </c>
      <c r="AW1232" s="29"/>
      <c r="AX1232" s="29">
        <f t="shared" si="839"/>
        <v>-1527406.8900000034</v>
      </c>
      <c r="AY1232" s="29">
        <f t="shared" si="840"/>
        <v>9300000</v>
      </c>
      <c r="AZ1232" s="29">
        <f t="shared" si="841"/>
        <v>7772593.1099999966</v>
      </c>
    </row>
    <row r="1233" spans="2:52" x14ac:dyDescent="0.3">
      <c r="B1233" s="99">
        <f t="shared" si="843"/>
        <v>45890</v>
      </c>
      <c r="C1233" s="44">
        <f t="shared" si="846"/>
        <v>-1635125.2600000026</v>
      </c>
      <c r="D1233" s="38">
        <v>260290.28</v>
      </c>
      <c r="E1233" s="38"/>
      <c r="F1233" s="38"/>
      <c r="G1233" s="45">
        <f t="shared" si="832"/>
        <v>-1374834.9800000025</v>
      </c>
      <c r="H1233" s="44">
        <v>4300000</v>
      </c>
      <c r="I1233" s="46">
        <f t="shared" si="847"/>
        <v>72332.109999999753</v>
      </c>
      <c r="J1233" s="38"/>
      <c r="K1233" s="38"/>
      <c r="L1233" s="38">
        <v>-32375.68</v>
      </c>
      <c r="M1233" s="47">
        <f t="shared" si="848"/>
        <v>39956.429999999753</v>
      </c>
      <c r="N1233" s="46">
        <v>5000000</v>
      </c>
      <c r="O1233" s="48">
        <f t="shared" si="849"/>
        <v>35126.579999999492</v>
      </c>
      <c r="P1233" s="38"/>
      <c r="Q1233" s="38"/>
      <c r="R1233" s="38">
        <v>-68.7</v>
      </c>
      <c r="S1233" s="55">
        <f t="shared" si="850"/>
        <v>35057.879999999495</v>
      </c>
      <c r="T1233" s="48"/>
      <c r="U1233" s="49">
        <f t="shared" si="851"/>
        <v>99.679999999585576</v>
      </c>
      <c r="V1233" s="38"/>
      <c r="W1233" s="38"/>
      <c r="X1233" s="38"/>
      <c r="Y1233" s="51">
        <f t="shared" si="852"/>
        <v>99.679999999585576</v>
      </c>
      <c r="Z1233" s="52"/>
      <c r="AA1233" s="53">
        <f t="shared" si="853"/>
        <v>125.78999999923022</v>
      </c>
      <c r="AB1233" s="38"/>
      <c r="AC1233" s="38"/>
      <c r="AD1233" s="38"/>
      <c r="AE1233" s="54">
        <f t="shared" si="854"/>
        <v>125.78999999923022</v>
      </c>
      <c r="AF1233" s="53"/>
      <c r="AG1233" s="53">
        <f t="shared" si="833"/>
        <v>34.210000000568101</v>
      </c>
      <c r="AH1233" s="38"/>
      <c r="AI1233" s="38"/>
      <c r="AJ1233" s="38"/>
      <c r="AK1233" s="54">
        <f t="shared" si="834"/>
        <v>34.210000000568101</v>
      </c>
      <c r="AL1233" s="53"/>
      <c r="AM1233" s="53">
        <f t="shared" si="844"/>
        <v>0</v>
      </c>
      <c r="AN1233" s="38"/>
      <c r="AO1233" s="38"/>
      <c r="AP1233" s="38"/>
      <c r="AQ1233" s="54">
        <f t="shared" si="845"/>
        <v>0</v>
      </c>
      <c r="AR1233" s="53"/>
      <c r="AS1233" s="29">
        <f t="shared" si="835"/>
        <v>-1527441.1000000041</v>
      </c>
      <c r="AT1233" s="29">
        <f t="shared" si="836"/>
        <v>260290.28</v>
      </c>
      <c r="AU1233" s="29">
        <f t="shared" si="837"/>
        <v>0</v>
      </c>
      <c r="AV1233" s="29">
        <f t="shared" si="838"/>
        <v>-32444.38</v>
      </c>
      <c r="AW1233" s="29"/>
      <c r="AX1233" s="29">
        <f t="shared" si="839"/>
        <v>-1299560.9900000039</v>
      </c>
      <c r="AY1233" s="29">
        <f t="shared" si="840"/>
        <v>9300000</v>
      </c>
      <c r="AZ1233" s="29">
        <f t="shared" si="841"/>
        <v>8000439.0099999961</v>
      </c>
    </row>
    <row r="1234" spans="2:52" x14ac:dyDescent="0.3">
      <c r="B1234" s="99">
        <f t="shared" si="843"/>
        <v>45891</v>
      </c>
      <c r="C1234" s="44">
        <f t="shared" si="846"/>
        <v>-1374834.9800000025</v>
      </c>
      <c r="D1234" s="38">
        <v>20873.79</v>
      </c>
      <c r="E1234" s="38">
        <v>400000</v>
      </c>
      <c r="F1234" s="38">
        <v>-0.21</v>
      </c>
      <c r="G1234" s="45">
        <f t="shared" si="832"/>
        <v>-953961.40000000247</v>
      </c>
      <c r="H1234" s="44">
        <v>4300000</v>
      </c>
      <c r="I1234" s="46">
        <f t="shared" si="847"/>
        <v>39956.429999999753</v>
      </c>
      <c r="J1234" s="38"/>
      <c r="K1234" s="38">
        <f>470000-400000</f>
        <v>70000</v>
      </c>
      <c r="L1234" s="38">
        <v>-21882.82</v>
      </c>
      <c r="M1234" s="47">
        <f t="shared" si="848"/>
        <v>88073.609999999753</v>
      </c>
      <c r="N1234" s="46">
        <v>5000000</v>
      </c>
      <c r="O1234" s="48">
        <f t="shared" si="849"/>
        <v>35057.879999999495</v>
      </c>
      <c r="P1234" s="38">
        <f>352608.09+83260.22</f>
        <v>435868.31000000006</v>
      </c>
      <c r="Q1234" s="38">
        <v>-470000</v>
      </c>
      <c r="R1234" s="38">
        <v>-10</v>
      </c>
      <c r="S1234" s="55">
        <f t="shared" si="850"/>
        <v>916.18999999953667</v>
      </c>
      <c r="T1234" s="48"/>
      <c r="U1234" s="49">
        <f t="shared" si="851"/>
        <v>99.679999999585576</v>
      </c>
      <c r="V1234" s="38"/>
      <c r="W1234" s="38"/>
      <c r="X1234" s="38"/>
      <c r="Y1234" s="51">
        <f t="shared" si="852"/>
        <v>99.679999999585576</v>
      </c>
      <c r="Z1234" s="52"/>
      <c r="AA1234" s="53">
        <f t="shared" si="853"/>
        <v>125.78999999923022</v>
      </c>
      <c r="AB1234" s="38"/>
      <c r="AC1234" s="38"/>
      <c r="AD1234" s="38"/>
      <c r="AE1234" s="54">
        <f t="shared" si="854"/>
        <v>125.78999999923022</v>
      </c>
      <c r="AF1234" s="53"/>
      <c r="AG1234" s="53">
        <f t="shared" si="833"/>
        <v>34.210000000568101</v>
      </c>
      <c r="AH1234" s="38"/>
      <c r="AI1234" s="38"/>
      <c r="AJ1234" s="38"/>
      <c r="AK1234" s="54">
        <f t="shared" si="834"/>
        <v>34.210000000568101</v>
      </c>
      <c r="AL1234" s="53"/>
      <c r="AM1234" s="53">
        <f t="shared" si="844"/>
        <v>0</v>
      </c>
      <c r="AN1234" s="38"/>
      <c r="AO1234" s="38"/>
      <c r="AP1234" s="38"/>
      <c r="AQ1234" s="54">
        <f t="shared" si="845"/>
        <v>0</v>
      </c>
      <c r="AR1234" s="53"/>
      <c r="AS1234" s="29">
        <f t="shared" si="835"/>
        <v>-1299595.2000000046</v>
      </c>
      <c r="AT1234" s="29">
        <f t="shared" si="836"/>
        <v>456742.10000000003</v>
      </c>
      <c r="AU1234" s="29">
        <f t="shared" si="837"/>
        <v>0</v>
      </c>
      <c r="AV1234" s="29">
        <f t="shared" si="838"/>
        <v>-21893.03</v>
      </c>
      <c r="AW1234" s="29"/>
      <c r="AX1234" s="29">
        <f t="shared" si="839"/>
        <v>-864711.92000000377</v>
      </c>
      <c r="AY1234" s="29">
        <f t="shared" si="840"/>
        <v>9300000</v>
      </c>
      <c r="AZ1234" s="29">
        <f t="shared" si="841"/>
        <v>8435288.0799999963</v>
      </c>
    </row>
    <row r="1235" spans="2:52" x14ac:dyDescent="0.3">
      <c r="B1235" s="99">
        <f>B1234+3</f>
        <v>45894</v>
      </c>
      <c r="C1235" s="44">
        <f t="shared" si="846"/>
        <v>-953961.40000000247</v>
      </c>
      <c r="D1235" s="38">
        <f>199202.26+109944.84+5219.94+35240.63+191486.11+29294.35</f>
        <v>570388.13</v>
      </c>
      <c r="E1235" s="38"/>
      <c r="F1235" s="38">
        <v>-168497.6</v>
      </c>
      <c r="G1235" s="45">
        <f t="shared" si="832"/>
        <v>-552070.87000000244</v>
      </c>
      <c r="H1235" s="44">
        <v>4300000</v>
      </c>
      <c r="I1235" s="46">
        <f t="shared" si="847"/>
        <v>88073.609999999753</v>
      </c>
      <c r="J1235" s="38"/>
      <c r="K1235" s="38"/>
      <c r="L1235" s="38">
        <v>-79672.149999999994</v>
      </c>
      <c r="M1235" s="47">
        <f t="shared" si="848"/>
        <v>8401.459999999759</v>
      </c>
      <c r="N1235" s="46">
        <v>5000000</v>
      </c>
      <c r="O1235" s="48">
        <f t="shared" si="849"/>
        <v>916.18999999953667</v>
      </c>
      <c r="P1235" s="38"/>
      <c r="Q1235" s="38"/>
      <c r="R1235" s="38">
        <f>-66.2-128.9</f>
        <v>-195.10000000000002</v>
      </c>
      <c r="S1235" s="55">
        <f t="shared" si="850"/>
        <v>721.08999999953664</v>
      </c>
      <c r="T1235" s="48"/>
      <c r="U1235" s="49">
        <f t="shared" si="851"/>
        <v>99.679999999585576</v>
      </c>
      <c r="V1235" s="38"/>
      <c r="W1235" s="38"/>
      <c r="X1235" s="38"/>
      <c r="Y1235" s="51">
        <f t="shared" si="852"/>
        <v>99.679999999585576</v>
      </c>
      <c r="Z1235" s="52"/>
      <c r="AA1235" s="53">
        <f t="shared" si="853"/>
        <v>125.78999999923022</v>
      </c>
      <c r="AB1235" s="38"/>
      <c r="AC1235" s="38"/>
      <c r="AD1235" s="38"/>
      <c r="AE1235" s="54">
        <f t="shared" si="854"/>
        <v>125.78999999923022</v>
      </c>
      <c r="AF1235" s="53"/>
      <c r="AG1235" s="53">
        <f t="shared" si="833"/>
        <v>34.210000000568101</v>
      </c>
      <c r="AH1235" s="38">
        <v>28446.12</v>
      </c>
      <c r="AI1235" s="38"/>
      <c r="AJ1235" s="38"/>
      <c r="AK1235" s="54">
        <f t="shared" si="834"/>
        <v>28480.330000000566</v>
      </c>
      <c r="AL1235" s="53"/>
      <c r="AM1235" s="53">
        <f t="shared" si="844"/>
        <v>0</v>
      </c>
      <c r="AN1235" s="38"/>
      <c r="AO1235" s="38"/>
      <c r="AP1235" s="38"/>
      <c r="AQ1235" s="54">
        <f t="shared" si="845"/>
        <v>0</v>
      </c>
      <c r="AR1235" s="53"/>
      <c r="AS1235" s="29">
        <f t="shared" si="835"/>
        <v>-864746.13000000431</v>
      </c>
      <c r="AT1235" s="29">
        <f t="shared" si="836"/>
        <v>598834.25</v>
      </c>
      <c r="AU1235" s="29">
        <f t="shared" si="837"/>
        <v>0</v>
      </c>
      <c r="AV1235" s="29">
        <f t="shared" si="838"/>
        <v>-248364.85</v>
      </c>
      <c r="AW1235" s="29"/>
      <c r="AX1235" s="29">
        <f t="shared" si="839"/>
        <v>-514242.52000000386</v>
      </c>
      <c r="AY1235" s="29">
        <f t="shared" si="840"/>
        <v>9300000</v>
      </c>
      <c r="AZ1235" s="29">
        <f t="shared" si="841"/>
        <v>8785757.4799999967</v>
      </c>
    </row>
    <row r="1236" spans="2:52" x14ac:dyDescent="0.3">
      <c r="B1236" s="99">
        <f t="shared" si="843"/>
        <v>45895</v>
      </c>
      <c r="C1236" s="44">
        <f t="shared" si="846"/>
        <v>-552070.87000000244</v>
      </c>
      <c r="D1236" s="38">
        <f>751979.46+49646.65+119067.94</f>
        <v>920694.05</v>
      </c>
      <c r="E1236" s="38"/>
      <c r="F1236" s="38">
        <f>-337482.02-308.15</f>
        <v>-337790.17000000004</v>
      </c>
      <c r="G1236" s="45">
        <f t="shared" si="832"/>
        <v>30833.009999997565</v>
      </c>
      <c r="H1236" s="44">
        <v>4300000</v>
      </c>
      <c r="I1236" s="46">
        <f t="shared" si="847"/>
        <v>8401.459999999759</v>
      </c>
      <c r="J1236" s="38"/>
      <c r="K1236" s="38">
        <f>28000+269000</f>
        <v>297000</v>
      </c>
      <c r="L1236" s="38">
        <v>-156571.01999999999</v>
      </c>
      <c r="M1236" s="47">
        <f t="shared" si="848"/>
        <v>148830.43999999974</v>
      </c>
      <c r="N1236" s="46">
        <v>5000000</v>
      </c>
      <c r="O1236" s="48">
        <f t="shared" si="849"/>
        <v>721.08999999953664</v>
      </c>
      <c r="P1236" s="38">
        <f>239415.03+29589.78</f>
        <v>269004.81</v>
      </c>
      <c r="Q1236" s="38">
        <v>-269000</v>
      </c>
      <c r="R1236" s="38">
        <v>-10</v>
      </c>
      <c r="S1236" s="55">
        <f t="shared" si="850"/>
        <v>715.89999999955762</v>
      </c>
      <c r="T1236" s="48"/>
      <c r="U1236" s="49">
        <f t="shared" si="851"/>
        <v>99.679999999585576</v>
      </c>
      <c r="V1236" s="38"/>
      <c r="W1236" s="38"/>
      <c r="X1236" s="38"/>
      <c r="Y1236" s="51">
        <f t="shared" si="852"/>
        <v>99.679999999585576</v>
      </c>
      <c r="Z1236" s="52"/>
      <c r="AA1236" s="53">
        <f t="shared" si="853"/>
        <v>125.78999999923022</v>
      </c>
      <c r="AB1236" s="38"/>
      <c r="AC1236" s="38"/>
      <c r="AD1236" s="38"/>
      <c r="AE1236" s="54">
        <f t="shared" si="854"/>
        <v>125.78999999923022</v>
      </c>
      <c r="AF1236" s="53"/>
      <c r="AG1236" s="53">
        <f t="shared" si="833"/>
        <v>28480.330000000566</v>
      </c>
      <c r="AH1236" s="38"/>
      <c r="AI1236" s="38">
        <v>-28000</v>
      </c>
      <c r="AJ1236" s="38"/>
      <c r="AK1236" s="54">
        <f t="shared" si="834"/>
        <v>480.33000000056563</v>
      </c>
      <c r="AL1236" s="53"/>
      <c r="AM1236" s="53">
        <f t="shared" si="844"/>
        <v>0</v>
      </c>
      <c r="AN1236" s="38"/>
      <c r="AO1236" s="38"/>
      <c r="AP1236" s="38"/>
      <c r="AQ1236" s="54">
        <f t="shared" si="845"/>
        <v>0</v>
      </c>
      <c r="AR1236" s="53"/>
      <c r="AS1236" s="29">
        <f t="shared" si="835"/>
        <v>-542722.8500000044</v>
      </c>
      <c r="AT1236" s="29">
        <f t="shared" si="836"/>
        <v>1189698.8600000001</v>
      </c>
      <c r="AU1236" s="29">
        <f t="shared" si="837"/>
        <v>0</v>
      </c>
      <c r="AV1236" s="29">
        <f t="shared" si="838"/>
        <v>-494371.19000000006</v>
      </c>
      <c r="AW1236" s="29"/>
      <c r="AX1236" s="29">
        <f t="shared" si="839"/>
        <v>181085.14999999624</v>
      </c>
      <c r="AY1236" s="29">
        <f t="shared" si="840"/>
        <v>9300000</v>
      </c>
      <c r="AZ1236" s="29">
        <f t="shared" si="841"/>
        <v>9481085.1499999966</v>
      </c>
    </row>
    <row r="1237" spans="2:52" x14ac:dyDescent="0.3">
      <c r="B1237" s="99">
        <f t="shared" si="843"/>
        <v>45896</v>
      </c>
      <c r="C1237" s="44">
        <f t="shared" si="846"/>
        <v>30833.009999997565</v>
      </c>
      <c r="D1237" s="38">
        <v>1651729.61</v>
      </c>
      <c r="E1237" s="38"/>
      <c r="F1237" s="38">
        <f>-921.8-246.4-450-624.8</f>
        <v>-2243</v>
      </c>
      <c r="G1237" s="45">
        <f t="shared" ref="G1237:G1256" si="855">SUM(C1237:F1237)</f>
        <v>1680319.6199999978</v>
      </c>
      <c r="H1237" s="44">
        <v>4300000</v>
      </c>
      <c r="I1237" s="46">
        <f t="shared" si="847"/>
        <v>148830.43999999974</v>
      </c>
      <c r="J1237" s="38"/>
      <c r="K1237" s="38">
        <v>1765000</v>
      </c>
      <c r="L1237" s="38">
        <v>-250080.55</v>
      </c>
      <c r="M1237" s="47">
        <f t="shared" si="848"/>
        <v>1663749.8899999997</v>
      </c>
      <c r="N1237" s="46">
        <v>5000000</v>
      </c>
      <c r="O1237" s="48">
        <f t="shared" si="849"/>
        <v>715.89999999955762</v>
      </c>
      <c r="P1237" s="38">
        <f>277555.4+185762.22</f>
        <v>463317.62</v>
      </c>
      <c r="Q1237" s="38">
        <f>1306000-1765000</f>
        <v>-459000</v>
      </c>
      <c r="R1237" s="38">
        <f>-10-158.08-189.2-242-246.4-246.4</f>
        <v>-1092.08</v>
      </c>
      <c r="S1237" s="55">
        <f t="shared" si="850"/>
        <v>3941.439999999553</v>
      </c>
      <c r="T1237" s="48"/>
      <c r="U1237" s="49">
        <f t="shared" si="851"/>
        <v>99.679999999585576</v>
      </c>
      <c r="V1237" s="38">
        <v>1306140.7</v>
      </c>
      <c r="W1237" s="38">
        <v>-1306000</v>
      </c>
      <c r="X1237" s="38">
        <v>-1.6</v>
      </c>
      <c r="Y1237" s="51">
        <f t="shared" si="852"/>
        <v>238.77999999942259</v>
      </c>
      <c r="Z1237" s="52"/>
      <c r="AA1237" s="53">
        <f t="shared" si="853"/>
        <v>125.78999999923022</v>
      </c>
      <c r="AB1237" s="38"/>
      <c r="AC1237" s="38"/>
      <c r="AD1237" s="38"/>
      <c r="AE1237" s="54">
        <f t="shared" si="854"/>
        <v>125.78999999923022</v>
      </c>
      <c r="AF1237" s="53"/>
      <c r="AG1237" s="53">
        <f t="shared" si="833"/>
        <v>480.33000000056563</v>
      </c>
      <c r="AH1237" s="38"/>
      <c r="AI1237" s="38"/>
      <c r="AJ1237" s="38">
        <v>-9.9</v>
      </c>
      <c r="AK1237" s="54">
        <f t="shared" si="834"/>
        <v>470.43000000056566</v>
      </c>
      <c r="AL1237" s="53"/>
      <c r="AM1237" s="53">
        <f t="shared" si="844"/>
        <v>0</v>
      </c>
      <c r="AN1237" s="38"/>
      <c r="AO1237" s="38"/>
      <c r="AP1237" s="38"/>
      <c r="AQ1237" s="54">
        <f t="shared" si="845"/>
        <v>0</v>
      </c>
      <c r="AR1237" s="53"/>
      <c r="AS1237" s="29">
        <f t="shared" si="835"/>
        <v>180604.81999999567</v>
      </c>
      <c r="AT1237" s="29">
        <f t="shared" si="836"/>
        <v>3421187.9299999997</v>
      </c>
      <c r="AU1237" s="29">
        <f t="shared" si="837"/>
        <v>0</v>
      </c>
      <c r="AV1237" s="29">
        <f t="shared" si="838"/>
        <v>-253427.12999999998</v>
      </c>
      <c r="AW1237" s="29"/>
      <c r="AX1237" s="29">
        <f t="shared" si="839"/>
        <v>3348845.949999996</v>
      </c>
      <c r="AY1237" s="29">
        <f t="shared" si="840"/>
        <v>9300000</v>
      </c>
      <c r="AZ1237" s="29">
        <f t="shared" si="841"/>
        <v>12648845.949999996</v>
      </c>
    </row>
    <row r="1238" spans="2:52" x14ac:dyDescent="0.3">
      <c r="B1238" s="99">
        <f t="shared" si="843"/>
        <v>45897</v>
      </c>
      <c r="C1238" s="44">
        <f t="shared" si="846"/>
        <v>1680319.6199999978</v>
      </c>
      <c r="D1238" s="38">
        <v>628816.31000000006</v>
      </c>
      <c r="E1238" s="38"/>
      <c r="F1238" s="38">
        <v>-47.3</v>
      </c>
      <c r="G1238" s="45">
        <f t="shared" si="855"/>
        <v>2309088.629999998</v>
      </c>
      <c r="H1238" s="44">
        <v>4300000</v>
      </c>
      <c r="I1238" s="46">
        <f t="shared" si="847"/>
        <v>1663749.8899999997</v>
      </c>
      <c r="J1238" s="38"/>
      <c r="K1238" s="38">
        <v>1455000</v>
      </c>
      <c r="L1238" s="38"/>
      <c r="M1238" s="47">
        <f t="shared" si="848"/>
        <v>3118749.8899999997</v>
      </c>
      <c r="N1238" s="46">
        <v>5000000</v>
      </c>
      <c r="O1238" s="48">
        <f t="shared" si="849"/>
        <v>3941.439999999553</v>
      </c>
      <c r="P1238" s="38">
        <v>19510.62</v>
      </c>
      <c r="Q1238" s="38"/>
      <c r="R1238" s="38"/>
      <c r="S1238" s="55">
        <f t="shared" si="850"/>
        <v>23452.059999999554</v>
      </c>
      <c r="T1238" s="48"/>
      <c r="U1238" s="49">
        <f t="shared" si="851"/>
        <v>238.77999999942259</v>
      </c>
      <c r="V1238" s="38">
        <v>311269.74</v>
      </c>
      <c r="W1238" s="38"/>
      <c r="X1238" s="38"/>
      <c r="Y1238" s="51">
        <f t="shared" si="852"/>
        <v>311508.51999999944</v>
      </c>
      <c r="Z1238" s="52"/>
      <c r="AA1238" s="53">
        <f t="shared" si="853"/>
        <v>125.78999999923022</v>
      </c>
      <c r="AB1238" s="38"/>
      <c r="AC1238" s="38"/>
      <c r="AD1238" s="38"/>
      <c r="AE1238" s="54">
        <f t="shared" si="854"/>
        <v>125.78999999923022</v>
      </c>
      <c r="AF1238" s="53"/>
      <c r="AG1238" s="53">
        <f t="shared" si="833"/>
        <v>470.43000000056566</v>
      </c>
      <c r="AH1238" s="38">
        <v>1454818.42</v>
      </c>
      <c r="AI1238" s="38">
        <v>-1455000</v>
      </c>
      <c r="AJ1238" s="38"/>
      <c r="AK1238" s="54">
        <f t="shared" si="834"/>
        <v>288.85000000055879</v>
      </c>
      <c r="AL1238" s="53"/>
      <c r="AM1238" s="53">
        <f t="shared" si="844"/>
        <v>0</v>
      </c>
      <c r="AN1238" s="38"/>
      <c r="AO1238" s="38"/>
      <c r="AP1238" s="38"/>
      <c r="AQ1238" s="54">
        <f t="shared" si="845"/>
        <v>0</v>
      </c>
      <c r="AR1238" s="53"/>
      <c r="AS1238" s="29">
        <f t="shared" si="835"/>
        <v>3348375.5199999954</v>
      </c>
      <c r="AT1238" s="29">
        <f t="shared" si="836"/>
        <v>2414415.09</v>
      </c>
      <c r="AU1238" s="29">
        <f t="shared" si="837"/>
        <v>0</v>
      </c>
      <c r="AV1238" s="29">
        <f t="shared" si="838"/>
        <v>-47.3</v>
      </c>
      <c r="AW1238" s="29"/>
      <c r="AX1238" s="29">
        <f t="shared" si="839"/>
        <v>5763213.7399999965</v>
      </c>
      <c r="AY1238" s="29">
        <f t="shared" si="840"/>
        <v>9300000</v>
      </c>
      <c r="AZ1238" s="29">
        <f t="shared" si="841"/>
        <v>15063213.739999996</v>
      </c>
    </row>
    <row r="1239" spans="2:52" x14ac:dyDescent="0.3">
      <c r="B1239" s="99">
        <f t="shared" si="843"/>
        <v>45898</v>
      </c>
      <c r="C1239" s="44">
        <f t="shared" si="846"/>
        <v>2309088.629999998</v>
      </c>
      <c r="D1239" s="38">
        <f>34350.09+125997.12+29101.01+35236.5+33708.95</f>
        <v>258393.66999999998</v>
      </c>
      <c r="E1239" s="38"/>
      <c r="F1239" s="38">
        <v>-1073836.46</v>
      </c>
      <c r="G1239" s="45">
        <f t="shared" si="855"/>
        <v>1493645.839999998</v>
      </c>
      <c r="H1239" s="44">
        <v>4300000</v>
      </c>
      <c r="I1239" s="46">
        <f t="shared" si="847"/>
        <v>3118749.8899999997</v>
      </c>
      <c r="J1239" s="38">
        <v>612377.26</v>
      </c>
      <c r="K1239" s="38">
        <v>700000</v>
      </c>
      <c r="L1239" s="38">
        <v>-1000000</v>
      </c>
      <c r="M1239" s="47">
        <f t="shared" si="848"/>
        <v>3431127.1499999994</v>
      </c>
      <c r="N1239" s="46">
        <v>5000000</v>
      </c>
      <c r="O1239" s="48">
        <f t="shared" si="849"/>
        <v>23452.059999999554</v>
      </c>
      <c r="P1239" s="38">
        <v>406396.68</v>
      </c>
      <c r="Q1239" s="38">
        <f>311400-700000</f>
        <v>-388600</v>
      </c>
      <c r="R1239" s="38">
        <v>-10</v>
      </c>
      <c r="S1239" s="55">
        <f t="shared" si="850"/>
        <v>41238.739999999525</v>
      </c>
      <c r="T1239" s="48"/>
      <c r="U1239" s="49">
        <f t="shared" si="851"/>
        <v>311508.51999999944</v>
      </c>
      <c r="V1239" s="38"/>
      <c r="W1239" s="38">
        <v>-311400</v>
      </c>
      <c r="X1239" s="38">
        <v>-1.6</v>
      </c>
      <c r="Y1239" s="51">
        <f t="shared" si="852"/>
        <v>106.91999999943656</v>
      </c>
      <c r="Z1239" s="52"/>
      <c r="AA1239" s="53">
        <f t="shared" si="853"/>
        <v>125.78999999923022</v>
      </c>
      <c r="AB1239" s="38">
        <v>0.01</v>
      </c>
      <c r="AC1239" s="38"/>
      <c r="AD1239" s="38"/>
      <c r="AE1239" s="54">
        <f t="shared" si="854"/>
        <v>125.79999999923022</v>
      </c>
      <c r="AF1239" s="53"/>
      <c r="AG1239" s="53">
        <f t="shared" si="833"/>
        <v>288.85000000055879</v>
      </c>
      <c r="AH1239" s="38"/>
      <c r="AI1239" s="38"/>
      <c r="AJ1239" s="38">
        <v>-99.89</v>
      </c>
      <c r="AK1239" s="54">
        <f t="shared" si="834"/>
        <v>188.96000000055881</v>
      </c>
      <c r="AL1239" s="53"/>
      <c r="AM1239" s="53">
        <f t="shared" si="844"/>
        <v>0</v>
      </c>
      <c r="AN1239" s="38"/>
      <c r="AO1239" s="38"/>
      <c r="AP1239" s="38"/>
      <c r="AQ1239" s="54">
        <f t="shared" si="845"/>
        <v>0</v>
      </c>
      <c r="AR1239" s="53"/>
      <c r="AS1239" s="29">
        <f t="shared" si="835"/>
        <v>5762924.8899999959</v>
      </c>
      <c r="AT1239" s="29">
        <f t="shared" si="836"/>
        <v>1277167.6199999999</v>
      </c>
      <c r="AU1239" s="29">
        <f t="shared" si="837"/>
        <v>0</v>
      </c>
      <c r="AV1239" s="29">
        <f t="shared" si="838"/>
        <v>-2073947.95</v>
      </c>
      <c r="AW1239" s="29"/>
      <c r="AX1239" s="29">
        <f t="shared" si="839"/>
        <v>4966433.4099999955</v>
      </c>
      <c r="AY1239" s="29">
        <f t="shared" si="840"/>
        <v>9300000</v>
      </c>
      <c r="AZ1239" s="29">
        <f t="shared" si="841"/>
        <v>14266433.409999996</v>
      </c>
    </row>
    <row r="1240" spans="2:52" x14ac:dyDescent="0.3">
      <c r="B1240" s="99">
        <f>B1239+3</f>
        <v>45901</v>
      </c>
      <c r="C1240" s="44">
        <f t="shared" si="846"/>
        <v>1493645.839999998</v>
      </c>
      <c r="D1240" s="38">
        <f>47712+1043.13</f>
        <v>48755.13</v>
      </c>
      <c r="E1240" s="38"/>
      <c r="F1240" s="38"/>
      <c r="G1240" s="45">
        <f t="shared" si="855"/>
        <v>1542400.9699999979</v>
      </c>
      <c r="H1240" s="44">
        <v>4300000</v>
      </c>
      <c r="I1240" s="46">
        <f t="shared" si="847"/>
        <v>3431127.1499999994</v>
      </c>
      <c r="J1240" s="38">
        <f>27298.79+13132.95+24789.35+19478.14</f>
        <v>84699.23000000001</v>
      </c>
      <c r="K1240" s="38"/>
      <c r="L1240" s="38">
        <v>-126336.1</v>
      </c>
      <c r="M1240" s="47">
        <f t="shared" si="848"/>
        <v>3389490.2799999993</v>
      </c>
      <c r="N1240" s="46">
        <v>5000000</v>
      </c>
      <c r="O1240" s="48">
        <f t="shared" si="849"/>
        <v>41238.739999999525</v>
      </c>
      <c r="P1240" s="38"/>
      <c r="Q1240" s="38">
        <v>36800</v>
      </c>
      <c r="R1240" s="38">
        <v>-869.44</v>
      </c>
      <c r="S1240" s="55">
        <f t="shared" si="850"/>
        <v>77169.299999999523</v>
      </c>
      <c r="T1240" s="48"/>
      <c r="U1240" s="49">
        <f t="shared" si="851"/>
        <v>106.91999999943656</v>
      </c>
      <c r="V1240" s="38">
        <v>36824.94</v>
      </c>
      <c r="W1240" s="38">
        <v>-36800</v>
      </c>
      <c r="X1240" s="38"/>
      <c r="Y1240" s="51">
        <f t="shared" si="852"/>
        <v>131.85999999944033</v>
      </c>
      <c r="Z1240" s="52"/>
      <c r="AA1240" s="53">
        <f t="shared" si="853"/>
        <v>125.79999999923022</v>
      </c>
      <c r="AB1240" s="38"/>
      <c r="AC1240" s="38"/>
      <c r="AD1240" s="38"/>
      <c r="AE1240" s="54">
        <f t="shared" si="854"/>
        <v>125.79999999923022</v>
      </c>
      <c r="AF1240" s="53"/>
      <c r="AG1240" s="53">
        <f t="shared" si="833"/>
        <v>188.96000000055881</v>
      </c>
      <c r="AH1240" s="38"/>
      <c r="AI1240" s="38"/>
      <c r="AJ1240" s="38"/>
      <c r="AK1240" s="54">
        <f t="shared" si="834"/>
        <v>188.96000000055881</v>
      </c>
      <c r="AL1240" s="53"/>
      <c r="AM1240" s="53">
        <f t="shared" si="844"/>
        <v>0</v>
      </c>
      <c r="AN1240" s="38"/>
      <c r="AO1240" s="38"/>
      <c r="AP1240" s="38"/>
      <c r="AQ1240" s="54">
        <f t="shared" si="845"/>
        <v>0</v>
      </c>
      <c r="AR1240" s="53"/>
      <c r="AS1240" s="29">
        <f t="shared" si="835"/>
        <v>4966244.4499999946</v>
      </c>
      <c r="AT1240" s="29">
        <f t="shared" si="836"/>
        <v>170279.30000000002</v>
      </c>
      <c r="AU1240" s="29">
        <f t="shared" si="837"/>
        <v>0</v>
      </c>
      <c r="AV1240" s="29">
        <f t="shared" si="838"/>
        <v>-127205.54000000001</v>
      </c>
      <c r="AW1240" s="29"/>
      <c r="AX1240" s="29">
        <f t="shared" si="839"/>
        <v>5009507.1699999962</v>
      </c>
      <c r="AY1240" s="29">
        <f t="shared" si="840"/>
        <v>9300000</v>
      </c>
      <c r="AZ1240" s="29">
        <f t="shared" si="841"/>
        <v>14309507.169999996</v>
      </c>
    </row>
    <row r="1241" spans="2:52" x14ac:dyDescent="0.3">
      <c r="B1241" s="99">
        <f t="shared" si="843"/>
        <v>45902</v>
      </c>
      <c r="C1241" s="44">
        <f t="shared" si="846"/>
        <v>1542400.9699999979</v>
      </c>
      <c r="D1241" s="38"/>
      <c r="E1241" s="38"/>
      <c r="F1241" s="38">
        <v>-144385.38</v>
      </c>
      <c r="G1241" s="45">
        <f t="shared" si="855"/>
        <v>1398015.589999998</v>
      </c>
      <c r="H1241" s="44">
        <v>4300000</v>
      </c>
      <c r="I1241" s="46">
        <f t="shared" si="847"/>
        <v>3389490.2799999993</v>
      </c>
      <c r="J1241" s="38">
        <f>28633.32+418046.55+56514.04</f>
        <v>503193.91</v>
      </c>
      <c r="K1241" s="38">
        <v>500000</v>
      </c>
      <c r="L1241" s="38">
        <v>-24354.11</v>
      </c>
      <c r="M1241" s="47">
        <f t="shared" si="848"/>
        <v>4368330.0799999991</v>
      </c>
      <c r="N1241" s="46">
        <v>5000000</v>
      </c>
      <c r="O1241" s="48">
        <f t="shared" si="849"/>
        <v>77169.299999999523</v>
      </c>
      <c r="P1241" s="38">
        <v>425082.96</v>
      </c>
      <c r="Q1241" s="38">
        <v>-500000</v>
      </c>
      <c r="R1241" s="38">
        <v>-10</v>
      </c>
      <c r="S1241" s="55">
        <f t="shared" si="850"/>
        <v>2242.2599999995437</v>
      </c>
      <c r="T1241" s="48"/>
      <c r="U1241" s="49">
        <f t="shared" si="851"/>
        <v>131.85999999944033</v>
      </c>
      <c r="V1241" s="38"/>
      <c r="W1241" s="38"/>
      <c r="X1241" s="38">
        <f>-68.4-1.6</f>
        <v>-70</v>
      </c>
      <c r="Y1241" s="51">
        <f t="shared" si="852"/>
        <v>61.859999999440333</v>
      </c>
      <c r="Z1241" s="52"/>
      <c r="AA1241" s="53">
        <f t="shared" si="853"/>
        <v>125.79999999923022</v>
      </c>
      <c r="AB1241" s="38"/>
      <c r="AC1241" s="38"/>
      <c r="AD1241" s="38"/>
      <c r="AE1241" s="54">
        <f t="shared" si="854"/>
        <v>125.79999999923022</v>
      </c>
      <c r="AF1241" s="53"/>
      <c r="AG1241" s="53">
        <f t="shared" ref="AG1241:AG1256" si="856">AK1240</f>
        <v>188.96000000055881</v>
      </c>
      <c r="AH1241" s="38"/>
      <c r="AI1241" s="38"/>
      <c r="AJ1241" s="38"/>
      <c r="AK1241" s="54">
        <f t="shared" ref="AK1241:AK1256" si="857">SUM(AG1241:AJ1241)</f>
        <v>188.96000000055881</v>
      </c>
      <c r="AL1241" s="53"/>
      <c r="AM1241" s="53">
        <f t="shared" si="844"/>
        <v>0</v>
      </c>
      <c r="AN1241" s="38"/>
      <c r="AO1241" s="38"/>
      <c r="AP1241" s="38"/>
      <c r="AQ1241" s="54">
        <f t="shared" si="845"/>
        <v>0</v>
      </c>
      <c r="AR1241" s="53"/>
      <c r="AS1241" s="29">
        <f t="shared" ref="AS1241:AS1256" si="858">SUM(C1241,I1241,O1241,U1241,AA1241,)</f>
        <v>5009318.2099999953</v>
      </c>
      <c r="AT1241" s="29">
        <f t="shared" ref="AT1241:AT1256" si="859">SUM(D1241,J1241,P1241,V1241,AB1241,AH1241)</f>
        <v>928276.87</v>
      </c>
      <c r="AU1241" s="29">
        <f t="shared" ref="AU1241:AU1256" si="860">SUM(E1241,K1241,Q1241,W1241,AC1241,AI1241)</f>
        <v>0</v>
      </c>
      <c r="AV1241" s="29">
        <f t="shared" ref="AV1241:AV1256" si="861">SUM(F1241,L1241,R1241,X1241,AD1241,AJ1241)</f>
        <v>-168819.49</v>
      </c>
      <c r="AW1241" s="29"/>
      <c r="AX1241" s="29">
        <f t="shared" ref="AX1241:AX1256" si="862">SUM(G1241,M1241,S1241,Y1241,AE1241,AK1241)</f>
        <v>5768964.5499999961</v>
      </c>
      <c r="AY1241" s="29">
        <f t="shared" ref="AY1241:AY1256" si="863">SUM(H1241,N1241,T1241,Z1241,AF1241,AL1241)</f>
        <v>9300000</v>
      </c>
      <c r="AZ1241" s="29">
        <f t="shared" ref="AZ1241:AZ1256" si="864">AX1241+AY1241</f>
        <v>15068964.549999997</v>
      </c>
    </row>
    <row r="1242" spans="2:52" x14ac:dyDescent="0.3">
      <c r="B1242" s="99">
        <f t="shared" si="843"/>
        <v>45903</v>
      </c>
      <c r="C1242" s="44">
        <f t="shared" si="846"/>
        <v>1398015.589999998</v>
      </c>
      <c r="D1242" s="38">
        <v>27082.11</v>
      </c>
      <c r="E1242" s="38"/>
      <c r="F1242" s="38">
        <v>-24247.59</v>
      </c>
      <c r="G1242" s="45">
        <f t="shared" si="855"/>
        <v>1400850.109999998</v>
      </c>
      <c r="H1242" s="44">
        <v>4300000</v>
      </c>
      <c r="I1242" s="46">
        <f t="shared" si="847"/>
        <v>4368330.0799999991</v>
      </c>
      <c r="J1242" s="38"/>
      <c r="K1242" s="38">
        <v>120000</v>
      </c>
      <c r="L1242" s="38">
        <v>-3863107.3</v>
      </c>
      <c r="M1242" s="47">
        <f t="shared" si="848"/>
        <v>625222.77999999933</v>
      </c>
      <c r="N1242" s="46">
        <v>5000000</v>
      </c>
      <c r="O1242" s="48">
        <f t="shared" si="849"/>
        <v>2242.2599999995437</v>
      </c>
      <c r="P1242" s="38">
        <v>124749.07</v>
      </c>
      <c r="Q1242" s="38">
        <v>-120000</v>
      </c>
      <c r="R1242" s="38">
        <v>-5415.94</v>
      </c>
      <c r="S1242" s="55">
        <f t="shared" si="850"/>
        <v>1575.389999999551</v>
      </c>
      <c r="T1242" s="48"/>
      <c r="U1242" s="49">
        <f t="shared" si="851"/>
        <v>61.859999999440333</v>
      </c>
      <c r="V1242" s="38"/>
      <c r="W1242" s="38"/>
      <c r="X1242" s="38"/>
      <c r="Y1242" s="51">
        <f t="shared" si="852"/>
        <v>61.859999999440333</v>
      </c>
      <c r="Z1242" s="52"/>
      <c r="AA1242" s="53">
        <f t="shared" si="853"/>
        <v>125.79999999923022</v>
      </c>
      <c r="AB1242" s="38"/>
      <c r="AC1242" s="38"/>
      <c r="AD1242" s="38"/>
      <c r="AE1242" s="54">
        <f t="shared" si="854"/>
        <v>125.79999999923022</v>
      </c>
      <c r="AF1242" s="53"/>
      <c r="AG1242" s="53">
        <f t="shared" si="856"/>
        <v>188.96000000055881</v>
      </c>
      <c r="AH1242" s="38"/>
      <c r="AI1242" s="38"/>
      <c r="AJ1242" s="38"/>
      <c r="AK1242" s="54">
        <f t="shared" si="857"/>
        <v>188.96000000055881</v>
      </c>
      <c r="AL1242" s="53"/>
      <c r="AM1242" s="53">
        <f t="shared" si="844"/>
        <v>0</v>
      </c>
      <c r="AN1242" s="38"/>
      <c r="AO1242" s="38"/>
      <c r="AP1242" s="38"/>
      <c r="AQ1242" s="54">
        <f t="shared" si="845"/>
        <v>0</v>
      </c>
      <c r="AR1242" s="53"/>
      <c r="AS1242" s="29">
        <f t="shared" si="858"/>
        <v>5768775.5899999952</v>
      </c>
      <c r="AT1242" s="29">
        <f t="shared" si="859"/>
        <v>151831.18</v>
      </c>
      <c r="AU1242" s="29">
        <f t="shared" si="860"/>
        <v>0</v>
      </c>
      <c r="AV1242" s="29">
        <f t="shared" si="861"/>
        <v>-3892770.8299999996</v>
      </c>
      <c r="AW1242" s="29"/>
      <c r="AX1242" s="29">
        <f t="shared" si="862"/>
        <v>2028024.8999999962</v>
      </c>
      <c r="AY1242" s="29">
        <f t="shared" si="863"/>
        <v>9300000</v>
      </c>
      <c r="AZ1242" s="29">
        <f t="shared" si="864"/>
        <v>11328024.899999997</v>
      </c>
    </row>
    <row r="1243" spans="2:52" x14ac:dyDescent="0.3">
      <c r="B1243" s="99">
        <f t="shared" si="843"/>
        <v>45904</v>
      </c>
      <c r="C1243" s="44">
        <f t="shared" si="846"/>
        <v>1400850.109999998</v>
      </c>
      <c r="D1243" s="38">
        <v>15159.02</v>
      </c>
      <c r="E1243" s="38">
        <v>-500000</v>
      </c>
      <c r="F1243" s="38">
        <v>-19552.95</v>
      </c>
      <c r="G1243" s="45">
        <f t="shared" si="855"/>
        <v>896456.17999999807</v>
      </c>
      <c r="H1243" s="44">
        <v>4300000</v>
      </c>
      <c r="I1243" s="46">
        <f t="shared" si="847"/>
        <v>625222.77999999933</v>
      </c>
      <c r="J1243" s="38"/>
      <c r="K1243" s="38">
        <v>540000</v>
      </c>
      <c r="L1243" s="38">
        <v>-655998.75</v>
      </c>
      <c r="M1243" s="47">
        <f t="shared" si="848"/>
        <v>509224.02999999933</v>
      </c>
      <c r="N1243" s="46">
        <v>5000000</v>
      </c>
      <c r="O1243" s="48">
        <f t="shared" si="849"/>
        <v>1575.389999999551</v>
      </c>
      <c r="P1243" s="38">
        <f>70248.43+306112.39+40179.26</f>
        <v>416540.08</v>
      </c>
      <c r="Q1243" s="38">
        <v>-40000</v>
      </c>
      <c r="R1243" s="38">
        <v>-392.23</v>
      </c>
      <c r="S1243" s="55">
        <f t="shared" si="850"/>
        <v>377723.23999999958</v>
      </c>
      <c r="T1243" s="48"/>
      <c r="U1243" s="49">
        <f t="shared" si="851"/>
        <v>61.859999999440333</v>
      </c>
      <c r="V1243" s="38"/>
      <c r="W1243" s="38"/>
      <c r="X1243" s="38"/>
      <c r="Y1243" s="51">
        <f t="shared" si="852"/>
        <v>61.859999999440333</v>
      </c>
      <c r="Z1243" s="52"/>
      <c r="AA1243" s="53">
        <f t="shared" si="853"/>
        <v>125.79999999923022</v>
      </c>
      <c r="AB1243" s="38"/>
      <c r="AC1243" s="38"/>
      <c r="AD1243" s="38"/>
      <c r="AE1243" s="54">
        <f t="shared" si="854"/>
        <v>125.79999999923022</v>
      </c>
      <c r="AF1243" s="53"/>
      <c r="AG1243" s="53">
        <f t="shared" si="856"/>
        <v>188.96000000055881</v>
      </c>
      <c r="AH1243" s="38"/>
      <c r="AI1243" s="38"/>
      <c r="AJ1243" s="38"/>
      <c r="AK1243" s="54">
        <f t="shared" si="857"/>
        <v>188.96000000055881</v>
      </c>
      <c r="AL1243" s="53"/>
      <c r="AM1243" s="53">
        <f t="shared" si="844"/>
        <v>0</v>
      </c>
      <c r="AN1243" s="38"/>
      <c r="AO1243" s="38"/>
      <c r="AP1243" s="38"/>
      <c r="AQ1243" s="54">
        <f t="shared" si="845"/>
        <v>0</v>
      </c>
      <c r="AR1243" s="53"/>
      <c r="AS1243" s="29">
        <f t="shared" si="858"/>
        <v>2027835.9399999955</v>
      </c>
      <c r="AT1243" s="29">
        <f t="shared" si="859"/>
        <v>431699.10000000003</v>
      </c>
      <c r="AU1243" s="29">
        <f t="shared" si="860"/>
        <v>0</v>
      </c>
      <c r="AV1243" s="29">
        <f t="shared" si="861"/>
        <v>-675943.92999999993</v>
      </c>
      <c r="AW1243" s="29"/>
      <c r="AX1243" s="29">
        <f t="shared" si="862"/>
        <v>1783780.0699999961</v>
      </c>
      <c r="AY1243" s="29">
        <f t="shared" si="863"/>
        <v>9300000</v>
      </c>
      <c r="AZ1243" s="29">
        <f t="shared" si="864"/>
        <v>11083780.069999997</v>
      </c>
    </row>
    <row r="1244" spans="2:52" x14ac:dyDescent="0.3">
      <c r="B1244" s="99">
        <f t="shared" si="843"/>
        <v>45905</v>
      </c>
      <c r="C1244" s="44">
        <f t="shared" si="846"/>
        <v>896456.17999999807</v>
      </c>
      <c r="D1244" s="38">
        <f>19268.85+1260.09</f>
        <v>20528.939999999999</v>
      </c>
      <c r="E1244" s="38">
        <v>-500000</v>
      </c>
      <c r="F1244" s="38"/>
      <c r="G1244" s="45">
        <f t="shared" si="855"/>
        <v>416985.11999999802</v>
      </c>
      <c r="H1244" s="44">
        <v>4300000</v>
      </c>
      <c r="I1244" s="46">
        <f t="shared" si="847"/>
        <v>509224.02999999933</v>
      </c>
      <c r="J1244" s="38"/>
      <c r="K1244" s="38">
        <v>870000</v>
      </c>
      <c r="L1244" s="38">
        <v>-1083700.1499999999</v>
      </c>
      <c r="M1244" s="47">
        <f t="shared" si="848"/>
        <v>295523.87999999942</v>
      </c>
      <c r="N1244" s="46">
        <v>5000000</v>
      </c>
      <c r="O1244" s="48">
        <f t="shared" si="849"/>
        <v>377723.23999999958</v>
      </c>
      <c r="P1244" s="38"/>
      <c r="Q1244" s="38">
        <v>-370000</v>
      </c>
      <c r="R1244" s="38">
        <v>-44.35</v>
      </c>
      <c r="S1244" s="55">
        <f t="shared" si="850"/>
        <v>7678.8899999995829</v>
      </c>
      <c r="T1244" s="48"/>
      <c r="U1244" s="49">
        <f t="shared" si="851"/>
        <v>61.859999999440333</v>
      </c>
      <c r="V1244" s="38"/>
      <c r="W1244" s="38"/>
      <c r="X1244" s="38"/>
      <c r="Y1244" s="51">
        <f t="shared" si="852"/>
        <v>61.859999999440333</v>
      </c>
      <c r="Z1244" s="52"/>
      <c r="AA1244" s="53">
        <f t="shared" si="853"/>
        <v>125.79999999923022</v>
      </c>
      <c r="AB1244" s="38"/>
      <c r="AC1244" s="38"/>
      <c r="AD1244" s="38"/>
      <c r="AE1244" s="54">
        <f t="shared" si="854"/>
        <v>125.79999999923022</v>
      </c>
      <c r="AF1244" s="53"/>
      <c r="AG1244" s="53">
        <f t="shared" si="856"/>
        <v>188.96000000055881</v>
      </c>
      <c r="AH1244" s="38"/>
      <c r="AI1244" s="38"/>
      <c r="AJ1244" s="38"/>
      <c r="AK1244" s="54">
        <f t="shared" si="857"/>
        <v>188.96000000055881</v>
      </c>
      <c r="AL1244" s="53"/>
      <c r="AM1244" s="53">
        <f t="shared" si="844"/>
        <v>0</v>
      </c>
      <c r="AN1244" s="38"/>
      <c r="AO1244" s="38"/>
      <c r="AP1244" s="38"/>
      <c r="AQ1244" s="54">
        <f t="shared" si="845"/>
        <v>0</v>
      </c>
      <c r="AR1244" s="53"/>
      <c r="AS1244" s="29">
        <f t="shared" si="858"/>
        <v>1783591.1099999954</v>
      </c>
      <c r="AT1244" s="29">
        <f t="shared" si="859"/>
        <v>20528.939999999999</v>
      </c>
      <c r="AU1244" s="29">
        <f t="shared" si="860"/>
        <v>0</v>
      </c>
      <c r="AV1244" s="29">
        <f t="shared" si="861"/>
        <v>-1083744.5</v>
      </c>
      <c r="AW1244" s="29"/>
      <c r="AX1244" s="29">
        <f t="shared" si="862"/>
        <v>720564.50999999617</v>
      </c>
      <c r="AY1244" s="29">
        <f t="shared" si="863"/>
        <v>9300000</v>
      </c>
      <c r="AZ1244" s="29">
        <f t="shared" si="864"/>
        <v>10020564.509999996</v>
      </c>
    </row>
    <row r="1245" spans="2:52" x14ac:dyDescent="0.3">
      <c r="B1245" s="99">
        <f>B1244+3</f>
        <v>45908</v>
      </c>
      <c r="C1245" s="44">
        <f t="shared" si="846"/>
        <v>416985.11999999802</v>
      </c>
      <c r="D1245" s="38">
        <f>2032.05+46980.35+32264.26</f>
        <v>81276.66</v>
      </c>
      <c r="E1245" s="38"/>
      <c r="F1245" s="38">
        <v>-1600.21</v>
      </c>
      <c r="G1245" s="45">
        <f t="shared" si="855"/>
        <v>496661.56999999803</v>
      </c>
      <c r="H1245" s="44">
        <v>4300000</v>
      </c>
      <c r="I1245" s="46">
        <f t="shared" si="847"/>
        <v>295523.87999999942</v>
      </c>
      <c r="J1245" s="38">
        <v>4017.99</v>
      </c>
      <c r="K1245" s="38"/>
      <c r="L1245" s="38">
        <v>-186774.1</v>
      </c>
      <c r="M1245" s="47">
        <f t="shared" si="848"/>
        <v>112767.76999999941</v>
      </c>
      <c r="N1245" s="46">
        <v>5000000</v>
      </c>
      <c r="O1245" s="48">
        <f t="shared" si="849"/>
        <v>7678.8899999995829</v>
      </c>
      <c r="P1245" s="38"/>
      <c r="Q1245" s="38"/>
      <c r="R1245" s="38">
        <v>-2666</v>
      </c>
      <c r="S1245" s="55">
        <f t="shared" si="850"/>
        <v>5012.8899999995829</v>
      </c>
      <c r="T1245" s="48"/>
      <c r="U1245" s="49">
        <f t="shared" si="851"/>
        <v>61.859999999440333</v>
      </c>
      <c r="V1245" s="38"/>
      <c r="W1245" s="38"/>
      <c r="X1245" s="38"/>
      <c r="Y1245" s="51">
        <f t="shared" si="852"/>
        <v>61.859999999440333</v>
      </c>
      <c r="Z1245" s="52"/>
      <c r="AA1245" s="53">
        <f t="shared" si="853"/>
        <v>125.79999999923022</v>
      </c>
      <c r="AB1245" s="38"/>
      <c r="AC1245" s="38"/>
      <c r="AD1245" s="38"/>
      <c r="AE1245" s="54">
        <f t="shared" si="854"/>
        <v>125.79999999923022</v>
      </c>
      <c r="AF1245" s="53"/>
      <c r="AG1245" s="53">
        <f t="shared" si="856"/>
        <v>188.96000000055881</v>
      </c>
      <c r="AH1245" s="38"/>
      <c r="AI1245" s="38"/>
      <c r="AJ1245" s="38"/>
      <c r="AK1245" s="54">
        <f t="shared" si="857"/>
        <v>188.96000000055881</v>
      </c>
      <c r="AL1245" s="53"/>
      <c r="AM1245" s="53">
        <f t="shared" si="844"/>
        <v>0</v>
      </c>
      <c r="AN1245" s="38"/>
      <c r="AO1245" s="38"/>
      <c r="AP1245" s="38"/>
      <c r="AQ1245" s="54">
        <f t="shared" si="845"/>
        <v>0</v>
      </c>
      <c r="AR1245" s="53"/>
      <c r="AS1245" s="29">
        <f t="shared" si="858"/>
        <v>720375.54999999562</v>
      </c>
      <c r="AT1245" s="29">
        <f t="shared" si="859"/>
        <v>85294.650000000009</v>
      </c>
      <c r="AU1245" s="29">
        <f t="shared" si="860"/>
        <v>0</v>
      </c>
      <c r="AV1245" s="29">
        <f t="shared" si="861"/>
        <v>-191040.31</v>
      </c>
      <c r="AW1245" s="29"/>
      <c r="AX1245" s="29">
        <f t="shared" si="862"/>
        <v>614818.84999999614</v>
      </c>
      <c r="AY1245" s="29">
        <f t="shared" si="863"/>
        <v>9300000</v>
      </c>
      <c r="AZ1245" s="29">
        <f t="shared" si="864"/>
        <v>9914818.8499999959</v>
      </c>
    </row>
    <row r="1246" spans="2:52" x14ac:dyDescent="0.3">
      <c r="B1246" s="99">
        <f t="shared" si="843"/>
        <v>45909</v>
      </c>
      <c r="C1246" s="44">
        <f t="shared" si="846"/>
        <v>496661.56999999803</v>
      </c>
      <c r="D1246" s="38"/>
      <c r="E1246" s="38"/>
      <c r="F1246" s="38">
        <v>-23608.02</v>
      </c>
      <c r="G1246" s="45">
        <f t="shared" si="855"/>
        <v>473053.54999999801</v>
      </c>
      <c r="H1246" s="44">
        <v>4300000</v>
      </c>
      <c r="I1246" s="46">
        <f t="shared" si="847"/>
        <v>112767.76999999941</v>
      </c>
      <c r="J1246" s="38"/>
      <c r="K1246" s="38">
        <v>90000</v>
      </c>
      <c r="L1246" s="38">
        <v>-153092.43</v>
      </c>
      <c r="M1246" s="47">
        <f t="shared" si="848"/>
        <v>49675.339999999414</v>
      </c>
      <c r="N1246" s="46">
        <v>5000000</v>
      </c>
      <c r="O1246" s="48">
        <f t="shared" si="849"/>
        <v>5012.8899999995829</v>
      </c>
      <c r="P1246" s="38">
        <v>87563.17</v>
      </c>
      <c r="Q1246" s="38">
        <v>-90000</v>
      </c>
      <c r="R1246" s="38">
        <v>-10</v>
      </c>
      <c r="S1246" s="55">
        <f t="shared" si="850"/>
        <v>2566.0599999995757</v>
      </c>
      <c r="T1246" s="48"/>
      <c r="U1246" s="49">
        <f t="shared" si="851"/>
        <v>61.859999999440333</v>
      </c>
      <c r="V1246" s="38"/>
      <c r="W1246" s="38"/>
      <c r="X1246" s="38"/>
      <c r="Y1246" s="51">
        <f t="shared" si="852"/>
        <v>61.859999999440333</v>
      </c>
      <c r="Z1246" s="52"/>
      <c r="AA1246" s="53">
        <f t="shared" si="853"/>
        <v>125.79999999923022</v>
      </c>
      <c r="AB1246" s="38"/>
      <c r="AC1246" s="38"/>
      <c r="AD1246" s="38"/>
      <c r="AE1246" s="54">
        <f t="shared" si="854"/>
        <v>125.79999999923022</v>
      </c>
      <c r="AF1246" s="53"/>
      <c r="AG1246" s="53">
        <f t="shared" si="856"/>
        <v>188.96000000055881</v>
      </c>
      <c r="AH1246" s="38"/>
      <c r="AI1246" s="38"/>
      <c r="AJ1246" s="38"/>
      <c r="AK1246" s="54">
        <f t="shared" si="857"/>
        <v>188.96000000055881</v>
      </c>
      <c r="AL1246" s="53"/>
      <c r="AM1246" s="53">
        <f t="shared" si="844"/>
        <v>0</v>
      </c>
      <c r="AN1246" s="38"/>
      <c r="AO1246" s="38"/>
      <c r="AP1246" s="38"/>
      <c r="AQ1246" s="54">
        <f t="shared" si="845"/>
        <v>0</v>
      </c>
      <c r="AR1246" s="53"/>
      <c r="AS1246" s="29">
        <f t="shared" si="858"/>
        <v>614629.88999999559</v>
      </c>
      <c r="AT1246" s="29">
        <f t="shared" si="859"/>
        <v>87563.17</v>
      </c>
      <c r="AU1246" s="29">
        <f t="shared" si="860"/>
        <v>0</v>
      </c>
      <c r="AV1246" s="29">
        <f t="shared" si="861"/>
        <v>-176710.44999999998</v>
      </c>
      <c r="AW1246" s="29"/>
      <c r="AX1246" s="29">
        <f t="shared" si="862"/>
        <v>525671.56999999622</v>
      </c>
      <c r="AY1246" s="29">
        <f t="shared" si="863"/>
        <v>9300000</v>
      </c>
      <c r="AZ1246" s="29">
        <f t="shared" si="864"/>
        <v>9825671.5699999966</v>
      </c>
    </row>
    <row r="1247" spans="2:52" x14ac:dyDescent="0.3">
      <c r="B1247" s="99">
        <f t="shared" si="843"/>
        <v>45910</v>
      </c>
      <c r="C1247" s="44">
        <f t="shared" si="846"/>
        <v>473053.54999999801</v>
      </c>
      <c r="D1247" s="38"/>
      <c r="E1247" s="38"/>
      <c r="F1247" s="38">
        <v>-239569.86</v>
      </c>
      <c r="G1247" s="45">
        <f t="shared" si="855"/>
        <v>233483.68999999802</v>
      </c>
      <c r="H1247" s="44">
        <v>4300000</v>
      </c>
      <c r="I1247" s="46">
        <f t="shared" si="847"/>
        <v>49675.339999999414</v>
      </c>
      <c r="J1247" s="38"/>
      <c r="K1247" s="38">
        <v>570000</v>
      </c>
      <c r="L1247" s="38">
        <v>-239553.26</v>
      </c>
      <c r="M1247" s="47">
        <f t="shared" si="848"/>
        <v>380122.07999999938</v>
      </c>
      <c r="N1247" s="46">
        <v>5000000</v>
      </c>
      <c r="O1247" s="48">
        <f t="shared" si="849"/>
        <v>2566.0599999995757</v>
      </c>
      <c r="P1247" s="38">
        <v>570345.47</v>
      </c>
      <c r="Q1247" s="38">
        <v>-570000</v>
      </c>
      <c r="R1247" s="38">
        <v>-1892.88</v>
      </c>
      <c r="S1247" s="55">
        <f t="shared" si="850"/>
        <v>1018.6499999995622</v>
      </c>
      <c r="T1247" s="48"/>
      <c r="U1247" s="49">
        <f t="shared" si="851"/>
        <v>61.859999999440333</v>
      </c>
      <c r="V1247" s="38"/>
      <c r="W1247" s="38"/>
      <c r="X1247" s="38"/>
      <c r="Y1247" s="51">
        <f t="shared" si="852"/>
        <v>61.859999999440333</v>
      </c>
      <c r="Z1247" s="52"/>
      <c r="AA1247" s="53">
        <f t="shared" si="853"/>
        <v>125.79999999923022</v>
      </c>
      <c r="AB1247" s="38"/>
      <c r="AC1247" s="38"/>
      <c r="AD1247" s="38"/>
      <c r="AE1247" s="54">
        <f t="shared" si="854"/>
        <v>125.79999999923022</v>
      </c>
      <c r="AF1247" s="53"/>
      <c r="AG1247" s="53">
        <f t="shared" si="856"/>
        <v>188.96000000055881</v>
      </c>
      <c r="AH1247" s="38"/>
      <c r="AI1247" s="38"/>
      <c r="AJ1247" s="38"/>
      <c r="AK1247" s="54">
        <f t="shared" si="857"/>
        <v>188.96000000055881</v>
      </c>
      <c r="AL1247" s="53"/>
      <c r="AM1247" s="53">
        <f t="shared" si="844"/>
        <v>0</v>
      </c>
      <c r="AN1247" s="38"/>
      <c r="AO1247" s="38"/>
      <c r="AP1247" s="38"/>
      <c r="AQ1247" s="54">
        <f t="shared" si="845"/>
        <v>0</v>
      </c>
      <c r="AR1247" s="53"/>
      <c r="AS1247" s="29">
        <f t="shared" si="858"/>
        <v>525482.60999999568</v>
      </c>
      <c r="AT1247" s="29">
        <f t="shared" si="859"/>
        <v>570345.47</v>
      </c>
      <c r="AU1247" s="29">
        <f t="shared" si="860"/>
        <v>0</v>
      </c>
      <c r="AV1247" s="29">
        <f t="shared" si="861"/>
        <v>-481016</v>
      </c>
      <c r="AW1247" s="29"/>
      <c r="AX1247" s="29">
        <f t="shared" si="862"/>
        <v>615001.0399999962</v>
      </c>
      <c r="AY1247" s="29">
        <f t="shared" si="863"/>
        <v>9300000</v>
      </c>
      <c r="AZ1247" s="29">
        <f t="shared" si="864"/>
        <v>9915001.0399999954</v>
      </c>
    </row>
    <row r="1248" spans="2:52" x14ac:dyDescent="0.3">
      <c r="B1248" s="99">
        <f t="shared" si="843"/>
        <v>45911</v>
      </c>
      <c r="C1248" s="44">
        <f t="shared" si="846"/>
        <v>233483.68999999802</v>
      </c>
      <c r="D1248" s="38"/>
      <c r="E1248" s="38"/>
      <c r="F1248" s="38"/>
      <c r="G1248" s="45">
        <f t="shared" si="855"/>
        <v>233483.68999999802</v>
      </c>
      <c r="H1248" s="44">
        <v>4300000</v>
      </c>
      <c r="I1248" s="46">
        <f t="shared" si="847"/>
        <v>380122.07999999938</v>
      </c>
      <c r="J1248" s="38"/>
      <c r="K1248" s="38"/>
      <c r="L1248" s="38">
        <v>-35084.9</v>
      </c>
      <c r="M1248" s="47">
        <f t="shared" si="848"/>
        <v>345037.17999999935</v>
      </c>
      <c r="N1248" s="46">
        <v>5000000</v>
      </c>
      <c r="O1248" s="48">
        <f t="shared" si="849"/>
        <v>1018.6499999995622</v>
      </c>
      <c r="P1248" s="38">
        <v>497789.66</v>
      </c>
      <c r="Q1248" s="38"/>
      <c r="R1248" s="38">
        <v>-10</v>
      </c>
      <c r="S1248" s="55">
        <f t="shared" si="850"/>
        <v>498798.30999999953</v>
      </c>
      <c r="T1248" s="48"/>
      <c r="U1248" s="49">
        <f t="shared" si="851"/>
        <v>61.859999999440333</v>
      </c>
      <c r="V1248" s="38"/>
      <c r="W1248" s="38"/>
      <c r="X1248" s="38"/>
      <c r="Y1248" s="51">
        <f t="shared" si="852"/>
        <v>61.859999999440333</v>
      </c>
      <c r="Z1248" s="52"/>
      <c r="AA1248" s="53">
        <f t="shared" si="853"/>
        <v>125.79999999923022</v>
      </c>
      <c r="AB1248" s="38"/>
      <c r="AC1248" s="38"/>
      <c r="AD1248" s="38"/>
      <c r="AE1248" s="54">
        <f t="shared" si="854"/>
        <v>125.79999999923022</v>
      </c>
      <c r="AF1248" s="53"/>
      <c r="AG1248" s="53">
        <f t="shared" si="856"/>
        <v>188.96000000055881</v>
      </c>
      <c r="AH1248" s="38"/>
      <c r="AI1248" s="38"/>
      <c r="AJ1248" s="38"/>
      <c r="AK1248" s="54">
        <f t="shared" si="857"/>
        <v>188.96000000055881</v>
      </c>
      <c r="AL1248" s="53"/>
      <c r="AM1248" s="53">
        <f t="shared" si="844"/>
        <v>0</v>
      </c>
      <c r="AN1248" s="38"/>
      <c r="AO1248" s="38"/>
      <c r="AP1248" s="38"/>
      <c r="AQ1248" s="54">
        <f t="shared" si="845"/>
        <v>0</v>
      </c>
      <c r="AR1248" s="53"/>
      <c r="AS1248" s="29">
        <f t="shared" si="858"/>
        <v>614812.07999999565</v>
      </c>
      <c r="AT1248" s="29">
        <f t="shared" si="859"/>
        <v>497789.66</v>
      </c>
      <c r="AU1248" s="29">
        <f t="shared" si="860"/>
        <v>0</v>
      </c>
      <c r="AV1248" s="29">
        <f t="shared" si="861"/>
        <v>-35094.9</v>
      </c>
      <c r="AW1248" s="29"/>
      <c r="AX1248" s="29">
        <f t="shared" si="862"/>
        <v>1077695.7999999961</v>
      </c>
      <c r="AY1248" s="29">
        <f t="shared" si="863"/>
        <v>9300000</v>
      </c>
      <c r="AZ1248" s="29">
        <f t="shared" si="864"/>
        <v>10377695.799999997</v>
      </c>
    </row>
    <row r="1249" spans="2:55" x14ac:dyDescent="0.3">
      <c r="B1249" s="99">
        <f t="shared" si="843"/>
        <v>45912</v>
      </c>
      <c r="C1249" s="44">
        <f t="shared" si="846"/>
        <v>233483.68999999802</v>
      </c>
      <c r="D1249" s="38"/>
      <c r="E1249" s="38"/>
      <c r="F1249" s="38">
        <v>-27569.5</v>
      </c>
      <c r="G1249" s="45">
        <f t="shared" si="855"/>
        <v>205914.18999999802</v>
      </c>
      <c r="H1249" s="44">
        <v>4300000</v>
      </c>
      <c r="I1249" s="46">
        <f t="shared" si="847"/>
        <v>345037.17999999935</v>
      </c>
      <c r="J1249" s="38">
        <v>28662.01</v>
      </c>
      <c r="K1249" s="38"/>
      <c r="L1249" s="38">
        <v>-32275.35</v>
      </c>
      <c r="M1249" s="47">
        <f t="shared" si="848"/>
        <v>341423.83999999939</v>
      </c>
      <c r="N1249" s="46">
        <v>5000000</v>
      </c>
      <c r="O1249" s="48">
        <f t="shared" si="849"/>
        <v>498798.30999999953</v>
      </c>
      <c r="P1249" s="38"/>
      <c r="Q1249" s="38"/>
      <c r="R1249" s="38"/>
      <c r="S1249" s="55">
        <f t="shared" si="850"/>
        <v>498798.30999999953</v>
      </c>
      <c r="T1249" s="48"/>
      <c r="U1249" s="49">
        <f t="shared" si="851"/>
        <v>61.859999999440333</v>
      </c>
      <c r="V1249" s="38"/>
      <c r="W1249" s="38"/>
      <c r="X1249" s="38"/>
      <c r="Y1249" s="51">
        <f t="shared" si="852"/>
        <v>61.859999999440333</v>
      </c>
      <c r="Z1249" s="52"/>
      <c r="AA1249" s="53">
        <f t="shared" si="853"/>
        <v>125.79999999923022</v>
      </c>
      <c r="AB1249" s="38"/>
      <c r="AC1249" s="38"/>
      <c r="AD1249" s="38"/>
      <c r="AE1249" s="54">
        <f t="shared" si="854"/>
        <v>125.79999999923022</v>
      </c>
      <c r="AF1249" s="53"/>
      <c r="AG1249" s="53">
        <f t="shared" si="856"/>
        <v>188.96000000055881</v>
      </c>
      <c r="AH1249" s="38"/>
      <c r="AI1249" s="38"/>
      <c r="AJ1249" s="38"/>
      <c r="AK1249" s="54">
        <f t="shared" si="857"/>
        <v>188.96000000055881</v>
      </c>
      <c r="AL1249" s="53"/>
      <c r="AM1249" s="53">
        <f t="shared" si="844"/>
        <v>0</v>
      </c>
      <c r="AN1249" s="38"/>
      <c r="AO1249" s="38"/>
      <c r="AP1249" s="38"/>
      <c r="AQ1249" s="54">
        <f t="shared" si="845"/>
        <v>0</v>
      </c>
      <c r="AR1249" s="53"/>
      <c r="AS1249" s="29">
        <f t="shared" si="858"/>
        <v>1077506.8399999954</v>
      </c>
      <c r="AT1249" s="29">
        <f t="shared" si="859"/>
        <v>28662.01</v>
      </c>
      <c r="AU1249" s="29">
        <f t="shared" si="860"/>
        <v>0</v>
      </c>
      <c r="AV1249" s="29">
        <f t="shared" si="861"/>
        <v>-59844.85</v>
      </c>
      <c r="AW1249" s="29"/>
      <c r="AX1249" s="29">
        <f t="shared" si="862"/>
        <v>1046512.9599999962</v>
      </c>
      <c r="AY1249" s="29">
        <f t="shared" si="863"/>
        <v>9300000</v>
      </c>
      <c r="AZ1249" s="29">
        <f t="shared" si="864"/>
        <v>10346512.959999997</v>
      </c>
    </row>
    <row r="1250" spans="2:55" x14ac:dyDescent="0.3">
      <c r="B1250" s="99">
        <f>B1249+3</f>
        <v>45915</v>
      </c>
      <c r="C1250" s="44">
        <f t="shared" si="846"/>
        <v>205914.18999999802</v>
      </c>
      <c r="D1250" s="38">
        <v>33708.949999999997</v>
      </c>
      <c r="E1250" s="38"/>
      <c r="F1250" s="38">
        <f>-2381.43-15874.11-3636.21-115.6</f>
        <v>-22007.35</v>
      </c>
      <c r="G1250" s="45">
        <f t="shared" si="855"/>
        <v>217615.78999999803</v>
      </c>
      <c r="H1250" s="44">
        <v>4300000</v>
      </c>
      <c r="I1250" s="46">
        <f t="shared" si="847"/>
        <v>341423.83999999939</v>
      </c>
      <c r="J1250" s="38"/>
      <c r="K1250" s="38">
        <v>500000</v>
      </c>
      <c r="L1250" s="38">
        <v>-218665.88</v>
      </c>
      <c r="M1250" s="47">
        <f t="shared" si="848"/>
        <v>622757.95999999938</v>
      </c>
      <c r="N1250" s="46">
        <v>5000000</v>
      </c>
      <c r="O1250" s="48">
        <f t="shared" si="849"/>
        <v>498798.30999999953</v>
      </c>
      <c r="P1250" s="38">
        <f>3929.39+2992.4</f>
        <v>6921.79</v>
      </c>
      <c r="Q1250" s="38">
        <v>-500000</v>
      </c>
      <c r="R1250" s="38">
        <v>-10</v>
      </c>
      <c r="S1250" s="55">
        <f t="shared" si="850"/>
        <v>5710.0999999995111</v>
      </c>
      <c r="T1250" s="48"/>
      <c r="U1250" s="49">
        <f t="shared" si="851"/>
        <v>61.859999999440333</v>
      </c>
      <c r="V1250" s="38"/>
      <c r="W1250" s="38"/>
      <c r="X1250" s="38"/>
      <c r="Y1250" s="51">
        <f t="shared" si="852"/>
        <v>61.859999999440333</v>
      </c>
      <c r="Z1250" s="52"/>
      <c r="AA1250" s="53">
        <f t="shared" si="853"/>
        <v>125.79999999923022</v>
      </c>
      <c r="AB1250" s="38"/>
      <c r="AC1250" s="38"/>
      <c r="AD1250" s="38"/>
      <c r="AE1250" s="54">
        <f t="shared" si="854"/>
        <v>125.79999999923022</v>
      </c>
      <c r="AF1250" s="53"/>
      <c r="AG1250" s="53">
        <f t="shared" si="856"/>
        <v>188.96000000055881</v>
      </c>
      <c r="AH1250" s="38"/>
      <c r="AI1250" s="38"/>
      <c r="AJ1250" s="38"/>
      <c r="AK1250" s="54">
        <f t="shared" si="857"/>
        <v>188.96000000055881</v>
      </c>
      <c r="AL1250" s="53"/>
      <c r="AM1250" s="53">
        <f t="shared" si="844"/>
        <v>0</v>
      </c>
      <c r="AN1250" s="38"/>
      <c r="AO1250" s="38"/>
      <c r="AP1250" s="38"/>
      <c r="AQ1250" s="54">
        <f t="shared" si="845"/>
        <v>0</v>
      </c>
      <c r="AR1250" s="53"/>
      <c r="AS1250" s="29">
        <f t="shared" si="858"/>
        <v>1046323.9999999957</v>
      </c>
      <c r="AT1250" s="29">
        <f t="shared" si="859"/>
        <v>40630.74</v>
      </c>
      <c r="AU1250" s="29">
        <f t="shared" si="860"/>
        <v>0</v>
      </c>
      <c r="AV1250" s="29">
        <f t="shared" si="861"/>
        <v>-240683.23</v>
      </c>
      <c r="AW1250" s="29"/>
      <c r="AX1250" s="29">
        <f t="shared" si="862"/>
        <v>846460.46999999613</v>
      </c>
      <c r="AY1250" s="29">
        <f t="shared" si="863"/>
        <v>9300000</v>
      </c>
      <c r="AZ1250" s="29">
        <f t="shared" si="864"/>
        <v>10146460.469999997</v>
      </c>
    </row>
    <row r="1251" spans="2:55" x14ac:dyDescent="0.3">
      <c r="B1251" s="99">
        <f t="shared" ref="B1251:B1316" si="865">B1250+1</f>
        <v>45916</v>
      </c>
      <c r="C1251" s="44">
        <f t="shared" si="846"/>
        <v>217615.78999999803</v>
      </c>
      <c r="D1251" s="38">
        <v>309724.79999999999</v>
      </c>
      <c r="E1251" s="38"/>
      <c r="F1251" s="38"/>
      <c r="G1251" s="45">
        <f t="shared" si="855"/>
        <v>527340.58999999799</v>
      </c>
      <c r="H1251" s="44">
        <v>4300000</v>
      </c>
      <c r="I1251" s="46">
        <f t="shared" si="847"/>
        <v>622757.95999999938</v>
      </c>
      <c r="J1251" s="38"/>
      <c r="K1251" s="38"/>
      <c r="L1251" s="38">
        <v>-8812.85</v>
      </c>
      <c r="M1251" s="47">
        <f t="shared" si="848"/>
        <v>613945.1099999994</v>
      </c>
      <c r="N1251" s="46">
        <v>5000000</v>
      </c>
      <c r="O1251" s="48">
        <f t="shared" si="849"/>
        <v>5710.0999999995111</v>
      </c>
      <c r="P1251" s="38"/>
      <c r="Q1251" s="38"/>
      <c r="R1251" s="38"/>
      <c r="S1251" s="55">
        <f t="shared" si="850"/>
        <v>5710.0999999995111</v>
      </c>
      <c r="T1251" s="48"/>
      <c r="U1251" s="49">
        <f t="shared" si="851"/>
        <v>61.859999999440333</v>
      </c>
      <c r="V1251" s="38"/>
      <c r="W1251" s="38"/>
      <c r="X1251" s="38"/>
      <c r="Y1251" s="51">
        <f t="shared" si="852"/>
        <v>61.859999999440333</v>
      </c>
      <c r="Z1251" s="52"/>
      <c r="AA1251" s="53">
        <f t="shared" si="853"/>
        <v>125.79999999923022</v>
      </c>
      <c r="AB1251" s="38"/>
      <c r="AC1251" s="38"/>
      <c r="AD1251" s="38"/>
      <c r="AE1251" s="54">
        <f t="shared" si="854"/>
        <v>125.79999999923022</v>
      </c>
      <c r="AF1251" s="53"/>
      <c r="AG1251" s="53">
        <f t="shared" si="856"/>
        <v>188.96000000055881</v>
      </c>
      <c r="AH1251" s="38"/>
      <c r="AI1251" s="38"/>
      <c r="AJ1251" s="38"/>
      <c r="AK1251" s="54">
        <f t="shared" si="857"/>
        <v>188.96000000055881</v>
      </c>
      <c r="AL1251" s="53"/>
      <c r="AM1251" s="53">
        <f t="shared" si="844"/>
        <v>0</v>
      </c>
      <c r="AN1251" s="38"/>
      <c r="AO1251" s="38"/>
      <c r="AP1251" s="38"/>
      <c r="AQ1251" s="54">
        <f t="shared" si="845"/>
        <v>0</v>
      </c>
      <c r="AR1251" s="53"/>
      <c r="AS1251" s="29">
        <f t="shared" si="858"/>
        <v>846271.50999999559</v>
      </c>
      <c r="AT1251" s="29">
        <f t="shared" si="859"/>
        <v>309724.79999999999</v>
      </c>
      <c r="AU1251" s="29">
        <f t="shared" si="860"/>
        <v>0</v>
      </c>
      <c r="AV1251" s="29">
        <f t="shared" si="861"/>
        <v>-8812.85</v>
      </c>
      <c r="AW1251" s="29"/>
      <c r="AX1251" s="29">
        <f t="shared" si="862"/>
        <v>1147372.4199999962</v>
      </c>
      <c r="AY1251" s="29">
        <f t="shared" si="863"/>
        <v>9300000</v>
      </c>
      <c r="AZ1251" s="29">
        <f t="shared" si="864"/>
        <v>10447372.419999996</v>
      </c>
    </row>
    <row r="1252" spans="2:55" x14ac:dyDescent="0.3">
      <c r="B1252" s="99">
        <f t="shared" si="865"/>
        <v>45917</v>
      </c>
      <c r="C1252" s="44">
        <f t="shared" si="846"/>
        <v>527340.58999999799</v>
      </c>
      <c r="D1252" s="38">
        <v>49527.08</v>
      </c>
      <c r="E1252" s="38">
        <v>-450000</v>
      </c>
      <c r="F1252" s="38">
        <v>-3399461.87</v>
      </c>
      <c r="G1252" s="45">
        <f t="shared" si="855"/>
        <v>-3272594.200000002</v>
      </c>
      <c r="H1252" s="44">
        <v>4300000</v>
      </c>
      <c r="I1252" s="46">
        <f t="shared" si="847"/>
        <v>613945.1099999994</v>
      </c>
      <c r="J1252" s="38"/>
      <c r="K1252" s="38">
        <v>450000</v>
      </c>
      <c r="L1252" s="38">
        <v>-1006498.39</v>
      </c>
      <c r="M1252" s="47">
        <f t="shared" si="848"/>
        <v>57446.71999999939</v>
      </c>
      <c r="N1252" s="46">
        <v>5000000</v>
      </c>
      <c r="O1252" s="48">
        <f t="shared" si="849"/>
        <v>5710.0999999995111</v>
      </c>
      <c r="P1252" s="38"/>
      <c r="Q1252" s="38"/>
      <c r="R1252" s="38">
        <v>-3309</v>
      </c>
      <c r="S1252" s="55">
        <f t="shared" si="850"/>
        <v>2401.0999999995111</v>
      </c>
      <c r="T1252" s="48"/>
      <c r="U1252" s="49">
        <f t="shared" si="851"/>
        <v>61.859999999440333</v>
      </c>
      <c r="V1252" s="38"/>
      <c r="W1252" s="38"/>
      <c r="X1252" s="38"/>
      <c r="Y1252" s="51">
        <f t="shared" si="852"/>
        <v>61.859999999440333</v>
      </c>
      <c r="Z1252" s="52"/>
      <c r="AA1252" s="53">
        <f t="shared" si="853"/>
        <v>125.79999999923022</v>
      </c>
      <c r="AB1252" s="38"/>
      <c r="AC1252" s="38"/>
      <c r="AD1252" s="38"/>
      <c r="AE1252" s="54">
        <f t="shared" si="854"/>
        <v>125.79999999923022</v>
      </c>
      <c r="AF1252" s="53"/>
      <c r="AG1252" s="53">
        <f t="shared" si="856"/>
        <v>188.96000000055881</v>
      </c>
      <c r="AH1252" s="38"/>
      <c r="AI1252" s="38"/>
      <c r="AJ1252" s="38"/>
      <c r="AK1252" s="54">
        <f t="shared" si="857"/>
        <v>188.96000000055881</v>
      </c>
      <c r="AL1252" s="53"/>
      <c r="AM1252" s="53">
        <f t="shared" si="844"/>
        <v>0</v>
      </c>
      <c r="AN1252" s="38"/>
      <c r="AO1252" s="38"/>
      <c r="AP1252" s="38"/>
      <c r="AQ1252" s="54">
        <f t="shared" si="845"/>
        <v>0</v>
      </c>
      <c r="AR1252" s="53"/>
      <c r="AS1252" s="29">
        <f t="shared" si="858"/>
        <v>1147183.4599999955</v>
      </c>
      <c r="AT1252" s="29">
        <f t="shared" si="859"/>
        <v>49527.08</v>
      </c>
      <c r="AU1252" s="29">
        <f t="shared" si="860"/>
        <v>0</v>
      </c>
      <c r="AV1252" s="29">
        <f t="shared" si="861"/>
        <v>-4409269.26</v>
      </c>
      <c r="AW1252" s="29"/>
      <c r="AX1252" s="29">
        <f t="shared" si="862"/>
        <v>-3212369.760000004</v>
      </c>
      <c r="AY1252" s="29">
        <f t="shared" si="863"/>
        <v>9300000</v>
      </c>
      <c r="AZ1252" s="29">
        <f t="shared" si="864"/>
        <v>6087630.2399999965</v>
      </c>
    </row>
    <row r="1253" spans="2:55" x14ac:dyDescent="0.3">
      <c r="B1253" s="99">
        <f t="shared" si="865"/>
        <v>45918</v>
      </c>
      <c r="C1253" s="44">
        <f t="shared" si="846"/>
        <v>-3272594.200000002</v>
      </c>
      <c r="D1253" s="38">
        <f>63414.42+24488.79</f>
        <v>87903.209999999992</v>
      </c>
      <c r="E1253" s="38"/>
      <c r="F1253" s="38"/>
      <c r="G1253" s="45">
        <f t="shared" si="855"/>
        <v>-3184690.9900000021</v>
      </c>
      <c r="H1253" s="44">
        <v>4300000</v>
      </c>
      <c r="I1253" s="46">
        <f t="shared" si="847"/>
        <v>57446.71999999939</v>
      </c>
      <c r="J1253" s="38"/>
      <c r="K1253" s="38">
        <v>230000</v>
      </c>
      <c r="L1253" s="38">
        <v>-67424.100000000006</v>
      </c>
      <c r="M1253" s="47">
        <f t="shared" si="848"/>
        <v>220022.61999999938</v>
      </c>
      <c r="N1253" s="46">
        <v>5000000</v>
      </c>
      <c r="O1253" s="48">
        <f t="shared" si="849"/>
        <v>2401.0999999995111</v>
      </c>
      <c r="P1253" s="38">
        <f>217851.23+10263.4</f>
        <v>228114.63</v>
      </c>
      <c r="Q1253" s="38">
        <v>-230000</v>
      </c>
      <c r="R1253" s="38">
        <v>-10</v>
      </c>
      <c r="S1253" s="55">
        <f t="shared" si="850"/>
        <v>505.72999999951571</v>
      </c>
      <c r="T1253" s="48"/>
      <c r="U1253" s="49">
        <f t="shared" si="851"/>
        <v>61.859999999440333</v>
      </c>
      <c r="V1253" s="38"/>
      <c r="W1253" s="38"/>
      <c r="X1253" s="38"/>
      <c r="Y1253" s="51">
        <f t="shared" si="852"/>
        <v>61.859999999440333</v>
      </c>
      <c r="Z1253" s="52"/>
      <c r="AA1253" s="53">
        <f t="shared" si="853"/>
        <v>125.79999999923022</v>
      </c>
      <c r="AB1253" s="38"/>
      <c r="AC1253" s="38"/>
      <c r="AD1253" s="38"/>
      <c r="AE1253" s="54">
        <f t="shared" si="854"/>
        <v>125.79999999923022</v>
      </c>
      <c r="AF1253" s="53"/>
      <c r="AG1253" s="53">
        <f t="shared" si="856"/>
        <v>188.96000000055881</v>
      </c>
      <c r="AH1253" s="38"/>
      <c r="AI1253" s="38"/>
      <c r="AJ1253" s="38"/>
      <c r="AK1253" s="54">
        <f t="shared" si="857"/>
        <v>188.96000000055881</v>
      </c>
      <c r="AL1253" s="53"/>
      <c r="AM1253" s="53">
        <f t="shared" si="844"/>
        <v>0</v>
      </c>
      <c r="AN1253" s="38"/>
      <c r="AO1253" s="38"/>
      <c r="AP1253" s="38"/>
      <c r="AQ1253" s="54">
        <f t="shared" si="845"/>
        <v>0</v>
      </c>
      <c r="AR1253" s="53"/>
      <c r="AS1253" s="29">
        <f t="shared" si="858"/>
        <v>-3212558.7200000044</v>
      </c>
      <c r="AT1253" s="29">
        <f t="shared" si="859"/>
        <v>316017.83999999997</v>
      </c>
      <c r="AU1253" s="29">
        <f t="shared" si="860"/>
        <v>0</v>
      </c>
      <c r="AV1253" s="29">
        <f t="shared" si="861"/>
        <v>-67434.100000000006</v>
      </c>
      <c r="AW1253" s="29"/>
      <c r="AX1253" s="29">
        <f t="shared" si="862"/>
        <v>-2963786.0200000042</v>
      </c>
      <c r="AY1253" s="29">
        <f t="shared" si="863"/>
        <v>9300000</v>
      </c>
      <c r="AZ1253" s="29">
        <f t="shared" si="864"/>
        <v>6336213.9799999958</v>
      </c>
    </row>
    <row r="1254" spans="2:55" x14ac:dyDescent="0.3">
      <c r="B1254" s="99">
        <f t="shared" si="865"/>
        <v>45919</v>
      </c>
      <c r="C1254" s="44">
        <f t="shared" si="846"/>
        <v>-3184690.9900000021</v>
      </c>
      <c r="D1254" s="38"/>
      <c r="E1254" s="38"/>
      <c r="F1254" s="38">
        <v>-0.21</v>
      </c>
      <c r="G1254" s="45">
        <f t="shared" si="855"/>
        <v>-3184691.200000002</v>
      </c>
      <c r="H1254" s="44">
        <v>4300000</v>
      </c>
      <c r="I1254" s="46">
        <f t="shared" si="847"/>
        <v>220022.61999999938</v>
      </c>
      <c r="J1254" s="38"/>
      <c r="K1254" s="38"/>
      <c r="L1254" s="38">
        <v>-40719.649999999398</v>
      </c>
      <c r="M1254" s="47">
        <f t="shared" si="848"/>
        <v>179302.96999999997</v>
      </c>
      <c r="N1254" s="46">
        <v>5000000</v>
      </c>
      <c r="O1254" s="48">
        <f t="shared" si="849"/>
        <v>505.72999999951571</v>
      </c>
      <c r="P1254" s="38">
        <v>297342.90999999997</v>
      </c>
      <c r="Q1254" s="38"/>
      <c r="R1254" s="38">
        <v>-250</v>
      </c>
      <c r="S1254" s="55">
        <f t="shared" si="850"/>
        <v>297598.63999999949</v>
      </c>
      <c r="T1254" s="48"/>
      <c r="U1254" s="49">
        <f t="shared" si="851"/>
        <v>61.859999999440333</v>
      </c>
      <c r="V1254" s="38"/>
      <c r="W1254" s="38"/>
      <c r="X1254" s="38"/>
      <c r="Y1254" s="51">
        <f t="shared" si="852"/>
        <v>61.859999999440333</v>
      </c>
      <c r="Z1254" s="52"/>
      <c r="AA1254" s="53">
        <f t="shared" si="853"/>
        <v>125.79999999923022</v>
      </c>
      <c r="AB1254" s="38"/>
      <c r="AC1254" s="38"/>
      <c r="AD1254" s="38"/>
      <c r="AE1254" s="54">
        <f t="shared" si="854"/>
        <v>125.79999999923022</v>
      </c>
      <c r="AF1254" s="53"/>
      <c r="AG1254" s="53">
        <f t="shared" si="856"/>
        <v>188.96000000055881</v>
      </c>
      <c r="AH1254" s="38"/>
      <c r="AI1254" s="38"/>
      <c r="AJ1254" s="38"/>
      <c r="AK1254" s="54">
        <f t="shared" si="857"/>
        <v>188.96000000055881</v>
      </c>
      <c r="AL1254" s="53"/>
      <c r="AM1254" s="53">
        <f t="shared" si="844"/>
        <v>0</v>
      </c>
      <c r="AN1254" s="38"/>
      <c r="AO1254" s="38"/>
      <c r="AP1254" s="38"/>
      <c r="AQ1254" s="54">
        <f t="shared" si="845"/>
        <v>0</v>
      </c>
      <c r="AR1254" s="53"/>
      <c r="AS1254" s="29">
        <f t="shared" si="858"/>
        <v>-2963974.9800000046</v>
      </c>
      <c r="AT1254" s="29">
        <f t="shared" si="859"/>
        <v>297342.90999999997</v>
      </c>
      <c r="AU1254" s="29">
        <f t="shared" si="860"/>
        <v>0</v>
      </c>
      <c r="AV1254" s="29">
        <f t="shared" si="861"/>
        <v>-40969.859999999397</v>
      </c>
      <c r="AW1254" s="29"/>
      <c r="AX1254" s="29">
        <f t="shared" si="862"/>
        <v>-2707412.9700000035</v>
      </c>
      <c r="AY1254" s="29">
        <f t="shared" si="863"/>
        <v>9300000</v>
      </c>
      <c r="AZ1254" s="29">
        <f t="shared" si="864"/>
        <v>6592587.0299999965</v>
      </c>
    </row>
    <row r="1255" spans="2:55" x14ac:dyDescent="0.3">
      <c r="B1255" s="99">
        <f>B1254+3</f>
        <v>45922</v>
      </c>
      <c r="C1255" s="44">
        <f t="shared" si="846"/>
        <v>-3184691.200000002</v>
      </c>
      <c r="D1255" s="38">
        <f>95830.29+156822.73+239173.07+20873.79+71250.74</f>
        <v>583950.62</v>
      </c>
      <c r="E1255" s="38"/>
      <c r="F1255" s="38">
        <v>-967235.78</v>
      </c>
      <c r="G1255" s="45">
        <f t="shared" si="855"/>
        <v>-3567976.3600000022</v>
      </c>
      <c r="H1255" s="44">
        <v>4300000</v>
      </c>
      <c r="I1255" s="46">
        <f t="shared" si="847"/>
        <v>179302.96999999997</v>
      </c>
      <c r="J1255" s="38">
        <f>74929.62+397389.61+28589.18</f>
        <v>500908.41</v>
      </c>
      <c r="K1255" s="38">
        <v>623500</v>
      </c>
      <c r="L1255" s="38">
        <v>-180488.9</v>
      </c>
      <c r="M1255" s="47">
        <f t="shared" si="848"/>
        <v>1123222.48</v>
      </c>
      <c r="N1255" s="46">
        <v>5000000</v>
      </c>
      <c r="O1255" s="48">
        <f t="shared" si="849"/>
        <v>297598.63999999949</v>
      </c>
      <c r="P1255" s="38">
        <f>109315.98+218656.13</f>
        <v>327972.11</v>
      </c>
      <c r="Q1255" s="38">
        <v>-623500</v>
      </c>
      <c r="R1255" s="38">
        <f>-480-10</f>
        <v>-490</v>
      </c>
      <c r="S1255" s="55">
        <f t="shared" si="850"/>
        <v>1580.7499999995343</v>
      </c>
      <c r="T1255" s="48"/>
      <c r="U1255" s="49">
        <f t="shared" si="851"/>
        <v>61.859999999440333</v>
      </c>
      <c r="V1255" s="38"/>
      <c r="W1255" s="38"/>
      <c r="X1255" s="38"/>
      <c r="Y1255" s="51">
        <f t="shared" si="852"/>
        <v>61.859999999440333</v>
      </c>
      <c r="Z1255" s="52"/>
      <c r="AA1255" s="53">
        <f t="shared" si="853"/>
        <v>125.79999999923022</v>
      </c>
      <c r="AB1255" s="38"/>
      <c r="AC1255" s="38"/>
      <c r="AD1255" s="38"/>
      <c r="AE1255" s="54">
        <f t="shared" si="854"/>
        <v>125.79999999923022</v>
      </c>
      <c r="AF1255" s="53"/>
      <c r="AG1255" s="53">
        <f t="shared" si="856"/>
        <v>188.96000000055881</v>
      </c>
      <c r="AH1255" s="38"/>
      <c r="AI1255" s="38"/>
      <c r="AJ1255" s="38"/>
      <c r="AK1255" s="54">
        <f t="shared" si="857"/>
        <v>188.96000000055881</v>
      </c>
      <c r="AL1255" s="53"/>
      <c r="AM1255" s="53">
        <f t="shared" si="844"/>
        <v>0</v>
      </c>
      <c r="AN1255" s="38"/>
      <c r="AO1255" s="38"/>
      <c r="AP1255" s="38"/>
      <c r="AQ1255" s="54">
        <f t="shared" si="845"/>
        <v>0</v>
      </c>
      <c r="AR1255" s="53"/>
      <c r="AS1255" s="29">
        <f t="shared" si="858"/>
        <v>-2707601.9300000039</v>
      </c>
      <c r="AT1255" s="29">
        <f t="shared" si="859"/>
        <v>1412831.1400000001</v>
      </c>
      <c r="AU1255" s="29">
        <f t="shared" si="860"/>
        <v>0</v>
      </c>
      <c r="AV1255" s="29">
        <f t="shared" si="861"/>
        <v>-1148214.68</v>
      </c>
      <c r="AW1255" s="29"/>
      <c r="AX1255" s="29">
        <f t="shared" si="862"/>
        <v>-2442796.5100000035</v>
      </c>
      <c r="AY1255" s="29">
        <f t="shared" si="863"/>
        <v>9300000</v>
      </c>
      <c r="AZ1255" s="29">
        <f t="shared" si="864"/>
        <v>6857203.4899999965</v>
      </c>
    </row>
    <row r="1256" spans="2:55" x14ac:dyDescent="0.3">
      <c r="B1256" s="99">
        <f t="shared" si="865"/>
        <v>45923</v>
      </c>
      <c r="C1256" s="44">
        <f t="shared" si="846"/>
        <v>-3567976.3600000022</v>
      </c>
      <c r="D1256" s="38">
        <v>16207.14</v>
      </c>
      <c r="E1256" s="38"/>
      <c r="F1256" s="38"/>
      <c r="G1256" s="45">
        <f t="shared" si="855"/>
        <v>-3551769.2200000021</v>
      </c>
      <c r="H1256" s="44">
        <v>4300000</v>
      </c>
      <c r="I1256" s="46">
        <f t="shared" si="847"/>
        <v>1123222.48</v>
      </c>
      <c r="J1256" s="38"/>
      <c r="K1256" s="38"/>
      <c r="L1256" s="38">
        <v>-43607.919999999896</v>
      </c>
      <c r="M1256" s="47">
        <f t="shared" si="848"/>
        <v>1079614.56</v>
      </c>
      <c r="N1256" s="46">
        <v>5000000</v>
      </c>
      <c r="O1256" s="48">
        <f t="shared" si="849"/>
        <v>1580.7499999995343</v>
      </c>
      <c r="P1256" s="38">
        <v>124749.07</v>
      </c>
      <c r="Q1256" s="38"/>
      <c r="R1256" s="38"/>
      <c r="S1256" s="55">
        <f t="shared" si="850"/>
        <v>126329.81999999954</v>
      </c>
      <c r="T1256" s="48"/>
      <c r="U1256" s="49">
        <f t="shared" si="851"/>
        <v>61.859999999440333</v>
      </c>
      <c r="V1256" s="38"/>
      <c r="W1256" s="38"/>
      <c r="X1256" s="38"/>
      <c r="Y1256" s="51">
        <f t="shared" si="852"/>
        <v>61.859999999440333</v>
      </c>
      <c r="Z1256" s="52"/>
      <c r="AA1256" s="53">
        <f t="shared" si="853"/>
        <v>125.79999999923022</v>
      </c>
      <c r="AB1256" s="38"/>
      <c r="AC1256" s="38"/>
      <c r="AD1256" s="38"/>
      <c r="AE1256" s="54">
        <f t="shared" si="854"/>
        <v>125.79999999923022</v>
      </c>
      <c r="AF1256" s="53"/>
      <c r="AG1256" s="53">
        <f t="shared" si="856"/>
        <v>188.96000000055881</v>
      </c>
      <c r="AH1256" s="38"/>
      <c r="AI1256" s="38"/>
      <c r="AJ1256" s="38"/>
      <c r="AK1256" s="54">
        <f t="shared" si="857"/>
        <v>188.96000000055881</v>
      </c>
      <c r="AL1256" s="53"/>
      <c r="AM1256" s="53">
        <f t="shared" si="844"/>
        <v>0</v>
      </c>
      <c r="AN1256" s="38"/>
      <c r="AO1256" s="38"/>
      <c r="AP1256" s="38"/>
      <c r="AQ1256" s="54">
        <f t="shared" si="845"/>
        <v>0</v>
      </c>
      <c r="AR1256" s="53"/>
      <c r="AS1256" s="29">
        <f t="shared" si="858"/>
        <v>-2442985.4700000039</v>
      </c>
      <c r="AT1256" s="29">
        <f t="shared" si="859"/>
        <v>140956.21000000002</v>
      </c>
      <c r="AU1256" s="29">
        <f t="shared" si="860"/>
        <v>0</v>
      </c>
      <c r="AV1256" s="29">
        <f t="shared" si="861"/>
        <v>-43607.919999999896</v>
      </c>
      <c r="AW1256" s="29"/>
      <c r="AX1256" s="29">
        <f t="shared" si="862"/>
        <v>-2345448.2200000035</v>
      </c>
      <c r="AY1256" s="29">
        <f t="shared" si="863"/>
        <v>9300000</v>
      </c>
      <c r="AZ1256" s="29">
        <f t="shared" si="864"/>
        <v>6954551.7799999965</v>
      </c>
    </row>
    <row r="1257" spans="2:55" x14ac:dyDescent="0.3">
      <c r="B1257" s="99">
        <f t="shared" si="865"/>
        <v>45924</v>
      </c>
      <c r="C1257" s="44">
        <f t="shared" ref="C1257:C1284" si="866">G1256</f>
        <v>-3551769.2200000021</v>
      </c>
      <c r="D1257" s="38">
        <v>586069.29000000202</v>
      </c>
      <c r="E1257" s="38"/>
      <c r="F1257" s="38"/>
      <c r="G1257" s="45">
        <f t="shared" ref="G1257:G1284" si="867">SUM(C1257:F1257)</f>
        <v>-2965699.93</v>
      </c>
      <c r="H1257" s="44">
        <v>4300000</v>
      </c>
      <c r="I1257" s="46">
        <f t="shared" ref="I1257:I1284" si="868">M1256</f>
        <v>1079614.56</v>
      </c>
      <c r="J1257" s="38">
        <v>10242.790000000001</v>
      </c>
      <c r="K1257" s="38"/>
      <c r="L1257" s="38">
        <v>-51486.000000000102</v>
      </c>
      <c r="M1257" s="47">
        <f t="shared" ref="M1257:M1284" si="869">SUM(I1257:L1257)</f>
        <v>1038371.35</v>
      </c>
      <c r="N1257" s="46">
        <v>5000000</v>
      </c>
      <c r="O1257" s="48">
        <f t="shared" ref="O1257:O1284" si="870">S1256</f>
        <v>126329.81999999954</v>
      </c>
      <c r="P1257" s="38"/>
      <c r="Q1257" s="38"/>
      <c r="R1257" s="38">
        <v>-2205.77</v>
      </c>
      <c r="S1257" s="55">
        <f t="shared" ref="S1257:S1284" si="871">SUM(O1257:R1257)</f>
        <v>124124.04999999954</v>
      </c>
      <c r="T1257" s="48"/>
      <c r="U1257" s="49">
        <f t="shared" ref="U1257:U1284" si="872">Y1256</f>
        <v>61.859999999440333</v>
      </c>
      <c r="V1257" s="38"/>
      <c r="W1257" s="38"/>
      <c r="X1257" s="38"/>
      <c r="Y1257" s="51">
        <f t="shared" ref="Y1257:Y1284" si="873">SUM(U1257:X1257)</f>
        <v>61.859999999440333</v>
      </c>
      <c r="Z1257" s="52"/>
      <c r="AA1257" s="53">
        <f t="shared" ref="AA1257:AA1284" si="874">AE1256</f>
        <v>125.79999999923022</v>
      </c>
      <c r="AB1257" s="38"/>
      <c r="AC1257" s="38"/>
      <c r="AD1257" s="38"/>
      <c r="AE1257" s="54">
        <f t="shared" ref="AE1257:AE1284" si="875">SUM(AA1257:AD1257)</f>
        <v>125.79999999923022</v>
      </c>
      <c r="AF1257" s="53"/>
      <c r="AG1257" s="53">
        <f t="shared" ref="AG1257:AG1284" si="876">AK1256</f>
        <v>188.96000000055881</v>
      </c>
      <c r="AH1257" s="38"/>
      <c r="AI1257" s="38"/>
      <c r="AJ1257" s="38"/>
      <c r="AK1257" s="54">
        <f t="shared" ref="AK1257:AK1284" si="877">SUM(AG1257:AJ1257)</f>
        <v>188.96000000055881</v>
      </c>
      <c r="AL1257" s="53"/>
      <c r="AM1257" s="53">
        <f t="shared" si="844"/>
        <v>0</v>
      </c>
      <c r="AN1257" s="38"/>
      <c r="AO1257" s="38"/>
      <c r="AP1257" s="38"/>
      <c r="AQ1257" s="54"/>
      <c r="AR1257" s="53"/>
      <c r="AS1257" s="29">
        <f t="shared" ref="AS1257:AS1284" si="878">SUM(C1257,I1257,O1257,U1257,AA1257,)</f>
        <v>-2345637.1800000039</v>
      </c>
      <c r="AT1257" s="29">
        <f t="shared" ref="AT1257:AT1284" si="879">SUM(D1257,J1257,P1257,V1257,AB1257,AH1257)</f>
        <v>596312.08000000205</v>
      </c>
      <c r="AU1257" s="29">
        <f t="shared" ref="AU1257:AU1284" si="880">SUM(E1257,K1257,Q1257,W1257,AC1257,AI1257)</f>
        <v>0</v>
      </c>
      <c r="AV1257" s="29">
        <f t="shared" ref="AV1257:AV1284" si="881">SUM(F1257,L1257,R1257,X1257,AD1257,AJ1257)</f>
        <v>-53691.770000000099</v>
      </c>
      <c r="AW1257" s="29"/>
      <c r="AX1257" s="29">
        <f t="shared" ref="AX1257:AX1284" si="882">SUM(G1257,M1257,S1257,Y1257,AE1257,AK1257)</f>
        <v>-1802827.9100000013</v>
      </c>
      <c r="AY1257" s="29">
        <f t="shared" ref="AY1257:AY1284" si="883">SUM(H1257,N1257,T1257,Z1257,AF1257,AL1257)</f>
        <v>9300000</v>
      </c>
      <c r="AZ1257" s="29">
        <f t="shared" ref="AZ1257:AZ1284" si="884">AX1257+AY1257</f>
        <v>7497172.0899999989</v>
      </c>
      <c r="BC1257" s="15" t="s">
        <v>171</v>
      </c>
    </row>
    <row r="1258" spans="2:55" x14ac:dyDescent="0.3">
      <c r="B1258" s="99">
        <f t="shared" si="865"/>
        <v>45925</v>
      </c>
      <c r="C1258" s="44">
        <f t="shared" si="866"/>
        <v>-2965699.93</v>
      </c>
      <c r="D1258" s="38">
        <f>480241.4+29101.01</f>
        <v>509342.41000000003</v>
      </c>
      <c r="E1258" s="38"/>
      <c r="F1258" s="38">
        <v>-253504.28</v>
      </c>
      <c r="G1258" s="45">
        <f t="shared" si="867"/>
        <v>-2709861.8</v>
      </c>
      <c r="H1258" s="44">
        <v>4300000</v>
      </c>
      <c r="I1258" s="46">
        <f t="shared" si="868"/>
        <v>1038371.35</v>
      </c>
      <c r="J1258" s="38"/>
      <c r="K1258" s="38"/>
      <c r="L1258" s="38">
        <v>-184458.78</v>
      </c>
      <c r="M1258" s="47">
        <f t="shared" si="869"/>
        <v>853912.57</v>
      </c>
      <c r="N1258" s="46">
        <v>5000000</v>
      </c>
      <c r="O1258" s="48">
        <f t="shared" si="870"/>
        <v>124124.04999999954</v>
      </c>
      <c r="P1258" s="38">
        <v>14250.62</v>
      </c>
      <c r="Q1258" s="38"/>
      <c r="R1258" s="38">
        <v>-139.19999999999999</v>
      </c>
      <c r="S1258" s="55">
        <f t="shared" si="871"/>
        <v>138235.46999999954</v>
      </c>
      <c r="T1258" s="48"/>
      <c r="U1258" s="49">
        <f t="shared" si="872"/>
        <v>61.859999999440333</v>
      </c>
      <c r="V1258" s="38"/>
      <c r="W1258" s="38"/>
      <c r="X1258" s="38"/>
      <c r="Y1258" s="51">
        <f t="shared" si="873"/>
        <v>61.859999999440333</v>
      </c>
      <c r="Z1258" s="52"/>
      <c r="AA1258" s="53">
        <f t="shared" si="874"/>
        <v>125.79999999923022</v>
      </c>
      <c r="AB1258" s="38"/>
      <c r="AC1258" s="38"/>
      <c r="AD1258" s="38"/>
      <c r="AE1258" s="54">
        <f t="shared" si="875"/>
        <v>125.79999999923022</v>
      </c>
      <c r="AF1258" s="53"/>
      <c r="AG1258" s="53">
        <f t="shared" si="876"/>
        <v>188.96000000055881</v>
      </c>
      <c r="AH1258" s="38"/>
      <c r="AI1258" s="38"/>
      <c r="AJ1258" s="38"/>
      <c r="AK1258" s="54">
        <f t="shared" si="877"/>
        <v>188.96000000055881</v>
      </c>
      <c r="AL1258" s="53"/>
      <c r="AM1258" s="53">
        <f t="shared" si="844"/>
        <v>0</v>
      </c>
      <c r="AN1258" s="38"/>
      <c r="AO1258" s="38"/>
      <c r="AP1258" s="38"/>
      <c r="AQ1258" s="54"/>
      <c r="AR1258" s="53"/>
      <c r="AS1258" s="29">
        <f t="shared" si="878"/>
        <v>-1803016.870000002</v>
      </c>
      <c r="AT1258" s="29">
        <f t="shared" si="879"/>
        <v>523593.03</v>
      </c>
      <c r="AU1258" s="29">
        <f t="shared" si="880"/>
        <v>0</v>
      </c>
      <c r="AV1258" s="29">
        <f t="shared" si="881"/>
        <v>-438102.26</v>
      </c>
      <c r="AW1258" s="29"/>
      <c r="AX1258" s="29">
        <f t="shared" si="882"/>
        <v>-1717337.1400000013</v>
      </c>
      <c r="AY1258" s="29">
        <f t="shared" si="883"/>
        <v>9300000</v>
      </c>
      <c r="AZ1258" s="29">
        <f t="shared" si="884"/>
        <v>7582662.8599999985</v>
      </c>
    </row>
    <row r="1259" spans="2:55" x14ac:dyDescent="0.3">
      <c r="B1259" s="99">
        <f t="shared" si="865"/>
        <v>45926</v>
      </c>
      <c r="C1259" s="44">
        <f t="shared" si="866"/>
        <v>-2709861.8</v>
      </c>
      <c r="D1259" s="38">
        <v>827719.19</v>
      </c>
      <c r="E1259" s="38"/>
      <c r="F1259" s="38"/>
      <c r="G1259" s="45">
        <f t="shared" si="867"/>
        <v>-1882142.6099999999</v>
      </c>
      <c r="H1259" s="44">
        <v>4300000</v>
      </c>
      <c r="I1259" s="46">
        <f t="shared" si="868"/>
        <v>853912.57</v>
      </c>
      <c r="J1259" s="38">
        <v>258645.25</v>
      </c>
      <c r="K1259" s="38"/>
      <c r="L1259" s="38">
        <v>-587131.06000000006</v>
      </c>
      <c r="M1259" s="47">
        <f t="shared" si="869"/>
        <v>525426.75999999978</v>
      </c>
      <c r="N1259" s="46">
        <v>5000000</v>
      </c>
      <c r="O1259" s="48">
        <f t="shared" si="870"/>
        <v>138235.46999999954</v>
      </c>
      <c r="P1259" s="38">
        <v>360815.62</v>
      </c>
      <c r="Q1259" s="38"/>
      <c r="R1259" s="38">
        <v>-708.4</v>
      </c>
      <c r="S1259" s="55">
        <f t="shared" si="871"/>
        <v>498342.68999999948</v>
      </c>
      <c r="T1259" s="48"/>
      <c r="U1259" s="49">
        <f t="shared" si="872"/>
        <v>61.859999999440333</v>
      </c>
      <c r="V1259" s="38"/>
      <c r="W1259" s="38"/>
      <c r="X1259" s="38"/>
      <c r="Y1259" s="51">
        <f t="shared" si="873"/>
        <v>61.859999999440333</v>
      </c>
      <c r="Z1259" s="52"/>
      <c r="AA1259" s="53">
        <f t="shared" si="874"/>
        <v>125.79999999923022</v>
      </c>
      <c r="AB1259" s="38"/>
      <c r="AC1259" s="38"/>
      <c r="AD1259" s="38"/>
      <c r="AE1259" s="54">
        <f t="shared" si="875"/>
        <v>125.79999999923022</v>
      </c>
      <c r="AF1259" s="53"/>
      <c r="AG1259" s="53">
        <f t="shared" si="876"/>
        <v>188.96000000055881</v>
      </c>
      <c r="AH1259" s="38"/>
      <c r="AI1259" s="38"/>
      <c r="AJ1259" s="38"/>
      <c r="AK1259" s="54">
        <f t="shared" si="877"/>
        <v>188.96000000055881</v>
      </c>
      <c r="AL1259" s="53"/>
      <c r="AM1259" s="53">
        <f t="shared" si="844"/>
        <v>0</v>
      </c>
      <c r="AN1259" s="38"/>
      <c r="AO1259" s="38"/>
      <c r="AP1259" s="38"/>
      <c r="AQ1259" s="54"/>
      <c r="AR1259" s="53"/>
      <c r="AS1259" s="29">
        <f t="shared" si="878"/>
        <v>-1717526.100000002</v>
      </c>
      <c r="AT1259" s="29">
        <f t="shared" si="879"/>
        <v>1447180.06</v>
      </c>
      <c r="AU1259" s="29">
        <f t="shared" si="880"/>
        <v>0</v>
      </c>
      <c r="AV1259" s="29">
        <f t="shared" si="881"/>
        <v>-587839.46000000008</v>
      </c>
      <c r="AW1259" s="29"/>
      <c r="AX1259" s="29">
        <f t="shared" si="882"/>
        <v>-857996.54000000143</v>
      </c>
      <c r="AY1259" s="29">
        <f t="shared" si="883"/>
        <v>9300000</v>
      </c>
      <c r="AZ1259" s="29">
        <f t="shared" si="884"/>
        <v>8442003.459999999</v>
      </c>
    </row>
    <row r="1260" spans="2:55" x14ac:dyDescent="0.3">
      <c r="B1260" s="99">
        <f>B1259+3</f>
        <v>45929</v>
      </c>
      <c r="C1260" s="44">
        <f t="shared" si="866"/>
        <v>-1882142.6099999999</v>
      </c>
      <c r="D1260" s="38">
        <f>259181.75+27288.95+28886.35+32503.25</f>
        <v>347860.3</v>
      </c>
      <c r="E1260" s="38">
        <f>1443000+380000</f>
        <v>1823000</v>
      </c>
      <c r="F1260" s="38">
        <v>-1000000</v>
      </c>
      <c r="G1260" s="45">
        <f t="shared" si="867"/>
        <v>-711282.30999999982</v>
      </c>
      <c r="H1260" s="44">
        <v>4300000</v>
      </c>
      <c r="I1260" s="46">
        <f t="shared" si="868"/>
        <v>525426.75999999978</v>
      </c>
      <c r="J1260" s="38">
        <f>72.51+5.34</f>
        <v>77.850000000000009</v>
      </c>
      <c r="K1260" s="38">
        <f>860000-380000</f>
        <v>480000</v>
      </c>
      <c r="L1260" s="38">
        <v>-1000000</v>
      </c>
      <c r="M1260" s="47">
        <f t="shared" si="869"/>
        <v>5504.6099999997532</v>
      </c>
      <c r="N1260" s="46">
        <v>5000000</v>
      </c>
      <c r="O1260" s="48">
        <f t="shared" si="870"/>
        <v>498342.68999999948</v>
      </c>
      <c r="P1260" s="38">
        <f>12801.14+15736.05+79968.13+285809.68+244.99</f>
        <v>394559.99</v>
      </c>
      <c r="Q1260" s="38">
        <v>-860000</v>
      </c>
      <c r="R1260" s="38">
        <v>-10</v>
      </c>
      <c r="S1260" s="55">
        <f t="shared" si="871"/>
        <v>32892.679999999469</v>
      </c>
      <c r="T1260" s="48"/>
      <c r="U1260" s="49">
        <f t="shared" si="872"/>
        <v>61.859999999440333</v>
      </c>
      <c r="V1260" s="38">
        <v>24240.33</v>
      </c>
      <c r="W1260" s="38"/>
      <c r="X1260" s="38"/>
      <c r="Y1260" s="51">
        <f t="shared" si="873"/>
        <v>24302.189999999442</v>
      </c>
      <c r="Z1260" s="52"/>
      <c r="AA1260" s="53">
        <f t="shared" si="874"/>
        <v>125.79999999923022</v>
      </c>
      <c r="AB1260" s="38"/>
      <c r="AC1260" s="38"/>
      <c r="AD1260" s="38"/>
      <c r="AE1260" s="54">
        <f t="shared" si="875"/>
        <v>125.79999999923022</v>
      </c>
      <c r="AF1260" s="53"/>
      <c r="AG1260" s="53">
        <f t="shared" si="876"/>
        <v>188.96000000055881</v>
      </c>
      <c r="AH1260" s="38">
        <f>34679.08+39754.41+100527.69+275270.12+993074.15</f>
        <v>1443305.45</v>
      </c>
      <c r="AI1260" s="38">
        <v>-1443000</v>
      </c>
      <c r="AJ1260" s="38"/>
      <c r="AK1260" s="54">
        <f t="shared" si="877"/>
        <v>494.41000000061467</v>
      </c>
      <c r="AL1260" s="53"/>
      <c r="AM1260" s="53">
        <f t="shared" si="844"/>
        <v>0</v>
      </c>
      <c r="AN1260" s="38"/>
      <c r="AO1260" s="38"/>
      <c r="AP1260" s="38"/>
      <c r="AQ1260" s="54"/>
      <c r="AR1260" s="53"/>
      <c r="AS1260" s="29">
        <f t="shared" si="878"/>
        <v>-858185.50000000198</v>
      </c>
      <c r="AT1260" s="29">
        <f t="shared" si="879"/>
        <v>2210043.92</v>
      </c>
      <c r="AU1260" s="29">
        <f t="shared" si="880"/>
        <v>0</v>
      </c>
      <c r="AV1260" s="29">
        <f t="shared" si="881"/>
        <v>-2000010</v>
      </c>
      <c r="AW1260" s="29"/>
      <c r="AX1260" s="29">
        <f t="shared" si="882"/>
        <v>-647962.62000000128</v>
      </c>
      <c r="AY1260" s="29">
        <f t="shared" si="883"/>
        <v>9300000</v>
      </c>
      <c r="AZ1260" s="29">
        <f t="shared" si="884"/>
        <v>8652037.379999999</v>
      </c>
    </row>
    <row r="1261" spans="2:55" x14ac:dyDescent="0.3">
      <c r="B1261" s="99">
        <f t="shared" si="865"/>
        <v>45930</v>
      </c>
      <c r="C1261" s="44">
        <f t="shared" si="866"/>
        <v>-711282.30999999982</v>
      </c>
      <c r="D1261" s="38">
        <f>35236.5+47712+45455.88+116948.32</f>
        <v>245352.7</v>
      </c>
      <c r="E1261" s="38">
        <f>51000+550000</f>
        <v>601000</v>
      </c>
      <c r="F1261" s="38">
        <v>-74446.789999999994</v>
      </c>
      <c r="G1261" s="45">
        <f t="shared" si="867"/>
        <v>60623.600000000195</v>
      </c>
      <c r="H1261" s="44">
        <v>4300000</v>
      </c>
      <c r="I1261" s="46">
        <f t="shared" si="868"/>
        <v>5504.6099999997532</v>
      </c>
      <c r="J1261" s="38">
        <v>435319.8</v>
      </c>
      <c r="K1261" s="38">
        <f>55000-250000</f>
        <v>-195000</v>
      </c>
      <c r="L1261" s="38"/>
      <c r="M1261" s="47">
        <f t="shared" si="869"/>
        <v>245824.40999999974</v>
      </c>
      <c r="N1261" s="46">
        <v>5000000</v>
      </c>
      <c r="O1261" s="48">
        <f t="shared" si="870"/>
        <v>32892.679999999469</v>
      </c>
      <c r="P1261" s="38"/>
      <c r="Q1261" s="38">
        <f>303700+24250-55000-300000</f>
        <v>-27050</v>
      </c>
      <c r="R1261" s="38">
        <v>-20</v>
      </c>
      <c r="S1261" s="55">
        <f t="shared" si="871"/>
        <v>5822.6799999994691</v>
      </c>
      <c r="T1261" s="48"/>
      <c r="U1261" s="49">
        <f t="shared" si="872"/>
        <v>24302.189999999442</v>
      </c>
      <c r="V1261" s="38">
        <v>303752.13</v>
      </c>
      <c r="W1261" s="38">
        <f>-24250-303700</f>
        <v>-327950</v>
      </c>
      <c r="X1261" s="38">
        <v>-3.4</v>
      </c>
      <c r="Y1261" s="51">
        <f t="shared" si="873"/>
        <v>100.9199999994249</v>
      </c>
      <c r="Z1261" s="52"/>
      <c r="AA1261" s="53">
        <f t="shared" si="874"/>
        <v>125.79999999923022</v>
      </c>
      <c r="AB1261" s="38"/>
      <c r="AC1261" s="38"/>
      <c r="AD1261" s="38"/>
      <c r="AE1261" s="54">
        <f t="shared" si="875"/>
        <v>125.79999999923022</v>
      </c>
      <c r="AF1261" s="53"/>
      <c r="AG1261" s="53">
        <f t="shared" si="876"/>
        <v>494.41000000061467</v>
      </c>
      <c r="AH1261" s="38">
        <v>50853.3</v>
      </c>
      <c r="AI1261" s="38">
        <v>-51000</v>
      </c>
      <c r="AJ1261" s="38">
        <v>-9.8800000000000008</v>
      </c>
      <c r="AK1261" s="54">
        <f t="shared" si="877"/>
        <v>337.83000000061759</v>
      </c>
      <c r="AL1261" s="53"/>
      <c r="AM1261" s="53">
        <f t="shared" si="844"/>
        <v>0</v>
      </c>
      <c r="AN1261" s="38"/>
      <c r="AO1261" s="38"/>
      <c r="AP1261" s="38"/>
      <c r="AQ1261" s="54"/>
      <c r="AR1261" s="53"/>
      <c r="AS1261" s="29">
        <f t="shared" si="878"/>
        <v>-648457.03000000189</v>
      </c>
      <c r="AT1261" s="29">
        <f t="shared" si="879"/>
        <v>1035277.93</v>
      </c>
      <c r="AU1261" s="29">
        <f t="shared" si="880"/>
        <v>0</v>
      </c>
      <c r="AV1261" s="29">
        <f t="shared" si="881"/>
        <v>-74480.069999999992</v>
      </c>
      <c r="AW1261" s="29"/>
      <c r="AX1261" s="29">
        <f t="shared" si="882"/>
        <v>312835.23999999865</v>
      </c>
      <c r="AY1261" s="29">
        <f t="shared" si="883"/>
        <v>9300000</v>
      </c>
      <c r="AZ1261" s="29">
        <f t="shared" si="884"/>
        <v>9612835.2399999984</v>
      </c>
    </row>
    <row r="1262" spans="2:55" x14ac:dyDescent="0.3">
      <c r="B1262" s="99">
        <f t="shared" si="865"/>
        <v>45931</v>
      </c>
      <c r="C1262" s="44">
        <f t="shared" si="866"/>
        <v>60623.600000000195</v>
      </c>
      <c r="D1262" s="38">
        <v>783657.62</v>
      </c>
      <c r="E1262" s="38"/>
      <c r="F1262" s="38"/>
      <c r="G1262" s="45">
        <f t="shared" si="867"/>
        <v>844281.2200000002</v>
      </c>
      <c r="H1262" s="44">
        <v>4300000</v>
      </c>
      <c r="I1262" s="46">
        <f t="shared" si="868"/>
        <v>245824.40999999974</v>
      </c>
      <c r="J1262" s="38"/>
      <c r="K1262" s="38"/>
      <c r="L1262" s="38">
        <v>-183014.7</v>
      </c>
      <c r="M1262" s="47">
        <f t="shared" si="869"/>
        <v>62809.70999999973</v>
      </c>
      <c r="N1262" s="46">
        <v>5000000</v>
      </c>
      <c r="O1262" s="48">
        <f t="shared" si="870"/>
        <v>5822.6799999994691</v>
      </c>
      <c r="P1262" s="38">
        <v>40179.26</v>
      </c>
      <c r="Q1262" s="38"/>
      <c r="R1262" s="38">
        <v>-20023.439999999999</v>
      </c>
      <c r="S1262" s="55">
        <f t="shared" si="871"/>
        <v>25978.499999999472</v>
      </c>
      <c r="T1262" s="48"/>
      <c r="U1262" s="49">
        <f t="shared" si="872"/>
        <v>100.9199999994249</v>
      </c>
      <c r="V1262" s="38">
        <v>1288273.6100000001</v>
      </c>
      <c r="W1262" s="38"/>
      <c r="X1262" s="38"/>
      <c r="Y1262" s="51">
        <f t="shared" si="873"/>
        <v>1288374.5299999996</v>
      </c>
      <c r="Z1262" s="52"/>
      <c r="AA1262" s="53">
        <f t="shared" si="874"/>
        <v>125.79999999923022</v>
      </c>
      <c r="AB1262" s="38"/>
      <c r="AC1262" s="38"/>
      <c r="AD1262" s="38"/>
      <c r="AE1262" s="54">
        <f t="shared" si="875"/>
        <v>125.79999999923022</v>
      </c>
      <c r="AF1262" s="53"/>
      <c r="AG1262" s="53">
        <f t="shared" si="876"/>
        <v>337.83000000061759</v>
      </c>
      <c r="AH1262" s="38"/>
      <c r="AI1262" s="38"/>
      <c r="AJ1262" s="38">
        <v>-99.9</v>
      </c>
      <c r="AK1262" s="54">
        <f t="shared" si="877"/>
        <v>237.93000000061758</v>
      </c>
      <c r="AL1262" s="53"/>
      <c r="AM1262" s="53">
        <f t="shared" si="844"/>
        <v>0</v>
      </c>
      <c r="AN1262" s="38"/>
      <c r="AO1262" s="38"/>
      <c r="AP1262" s="38"/>
      <c r="AQ1262" s="54"/>
      <c r="AR1262" s="53"/>
      <c r="AS1262" s="29">
        <f t="shared" si="878"/>
        <v>312497.40999999805</v>
      </c>
      <c r="AT1262" s="29">
        <f t="shared" si="879"/>
        <v>2112110.4900000002</v>
      </c>
      <c r="AU1262" s="29">
        <f t="shared" si="880"/>
        <v>0</v>
      </c>
      <c r="AV1262" s="29">
        <f t="shared" si="881"/>
        <v>-203138.04</v>
      </c>
      <c r="AW1262" s="29"/>
      <c r="AX1262" s="29">
        <f t="shared" si="882"/>
        <v>2221807.689999999</v>
      </c>
      <c r="AY1262" s="29">
        <f t="shared" si="883"/>
        <v>9300000</v>
      </c>
      <c r="AZ1262" s="29">
        <f t="shared" si="884"/>
        <v>11521807.689999999</v>
      </c>
    </row>
    <row r="1263" spans="2:55" x14ac:dyDescent="0.3">
      <c r="B1263" s="99">
        <f t="shared" si="865"/>
        <v>45932</v>
      </c>
      <c r="C1263" s="44">
        <f t="shared" si="866"/>
        <v>844281.2200000002</v>
      </c>
      <c r="D1263" s="38"/>
      <c r="E1263" s="38"/>
      <c r="F1263" s="38">
        <v>-37032.85</v>
      </c>
      <c r="G1263" s="45">
        <f t="shared" si="867"/>
        <v>807248.37000000023</v>
      </c>
      <c r="H1263" s="44">
        <v>4300000</v>
      </c>
      <c r="I1263" s="46">
        <f t="shared" si="868"/>
        <v>62809.70999999973</v>
      </c>
      <c r="J1263" s="38">
        <v>19064.689999999999</v>
      </c>
      <c r="K1263" s="38">
        <f>1310000</f>
        <v>1310000</v>
      </c>
      <c r="L1263" s="38">
        <v>-115005.72</v>
      </c>
      <c r="M1263" s="47">
        <f t="shared" si="869"/>
        <v>1276868.6799999997</v>
      </c>
      <c r="N1263" s="46">
        <v>5000000</v>
      </c>
      <c r="O1263" s="48">
        <f t="shared" si="870"/>
        <v>25978.499999999472</v>
      </c>
      <c r="P1263" s="38"/>
      <c r="Q1263" s="38">
        <f>1288300-1310000</f>
        <v>-21700</v>
      </c>
      <c r="R1263" s="38">
        <v>-935.75</v>
      </c>
      <c r="S1263" s="55">
        <f t="shared" si="871"/>
        <v>3342.7499999994725</v>
      </c>
      <c r="T1263" s="48"/>
      <c r="U1263" s="49">
        <f t="shared" si="872"/>
        <v>1288374.5299999996</v>
      </c>
      <c r="V1263" s="38"/>
      <c r="W1263" s="38">
        <v>-1288300</v>
      </c>
      <c r="X1263" s="38">
        <v>-72.3</v>
      </c>
      <c r="Y1263" s="51">
        <f t="shared" si="873"/>
        <v>2.2299999995622812</v>
      </c>
      <c r="Z1263" s="52"/>
      <c r="AA1263" s="53">
        <f t="shared" si="874"/>
        <v>125.79999999923022</v>
      </c>
      <c r="AB1263" s="38"/>
      <c r="AC1263" s="38"/>
      <c r="AD1263" s="38"/>
      <c r="AE1263" s="54">
        <f t="shared" si="875"/>
        <v>125.79999999923022</v>
      </c>
      <c r="AF1263" s="53"/>
      <c r="AG1263" s="53">
        <f t="shared" si="876"/>
        <v>237.93000000061758</v>
      </c>
      <c r="AH1263" s="38"/>
      <c r="AI1263" s="38"/>
      <c r="AJ1263" s="38"/>
      <c r="AK1263" s="54">
        <f t="shared" si="877"/>
        <v>237.93000000061758</v>
      </c>
      <c r="AL1263" s="53"/>
      <c r="AM1263" s="53">
        <f t="shared" si="844"/>
        <v>0</v>
      </c>
      <c r="AN1263" s="38"/>
      <c r="AO1263" s="38"/>
      <c r="AP1263" s="38"/>
      <c r="AQ1263" s="54"/>
      <c r="AR1263" s="53"/>
      <c r="AS1263" s="29">
        <f t="shared" si="878"/>
        <v>2221569.7599999984</v>
      </c>
      <c r="AT1263" s="29">
        <f t="shared" si="879"/>
        <v>19064.689999999999</v>
      </c>
      <c r="AU1263" s="29">
        <f t="shared" si="880"/>
        <v>0</v>
      </c>
      <c r="AV1263" s="29">
        <f t="shared" si="881"/>
        <v>-153046.62</v>
      </c>
      <c r="AW1263" s="29"/>
      <c r="AX1263" s="29">
        <f t="shared" si="882"/>
        <v>2087825.7599999986</v>
      </c>
      <c r="AY1263" s="29">
        <f t="shared" si="883"/>
        <v>9300000</v>
      </c>
      <c r="AZ1263" s="29">
        <f t="shared" si="884"/>
        <v>11387825.759999998</v>
      </c>
    </row>
    <row r="1264" spans="2:55" x14ac:dyDescent="0.3">
      <c r="B1264" s="99">
        <f t="shared" si="865"/>
        <v>45933</v>
      </c>
      <c r="C1264" s="44">
        <f t="shared" si="866"/>
        <v>807248.37000000023</v>
      </c>
      <c r="D1264" s="38"/>
      <c r="E1264" s="38">
        <f>1289000-1250000-1000000</f>
        <v>-961000</v>
      </c>
      <c r="F1264" s="38">
        <v>-19931.72</v>
      </c>
      <c r="G1264" s="45">
        <f t="shared" si="867"/>
        <v>-173683.34999999977</v>
      </c>
      <c r="H1264" s="44">
        <v>4300000</v>
      </c>
      <c r="I1264" s="46">
        <f t="shared" si="868"/>
        <v>1276868.6799999997</v>
      </c>
      <c r="J1264" s="38"/>
      <c r="K1264" s="38">
        <f>270000+1000000+1250000</f>
        <v>2520000</v>
      </c>
      <c r="L1264" s="38">
        <v>-3739666.02</v>
      </c>
      <c r="M1264" s="47">
        <f t="shared" si="869"/>
        <v>57202.659999999683</v>
      </c>
      <c r="N1264" s="46">
        <v>5000000</v>
      </c>
      <c r="O1264" s="48">
        <f t="shared" si="870"/>
        <v>3342.7499999994725</v>
      </c>
      <c r="P1264" s="38">
        <v>269004.81</v>
      </c>
      <c r="Q1264" s="38">
        <f>1288600-270000-1289000</f>
        <v>-270400</v>
      </c>
      <c r="R1264" s="38">
        <f>-1735.61-20</f>
        <v>-1755.61</v>
      </c>
      <c r="S1264" s="55">
        <f t="shared" si="871"/>
        <v>191.9499999994739</v>
      </c>
      <c r="T1264" s="48"/>
      <c r="U1264" s="49">
        <f t="shared" si="872"/>
        <v>2.2299999995622812</v>
      </c>
      <c r="V1264" s="38">
        <f>155083.75+1133556.25</f>
        <v>1288640</v>
      </c>
      <c r="W1264" s="38">
        <v>-1288600</v>
      </c>
      <c r="X1264" s="38">
        <v>-1.7</v>
      </c>
      <c r="Y1264" s="51">
        <f t="shared" si="873"/>
        <v>40.529999999515709</v>
      </c>
      <c r="Z1264" s="52"/>
      <c r="AA1264" s="53">
        <f t="shared" si="874"/>
        <v>125.79999999923022</v>
      </c>
      <c r="AB1264" s="38"/>
      <c r="AC1264" s="38"/>
      <c r="AD1264" s="38"/>
      <c r="AE1264" s="54">
        <f t="shared" si="875"/>
        <v>125.79999999923022</v>
      </c>
      <c r="AF1264" s="53"/>
      <c r="AG1264" s="53">
        <f t="shared" si="876"/>
        <v>237.93000000061758</v>
      </c>
      <c r="AH1264" s="38"/>
      <c r="AI1264" s="38"/>
      <c r="AJ1264" s="38"/>
      <c r="AK1264" s="54">
        <f t="shared" si="877"/>
        <v>237.93000000061758</v>
      </c>
      <c r="AL1264" s="53"/>
      <c r="AM1264" s="53">
        <f t="shared" si="844"/>
        <v>0</v>
      </c>
      <c r="AN1264" s="38"/>
      <c r="AO1264" s="38"/>
      <c r="AP1264" s="38"/>
      <c r="AQ1264" s="54"/>
      <c r="AR1264" s="53"/>
      <c r="AS1264" s="29">
        <f t="shared" si="878"/>
        <v>2087587.829999998</v>
      </c>
      <c r="AT1264" s="29">
        <f t="shared" si="879"/>
        <v>1557644.81</v>
      </c>
      <c r="AU1264" s="29">
        <f t="shared" si="880"/>
        <v>0</v>
      </c>
      <c r="AV1264" s="29">
        <f t="shared" si="881"/>
        <v>-3761355.0500000003</v>
      </c>
      <c r="AW1264" s="29"/>
      <c r="AX1264" s="29">
        <f t="shared" si="882"/>
        <v>-115884.48000000125</v>
      </c>
      <c r="AY1264" s="29">
        <f t="shared" si="883"/>
        <v>9300000</v>
      </c>
      <c r="AZ1264" s="29">
        <f t="shared" si="884"/>
        <v>9184115.5199999996</v>
      </c>
    </row>
    <row r="1265" spans="2:52" x14ac:dyDescent="0.3">
      <c r="B1265" s="99">
        <f>B1264+3</f>
        <v>45936</v>
      </c>
      <c r="C1265" s="44">
        <f t="shared" si="866"/>
        <v>-173683.34999999977</v>
      </c>
      <c r="D1265" s="38">
        <v>95899.839999999997</v>
      </c>
      <c r="E1265" s="38">
        <v>-750000</v>
      </c>
      <c r="F1265" s="38">
        <f>-1600-37901.73-16407.77-20657.32</f>
        <v>-76566.820000000007</v>
      </c>
      <c r="G1265" s="45">
        <f t="shared" si="867"/>
        <v>-904350.32999999984</v>
      </c>
      <c r="H1265" s="44">
        <v>4300000</v>
      </c>
      <c r="I1265" s="46">
        <f t="shared" si="868"/>
        <v>57202.659999999683</v>
      </c>
      <c r="J1265" s="38"/>
      <c r="K1265" s="38">
        <v>770000</v>
      </c>
      <c r="L1265" s="38">
        <v>-683818.68</v>
      </c>
      <c r="M1265" s="47">
        <f t="shared" si="869"/>
        <v>143383.97999999963</v>
      </c>
      <c r="N1265" s="46">
        <v>5000000</v>
      </c>
      <c r="O1265" s="48">
        <f t="shared" si="870"/>
        <v>191.9499999994739</v>
      </c>
      <c r="P1265" s="38">
        <v>54055.48</v>
      </c>
      <c r="Q1265" s="38">
        <v>-20000</v>
      </c>
      <c r="R1265" s="38">
        <f>-3210-25593.45</f>
        <v>-28803.45</v>
      </c>
      <c r="S1265" s="55">
        <f t="shared" si="871"/>
        <v>5443.9799999994757</v>
      </c>
      <c r="T1265" s="48"/>
      <c r="U1265" s="49">
        <f t="shared" si="872"/>
        <v>40.529999999515709</v>
      </c>
      <c r="V1265" s="38"/>
      <c r="W1265" s="38"/>
      <c r="X1265" s="38"/>
      <c r="Y1265" s="51">
        <f t="shared" si="873"/>
        <v>40.529999999515709</v>
      </c>
      <c r="Z1265" s="52"/>
      <c r="AA1265" s="53">
        <f t="shared" si="874"/>
        <v>125.79999999923022</v>
      </c>
      <c r="AB1265" s="38"/>
      <c r="AC1265" s="38"/>
      <c r="AD1265" s="38"/>
      <c r="AE1265" s="54">
        <f t="shared" si="875"/>
        <v>125.79999999923022</v>
      </c>
      <c r="AF1265" s="53"/>
      <c r="AG1265" s="53">
        <f t="shared" si="876"/>
        <v>237.93000000061758</v>
      </c>
      <c r="AH1265" s="38"/>
      <c r="AI1265" s="38"/>
      <c r="AJ1265" s="38"/>
      <c r="AK1265" s="54">
        <f t="shared" si="877"/>
        <v>237.93000000061758</v>
      </c>
      <c r="AL1265" s="53"/>
      <c r="AM1265" s="53">
        <f t="shared" si="844"/>
        <v>0</v>
      </c>
      <c r="AN1265" s="38"/>
      <c r="AO1265" s="38"/>
      <c r="AP1265" s="38"/>
      <c r="AQ1265" s="54"/>
      <c r="AR1265" s="53"/>
      <c r="AS1265" s="29">
        <f t="shared" si="878"/>
        <v>-116122.41000000187</v>
      </c>
      <c r="AT1265" s="29">
        <f t="shared" si="879"/>
        <v>149955.32</v>
      </c>
      <c r="AU1265" s="29">
        <f t="shared" si="880"/>
        <v>0</v>
      </c>
      <c r="AV1265" s="29">
        <f t="shared" si="881"/>
        <v>-789188.95</v>
      </c>
      <c r="AW1265" s="29"/>
      <c r="AX1265" s="29">
        <f t="shared" si="882"/>
        <v>-755118.11000000127</v>
      </c>
      <c r="AY1265" s="29">
        <f t="shared" si="883"/>
        <v>9300000</v>
      </c>
      <c r="AZ1265" s="29">
        <f t="shared" si="884"/>
        <v>8544881.8899999987</v>
      </c>
    </row>
    <row r="1266" spans="2:52" x14ac:dyDescent="0.3">
      <c r="B1266" s="99">
        <f t="shared" si="865"/>
        <v>45937</v>
      </c>
      <c r="C1266" s="44">
        <f t="shared" si="866"/>
        <v>-904350.32999999984</v>
      </c>
      <c r="D1266" s="38">
        <v>750.8</v>
      </c>
      <c r="E1266" s="38"/>
      <c r="F1266" s="38">
        <f>-0.21-17569.36</f>
        <v>-17569.57</v>
      </c>
      <c r="G1266" s="45">
        <f t="shared" si="867"/>
        <v>-921169.09999999974</v>
      </c>
      <c r="H1266" s="44">
        <v>4300000</v>
      </c>
      <c r="I1266" s="46">
        <f t="shared" si="868"/>
        <v>143383.97999999963</v>
      </c>
      <c r="J1266" s="38">
        <v>4017.99</v>
      </c>
      <c r="K1266" s="38"/>
      <c r="L1266" s="38">
        <v>-7241.4</v>
      </c>
      <c r="M1266" s="47">
        <f t="shared" si="869"/>
        <v>140160.56999999963</v>
      </c>
      <c r="N1266" s="46">
        <v>5000000</v>
      </c>
      <c r="O1266" s="48">
        <f t="shared" si="870"/>
        <v>5443.9799999994757</v>
      </c>
      <c r="P1266" s="38"/>
      <c r="Q1266" s="38"/>
      <c r="R1266" s="38"/>
      <c r="S1266" s="55">
        <f t="shared" si="871"/>
        <v>5443.9799999994757</v>
      </c>
      <c r="T1266" s="48"/>
      <c r="U1266" s="49">
        <f t="shared" si="872"/>
        <v>40.529999999515709</v>
      </c>
      <c r="V1266" s="38">
        <v>300002.57</v>
      </c>
      <c r="W1266" s="38"/>
      <c r="X1266" s="38"/>
      <c r="Y1266" s="51">
        <f t="shared" si="873"/>
        <v>300043.09999999951</v>
      </c>
      <c r="Z1266" s="52"/>
      <c r="AA1266" s="53">
        <f t="shared" si="874"/>
        <v>125.79999999923022</v>
      </c>
      <c r="AB1266" s="38"/>
      <c r="AC1266" s="38"/>
      <c r="AD1266" s="38"/>
      <c r="AE1266" s="54">
        <f t="shared" si="875"/>
        <v>125.79999999923022</v>
      </c>
      <c r="AF1266" s="53"/>
      <c r="AG1266" s="53">
        <f t="shared" si="876"/>
        <v>237.93000000061758</v>
      </c>
      <c r="AH1266" s="38"/>
      <c r="AI1266" s="38"/>
      <c r="AJ1266" s="38"/>
      <c r="AK1266" s="54">
        <f t="shared" si="877"/>
        <v>237.93000000061758</v>
      </c>
      <c r="AL1266" s="53"/>
      <c r="AM1266" s="53">
        <f t="shared" si="844"/>
        <v>0</v>
      </c>
      <c r="AN1266" s="38"/>
      <c r="AO1266" s="38"/>
      <c r="AP1266" s="38"/>
      <c r="AQ1266" s="54"/>
      <c r="AR1266" s="53"/>
      <c r="AS1266" s="29">
        <f t="shared" si="878"/>
        <v>-755356.0400000019</v>
      </c>
      <c r="AT1266" s="29">
        <f t="shared" si="879"/>
        <v>304771.36</v>
      </c>
      <c r="AU1266" s="29">
        <f t="shared" si="880"/>
        <v>0</v>
      </c>
      <c r="AV1266" s="29">
        <f t="shared" si="881"/>
        <v>-24810.97</v>
      </c>
      <c r="AW1266" s="29"/>
      <c r="AX1266" s="29">
        <f t="shared" si="882"/>
        <v>-475157.72000000125</v>
      </c>
      <c r="AY1266" s="29">
        <f t="shared" si="883"/>
        <v>9300000</v>
      </c>
      <c r="AZ1266" s="29">
        <f t="shared" si="884"/>
        <v>8824842.2799999993</v>
      </c>
    </row>
    <row r="1267" spans="2:52" x14ac:dyDescent="0.3">
      <c r="B1267" s="99">
        <f t="shared" si="865"/>
        <v>45938</v>
      </c>
      <c r="C1267" s="44">
        <f t="shared" si="866"/>
        <v>-921169.09999999974</v>
      </c>
      <c r="D1267" s="38">
        <f>49527.08+25450.11</f>
        <v>74977.19</v>
      </c>
      <c r="E1267" s="38"/>
      <c r="F1267" s="38">
        <v>-696.96</v>
      </c>
      <c r="G1267" s="45">
        <f t="shared" si="867"/>
        <v>-846888.86999999965</v>
      </c>
      <c r="H1267" s="44">
        <v>4300000</v>
      </c>
      <c r="I1267" s="46">
        <f t="shared" si="868"/>
        <v>140160.56999999963</v>
      </c>
      <c r="J1267" s="38">
        <v>88249.59</v>
      </c>
      <c r="K1267" s="38">
        <v>300000</v>
      </c>
      <c r="L1267" s="38">
        <v>-183595.7</v>
      </c>
      <c r="M1267" s="47">
        <f t="shared" si="869"/>
        <v>344814.45999999967</v>
      </c>
      <c r="N1267" s="46">
        <v>5000000</v>
      </c>
      <c r="O1267" s="48">
        <f t="shared" si="870"/>
        <v>5443.9799999994757</v>
      </c>
      <c r="P1267" s="38"/>
      <c r="Q1267" s="38">
        <f>300000-300000</f>
        <v>0</v>
      </c>
      <c r="R1267" s="38">
        <v>-10</v>
      </c>
      <c r="S1267" s="55">
        <f t="shared" si="871"/>
        <v>5433.9799999994757</v>
      </c>
      <c r="T1267" s="48"/>
      <c r="U1267" s="49">
        <f t="shared" si="872"/>
        <v>300043.09999999951</v>
      </c>
      <c r="V1267" s="38"/>
      <c r="W1267" s="38">
        <v>-300000</v>
      </c>
      <c r="X1267" s="38">
        <v>-1.7</v>
      </c>
      <c r="Y1267" s="51">
        <f t="shared" si="873"/>
        <v>41.399999999511053</v>
      </c>
      <c r="Z1267" s="52"/>
      <c r="AA1267" s="53">
        <f t="shared" si="874"/>
        <v>125.79999999923022</v>
      </c>
      <c r="AB1267" s="38"/>
      <c r="AC1267" s="38"/>
      <c r="AD1267" s="38"/>
      <c r="AE1267" s="54">
        <f t="shared" si="875"/>
        <v>125.79999999923022</v>
      </c>
      <c r="AF1267" s="53"/>
      <c r="AG1267" s="53">
        <f t="shared" si="876"/>
        <v>237.93000000061758</v>
      </c>
      <c r="AH1267" s="38"/>
      <c r="AI1267" s="38"/>
      <c r="AJ1267" s="38"/>
      <c r="AK1267" s="54">
        <f t="shared" si="877"/>
        <v>237.93000000061758</v>
      </c>
      <c r="AL1267" s="53"/>
      <c r="AM1267" s="53">
        <f t="shared" si="844"/>
        <v>0</v>
      </c>
      <c r="AN1267" s="38"/>
      <c r="AO1267" s="38"/>
      <c r="AP1267" s="38"/>
      <c r="AQ1267" s="54"/>
      <c r="AR1267" s="53"/>
      <c r="AS1267" s="29">
        <f t="shared" si="878"/>
        <v>-475395.65000000189</v>
      </c>
      <c r="AT1267" s="29">
        <f t="shared" si="879"/>
        <v>163226.78</v>
      </c>
      <c r="AU1267" s="29">
        <f t="shared" si="880"/>
        <v>0</v>
      </c>
      <c r="AV1267" s="29">
        <f t="shared" si="881"/>
        <v>-184304.36000000002</v>
      </c>
      <c r="AW1267" s="29"/>
      <c r="AX1267" s="29">
        <f t="shared" si="882"/>
        <v>-496235.30000000115</v>
      </c>
      <c r="AY1267" s="29">
        <f t="shared" si="883"/>
        <v>9300000</v>
      </c>
      <c r="AZ1267" s="29">
        <f t="shared" si="884"/>
        <v>8803764.6999999993</v>
      </c>
    </row>
    <row r="1268" spans="2:52" x14ac:dyDescent="0.3">
      <c r="B1268" s="99">
        <f t="shared" si="865"/>
        <v>45939</v>
      </c>
      <c r="C1268" s="44">
        <f t="shared" si="866"/>
        <v>-846888.86999999965</v>
      </c>
      <c r="D1268" s="38">
        <v>24488.79</v>
      </c>
      <c r="E1268" s="38"/>
      <c r="F1268" s="38"/>
      <c r="G1268" s="45">
        <f t="shared" si="867"/>
        <v>-822400.07999999961</v>
      </c>
      <c r="H1268" s="44">
        <v>4300000</v>
      </c>
      <c r="I1268" s="46">
        <f t="shared" si="868"/>
        <v>344814.45999999967</v>
      </c>
      <c r="J1268" s="38"/>
      <c r="K1268" s="38"/>
      <c r="L1268" s="38">
        <v>-36760.660000000003</v>
      </c>
      <c r="M1268" s="47">
        <f t="shared" si="869"/>
        <v>308053.7999999997</v>
      </c>
      <c r="N1268" s="46">
        <v>5000000</v>
      </c>
      <c r="O1268" s="48">
        <f t="shared" si="870"/>
        <v>5433.9799999994757</v>
      </c>
      <c r="P1268" s="38"/>
      <c r="Q1268" s="38"/>
      <c r="R1268" s="38"/>
      <c r="S1268" s="55">
        <f t="shared" si="871"/>
        <v>5433.9799999994757</v>
      </c>
      <c r="T1268" s="48"/>
      <c r="U1268" s="49">
        <f t="shared" si="872"/>
        <v>41.399999999511053</v>
      </c>
      <c r="V1268" s="38"/>
      <c r="W1268" s="38"/>
      <c r="X1268" s="38"/>
      <c r="Y1268" s="51">
        <f t="shared" si="873"/>
        <v>41.399999999511053</v>
      </c>
      <c r="Z1268" s="52"/>
      <c r="AA1268" s="53">
        <f t="shared" si="874"/>
        <v>125.79999999923022</v>
      </c>
      <c r="AB1268" s="38"/>
      <c r="AC1268" s="38"/>
      <c r="AD1268" s="38"/>
      <c r="AE1268" s="54">
        <f t="shared" si="875"/>
        <v>125.79999999923022</v>
      </c>
      <c r="AF1268" s="53"/>
      <c r="AG1268" s="53">
        <f t="shared" si="876"/>
        <v>237.93000000061758</v>
      </c>
      <c r="AH1268" s="38"/>
      <c r="AI1268" s="38"/>
      <c r="AJ1268" s="38"/>
      <c r="AK1268" s="54">
        <f t="shared" si="877"/>
        <v>237.93000000061758</v>
      </c>
      <c r="AL1268" s="53"/>
      <c r="AM1268" s="53">
        <f t="shared" si="844"/>
        <v>0</v>
      </c>
      <c r="AN1268" s="38"/>
      <c r="AO1268" s="38"/>
      <c r="AP1268" s="38"/>
      <c r="AQ1268" s="54"/>
      <c r="AR1268" s="53"/>
      <c r="AS1268" s="29">
        <f t="shared" si="878"/>
        <v>-496473.23000000179</v>
      </c>
      <c r="AT1268" s="29">
        <f t="shared" si="879"/>
        <v>24488.79</v>
      </c>
      <c r="AU1268" s="29">
        <f t="shared" si="880"/>
        <v>0</v>
      </c>
      <c r="AV1268" s="29">
        <f t="shared" si="881"/>
        <v>-36760.660000000003</v>
      </c>
      <c r="AW1268" s="29"/>
      <c r="AX1268" s="29">
        <f t="shared" si="882"/>
        <v>-508507.17000000109</v>
      </c>
      <c r="AY1268" s="29">
        <f t="shared" si="883"/>
        <v>9300000</v>
      </c>
      <c r="AZ1268" s="29">
        <f t="shared" si="884"/>
        <v>8791492.8299999982</v>
      </c>
    </row>
    <row r="1269" spans="2:52" x14ac:dyDescent="0.3">
      <c r="B1269" s="99">
        <f t="shared" si="865"/>
        <v>45940</v>
      </c>
      <c r="C1269" s="44">
        <f t="shared" si="866"/>
        <v>-822400.07999999961</v>
      </c>
      <c r="D1269" s="38"/>
      <c r="E1269" s="38"/>
      <c r="F1269" s="38">
        <v>-48.2</v>
      </c>
      <c r="G1269" s="45">
        <f t="shared" si="867"/>
        <v>-822448.27999999956</v>
      </c>
      <c r="H1269" s="44">
        <v>4300000</v>
      </c>
      <c r="I1269" s="46">
        <f t="shared" si="868"/>
        <v>308053.7999999997</v>
      </c>
      <c r="J1269" s="38"/>
      <c r="K1269" s="38">
        <v>790000</v>
      </c>
      <c r="L1269" s="38">
        <v>-462050.2</v>
      </c>
      <c r="M1269" s="47">
        <f t="shared" si="869"/>
        <v>636003.59999999986</v>
      </c>
      <c r="N1269" s="46">
        <v>5000000</v>
      </c>
      <c r="O1269" s="48">
        <f t="shared" si="870"/>
        <v>5433.9799999994757</v>
      </c>
      <c r="P1269" s="38">
        <f>352608.09+14250.51+7106.24+419064.06</f>
        <v>793028.9</v>
      </c>
      <c r="Q1269" s="38">
        <v>-790000</v>
      </c>
      <c r="R1269" s="38">
        <v>-1902.88</v>
      </c>
      <c r="S1269" s="55">
        <f t="shared" si="871"/>
        <v>6559.9999999995389</v>
      </c>
      <c r="T1269" s="48"/>
      <c r="U1269" s="49">
        <f t="shared" si="872"/>
        <v>41.399999999511053</v>
      </c>
      <c r="V1269" s="38"/>
      <c r="W1269" s="38"/>
      <c r="X1269" s="38"/>
      <c r="Y1269" s="51">
        <f t="shared" si="873"/>
        <v>41.399999999511053</v>
      </c>
      <c r="Z1269" s="52"/>
      <c r="AA1269" s="53">
        <f t="shared" si="874"/>
        <v>125.79999999923022</v>
      </c>
      <c r="AB1269" s="38"/>
      <c r="AC1269" s="38"/>
      <c r="AD1269" s="38"/>
      <c r="AE1269" s="54">
        <f t="shared" si="875"/>
        <v>125.79999999923022</v>
      </c>
      <c r="AF1269" s="53"/>
      <c r="AG1269" s="53">
        <f t="shared" si="876"/>
        <v>237.93000000061758</v>
      </c>
      <c r="AH1269" s="38"/>
      <c r="AI1269" s="38"/>
      <c r="AJ1269" s="38"/>
      <c r="AK1269" s="54">
        <f t="shared" si="877"/>
        <v>237.93000000061758</v>
      </c>
      <c r="AL1269" s="53"/>
      <c r="AM1269" s="53">
        <f t="shared" ref="AM1269:AM1332" si="885">AQ1268</f>
        <v>0</v>
      </c>
      <c r="AN1269" s="38"/>
      <c r="AO1269" s="38"/>
      <c r="AP1269" s="38"/>
      <c r="AQ1269" s="54"/>
      <c r="AR1269" s="53"/>
      <c r="AS1269" s="29">
        <f t="shared" si="878"/>
        <v>-508745.10000000172</v>
      </c>
      <c r="AT1269" s="29">
        <f t="shared" si="879"/>
        <v>793028.9</v>
      </c>
      <c r="AU1269" s="29">
        <f t="shared" si="880"/>
        <v>0</v>
      </c>
      <c r="AV1269" s="29">
        <f t="shared" si="881"/>
        <v>-464001.28000000003</v>
      </c>
      <c r="AW1269" s="29"/>
      <c r="AX1269" s="29">
        <f t="shared" si="882"/>
        <v>-179479.55000000083</v>
      </c>
      <c r="AY1269" s="29">
        <f t="shared" si="883"/>
        <v>9300000</v>
      </c>
      <c r="AZ1269" s="29">
        <f t="shared" si="884"/>
        <v>9120520.4499999993</v>
      </c>
    </row>
    <row r="1270" spans="2:52" x14ac:dyDescent="0.3">
      <c r="B1270" s="99">
        <f>B1269+3</f>
        <v>45943</v>
      </c>
      <c r="C1270" s="44">
        <f t="shared" si="866"/>
        <v>-822448.27999999956</v>
      </c>
      <c r="D1270" s="38"/>
      <c r="E1270" s="38"/>
      <c r="F1270" s="38">
        <v>-5889.24</v>
      </c>
      <c r="G1270" s="45">
        <f t="shared" si="867"/>
        <v>-828337.51999999955</v>
      </c>
      <c r="H1270" s="44">
        <v>4300000</v>
      </c>
      <c r="I1270" s="46">
        <f t="shared" si="868"/>
        <v>636003.59999999986</v>
      </c>
      <c r="J1270" s="38"/>
      <c r="K1270" s="38">
        <v>220000</v>
      </c>
      <c r="L1270" s="38">
        <v>-109737.28</v>
      </c>
      <c r="M1270" s="47">
        <f t="shared" si="869"/>
        <v>746266.31999999983</v>
      </c>
      <c r="N1270" s="46">
        <v>5000000</v>
      </c>
      <c r="O1270" s="48">
        <f t="shared" si="870"/>
        <v>6559.9999999995389</v>
      </c>
      <c r="P1270" s="38">
        <v>220180.69</v>
      </c>
      <c r="Q1270" s="38">
        <v>-220000</v>
      </c>
      <c r="R1270" s="38">
        <v>-10</v>
      </c>
      <c r="S1270" s="55">
        <f t="shared" si="871"/>
        <v>6730.6899999995367</v>
      </c>
      <c r="T1270" s="48"/>
      <c r="U1270" s="49">
        <f t="shared" si="872"/>
        <v>41.399999999511053</v>
      </c>
      <c r="V1270" s="38"/>
      <c r="W1270" s="38"/>
      <c r="X1270" s="38"/>
      <c r="Y1270" s="51">
        <f t="shared" si="873"/>
        <v>41.399999999511053</v>
      </c>
      <c r="Z1270" s="52"/>
      <c r="AA1270" s="53">
        <f t="shared" si="874"/>
        <v>125.79999999923022</v>
      </c>
      <c r="AB1270" s="38"/>
      <c r="AC1270" s="38"/>
      <c r="AD1270" s="38"/>
      <c r="AE1270" s="54">
        <f t="shared" si="875"/>
        <v>125.79999999923022</v>
      </c>
      <c r="AF1270" s="53"/>
      <c r="AG1270" s="53">
        <f t="shared" si="876"/>
        <v>237.93000000061758</v>
      </c>
      <c r="AH1270" s="38"/>
      <c r="AI1270" s="38"/>
      <c r="AJ1270" s="38"/>
      <c r="AK1270" s="54">
        <f t="shared" si="877"/>
        <v>237.93000000061758</v>
      </c>
      <c r="AL1270" s="53"/>
      <c r="AM1270" s="53">
        <f t="shared" si="885"/>
        <v>0</v>
      </c>
      <c r="AN1270" s="38"/>
      <c r="AO1270" s="38"/>
      <c r="AP1270" s="38"/>
      <c r="AQ1270" s="54"/>
      <c r="AR1270" s="53"/>
      <c r="AS1270" s="29">
        <f t="shared" si="878"/>
        <v>-179717.48000000144</v>
      </c>
      <c r="AT1270" s="29">
        <f t="shared" si="879"/>
        <v>220180.69</v>
      </c>
      <c r="AU1270" s="29">
        <f t="shared" si="880"/>
        <v>0</v>
      </c>
      <c r="AV1270" s="29">
        <f t="shared" si="881"/>
        <v>-115636.52</v>
      </c>
      <c r="AW1270" s="29"/>
      <c r="AX1270" s="29">
        <f t="shared" si="882"/>
        <v>-74935.38000000082</v>
      </c>
      <c r="AY1270" s="29">
        <f t="shared" si="883"/>
        <v>9300000</v>
      </c>
      <c r="AZ1270" s="29">
        <f t="shared" si="884"/>
        <v>9225064.6199999992</v>
      </c>
    </row>
    <row r="1271" spans="2:52" x14ac:dyDescent="0.3">
      <c r="B1271" s="99">
        <f t="shared" si="865"/>
        <v>45944</v>
      </c>
      <c r="C1271" s="44">
        <f t="shared" si="866"/>
        <v>-828337.51999999955</v>
      </c>
      <c r="D1271" s="38"/>
      <c r="E1271" s="38">
        <v>860000</v>
      </c>
      <c r="F1271" s="38">
        <f>-20332.98-603.75-711.65-450-3588.17</f>
        <v>-25686.550000000003</v>
      </c>
      <c r="G1271" s="45">
        <f t="shared" si="867"/>
        <v>5975.9300000004441</v>
      </c>
      <c r="H1271" s="44">
        <v>4300000</v>
      </c>
      <c r="I1271" s="46">
        <f t="shared" si="868"/>
        <v>746266.31999999983</v>
      </c>
      <c r="J1271" s="38"/>
      <c r="K1271" s="38">
        <v>-860000</v>
      </c>
      <c r="L1271" s="38">
        <v>-83118.84</v>
      </c>
      <c r="M1271" s="47">
        <f t="shared" si="869"/>
        <v>-196852.52000000016</v>
      </c>
      <c r="N1271" s="46">
        <v>5000000</v>
      </c>
      <c r="O1271" s="48">
        <f t="shared" si="870"/>
        <v>6730.6899999995367</v>
      </c>
      <c r="P1271" s="38"/>
      <c r="Q1271" s="38"/>
      <c r="R1271" s="38"/>
      <c r="S1271" s="55">
        <f t="shared" si="871"/>
        <v>6730.6899999995367</v>
      </c>
      <c r="T1271" s="48"/>
      <c r="U1271" s="49">
        <f t="shared" si="872"/>
        <v>41.399999999511053</v>
      </c>
      <c r="V1271" s="38"/>
      <c r="W1271" s="38"/>
      <c r="X1271" s="38"/>
      <c r="Y1271" s="51">
        <f t="shared" si="873"/>
        <v>41.399999999511053</v>
      </c>
      <c r="Z1271" s="52"/>
      <c r="AA1271" s="53">
        <f t="shared" si="874"/>
        <v>125.79999999923022</v>
      </c>
      <c r="AB1271" s="38"/>
      <c r="AC1271" s="38"/>
      <c r="AD1271" s="38"/>
      <c r="AE1271" s="54">
        <f t="shared" si="875"/>
        <v>125.79999999923022</v>
      </c>
      <c r="AF1271" s="53"/>
      <c r="AG1271" s="53">
        <f t="shared" si="876"/>
        <v>237.93000000061758</v>
      </c>
      <c r="AH1271" s="38"/>
      <c r="AI1271" s="38"/>
      <c r="AJ1271" s="38"/>
      <c r="AK1271" s="54">
        <f t="shared" si="877"/>
        <v>237.93000000061758</v>
      </c>
      <c r="AL1271" s="53"/>
      <c r="AM1271" s="53">
        <f t="shared" si="885"/>
        <v>0</v>
      </c>
      <c r="AN1271" s="38"/>
      <c r="AO1271" s="38"/>
      <c r="AP1271" s="38"/>
      <c r="AQ1271" s="54"/>
      <c r="AR1271" s="53"/>
      <c r="AS1271" s="29">
        <f t="shared" si="878"/>
        <v>-75173.310000001438</v>
      </c>
      <c r="AT1271" s="29">
        <f t="shared" si="879"/>
        <v>0</v>
      </c>
      <c r="AU1271" s="29">
        <f t="shared" si="880"/>
        <v>0</v>
      </c>
      <c r="AV1271" s="29">
        <f t="shared" si="881"/>
        <v>-108805.39</v>
      </c>
      <c r="AW1271" s="29"/>
      <c r="AX1271" s="29">
        <f t="shared" si="882"/>
        <v>-183740.77000000086</v>
      </c>
      <c r="AY1271" s="29">
        <f t="shared" si="883"/>
        <v>9300000</v>
      </c>
      <c r="AZ1271" s="29">
        <f t="shared" si="884"/>
        <v>9116259.2299999986</v>
      </c>
    </row>
    <row r="1272" spans="2:52" x14ac:dyDescent="0.3">
      <c r="B1272" s="99">
        <f t="shared" si="865"/>
        <v>45945</v>
      </c>
      <c r="C1272" s="44">
        <f t="shared" si="866"/>
        <v>5975.9300000004441</v>
      </c>
      <c r="D1272" s="38">
        <v>90096</v>
      </c>
      <c r="E1272" s="38">
        <v>-70000</v>
      </c>
      <c r="F1272" s="38">
        <f>-2612.59-17605.49-115.6</f>
        <v>-20333.68</v>
      </c>
      <c r="G1272" s="45">
        <f t="shared" si="867"/>
        <v>5738.2500000004438</v>
      </c>
      <c r="H1272" s="44">
        <v>4300000</v>
      </c>
      <c r="I1272" s="46">
        <f t="shared" si="868"/>
        <v>-196852.52000000016</v>
      </c>
      <c r="J1272" s="38"/>
      <c r="K1272" s="38">
        <v>70000</v>
      </c>
      <c r="L1272" s="38">
        <v>-117309.42</v>
      </c>
      <c r="M1272" s="47">
        <f t="shared" si="869"/>
        <v>-244161.94000000018</v>
      </c>
      <c r="N1272" s="46">
        <v>5000000</v>
      </c>
      <c r="O1272" s="48">
        <f t="shared" si="870"/>
        <v>6730.6899999995367</v>
      </c>
      <c r="P1272" s="38"/>
      <c r="Q1272" s="38"/>
      <c r="R1272" s="38"/>
      <c r="S1272" s="55">
        <f t="shared" si="871"/>
        <v>6730.6899999995367</v>
      </c>
      <c r="T1272" s="48"/>
      <c r="U1272" s="49">
        <f t="shared" si="872"/>
        <v>41.399999999511053</v>
      </c>
      <c r="V1272" s="38"/>
      <c r="W1272" s="38"/>
      <c r="X1272" s="38"/>
      <c r="Y1272" s="51">
        <f t="shared" si="873"/>
        <v>41.399999999511053</v>
      </c>
      <c r="Z1272" s="52"/>
      <c r="AA1272" s="53">
        <f t="shared" si="874"/>
        <v>125.79999999923022</v>
      </c>
      <c r="AB1272" s="38"/>
      <c r="AC1272" s="38"/>
      <c r="AD1272" s="38"/>
      <c r="AE1272" s="54">
        <f t="shared" si="875"/>
        <v>125.79999999923022</v>
      </c>
      <c r="AF1272" s="53"/>
      <c r="AG1272" s="53">
        <f t="shared" si="876"/>
        <v>237.93000000061758</v>
      </c>
      <c r="AH1272" s="38"/>
      <c r="AI1272" s="38"/>
      <c r="AJ1272" s="38"/>
      <c r="AK1272" s="54">
        <f t="shared" si="877"/>
        <v>237.93000000061758</v>
      </c>
      <c r="AL1272" s="53"/>
      <c r="AM1272" s="53">
        <f t="shared" si="885"/>
        <v>0</v>
      </c>
      <c r="AN1272" s="38"/>
      <c r="AO1272" s="38"/>
      <c r="AP1272" s="38"/>
      <c r="AQ1272" s="54"/>
      <c r="AR1272" s="53"/>
      <c r="AS1272" s="29">
        <f t="shared" si="878"/>
        <v>-183978.70000000147</v>
      </c>
      <c r="AT1272" s="29">
        <f t="shared" si="879"/>
        <v>90096</v>
      </c>
      <c r="AU1272" s="29">
        <f t="shared" si="880"/>
        <v>0</v>
      </c>
      <c r="AV1272" s="29">
        <f t="shared" si="881"/>
        <v>-137643.1</v>
      </c>
      <c r="AW1272" s="29"/>
      <c r="AX1272" s="29">
        <f t="shared" si="882"/>
        <v>-231287.87000000087</v>
      </c>
      <c r="AY1272" s="29">
        <f t="shared" si="883"/>
        <v>9300000</v>
      </c>
      <c r="AZ1272" s="29">
        <f t="shared" si="884"/>
        <v>9068712.129999999</v>
      </c>
    </row>
    <row r="1273" spans="2:52" x14ac:dyDescent="0.3">
      <c r="B1273" s="99">
        <f t="shared" si="865"/>
        <v>45946</v>
      </c>
      <c r="C1273" s="44">
        <f t="shared" si="866"/>
        <v>5738.2500000004438</v>
      </c>
      <c r="D1273" s="38"/>
      <c r="E1273" s="38"/>
      <c r="F1273" s="38"/>
      <c r="G1273" s="45">
        <f t="shared" si="867"/>
        <v>5738.2500000004438</v>
      </c>
      <c r="H1273" s="44">
        <v>4300000</v>
      </c>
      <c r="I1273" s="46">
        <f t="shared" si="868"/>
        <v>-244161.94000000018</v>
      </c>
      <c r="J1273" s="38">
        <v>32264.26</v>
      </c>
      <c r="K1273" s="38"/>
      <c r="L1273" s="38">
        <v>-22545</v>
      </c>
      <c r="M1273" s="47">
        <f t="shared" si="869"/>
        <v>-234442.68000000017</v>
      </c>
      <c r="N1273" s="46">
        <v>5000000</v>
      </c>
      <c r="O1273" s="48">
        <f t="shared" si="870"/>
        <v>6730.6899999995367</v>
      </c>
      <c r="P1273" s="38"/>
      <c r="Q1273" s="38"/>
      <c r="R1273" s="38"/>
      <c r="S1273" s="55">
        <f t="shared" si="871"/>
        <v>6730.6899999995367</v>
      </c>
      <c r="T1273" s="48"/>
      <c r="U1273" s="49">
        <f t="shared" si="872"/>
        <v>41.399999999511053</v>
      </c>
      <c r="V1273" s="38"/>
      <c r="W1273" s="38"/>
      <c r="X1273" s="38"/>
      <c r="Y1273" s="51">
        <f t="shared" si="873"/>
        <v>41.399999999511053</v>
      </c>
      <c r="Z1273" s="52"/>
      <c r="AA1273" s="53">
        <f t="shared" si="874"/>
        <v>125.79999999923022</v>
      </c>
      <c r="AB1273" s="38"/>
      <c r="AC1273" s="38"/>
      <c r="AD1273" s="38"/>
      <c r="AE1273" s="54">
        <f t="shared" si="875"/>
        <v>125.79999999923022</v>
      </c>
      <c r="AF1273" s="53"/>
      <c r="AG1273" s="53">
        <f t="shared" si="876"/>
        <v>237.93000000061758</v>
      </c>
      <c r="AH1273" s="38"/>
      <c r="AI1273" s="38"/>
      <c r="AJ1273" s="38"/>
      <c r="AK1273" s="54">
        <f t="shared" si="877"/>
        <v>237.93000000061758</v>
      </c>
      <c r="AL1273" s="53"/>
      <c r="AM1273" s="53">
        <f t="shared" si="885"/>
        <v>0</v>
      </c>
      <c r="AN1273" s="38"/>
      <c r="AO1273" s="38"/>
      <c r="AP1273" s="38"/>
      <c r="AQ1273" s="54"/>
      <c r="AR1273" s="53"/>
      <c r="AS1273" s="29">
        <f t="shared" si="878"/>
        <v>-231525.80000000147</v>
      </c>
      <c r="AT1273" s="29">
        <f t="shared" si="879"/>
        <v>32264.26</v>
      </c>
      <c r="AU1273" s="29">
        <f t="shared" si="880"/>
        <v>0</v>
      </c>
      <c r="AV1273" s="29">
        <f t="shared" si="881"/>
        <v>-22545</v>
      </c>
      <c r="AW1273" s="29"/>
      <c r="AX1273" s="29">
        <f t="shared" si="882"/>
        <v>-221568.61000000086</v>
      </c>
      <c r="AY1273" s="29">
        <f t="shared" si="883"/>
        <v>9300000</v>
      </c>
      <c r="AZ1273" s="29">
        <f t="shared" si="884"/>
        <v>9078431.3899999987</v>
      </c>
    </row>
    <row r="1274" spans="2:52" x14ac:dyDescent="0.3">
      <c r="B1274" s="99">
        <f t="shared" si="865"/>
        <v>45947</v>
      </c>
      <c r="C1274" s="44">
        <f t="shared" si="866"/>
        <v>5738.2500000004438</v>
      </c>
      <c r="D1274" s="38">
        <v>188676.27</v>
      </c>
      <c r="E1274" s="38">
        <v>-180000</v>
      </c>
      <c r="F1274" s="38">
        <f>-3518.16-4.32-0.21-148.33</f>
        <v>-3671.02</v>
      </c>
      <c r="G1274" s="45">
        <f t="shared" si="867"/>
        <v>10743.500000000426</v>
      </c>
      <c r="H1274" s="44">
        <v>4300000</v>
      </c>
      <c r="I1274" s="46">
        <f t="shared" si="868"/>
        <v>-234442.68000000017</v>
      </c>
      <c r="J1274" s="38">
        <f>442.75+91340.87+9322.65+6256.23+1027.95</f>
        <v>108390.44999999998</v>
      </c>
      <c r="K1274" s="38">
        <v>180000</v>
      </c>
      <c r="L1274" s="38">
        <v>-1027338.8</v>
      </c>
      <c r="M1274" s="47">
        <f t="shared" si="869"/>
        <v>-973391.03000000026</v>
      </c>
      <c r="N1274" s="46">
        <v>5000000</v>
      </c>
      <c r="O1274" s="48">
        <f t="shared" si="870"/>
        <v>6730.6899999995367</v>
      </c>
      <c r="P1274" s="38"/>
      <c r="Q1274" s="38"/>
      <c r="R1274" s="38"/>
      <c r="S1274" s="55">
        <f t="shared" si="871"/>
        <v>6730.6899999995367</v>
      </c>
      <c r="T1274" s="48"/>
      <c r="U1274" s="49">
        <f t="shared" si="872"/>
        <v>41.399999999511053</v>
      </c>
      <c r="V1274" s="38"/>
      <c r="W1274" s="38"/>
      <c r="X1274" s="38"/>
      <c r="Y1274" s="51">
        <f t="shared" si="873"/>
        <v>41.399999999511053</v>
      </c>
      <c r="Z1274" s="52"/>
      <c r="AA1274" s="53">
        <f t="shared" si="874"/>
        <v>125.79999999923022</v>
      </c>
      <c r="AB1274" s="38"/>
      <c r="AC1274" s="38"/>
      <c r="AD1274" s="38"/>
      <c r="AE1274" s="54">
        <f t="shared" si="875"/>
        <v>125.79999999923022</v>
      </c>
      <c r="AF1274" s="53"/>
      <c r="AG1274" s="53">
        <f t="shared" si="876"/>
        <v>237.93000000061758</v>
      </c>
      <c r="AH1274" s="38"/>
      <c r="AI1274" s="38"/>
      <c r="AJ1274" s="38"/>
      <c r="AK1274" s="54">
        <f t="shared" si="877"/>
        <v>237.93000000061758</v>
      </c>
      <c r="AL1274" s="53"/>
      <c r="AM1274" s="53">
        <f t="shared" si="885"/>
        <v>0</v>
      </c>
      <c r="AN1274" s="38"/>
      <c r="AO1274" s="38"/>
      <c r="AP1274" s="38"/>
      <c r="AQ1274" s="54"/>
      <c r="AR1274" s="53"/>
      <c r="AS1274" s="29">
        <f t="shared" si="878"/>
        <v>-221806.54000000146</v>
      </c>
      <c r="AT1274" s="29">
        <f t="shared" si="879"/>
        <v>297066.71999999997</v>
      </c>
      <c r="AU1274" s="29">
        <f t="shared" si="880"/>
        <v>0</v>
      </c>
      <c r="AV1274" s="29">
        <f t="shared" si="881"/>
        <v>-1031009.8200000001</v>
      </c>
      <c r="AW1274" s="29"/>
      <c r="AX1274" s="29">
        <f t="shared" si="882"/>
        <v>-955511.71000000089</v>
      </c>
      <c r="AY1274" s="29">
        <f t="shared" si="883"/>
        <v>9300000</v>
      </c>
      <c r="AZ1274" s="29">
        <f t="shared" si="884"/>
        <v>8344488.2899999991</v>
      </c>
    </row>
    <row r="1275" spans="2:52" x14ac:dyDescent="0.3">
      <c r="B1275" s="99">
        <f>B1274+3</f>
        <v>45950</v>
      </c>
      <c r="C1275" s="44">
        <f t="shared" si="866"/>
        <v>10743.500000000426</v>
      </c>
      <c r="D1275" s="38">
        <v>29101.01</v>
      </c>
      <c r="E1275" s="38">
        <v>860000</v>
      </c>
      <c r="F1275" s="38">
        <v>-892468.24</v>
      </c>
      <c r="G1275" s="45">
        <f t="shared" si="867"/>
        <v>7376.2700000004843</v>
      </c>
      <c r="H1275" s="44">
        <v>4300000</v>
      </c>
      <c r="I1275" s="46">
        <f t="shared" si="868"/>
        <v>-973391.03000000026</v>
      </c>
      <c r="J1275" s="38"/>
      <c r="K1275" s="38">
        <v>-860000</v>
      </c>
      <c r="L1275" s="38">
        <v>-1711450.33</v>
      </c>
      <c r="M1275" s="47">
        <f t="shared" si="869"/>
        <v>-3544841.3600000003</v>
      </c>
      <c r="N1275" s="46">
        <v>5000000</v>
      </c>
      <c r="O1275" s="48">
        <f t="shared" si="870"/>
        <v>6730.6899999995367</v>
      </c>
      <c r="P1275" s="38">
        <v>211315.69</v>
      </c>
      <c r="Q1275" s="38"/>
      <c r="R1275" s="38"/>
      <c r="S1275" s="55">
        <f t="shared" si="871"/>
        <v>218046.37999999954</v>
      </c>
      <c r="T1275" s="48"/>
      <c r="U1275" s="49">
        <f t="shared" si="872"/>
        <v>41.399999999511053</v>
      </c>
      <c r="V1275" s="38"/>
      <c r="W1275" s="38"/>
      <c r="X1275" s="38"/>
      <c r="Y1275" s="51">
        <f t="shared" si="873"/>
        <v>41.399999999511053</v>
      </c>
      <c r="Z1275" s="52"/>
      <c r="AA1275" s="53">
        <f t="shared" si="874"/>
        <v>125.79999999923022</v>
      </c>
      <c r="AB1275" s="38"/>
      <c r="AC1275" s="38"/>
      <c r="AD1275" s="38"/>
      <c r="AE1275" s="54">
        <f t="shared" si="875"/>
        <v>125.79999999923022</v>
      </c>
      <c r="AF1275" s="53"/>
      <c r="AG1275" s="53">
        <f t="shared" si="876"/>
        <v>237.93000000061758</v>
      </c>
      <c r="AH1275" s="38"/>
      <c r="AI1275" s="38"/>
      <c r="AJ1275" s="38"/>
      <c r="AK1275" s="54">
        <f t="shared" si="877"/>
        <v>237.93000000061758</v>
      </c>
      <c r="AL1275" s="53"/>
      <c r="AM1275" s="53">
        <f t="shared" si="885"/>
        <v>0</v>
      </c>
      <c r="AN1275" s="38"/>
      <c r="AO1275" s="38"/>
      <c r="AP1275" s="38"/>
      <c r="AQ1275" s="54"/>
      <c r="AR1275" s="53"/>
      <c r="AS1275" s="29">
        <f t="shared" si="878"/>
        <v>-955749.64000000153</v>
      </c>
      <c r="AT1275" s="29">
        <f t="shared" si="879"/>
        <v>240416.7</v>
      </c>
      <c r="AU1275" s="29">
        <f t="shared" si="880"/>
        <v>0</v>
      </c>
      <c r="AV1275" s="29">
        <f t="shared" si="881"/>
        <v>-2603918.5700000003</v>
      </c>
      <c r="AW1275" s="29"/>
      <c r="AX1275" s="29">
        <f t="shared" si="882"/>
        <v>-3319013.580000001</v>
      </c>
      <c r="AY1275" s="29">
        <f t="shared" si="883"/>
        <v>9300000</v>
      </c>
      <c r="AZ1275" s="29">
        <f t="shared" si="884"/>
        <v>5980986.419999999</v>
      </c>
    </row>
    <row r="1276" spans="2:52" x14ac:dyDescent="0.3">
      <c r="B1276" s="99">
        <f t="shared" si="865"/>
        <v>45951</v>
      </c>
      <c r="C1276" s="44">
        <f t="shared" si="866"/>
        <v>7376.2700000004843</v>
      </c>
      <c r="D1276" s="38">
        <f>49646.65+160440.92+107397.04</f>
        <v>317484.61</v>
      </c>
      <c r="E1276" s="38"/>
      <c r="F1276" s="38">
        <v>-0.21</v>
      </c>
      <c r="G1276" s="45">
        <f t="shared" si="867"/>
        <v>324860.67000000045</v>
      </c>
      <c r="H1276" s="44">
        <v>4300000</v>
      </c>
      <c r="I1276" s="46">
        <f t="shared" si="868"/>
        <v>-3544841.3600000003</v>
      </c>
      <c r="J1276" s="38">
        <f>2451.63+1047.71+15296.51</f>
        <v>18795.849999999999</v>
      </c>
      <c r="K1276" s="38">
        <v>610000</v>
      </c>
      <c r="L1276" s="38">
        <v>-15209.57</v>
      </c>
      <c r="M1276" s="47">
        <f t="shared" si="869"/>
        <v>-2931255.08</v>
      </c>
      <c r="N1276" s="46">
        <v>5000000</v>
      </c>
      <c r="O1276" s="48">
        <f t="shared" si="870"/>
        <v>218046.37999999954</v>
      </c>
      <c r="P1276" s="38">
        <f>285809.68+429.91+109315.98</f>
        <v>395555.56999999995</v>
      </c>
      <c r="Q1276" s="38">
        <v>-610000</v>
      </c>
      <c r="R1276" s="38">
        <v>-412.5</v>
      </c>
      <c r="S1276" s="55">
        <f t="shared" si="871"/>
        <v>3189.4499999994878</v>
      </c>
      <c r="T1276" s="48"/>
      <c r="U1276" s="49">
        <f t="shared" si="872"/>
        <v>41.399999999511053</v>
      </c>
      <c r="V1276" s="38">
        <v>2587.8000000000002</v>
      </c>
      <c r="W1276" s="38"/>
      <c r="X1276" s="38"/>
      <c r="Y1276" s="51">
        <f t="shared" si="873"/>
        <v>2629.1999999995114</v>
      </c>
      <c r="Z1276" s="52"/>
      <c r="AA1276" s="53">
        <f t="shared" si="874"/>
        <v>125.79999999923022</v>
      </c>
      <c r="AB1276" s="38"/>
      <c r="AC1276" s="38"/>
      <c r="AD1276" s="38"/>
      <c r="AE1276" s="54">
        <f t="shared" si="875"/>
        <v>125.79999999923022</v>
      </c>
      <c r="AF1276" s="53"/>
      <c r="AG1276" s="53">
        <f t="shared" si="876"/>
        <v>237.93000000061758</v>
      </c>
      <c r="AH1276" s="38"/>
      <c r="AI1276" s="38"/>
      <c r="AJ1276" s="38"/>
      <c r="AK1276" s="54">
        <f t="shared" si="877"/>
        <v>237.93000000061758</v>
      </c>
      <c r="AL1276" s="53"/>
      <c r="AM1276" s="53">
        <f t="shared" si="885"/>
        <v>0</v>
      </c>
      <c r="AN1276" s="38"/>
      <c r="AO1276" s="38"/>
      <c r="AP1276" s="38"/>
      <c r="AQ1276" s="54"/>
      <c r="AR1276" s="53"/>
      <c r="AS1276" s="29">
        <f t="shared" si="878"/>
        <v>-3319251.5100000016</v>
      </c>
      <c r="AT1276" s="29">
        <f t="shared" si="879"/>
        <v>734423.83</v>
      </c>
      <c r="AU1276" s="29">
        <f t="shared" si="880"/>
        <v>0</v>
      </c>
      <c r="AV1276" s="29">
        <f t="shared" si="881"/>
        <v>-15622.279999999999</v>
      </c>
      <c r="AW1276" s="29"/>
      <c r="AX1276" s="29">
        <f t="shared" si="882"/>
        <v>-2600212.0300000003</v>
      </c>
      <c r="AY1276" s="29">
        <f t="shared" si="883"/>
        <v>9300000</v>
      </c>
      <c r="AZ1276" s="29">
        <f t="shared" si="884"/>
        <v>6699787.9699999997</v>
      </c>
    </row>
    <row r="1277" spans="2:52" x14ac:dyDescent="0.3">
      <c r="B1277" s="99">
        <f t="shared" si="865"/>
        <v>45952</v>
      </c>
      <c r="C1277" s="44">
        <f t="shared" si="866"/>
        <v>324860.67000000045</v>
      </c>
      <c r="D1277" s="38">
        <f>815932.85+362.25</f>
        <v>816295.1</v>
      </c>
      <c r="E1277" s="38"/>
      <c r="F1277" s="38">
        <v>-362.25</v>
      </c>
      <c r="G1277" s="45">
        <f t="shared" si="867"/>
        <v>1140793.5200000005</v>
      </c>
      <c r="H1277" s="44">
        <v>4300000</v>
      </c>
      <c r="I1277" s="46">
        <f t="shared" si="868"/>
        <v>-2931255.08</v>
      </c>
      <c r="J1277" s="38"/>
      <c r="K1277" s="38"/>
      <c r="L1277" s="38">
        <v>-24704.560000000001</v>
      </c>
      <c r="M1277" s="47">
        <f t="shared" si="869"/>
        <v>-2955959.64</v>
      </c>
      <c r="N1277" s="46">
        <v>5000000</v>
      </c>
      <c r="O1277" s="48">
        <f t="shared" si="870"/>
        <v>3189.4499999994878</v>
      </c>
      <c r="P1277" s="38">
        <v>83260.22</v>
      </c>
      <c r="Q1277" s="38"/>
      <c r="R1277" s="38"/>
      <c r="S1277" s="55">
        <f t="shared" si="871"/>
        <v>86449.669999999489</v>
      </c>
      <c r="T1277" s="48"/>
      <c r="U1277" s="49">
        <f t="shared" si="872"/>
        <v>2629.1999999995114</v>
      </c>
      <c r="V1277" s="38"/>
      <c r="W1277" s="38"/>
      <c r="X1277" s="38"/>
      <c r="Y1277" s="51">
        <f t="shared" si="873"/>
        <v>2629.1999999995114</v>
      </c>
      <c r="Z1277" s="52"/>
      <c r="AA1277" s="53">
        <f t="shared" si="874"/>
        <v>125.79999999923022</v>
      </c>
      <c r="AB1277" s="38"/>
      <c r="AC1277" s="38"/>
      <c r="AD1277" s="38"/>
      <c r="AE1277" s="54">
        <f t="shared" si="875"/>
        <v>125.79999999923022</v>
      </c>
      <c r="AF1277" s="53"/>
      <c r="AG1277" s="53">
        <f t="shared" si="876"/>
        <v>237.93000000061758</v>
      </c>
      <c r="AH1277" s="38"/>
      <c r="AI1277" s="38"/>
      <c r="AJ1277" s="38"/>
      <c r="AK1277" s="54">
        <f t="shared" si="877"/>
        <v>237.93000000061758</v>
      </c>
      <c r="AL1277" s="53"/>
      <c r="AM1277" s="53">
        <f t="shared" si="885"/>
        <v>0</v>
      </c>
      <c r="AN1277" s="38"/>
      <c r="AO1277" s="38"/>
      <c r="AP1277" s="38"/>
      <c r="AQ1277" s="54"/>
      <c r="AR1277" s="53"/>
      <c r="AS1277" s="29">
        <f t="shared" si="878"/>
        <v>-2600449.9600000009</v>
      </c>
      <c r="AT1277" s="29">
        <f t="shared" si="879"/>
        <v>899555.32</v>
      </c>
      <c r="AU1277" s="29">
        <f t="shared" si="880"/>
        <v>0</v>
      </c>
      <c r="AV1277" s="29">
        <f t="shared" si="881"/>
        <v>-25066.81</v>
      </c>
      <c r="AW1277" s="29"/>
      <c r="AX1277" s="29">
        <f t="shared" si="882"/>
        <v>-1725723.5200000009</v>
      </c>
      <c r="AY1277" s="29">
        <f t="shared" si="883"/>
        <v>9300000</v>
      </c>
      <c r="AZ1277" s="29">
        <f t="shared" si="884"/>
        <v>7574276.4799999986</v>
      </c>
    </row>
    <row r="1278" spans="2:52" x14ac:dyDescent="0.3">
      <c r="B1278" s="99">
        <f t="shared" si="865"/>
        <v>45953</v>
      </c>
      <c r="C1278" s="44">
        <f t="shared" si="866"/>
        <v>1140793.5200000005</v>
      </c>
      <c r="D1278" s="38">
        <v>50949.29</v>
      </c>
      <c r="E1278" s="38"/>
      <c r="F1278" s="38"/>
      <c r="G1278" s="45">
        <f t="shared" si="867"/>
        <v>1191742.8100000005</v>
      </c>
      <c r="H1278" s="44">
        <v>4300000</v>
      </c>
      <c r="I1278" s="46">
        <f t="shared" si="868"/>
        <v>-2955959.64</v>
      </c>
      <c r="J1278" s="38"/>
      <c r="K1278" s="38">
        <v>85000</v>
      </c>
      <c r="L1278" s="38">
        <v>-96720.79</v>
      </c>
      <c r="M1278" s="47">
        <f t="shared" si="869"/>
        <v>-2967680.43</v>
      </c>
      <c r="N1278" s="46">
        <v>5000000</v>
      </c>
      <c r="O1278" s="48">
        <f t="shared" si="870"/>
        <v>86449.669999999489</v>
      </c>
      <c r="P1278" s="38">
        <f>70248.43+165798.69+170882.6</f>
        <v>406929.72</v>
      </c>
      <c r="Q1278" s="38">
        <f>2500-85000</f>
        <v>-82500</v>
      </c>
      <c r="R1278" s="38">
        <v>-10</v>
      </c>
      <c r="S1278" s="55">
        <f t="shared" si="871"/>
        <v>410869.38999999943</v>
      </c>
      <c r="T1278" s="48"/>
      <c r="U1278" s="49">
        <f t="shared" si="872"/>
        <v>2629.1999999995114</v>
      </c>
      <c r="V1278" s="38"/>
      <c r="W1278" s="38">
        <v>-2500</v>
      </c>
      <c r="X1278" s="38">
        <v>-1.7</v>
      </c>
      <c r="Y1278" s="51">
        <f t="shared" si="873"/>
        <v>127.49999999951142</v>
      </c>
      <c r="Z1278" s="52"/>
      <c r="AA1278" s="53">
        <f t="shared" si="874"/>
        <v>125.79999999923022</v>
      </c>
      <c r="AB1278" s="38"/>
      <c r="AC1278" s="38"/>
      <c r="AD1278" s="38"/>
      <c r="AE1278" s="54">
        <f t="shared" si="875"/>
        <v>125.79999999923022</v>
      </c>
      <c r="AF1278" s="53"/>
      <c r="AG1278" s="53">
        <f t="shared" si="876"/>
        <v>237.93000000061758</v>
      </c>
      <c r="AH1278" s="38"/>
      <c r="AI1278" s="38"/>
      <c r="AJ1278" s="38"/>
      <c r="AK1278" s="54">
        <f t="shared" si="877"/>
        <v>237.93000000061758</v>
      </c>
      <c r="AL1278" s="53"/>
      <c r="AM1278" s="53">
        <f t="shared" si="885"/>
        <v>0</v>
      </c>
      <c r="AN1278" s="38"/>
      <c r="AO1278" s="38"/>
      <c r="AP1278" s="38"/>
      <c r="AQ1278" s="54"/>
      <c r="AR1278" s="53"/>
      <c r="AS1278" s="29">
        <f t="shared" si="878"/>
        <v>-1725961.4500000016</v>
      </c>
      <c r="AT1278" s="29">
        <f t="shared" si="879"/>
        <v>457879.00999999995</v>
      </c>
      <c r="AU1278" s="29">
        <f t="shared" si="880"/>
        <v>0</v>
      </c>
      <c r="AV1278" s="29">
        <f t="shared" si="881"/>
        <v>-96732.489999999991</v>
      </c>
      <c r="AW1278" s="29"/>
      <c r="AX1278" s="29">
        <f t="shared" si="882"/>
        <v>-1364577.0000000009</v>
      </c>
      <c r="AY1278" s="29">
        <f t="shared" si="883"/>
        <v>9300000</v>
      </c>
      <c r="AZ1278" s="29">
        <f t="shared" si="884"/>
        <v>7935422.9999999991</v>
      </c>
    </row>
    <row r="1279" spans="2:52" x14ac:dyDescent="0.3">
      <c r="B1279" s="99">
        <f t="shared" si="865"/>
        <v>45954</v>
      </c>
      <c r="C1279" s="44">
        <f t="shared" si="866"/>
        <v>1191742.8100000005</v>
      </c>
      <c r="D1279" s="38"/>
      <c r="E1279" s="38">
        <v>-1190000</v>
      </c>
      <c r="F1279" s="38">
        <v>-1.1100000000000001</v>
      </c>
      <c r="G1279" s="45">
        <f t="shared" si="867"/>
        <v>1741.7000000005216</v>
      </c>
      <c r="H1279" s="44">
        <v>4300000</v>
      </c>
      <c r="I1279" s="46">
        <f t="shared" si="868"/>
        <v>-2967680.43</v>
      </c>
      <c r="J1279" s="38"/>
      <c r="K1279" s="38">
        <f>1000000+903000+190000</f>
        <v>2093000</v>
      </c>
      <c r="L1279" s="38">
        <v>-76006</v>
      </c>
      <c r="M1279" s="47">
        <f t="shared" si="869"/>
        <v>-950686.43000000017</v>
      </c>
      <c r="N1279" s="46">
        <v>5000000</v>
      </c>
      <c r="O1279" s="48">
        <f t="shared" si="870"/>
        <v>410869.38999999943</v>
      </c>
      <c r="P1279" s="38">
        <f>220095.69+91105.01+181871.3</f>
        <v>493072</v>
      </c>
      <c r="Q1279" s="38">
        <v>-903000</v>
      </c>
      <c r="R1279" s="38">
        <v>-10</v>
      </c>
      <c r="S1279" s="55">
        <f t="shared" si="871"/>
        <v>931.38999999943189</v>
      </c>
      <c r="T1279" s="48"/>
      <c r="U1279" s="49">
        <f t="shared" si="872"/>
        <v>127.49999999951142</v>
      </c>
      <c r="V1279" s="38"/>
      <c r="W1279" s="38"/>
      <c r="X1279" s="38"/>
      <c r="Y1279" s="51">
        <f t="shared" si="873"/>
        <v>127.49999999951142</v>
      </c>
      <c r="Z1279" s="52"/>
      <c r="AA1279" s="53">
        <f t="shared" si="874"/>
        <v>125.79999999923022</v>
      </c>
      <c r="AB1279" s="38"/>
      <c r="AC1279" s="38"/>
      <c r="AD1279" s="38"/>
      <c r="AE1279" s="54">
        <f t="shared" si="875"/>
        <v>125.79999999923022</v>
      </c>
      <c r="AF1279" s="53"/>
      <c r="AG1279" s="53">
        <f t="shared" si="876"/>
        <v>237.93000000061758</v>
      </c>
      <c r="AH1279" s="38"/>
      <c r="AI1279" s="38"/>
      <c r="AJ1279" s="38"/>
      <c r="AK1279" s="54">
        <f t="shared" si="877"/>
        <v>237.93000000061758</v>
      </c>
      <c r="AL1279" s="53"/>
      <c r="AM1279" s="53">
        <f t="shared" si="885"/>
        <v>0</v>
      </c>
      <c r="AN1279" s="38"/>
      <c r="AO1279" s="38"/>
      <c r="AP1279" s="38"/>
      <c r="AQ1279" s="54"/>
      <c r="AR1279" s="53"/>
      <c r="AS1279" s="29">
        <f t="shared" si="878"/>
        <v>-1364814.9300000016</v>
      </c>
      <c r="AT1279" s="29">
        <f t="shared" si="879"/>
        <v>493072</v>
      </c>
      <c r="AU1279" s="29">
        <f t="shared" si="880"/>
        <v>0</v>
      </c>
      <c r="AV1279" s="29">
        <f t="shared" si="881"/>
        <v>-76017.11</v>
      </c>
      <c r="AW1279" s="29"/>
      <c r="AX1279" s="29">
        <f t="shared" si="882"/>
        <v>-947522.1100000008</v>
      </c>
      <c r="AY1279" s="29">
        <f t="shared" si="883"/>
        <v>9300000</v>
      </c>
      <c r="AZ1279" s="29">
        <f t="shared" si="884"/>
        <v>8352477.8899999987</v>
      </c>
    </row>
    <row r="1280" spans="2:52" x14ac:dyDescent="0.3">
      <c r="B1280" s="99">
        <f>B1279+3</f>
        <v>45957</v>
      </c>
      <c r="C1280" s="44">
        <f t="shared" si="866"/>
        <v>1741.7000000005216</v>
      </c>
      <c r="D1280" s="38">
        <f>264268.92+842311.05+13586.75+21261.45+119067.94+695942.3</f>
        <v>1956438.41</v>
      </c>
      <c r="E1280" s="38"/>
      <c r="F1280" s="38">
        <v>-93910.34</v>
      </c>
      <c r="G1280" s="45">
        <f t="shared" si="867"/>
        <v>1864269.7700000003</v>
      </c>
      <c r="H1280" s="44">
        <v>4300000</v>
      </c>
      <c r="I1280" s="46">
        <f t="shared" si="868"/>
        <v>-950686.43000000017</v>
      </c>
      <c r="J1280" s="38">
        <v>19478.14</v>
      </c>
      <c r="K1280" s="38">
        <f>505000+38000</f>
        <v>543000</v>
      </c>
      <c r="L1280" s="38">
        <v>-72946.44</v>
      </c>
      <c r="M1280" s="47">
        <f t="shared" si="869"/>
        <v>-461154.73000000016</v>
      </c>
      <c r="N1280" s="46">
        <v>5000000</v>
      </c>
      <c r="O1280" s="48">
        <f t="shared" si="870"/>
        <v>931.38999999943189</v>
      </c>
      <c r="P1280" s="38">
        <f>233909.57+35095.24+238216.91</f>
        <v>507221.72</v>
      </c>
      <c r="Q1280" s="38">
        <v>-505000</v>
      </c>
      <c r="R1280" s="38">
        <v>-149.19999999999999</v>
      </c>
      <c r="S1280" s="55">
        <f t="shared" si="871"/>
        <v>3003.9099999994041</v>
      </c>
      <c r="T1280" s="48"/>
      <c r="U1280" s="49">
        <f t="shared" si="872"/>
        <v>127.49999999951142</v>
      </c>
      <c r="V1280" s="38"/>
      <c r="W1280" s="38"/>
      <c r="X1280" s="38">
        <v>-66.2</v>
      </c>
      <c r="Y1280" s="51">
        <f t="shared" si="873"/>
        <v>61.299999999511414</v>
      </c>
      <c r="Z1280" s="52"/>
      <c r="AA1280" s="53">
        <f t="shared" si="874"/>
        <v>125.79999999923022</v>
      </c>
      <c r="AB1280" s="38"/>
      <c r="AC1280" s="38"/>
      <c r="AD1280" s="38"/>
      <c r="AE1280" s="54">
        <f t="shared" si="875"/>
        <v>125.79999999923022</v>
      </c>
      <c r="AF1280" s="53"/>
      <c r="AG1280" s="53">
        <f t="shared" si="876"/>
        <v>237.93000000061758</v>
      </c>
      <c r="AH1280" s="38">
        <v>38823.870000000003</v>
      </c>
      <c r="AI1280" s="38">
        <v>-38000</v>
      </c>
      <c r="AJ1280" s="38"/>
      <c r="AK1280" s="54">
        <f t="shared" si="877"/>
        <v>1061.8000000006214</v>
      </c>
      <c r="AL1280" s="53"/>
      <c r="AM1280" s="53">
        <f t="shared" si="885"/>
        <v>0</v>
      </c>
      <c r="AN1280" s="38"/>
      <c r="AO1280" s="38"/>
      <c r="AP1280" s="38"/>
      <c r="AQ1280" s="54"/>
      <c r="AR1280" s="53"/>
      <c r="AS1280" s="29">
        <f t="shared" si="878"/>
        <v>-947760.04000000143</v>
      </c>
      <c r="AT1280" s="29">
        <f t="shared" si="879"/>
        <v>2521962.1399999997</v>
      </c>
      <c r="AU1280" s="29">
        <f t="shared" si="880"/>
        <v>0</v>
      </c>
      <c r="AV1280" s="29">
        <f t="shared" si="881"/>
        <v>-167072.18000000002</v>
      </c>
      <c r="AW1280" s="29"/>
      <c r="AX1280" s="29">
        <f t="shared" si="882"/>
        <v>1407367.8499999987</v>
      </c>
      <c r="AY1280" s="29">
        <f t="shared" si="883"/>
        <v>9300000</v>
      </c>
      <c r="AZ1280" s="29">
        <f t="shared" si="884"/>
        <v>10707367.849999998</v>
      </c>
    </row>
    <row r="1281" spans="2:52" x14ac:dyDescent="0.3">
      <c r="B1281" s="99">
        <f t="shared" si="865"/>
        <v>45958</v>
      </c>
      <c r="C1281" s="44">
        <f t="shared" si="866"/>
        <v>1864269.7700000003</v>
      </c>
      <c r="D1281" s="38">
        <f>32503.25+114216.35+185623.11+157071.37+157024.37+156509.81+174118.5</f>
        <v>977066.76</v>
      </c>
      <c r="E1281" s="38">
        <v>-2800000</v>
      </c>
      <c r="F1281" s="38">
        <v>-1.32</v>
      </c>
      <c r="G1281" s="45">
        <f t="shared" si="867"/>
        <v>41335.210000000261</v>
      </c>
      <c r="H1281" s="44">
        <v>4300000</v>
      </c>
      <c r="I1281" s="46">
        <f t="shared" si="868"/>
        <v>-461154.73000000016</v>
      </c>
      <c r="J1281" s="38">
        <f>27298.79+24789.35+13132.95</f>
        <v>65221.09</v>
      </c>
      <c r="K1281" s="38">
        <f>2800000+325000</f>
        <v>3125000</v>
      </c>
      <c r="L1281" s="38">
        <v>-55345.1</v>
      </c>
      <c r="M1281" s="47">
        <f t="shared" si="869"/>
        <v>2673721.2599999998</v>
      </c>
      <c r="N1281" s="46">
        <v>5000000</v>
      </c>
      <c r="O1281" s="48">
        <f t="shared" si="870"/>
        <v>3003.9099999994041</v>
      </c>
      <c r="P1281" s="38">
        <v>325003.12</v>
      </c>
      <c r="Q1281" s="38">
        <v>-325000</v>
      </c>
      <c r="R1281" s="38">
        <v>-10</v>
      </c>
      <c r="S1281" s="55">
        <f t="shared" si="871"/>
        <v>2997.0299999993877</v>
      </c>
      <c r="T1281" s="48"/>
      <c r="U1281" s="49">
        <f t="shared" si="872"/>
        <v>61.299999999511414</v>
      </c>
      <c r="V1281" s="38"/>
      <c r="W1281" s="38"/>
      <c r="X1281" s="38"/>
      <c r="Y1281" s="51">
        <f t="shared" si="873"/>
        <v>61.299999999511414</v>
      </c>
      <c r="Z1281" s="52"/>
      <c r="AA1281" s="53">
        <f t="shared" si="874"/>
        <v>125.79999999923022</v>
      </c>
      <c r="AB1281" s="38"/>
      <c r="AC1281" s="38"/>
      <c r="AD1281" s="38"/>
      <c r="AE1281" s="54">
        <f t="shared" si="875"/>
        <v>125.79999999923022</v>
      </c>
      <c r="AF1281" s="53"/>
      <c r="AG1281" s="53">
        <f t="shared" si="876"/>
        <v>1061.8000000006214</v>
      </c>
      <c r="AH1281" s="38"/>
      <c r="AI1281" s="38"/>
      <c r="AJ1281" s="38">
        <v>-9.9</v>
      </c>
      <c r="AK1281" s="54">
        <f t="shared" si="877"/>
        <v>1051.9000000006213</v>
      </c>
      <c r="AL1281" s="53"/>
      <c r="AM1281" s="53">
        <f t="shared" si="885"/>
        <v>0</v>
      </c>
      <c r="AN1281" s="38"/>
      <c r="AO1281" s="38"/>
      <c r="AP1281" s="38"/>
      <c r="AQ1281" s="54"/>
      <c r="AR1281" s="53"/>
      <c r="AS1281" s="29">
        <f t="shared" si="878"/>
        <v>1406306.0499999982</v>
      </c>
      <c r="AT1281" s="29">
        <f t="shared" si="879"/>
        <v>1367290.97</v>
      </c>
      <c r="AU1281" s="29">
        <f t="shared" si="880"/>
        <v>0</v>
      </c>
      <c r="AV1281" s="29">
        <f t="shared" si="881"/>
        <v>-55366.32</v>
      </c>
      <c r="AW1281" s="29"/>
      <c r="AX1281" s="29">
        <f t="shared" si="882"/>
        <v>2719292.4999999991</v>
      </c>
      <c r="AY1281" s="29">
        <f t="shared" si="883"/>
        <v>9300000</v>
      </c>
      <c r="AZ1281" s="29">
        <f t="shared" si="884"/>
        <v>12019292.5</v>
      </c>
    </row>
    <row r="1282" spans="2:52" x14ac:dyDescent="0.3">
      <c r="B1282" s="99">
        <f t="shared" si="865"/>
        <v>45959</v>
      </c>
      <c r="C1282" s="44">
        <f t="shared" si="866"/>
        <v>41335.210000000261</v>
      </c>
      <c r="D1282" s="38">
        <f>27082.11+202031.83+12381.12+12381.12+232129.74</f>
        <v>486005.92</v>
      </c>
      <c r="E1282" s="38"/>
      <c r="F1282" s="38">
        <f>-838-1810.69-14780-539.6</f>
        <v>-17968.289999999997</v>
      </c>
      <c r="G1282" s="45">
        <f t="shared" si="867"/>
        <v>509372.84000000026</v>
      </c>
      <c r="H1282" s="44">
        <v>4300000</v>
      </c>
      <c r="I1282" s="46">
        <f t="shared" si="868"/>
        <v>2673721.2599999998</v>
      </c>
      <c r="J1282" s="38">
        <f>10242.79+1826.31</f>
        <v>12069.1</v>
      </c>
      <c r="K1282" s="38"/>
      <c r="L1282" s="38">
        <v>-882563.21</v>
      </c>
      <c r="M1282" s="47">
        <f t="shared" si="869"/>
        <v>1803227.15</v>
      </c>
      <c r="N1282" s="46">
        <v>5000000</v>
      </c>
      <c r="O1282" s="48">
        <f t="shared" si="870"/>
        <v>2997.0299999993877</v>
      </c>
      <c r="P1282" s="38"/>
      <c r="Q1282" s="38"/>
      <c r="R1282" s="38">
        <f>-224-209-2294.47</f>
        <v>-2727.47</v>
      </c>
      <c r="S1282" s="55">
        <f t="shared" si="871"/>
        <v>269.55999999938786</v>
      </c>
      <c r="T1282" s="48"/>
      <c r="U1282" s="49">
        <f t="shared" si="872"/>
        <v>61.299999999511414</v>
      </c>
      <c r="V1282" s="38"/>
      <c r="W1282" s="38"/>
      <c r="X1282" s="38"/>
      <c r="Y1282" s="51">
        <f t="shared" si="873"/>
        <v>61.299999999511414</v>
      </c>
      <c r="Z1282" s="52"/>
      <c r="AA1282" s="53">
        <f t="shared" si="874"/>
        <v>125.79999999923022</v>
      </c>
      <c r="AB1282" s="38"/>
      <c r="AC1282" s="38"/>
      <c r="AD1282" s="38"/>
      <c r="AE1282" s="54">
        <f t="shared" si="875"/>
        <v>125.79999999923022</v>
      </c>
      <c r="AF1282" s="53"/>
      <c r="AG1282" s="53">
        <f t="shared" si="876"/>
        <v>1051.9000000006213</v>
      </c>
      <c r="AH1282" s="38"/>
      <c r="AI1282" s="38"/>
      <c r="AJ1282" s="38">
        <v>-90</v>
      </c>
      <c r="AK1282" s="54">
        <f t="shared" si="877"/>
        <v>961.90000000062128</v>
      </c>
      <c r="AL1282" s="53"/>
      <c r="AM1282" s="53">
        <f t="shared" si="885"/>
        <v>0</v>
      </c>
      <c r="AN1282" s="38"/>
      <c r="AO1282" s="38"/>
      <c r="AP1282" s="38"/>
      <c r="AQ1282" s="54"/>
      <c r="AR1282" s="53"/>
      <c r="AS1282" s="29">
        <f t="shared" si="878"/>
        <v>2718240.5999999982</v>
      </c>
      <c r="AT1282" s="29">
        <f t="shared" si="879"/>
        <v>498075.01999999996</v>
      </c>
      <c r="AU1282" s="29">
        <f t="shared" si="880"/>
        <v>0</v>
      </c>
      <c r="AV1282" s="29">
        <f t="shared" si="881"/>
        <v>-903348.97</v>
      </c>
      <c r="AW1282" s="29"/>
      <c r="AX1282" s="29">
        <f t="shared" si="882"/>
        <v>2314018.5499999993</v>
      </c>
      <c r="AY1282" s="29">
        <f t="shared" si="883"/>
        <v>9300000</v>
      </c>
      <c r="AZ1282" s="29">
        <f t="shared" si="884"/>
        <v>11614018.549999999</v>
      </c>
    </row>
    <row r="1283" spans="2:52" x14ac:dyDescent="0.3">
      <c r="B1283" s="99">
        <f t="shared" si="865"/>
        <v>45960</v>
      </c>
      <c r="C1283" s="44">
        <f t="shared" si="866"/>
        <v>509372.84000000026</v>
      </c>
      <c r="D1283" s="38">
        <f>47712+26246.24+170732.52+18740.02</f>
        <v>263430.78000000003</v>
      </c>
      <c r="E1283" s="38">
        <v>500000</v>
      </c>
      <c r="F1283" s="38">
        <v>-1000000.21</v>
      </c>
      <c r="G1283" s="45">
        <f t="shared" si="867"/>
        <v>272803.41000000038</v>
      </c>
      <c r="H1283" s="44">
        <v>4300000</v>
      </c>
      <c r="I1283" s="46">
        <f t="shared" si="868"/>
        <v>1803227.15</v>
      </c>
      <c r="J1283" s="38">
        <v>418706.25</v>
      </c>
      <c r="K1283" s="38">
        <f>1590000-500000-500</f>
        <v>1089500</v>
      </c>
      <c r="L1283" s="38">
        <f>-1000000-212.8-212.8</f>
        <v>-1000425.6000000001</v>
      </c>
      <c r="M1283" s="47">
        <f t="shared" si="869"/>
        <v>2311007.7999999998</v>
      </c>
      <c r="N1283" s="46">
        <v>5000000</v>
      </c>
      <c r="O1283" s="48">
        <f t="shared" si="870"/>
        <v>269.55999999938786</v>
      </c>
      <c r="P1283" s="38">
        <f>268819.76+15736.05+24438.54</f>
        <v>308994.34999999998</v>
      </c>
      <c r="Q1283" s="38">
        <v>500</v>
      </c>
      <c r="R1283" s="38">
        <v>-360</v>
      </c>
      <c r="S1283" s="55">
        <f t="shared" si="871"/>
        <v>309403.90999999939</v>
      </c>
      <c r="T1283" s="48"/>
      <c r="U1283" s="49">
        <f t="shared" si="872"/>
        <v>61.299999999511414</v>
      </c>
      <c r="V1283" s="38"/>
      <c r="W1283" s="38"/>
      <c r="X1283" s="38"/>
      <c r="Y1283" s="51">
        <f t="shared" si="873"/>
        <v>61.299999999511414</v>
      </c>
      <c r="Z1283" s="52"/>
      <c r="AA1283" s="53">
        <f t="shared" si="874"/>
        <v>125.79999999923022</v>
      </c>
      <c r="AB1283" s="38"/>
      <c r="AC1283" s="38"/>
      <c r="AD1283" s="38"/>
      <c r="AE1283" s="54">
        <f t="shared" si="875"/>
        <v>125.79999999923022</v>
      </c>
      <c r="AF1283" s="53"/>
      <c r="AG1283" s="53">
        <f t="shared" si="876"/>
        <v>961.90000000062128</v>
      </c>
      <c r="AH1283" s="38">
        <f>36330.46+51077.04+106397.59+263134.69+1132117.36</f>
        <v>1589057.1400000001</v>
      </c>
      <c r="AI1283" s="38">
        <v>-1590000</v>
      </c>
      <c r="AJ1283" s="38"/>
      <c r="AK1283" s="54">
        <f t="shared" si="877"/>
        <v>19.040000000735745</v>
      </c>
      <c r="AL1283" s="53"/>
      <c r="AM1283" s="53">
        <f t="shared" si="885"/>
        <v>0</v>
      </c>
      <c r="AN1283" s="38"/>
      <c r="AO1283" s="38"/>
      <c r="AP1283" s="38"/>
      <c r="AQ1283" s="54"/>
      <c r="AR1283" s="53"/>
      <c r="AS1283" s="29">
        <f t="shared" si="878"/>
        <v>2313056.6499999985</v>
      </c>
      <c r="AT1283" s="29">
        <f t="shared" si="879"/>
        <v>2580188.52</v>
      </c>
      <c r="AU1283" s="29">
        <f t="shared" si="880"/>
        <v>0</v>
      </c>
      <c r="AV1283" s="29">
        <f t="shared" si="881"/>
        <v>-2000785.81</v>
      </c>
      <c r="AW1283" s="29"/>
      <c r="AX1283" s="29">
        <f t="shared" si="882"/>
        <v>2893421.2599999988</v>
      </c>
      <c r="AY1283" s="29">
        <f t="shared" si="883"/>
        <v>9300000</v>
      </c>
      <c r="AZ1283" s="29">
        <f t="shared" si="884"/>
        <v>12193421.259999998</v>
      </c>
    </row>
    <row r="1284" spans="2:52" x14ac:dyDescent="0.3">
      <c r="B1284" s="99">
        <f t="shared" si="865"/>
        <v>45961</v>
      </c>
      <c r="C1284" s="44">
        <f t="shared" si="866"/>
        <v>272803.41000000038</v>
      </c>
      <c r="D1284" s="38">
        <v>33708.949999999997</v>
      </c>
      <c r="E1284" s="38"/>
      <c r="F1284" s="38">
        <v>-72195.56</v>
      </c>
      <c r="G1284" s="45">
        <f t="shared" si="867"/>
        <v>234316.8000000004</v>
      </c>
      <c r="H1284" s="44">
        <v>4300000</v>
      </c>
      <c r="I1284" s="46">
        <f t="shared" si="868"/>
        <v>2311007.7999999998</v>
      </c>
      <c r="J1284" s="38">
        <f>60773.64+36655.19+262777.28+0.02</f>
        <v>360206.13000000006</v>
      </c>
      <c r="K1284" s="38">
        <f>28000+1255000</f>
        <v>1283000</v>
      </c>
      <c r="L1284" s="38"/>
      <c r="M1284" s="47">
        <f t="shared" si="869"/>
        <v>3954213.9299999997</v>
      </c>
      <c r="N1284" s="46">
        <v>5000000</v>
      </c>
      <c r="O1284" s="48">
        <f t="shared" si="870"/>
        <v>309403.90999999939</v>
      </c>
      <c r="P1284" s="38">
        <f>278375.27+672354.2</f>
        <v>950729.47</v>
      </c>
      <c r="Q1284" s="38">
        <v>-1255000</v>
      </c>
      <c r="R1284" s="38">
        <v>-10</v>
      </c>
      <c r="S1284" s="55">
        <f t="shared" si="871"/>
        <v>5123.3799999994226</v>
      </c>
      <c r="T1284" s="48"/>
      <c r="U1284" s="49">
        <f t="shared" si="872"/>
        <v>61.299999999511414</v>
      </c>
      <c r="V1284" s="38"/>
      <c r="W1284" s="38"/>
      <c r="X1284" s="38"/>
      <c r="Y1284" s="51">
        <f t="shared" si="873"/>
        <v>61.299999999511414</v>
      </c>
      <c r="Z1284" s="52"/>
      <c r="AA1284" s="53">
        <f t="shared" si="874"/>
        <v>125.79999999923022</v>
      </c>
      <c r="AB1284" s="38">
        <v>0.02</v>
      </c>
      <c r="AC1284" s="38"/>
      <c r="AD1284" s="38"/>
      <c r="AE1284" s="54">
        <f t="shared" si="875"/>
        <v>125.81999999923022</v>
      </c>
      <c r="AF1284" s="53"/>
      <c r="AG1284" s="53">
        <f t="shared" si="876"/>
        <v>19.040000000735745</v>
      </c>
      <c r="AH1284" s="38">
        <v>28183.75</v>
      </c>
      <c r="AI1284" s="38">
        <v>-28000</v>
      </c>
      <c r="AJ1284" s="38">
        <v>-9.8699999999999992</v>
      </c>
      <c r="AK1284" s="54">
        <f t="shared" si="877"/>
        <v>192.92000000073574</v>
      </c>
      <c r="AL1284" s="53"/>
      <c r="AM1284" s="53">
        <f t="shared" si="885"/>
        <v>0</v>
      </c>
      <c r="AN1284" s="38"/>
      <c r="AO1284" s="38"/>
      <c r="AP1284" s="38"/>
      <c r="AQ1284" s="54"/>
      <c r="AR1284" s="53"/>
      <c r="AS1284" s="29">
        <f t="shared" si="878"/>
        <v>2893402.2199999979</v>
      </c>
      <c r="AT1284" s="29">
        <f t="shared" si="879"/>
        <v>1372828.32</v>
      </c>
      <c r="AU1284" s="29">
        <f t="shared" si="880"/>
        <v>0</v>
      </c>
      <c r="AV1284" s="29">
        <f t="shared" si="881"/>
        <v>-72215.429999999993</v>
      </c>
      <c r="AW1284" s="29"/>
      <c r="AX1284" s="29">
        <f t="shared" si="882"/>
        <v>4194034.149999999</v>
      </c>
      <c r="AY1284" s="29">
        <f t="shared" si="883"/>
        <v>9300000</v>
      </c>
      <c r="AZ1284" s="29">
        <f t="shared" si="884"/>
        <v>13494034.149999999</v>
      </c>
    </row>
    <row r="1285" spans="2:52" x14ac:dyDescent="0.3">
      <c r="B1285" s="99">
        <f>B1284+3</f>
        <v>45964</v>
      </c>
      <c r="C1285" s="44">
        <f t="shared" ref="C1285:C1299" si="886">G1284</f>
        <v>234316.8000000004</v>
      </c>
      <c r="D1285" s="38">
        <f>35236.5+24488.79</f>
        <v>59725.29</v>
      </c>
      <c r="E1285" s="38"/>
      <c r="F1285" s="38">
        <f>-125-1000</f>
        <v>-1125</v>
      </c>
      <c r="G1285" s="45">
        <f t="shared" ref="G1285:G1299" si="887">SUM(C1285:F1285)</f>
        <v>292917.09000000037</v>
      </c>
      <c r="H1285" s="44">
        <v>4300000</v>
      </c>
      <c r="I1285" s="46">
        <f t="shared" ref="I1285:I1299" si="888">M1284</f>
        <v>3954213.9299999997</v>
      </c>
      <c r="J1285" s="38"/>
      <c r="K1285" s="38">
        <v>50000</v>
      </c>
      <c r="L1285" s="38">
        <v>-110300.57</v>
      </c>
      <c r="M1285" s="47">
        <f t="shared" ref="M1285:M1299" si="889">SUM(I1285:L1285)</f>
        <v>3893913.36</v>
      </c>
      <c r="N1285" s="46">
        <v>5000000</v>
      </c>
      <c r="O1285" s="48">
        <f t="shared" ref="O1285:O1299" si="890">S1284</f>
        <v>5123.3799999994226</v>
      </c>
      <c r="P1285" s="38">
        <f>40179.26+6671.57</f>
        <v>46850.83</v>
      </c>
      <c r="Q1285" s="38">
        <v>-50000</v>
      </c>
      <c r="R1285" s="38">
        <v>-260</v>
      </c>
      <c r="S1285" s="55">
        <f t="shared" ref="S1285:S1299" si="891">SUM(O1285:R1285)</f>
        <v>1714.2099999994243</v>
      </c>
      <c r="T1285" s="48"/>
      <c r="U1285" s="49">
        <f t="shared" ref="U1285:U1299" si="892">Y1284</f>
        <v>61.299999999511414</v>
      </c>
      <c r="V1285" s="38"/>
      <c r="W1285" s="38"/>
      <c r="X1285" s="38"/>
      <c r="Y1285" s="51">
        <f t="shared" ref="Y1285:Y1299" si="893">SUM(U1285:X1285)</f>
        <v>61.299999999511414</v>
      </c>
      <c r="Z1285" s="52"/>
      <c r="AA1285" s="53">
        <f t="shared" ref="AA1285:AA1299" si="894">AE1284</f>
        <v>125.81999999923022</v>
      </c>
      <c r="AB1285" s="38"/>
      <c r="AC1285" s="38"/>
      <c r="AD1285" s="38"/>
      <c r="AE1285" s="54">
        <f t="shared" ref="AE1285:AE1299" si="895">SUM(AA1285:AD1285)</f>
        <v>125.81999999923022</v>
      </c>
      <c r="AF1285" s="53"/>
      <c r="AG1285" s="53">
        <f t="shared" ref="AG1285:AG1299" si="896">AK1284</f>
        <v>192.92000000073574</v>
      </c>
      <c r="AH1285" s="38"/>
      <c r="AI1285" s="38"/>
      <c r="AJ1285" s="38">
        <v>-9.9</v>
      </c>
      <c r="AK1285" s="54">
        <f t="shared" ref="AK1285:AK1299" si="897">SUM(AG1285:AJ1285)</f>
        <v>183.02000000073573</v>
      </c>
      <c r="AL1285" s="53"/>
      <c r="AM1285" s="53">
        <f t="shared" si="885"/>
        <v>0</v>
      </c>
      <c r="AN1285" s="38"/>
      <c r="AO1285" s="38"/>
      <c r="AP1285" s="38"/>
      <c r="AQ1285" s="54"/>
      <c r="AR1285" s="53"/>
      <c r="AS1285" s="29">
        <f t="shared" ref="AS1285:AS1299" si="898">SUM(C1285,I1285,O1285,U1285,AA1285,)</f>
        <v>4193841.2299999981</v>
      </c>
      <c r="AT1285" s="29">
        <f t="shared" ref="AT1285:AT1299" si="899">SUM(D1285,J1285,P1285,V1285,AB1285,AH1285)</f>
        <v>106576.12</v>
      </c>
      <c r="AU1285" s="29">
        <f t="shared" ref="AU1285:AU1299" si="900">SUM(E1285,K1285,Q1285,W1285,AC1285,AI1285)</f>
        <v>0</v>
      </c>
      <c r="AV1285" s="29">
        <f t="shared" ref="AV1285:AV1299" si="901">SUM(F1285,L1285,R1285,X1285,AD1285,AJ1285)</f>
        <v>-111695.47</v>
      </c>
      <c r="AW1285" s="29"/>
      <c r="AX1285" s="29">
        <f t="shared" ref="AX1285:AX1299" si="902">SUM(G1285,M1285,S1285,Y1285,AE1285,AK1285)</f>
        <v>4188914.7999999993</v>
      </c>
      <c r="AY1285" s="29">
        <f t="shared" ref="AY1285:AY1299" si="903">SUM(H1285,N1285,T1285,Z1285,AF1285,AL1285)</f>
        <v>9300000</v>
      </c>
      <c r="AZ1285" s="29">
        <f t="shared" ref="AZ1285:AZ1299" si="904">AX1285+AY1285</f>
        <v>13488914.799999999</v>
      </c>
    </row>
    <row r="1286" spans="2:52" x14ac:dyDescent="0.3">
      <c r="B1286" s="99">
        <f t="shared" si="865"/>
        <v>45965</v>
      </c>
      <c r="C1286" s="44">
        <f t="shared" si="886"/>
        <v>292917.09000000037</v>
      </c>
      <c r="D1286" s="38"/>
      <c r="E1286" s="38"/>
      <c r="F1286" s="38">
        <v>-47624.5</v>
      </c>
      <c r="G1286" s="45">
        <f t="shared" si="887"/>
        <v>245292.59000000037</v>
      </c>
      <c r="H1286" s="44">
        <v>4300000</v>
      </c>
      <c r="I1286" s="46">
        <f t="shared" si="888"/>
        <v>3893913.36</v>
      </c>
      <c r="J1286" s="38"/>
      <c r="K1286" s="38"/>
      <c r="L1286" s="38">
        <v>-3789459.23</v>
      </c>
      <c r="M1286" s="47">
        <f t="shared" si="889"/>
        <v>104454.12999999989</v>
      </c>
      <c r="N1286" s="46">
        <v>5000000</v>
      </c>
      <c r="O1286" s="48">
        <f t="shared" si="890"/>
        <v>1714.2099999994243</v>
      </c>
      <c r="P1286" s="38"/>
      <c r="Q1286" s="38"/>
      <c r="R1286" s="38">
        <f>-484.31-202.02</f>
        <v>-686.33</v>
      </c>
      <c r="S1286" s="55">
        <f t="shared" si="891"/>
        <v>1027.8799999994244</v>
      </c>
      <c r="T1286" s="48"/>
      <c r="U1286" s="49">
        <f t="shared" si="892"/>
        <v>61.299999999511414</v>
      </c>
      <c r="V1286" s="38"/>
      <c r="W1286" s="38"/>
      <c r="X1286" s="38">
        <v>-61.3</v>
      </c>
      <c r="Y1286" s="51">
        <f t="shared" si="893"/>
        <v>-4.8858339596336009E-10</v>
      </c>
      <c r="Z1286" s="52"/>
      <c r="AA1286" s="53">
        <f t="shared" si="894"/>
        <v>125.81999999923022</v>
      </c>
      <c r="AB1286" s="38"/>
      <c r="AC1286" s="38"/>
      <c r="AD1286" s="38"/>
      <c r="AE1286" s="54">
        <f t="shared" si="895"/>
        <v>125.81999999923022</v>
      </c>
      <c r="AF1286" s="53"/>
      <c r="AG1286" s="53">
        <f t="shared" si="896"/>
        <v>183.02000000073573</v>
      </c>
      <c r="AH1286" s="38"/>
      <c r="AI1286" s="38"/>
      <c r="AJ1286" s="38"/>
      <c r="AK1286" s="54">
        <f t="shared" si="897"/>
        <v>183.02000000073573</v>
      </c>
      <c r="AL1286" s="53"/>
      <c r="AM1286" s="53">
        <f t="shared" si="885"/>
        <v>0</v>
      </c>
      <c r="AN1286" s="38"/>
      <c r="AO1286" s="38"/>
      <c r="AP1286" s="38"/>
      <c r="AQ1286" s="54"/>
      <c r="AR1286" s="53"/>
      <c r="AS1286" s="29">
        <f t="shared" si="898"/>
        <v>4188731.7799999984</v>
      </c>
      <c r="AT1286" s="29">
        <f t="shared" si="899"/>
        <v>0</v>
      </c>
      <c r="AU1286" s="29">
        <f t="shared" si="900"/>
        <v>0</v>
      </c>
      <c r="AV1286" s="29">
        <f t="shared" si="901"/>
        <v>-3837831.36</v>
      </c>
      <c r="AW1286" s="29"/>
      <c r="AX1286" s="29">
        <f t="shared" si="902"/>
        <v>351083.43999999919</v>
      </c>
      <c r="AY1286" s="29">
        <f t="shared" si="903"/>
        <v>9300000</v>
      </c>
      <c r="AZ1286" s="29">
        <f t="shared" si="904"/>
        <v>9651083.4399999995</v>
      </c>
    </row>
    <row r="1287" spans="2:52" x14ac:dyDescent="0.3">
      <c r="B1287" s="99">
        <f t="shared" si="865"/>
        <v>45966</v>
      </c>
      <c r="C1287" s="44">
        <f t="shared" si="886"/>
        <v>245292.59000000037</v>
      </c>
      <c r="D1287" s="38">
        <f>49527.08</f>
        <v>49527.08</v>
      </c>
      <c r="E1287" s="38">
        <f>-520000-1000000</f>
        <v>-1520000</v>
      </c>
      <c r="F1287" s="38">
        <v>-60002.22</v>
      </c>
      <c r="G1287" s="45">
        <f t="shared" si="887"/>
        <v>-1285182.5499999996</v>
      </c>
      <c r="H1287" s="44">
        <v>4300000</v>
      </c>
      <c r="I1287" s="46">
        <f t="shared" si="888"/>
        <v>104454.12999999989</v>
      </c>
      <c r="J1287" s="38">
        <v>462787.48</v>
      </c>
      <c r="K1287" s="38">
        <f>1366000+520000</f>
        <v>1886000</v>
      </c>
      <c r="L1287" s="38">
        <v>-1921396.21</v>
      </c>
      <c r="M1287" s="47">
        <f t="shared" si="889"/>
        <v>531845.39999999991</v>
      </c>
      <c r="N1287" s="46">
        <v>5000000</v>
      </c>
      <c r="O1287" s="48">
        <f t="shared" si="890"/>
        <v>1027.8799999994244</v>
      </c>
      <c r="P1287" s="38">
        <v>366797.93</v>
      </c>
      <c r="Q1287" s="38">
        <f>-75.81-366000</f>
        <v>-366075.81</v>
      </c>
      <c r="R1287" s="38">
        <v>-10</v>
      </c>
      <c r="S1287" s="55">
        <f t="shared" si="891"/>
        <v>1739.9999999994179</v>
      </c>
      <c r="T1287" s="48"/>
      <c r="U1287" s="49">
        <f t="shared" si="892"/>
        <v>-4.8858339596336009E-10</v>
      </c>
      <c r="V1287" s="38"/>
      <c r="W1287" s="38">
        <v>75.81</v>
      </c>
      <c r="X1287" s="38">
        <v>-9.3000000000000007</v>
      </c>
      <c r="Y1287" s="51">
        <f t="shared" si="893"/>
        <v>66.509999999511422</v>
      </c>
      <c r="Z1287" s="52"/>
      <c r="AA1287" s="53">
        <f t="shared" si="894"/>
        <v>125.81999999923022</v>
      </c>
      <c r="AB1287" s="38"/>
      <c r="AC1287" s="38"/>
      <c r="AD1287" s="38"/>
      <c r="AE1287" s="54">
        <f t="shared" si="895"/>
        <v>125.81999999923022</v>
      </c>
      <c r="AF1287" s="53"/>
      <c r="AG1287" s="53">
        <f t="shared" si="896"/>
        <v>183.02000000073573</v>
      </c>
      <c r="AH1287" s="38"/>
      <c r="AI1287" s="38"/>
      <c r="AJ1287" s="38"/>
      <c r="AK1287" s="54">
        <f t="shared" si="897"/>
        <v>183.02000000073573</v>
      </c>
      <c r="AL1287" s="53"/>
      <c r="AM1287" s="53">
        <f t="shared" si="885"/>
        <v>0</v>
      </c>
      <c r="AN1287" s="38"/>
      <c r="AO1287" s="38"/>
      <c r="AP1287" s="38"/>
      <c r="AQ1287" s="54"/>
      <c r="AR1287" s="53"/>
      <c r="AS1287" s="29">
        <f t="shared" si="898"/>
        <v>350900.41999999847</v>
      </c>
      <c r="AT1287" s="29">
        <f t="shared" si="899"/>
        <v>879112.49</v>
      </c>
      <c r="AU1287" s="29">
        <f t="shared" si="900"/>
        <v>2.3305801732931286E-12</v>
      </c>
      <c r="AV1287" s="29">
        <f t="shared" si="901"/>
        <v>-1981417.73</v>
      </c>
      <c r="AW1287" s="29"/>
      <c r="AX1287" s="29">
        <f t="shared" si="902"/>
        <v>-751221.80000000075</v>
      </c>
      <c r="AY1287" s="29">
        <f t="shared" si="903"/>
        <v>9300000</v>
      </c>
      <c r="AZ1287" s="29">
        <f t="shared" si="904"/>
        <v>8548778.1999999993</v>
      </c>
    </row>
    <row r="1288" spans="2:52" x14ac:dyDescent="0.3">
      <c r="B1288" s="99">
        <f t="shared" si="865"/>
        <v>45967</v>
      </c>
      <c r="C1288" s="44">
        <f t="shared" si="886"/>
        <v>-1285182.5499999996</v>
      </c>
      <c r="D1288" s="38">
        <f>46980.35+18740.02+32774.47</f>
        <v>98494.84</v>
      </c>
      <c r="E1288" s="38"/>
      <c r="F1288" s="38">
        <f>-1600-17760.69</f>
        <v>-19360.689999999999</v>
      </c>
      <c r="G1288" s="45">
        <f t="shared" si="887"/>
        <v>-1206048.3999999994</v>
      </c>
      <c r="H1288" s="44">
        <v>4300000</v>
      </c>
      <c r="I1288" s="46">
        <f t="shared" si="888"/>
        <v>531845.39999999991</v>
      </c>
      <c r="J1288" s="38"/>
      <c r="K1288" s="38">
        <v>420000</v>
      </c>
      <c r="L1288" s="38">
        <v>-37767.129999999997</v>
      </c>
      <c r="M1288" s="47">
        <f t="shared" si="889"/>
        <v>914078.2699999999</v>
      </c>
      <c r="N1288" s="46">
        <v>5000000</v>
      </c>
      <c r="O1288" s="48">
        <f t="shared" si="890"/>
        <v>1739.9999999994179</v>
      </c>
      <c r="P1288" s="38">
        <f>6861.51+418123.95</f>
        <v>424985.46</v>
      </c>
      <c r="Q1288" s="38">
        <v>-420000</v>
      </c>
      <c r="R1288" s="38">
        <v>-3210</v>
      </c>
      <c r="S1288" s="55">
        <f t="shared" si="891"/>
        <v>3515.4599999994389</v>
      </c>
      <c r="T1288" s="48"/>
      <c r="U1288" s="49">
        <f t="shared" si="892"/>
        <v>66.509999999511422</v>
      </c>
      <c r="V1288" s="38"/>
      <c r="W1288" s="38"/>
      <c r="X1288" s="38"/>
      <c r="Y1288" s="51">
        <f t="shared" si="893"/>
        <v>66.509999999511422</v>
      </c>
      <c r="Z1288" s="52"/>
      <c r="AA1288" s="53">
        <f t="shared" si="894"/>
        <v>125.81999999923022</v>
      </c>
      <c r="AB1288" s="38"/>
      <c r="AC1288" s="38"/>
      <c r="AD1288" s="38"/>
      <c r="AE1288" s="54">
        <f t="shared" si="895"/>
        <v>125.81999999923022</v>
      </c>
      <c r="AF1288" s="53"/>
      <c r="AG1288" s="53">
        <f t="shared" si="896"/>
        <v>183.02000000073573</v>
      </c>
      <c r="AH1288" s="38"/>
      <c r="AI1288" s="38"/>
      <c r="AJ1288" s="38"/>
      <c r="AK1288" s="54">
        <f t="shared" si="897"/>
        <v>183.02000000073573</v>
      </c>
      <c r="AL1288" s="53"/>
      <c r="AM1288" s="53">
        <f t="shared" si="885"/>
        <v>0</v>
      </c>
      <c r="AN1288" s="38"/>
      <c r="AO1288" s="38"/>
      <c r="AP1288" s="38"/>
      <c r="AQ1288" s="54"/>
      <c r="AR1288" s="53"/>
      <c r="AS1288" s="29">
        <f t="shared" si="898"/>
        <v>-751404.82000000146</v>
      </c>
      <c r="AT1288" s="29">
        <f t="shared" si="899"/>
        <v>523480.30000000005</v>
      </c>
      <c r="AU1288" s="29">
        <f t="shared" si="900"/>
        <v>0</v>
      </c>
      <c r="AV1288" s="29">
        <f t="shared" si="901"/>
        <v>-60337.819999999992</v>
      </c>
      <c r="AW1288" s="29"/>
      <c r="AX1288" s="29">
        <f t="shared" si="902"/>
        <v>-288079.32000000065</v>
      </c>
      <c r="AY1288" s="29">
        <f t="shared" si="903"/>
        <v>9300000</v>
      </c>
      <c r="AZ1288" s="29">
        <f t="shared" si="904"/>
        <v>9011920.6799999997</v>
      </c>
    </row>
    <row r="1289" spans="2:52" x14ac:dyDescent="0.3">
      <c r="B1289" s="99">
        <f t="shared" si="865"/>
        <v>45968</v>
      </c>
      <c r="C1289" s="44">
        <f t="shared" si="886"/>
        <v>-1206048.3999999994</v>
      </c>
      <c r="D1289" s="38">
        <f>258.63+750.8</f>
        <v>1009.43</v>
      </c>
      <c r="E1289" s="38"/>
      <c r="F1289" s="38">
        <v>-0.21</v>
      </c>
      <c r="G1289" s="45">
        <f t="shared" si="887"/>
        <v>-1205039.1799999995</v>
      </c>
      <c r="H1289" s="44">
        <v>4300000</v>
      </c>
      <c r="I1289" s="46">
        <f t="shared" si="888"/>
        <v>914078.2699999999</v>
      </c>
      <c r="J1289" s="38">
        <v>4017.99</v>
      </c>
      <c r="K1289" s="38">
        <v>125000</v>
      </c>
      <c r="L1289" s="38">
        <v>-962894.36</v>
      </c>
      <c r="M1289" s="47">
        <f t="shared" si="889"/>
        <v>80201.899999999907</v>
      </c>
      <c r="N1289" s="46">
        <v>5000000</v>
      </c>
      <c r="O1289" s="48">
        <f t="shared" si="890"/>
        <v>3515.4599999994389</v>
      </c>
      <c r="P1289" s="38">
        <f>68976.58+55772.49</f>
        <v>124749.07</v>
      </c>
      <c r="Q1289" s="38">
        <v>-125000</v>
      </c>
      <c r="R1289" s="38">
        <v>-10</v>
      </c>
      <c r="S1289" s="55">
        <f t="shared" si="891"/>
        <v>3254.5299999994459</v>
      </c>
      <c r="T1289" s="48"/>
      <c r="U1289" s="49">
        <f t="shared" si="892"/>
        <v>66.509999999511422</v>
      </c>
      <c r="V1289" s="38"/>
      <c r="W1289" s="38"/>
      <c r="X1289" s="38"/>
      <c r="Y1289" s="51">
        <f t="shared" si="893"/>
        <v>66.509999999511422</v>
      </c>
      <c r="Z1289" s="52"/>
      <c r="AA1289" s="53">
        <f t="shared" si="894"/>
        <v>125.81999999923022</v>
      </c>
      <c r="AB1289" s="38"/>
      <c r="AC1289" s="38"/>
      <c r="AD1289" s="38"/>
      <c r="AE1289" s="54">
        <f t="shared" si="895"/>
        <v>125.81999999923022</v>
      </c>
      <c r="AF1289" s="53"/>
      <c r="AG1289" s="53">
        <f t="shared" si="896"/>
        <v>183.02000000073573</v>
      </c>
      <c r="AH1289" s="38"/>
      <c r="AI1289" s="38"/>
      <c r="AJ1289" s="38"/>
      <c r="AK1289" s="54">
        <f t="shared" si="897"/>
        <v>183.02000000073573</v>
      </c>
      <c r="AL1289" s="53"/>
      <c r="AM1289" s="53">
        <f t="shared" si="885"/>
        <v>0</v>
      </c>
      <c r="AN1289" s="38"/>
      <c r="AO1289" s="38"/>
      <c r="AP1289" s="38"/>
      <c r="AQ1289" s="54"/>
      <c r="AR1289" s="53"/>
      <c r="AS1289" s="29">
        <f t="shared" si="898"/>
        <v>-288262.34000000136</v>
      </c>
      <c r="AT1289" s="29">
        <f t="shared" si="899"/>
        <v>129776.49</v>
      </c>
      <c r="AU1289" s="29">
        <f t="shared" si="900"/>
        <v>0</v>
      </c>
      <c r="AV1289" s="29">
        <f t="shared" si="901"/>
        <v>-962904.57</v>
      </c>
      <c r="AW1289" s="29"/>
      <c r="AX1289" s="29">
        <f t="shared" si="902"/>
        <v>-1121207.4000000006</v>
      </c>
      <c r="AY1289" s="29">
        <f t="shared" si="903"/>
        <v>9300000</v>
      </c>
      <c r="AZ1289" s="29">
        <f t="shared" si="904"/>
        <v>8178792.5999999996</v>
      </c>
    </row>
    <row r="1290" spans="2:52" x14ac:dyDescent="0.3">
      <c r="B1290" s="99">
        <f>B1289+3</f>
        <v>45971</v>
      </c>
      <c r="C1290" s="44">
        <f t="shared" si="886"/>
        <v>-1205039.1799999995</v>
      </c>
      <c r="D1290" s="38">
        <f>2032.05+71250.74</f>
        <v>73282.790000000008</v>
      </c>
      <c r="E1290" s="38"/>
      <c r="F1290" s="38">
        <v>-267078.90000000002</v>
      </c>
      <c r="G1290" s="45">
        <f t="shared" si="887"/>
        <v>-1398835.2899999996</v>
      </c>
      <c r="H1290" s="44">
        <v>4300000</v>
      </c>
      <c r="I1290" s="46">
        <f t="shared" si="888"/>
        <v>80201.899999999907</v>
      </c>
      <c r="J1290" s="38">
        <v>379.5</v>
      </c>
      <c r="K1290" s="38">
        <v>160000</v>
      </c>
      <c r="L1290" s="38">
        <v>-194882.08</v>
      </c>
      <c r="M1290" s="47">
        <f t="shared" si="889"/>
        <v>45699.31999999992</v>
      </c>
      <c r="N1290" s="46">
        <v>5000000</v>
      </c>
      <c r="O1290" s="48">
        <f t="shared" si="890"/>
        <v>3254.5299999994459</v>
      </c>
      <c r="P1290" s="38">
        <f>56607.17+79968.13+20718.04</f>
        <v>157293.34</v>
      </c>
      <c r="Q1290" s="38">
        <v>-160000</v>
      </c>
      <c r="R1290" s="38">
        <v>-10</v>
      </c>
      <c r="S1290" s="55">
        <f t="shared" si="891"/>
        <v>537.86999999944237</v>
      </c>
      <c r="T1290" s="48"/>
      <c r="U1290" s="49">
        <f t="shared" si="892"/>
        <v>66.509999999511422</v>
      </c>
      <c r="V1290" s="38"/>
      <c r="W1290" s="38"/>
      <c r="X1290" s="38"/>
      <c r="Y1290" s="51">
        <f t="shared" si="893"/>
        <v>66.509999999511422</v>
      </c>
      <c r="Z1290" s="52"/>
      <c r="AA1290" s="53">
        <f t="shared" si="894"/>
        <v>125.81999999923022</v>
      </c>
      <c r="AB1290" s="38"/>
      <c r="AC1290" s="38"/>
      <c r="AD1290" s="38">
        <v>-125.32</v>
      </c>
      <c r="AE1290" s="54">
        <f t="shared" si="895"/>
        <v>0.49999999923022642</v>
      </c>
      <c r="AF1290" s="53"/>
      <c r="AG1290" s="53">
        <f t="shared" si="896"/>
        <v>183.02000000073573</v>
      </c>
      <c r="AH1290" s="38"/>
      <c r="AI1290" s="38"/>
      <c r="AJ1290" s="38"/>
      <c r="AK1290" s="54">
        <f t="shared" si="897"/>
        <v>183.02000000073573</v>
      </c>
      <c r="AL1290" s="53"/>
      <c r="AM1290" s="53">
        <f t="shared" si="885"/>
        <v>0</v>
      </c>
      <c r="AN1290" s="38"/>
      <c r="AO1290" s="38"/>
      <c r="AP1290" s="38"/>
      <c r="AQ1290" s="54"/>
      <c r="AR1290" s="53"/>
      <c r="AS1290" s="29">
        <f t="shared" si="898"/>
        <v>-1121390.4200000013</v>
      </c>
      <c r="AT1290" s="29">
        <f t="shared" si="899"/>
        <v>230955.63</v>
      </c>
      <c r="AU1290" s="29">
        <f t="shared" si="900"/>
        <v>0</v>
      </c>
      <c r="AV1290" s="29">
        <f t="shared" si="901"/>
        <v>-462096.3</v>
      </c>
      <c r="AW1290" s="29"/>
      <c r="AX1290" s="29">
        <f t="shared" si="902"/>
        <v>-1352348.0700000008</v>
      </c>
      <c r="AY1290" s="29">
        <f t="shared" si="903"/>
        <v>9300000</v>
      </c>
      <c r="AZ1290" s="29">
        <f t="shared" si="904"/>
        <v>7947651.9299999997</v>
      </c>
    </row>
    <row r="1291" spans="2:52" x14ac:dyDescent="0.3">
      <c r="B1291" s="99">
        <f t="shared" si="865"/>
        <v>45972</v>
      </c>
      <c r="C1291" s="44">
        <f t="shared" si="886"/>
        <v>-1398835.2899999996</v>
      </c>
      <c r="D1291" s="38">
        <f>5760*4</f>
        <v>23040</v>
      </c>
      <c r="E1291" s="38"/>
      <c r="F1291" s="38">
        <f>-3191.53-33473.11-48.2</f>
        <v>-36712.839999999997</v>
      </c>
      <c r="G1291" s="45">
        <f t="shared" si="887"/>
        <v>-1412508.1299999997</v>
      </c>
      <c r="H1291" s="44">
        <v>4300000</v>
      </c>
      <c r="I1291" s="46">
        <f t="shared" si="888"/>
        <v>45699.31999999992</v>
      </c>
      <c r="J1291" s="38">
        <f>370051.8+106147.47+28688.51</f>
        <v>504887.78</v>
      </c>
      <c r="K1291" s="38"/>
      <c r="L1291" s="38">
        <v>-10240.530000000001</v>
      </c>
      <c r="M1291" s="47">
        <f t="shared" si="889"/>
        <v>540346.56999999995</v>
      </c>
      <c r="N1291" s="46">
        <v>5000000</v>
      </c>
      <c r="O1291" s="48">
        <f t="shared" si="890"/>
        <v>537.86999999944237</v>
      </c>
      <c r="P1291" s="38"/>
      <c r="Q1291" s="38"/>
      <c r="R1291" s="38"/>
      <c r="S1291" s="55">
        <f t="shared" si="891"/>
        <v>537.86999999944237</v>
      </c>
      <c r="T1291" s="48"/>
      <c r="U1291" s="49">
        <f t="shared" si="892"/>
        <v>66.509999999511422</v>
      </c>
      <c r="V1291" s="38"/>
      <c r="W1291" s="38"/>
      <c r="X1291" s="38"/>
      <c r="Y1291" s="51">
        <f t="shared" si="893"/>
        <v>66.509999999511422</v>
      </c>
      <c r="Z1291" s="52"/>
      <c r="AA1291" s="53">
        <f t="shared" si="894"/>
        <v>0.49999999923022642</v>
      </c>
      <c r="AB1291" s="38"/>
      <c r="AC1291" s="38"/>
      <c r="AD1291" s="38"/>
      <c r="AE1291" s="54">
        <f t="shared" si="895"/>
        <v>0.49999999923022642</v>
      </c>
      <c r="AF1291" s="53"/>
      <c r="AG1291" s="53">
        <f t="shared" si="896"/>
        <v>183.02000000073573</v>
      </c>
      <c r="AH1291" s="38"/>
      <c r="AI1291" s="38"/>
      <c r="AJ1291" s="38"/>
      <c r="AK1291" s="54">
        <f t="shared" si="897"/>
        <v>183.02000000073573</v>
      </c>
      <c r="AL1291" s="53"/>
      <c r="AM1291" s="53">
        <f t="shared" si="885"/>
        <v>0</v>
      </c>
      <c r="AN1291" s="38"/>
      <c r="AO1291" s="38"/>
      <c r="AP1291" s="38"/>
      <c r="AQ1291" s="54"/>
      <c r="AR1291" s="53"/>
      <c r="AS1291" s="29">
        <f t="shared" si="898"/>
        <v>-1352531.0900000015</v>
      </c>
      <c r="AT1291" s="29">
        <f t="shared" si="899"/>
        <v>527927.78</v>
      </c>
      <c r="AU1291" s="29">
        <f t="shared" si="900"/>
        <v>0</v>
      </c>
      <c r="AV1291" s="29">
        <f t="shared" si="901"/>
        <v>-46953.369999999995</v>
      </c>
      <c r="AW1291" s="29"/>
      <c r="AX1291" s="29">
        <f t="shared" si="902"/>
        <v>-871373.66000000085</v>
      </c>
      <c r="AY1291" s="29">
        <f t="shared" si="903"/>
        <v>9300000</v>
      </c>
      <c r="AZ1291" s="29">
        <f t="shared" si="904"/>
        <v>8428626.3399999999</v>
      </c>
    </row>
    <row r="1292" spans="2:52" x14ac:dyDescent="0.3">
      <c r="B1292" s="99">
        <f t="shared" si="865"/>
        <v>45973</v>
      </c>
      <c r="C1292" s="44">
        <f t="shared" si="886"/>
        <v>-1412508.1299999997</v>
      </c>
      <c r="D1292" s="38">
        <v>45048</v>
      </c>
      <c r="E1292" s="38"/>
      <c r="F1292" s="38">
        <v>-5756.09</v>
      </c>
      <c r="G1292" s="45">
        <f t="shared" si="887"/>
        <v>-1373216.2199999997</v>
      </c>
      <c r="H1292" s="44">
        <v>4300000</v>
      </c>
      <c r="I1292" s="46">
        <f t="shared" si="888"/>
        <v>540346.56999999995</v>
      </c>
      <c r="J1292" s="38"/>
      <c r="K1292" s="38"/>
      <c r="L1292" s="38">
        <v>-87327.75</v>
      </c>
      <c r="M1292" s="47">
        <f t="shared" si="889"/>
        <v>453018.81999999995</v>
      </c>
      <c r="N1292" s="46">
        <v>5000000</v>
      </c>
      <c r="O1292" s="48">
        <f t="shared" si="890"/>
        <v>537.86999999944237</v>
      </c>
      <c r="P1292" s="38"/>
      <c r="Q1292" s="38"/>
      <c r="R1292" s="38"/>
      <c r="S1292" s="55">
        <f t="shared" si="891"/>
        <v>537.86999999944237</v>
      </c>
      <c r="T1292" s="48"/>
      <c r="U1292" s="49">
        <f t="shared" si="892"/>
        <v>66.509999999511422</v>
      </c>
      <c r="V1292" s="38"/>
      <c r="W1292" s="38"/>
      <c r="X1292" s="38"/>
      <c r="Y1292" s="51">
        <f t="shared" si="893"/>
        <v>66.509999999511422</v>
      </c>
      <c r="Z1292" s="52"/>
      <c r="AA1292" s="53">
        <f t="shared" si="894"/>
        <v>0.49999999923022642</v>
      </c>
      <c r="AB1292" s="38"/>
      <c r="AC1292" s="38"/>
      <c r="AD1292" s="38"/>
      <c r="AE1292" s="54">
        <f t="shared" si="895"/>
        <v>0.49999999923022642</v>
      </c>
      <c r="AF1292" s="53"/>
      <c r="AG1292" s="53">
        <f t="shared" si="896"/>
        <v>183.02000000073573</v>
      </c>
      <c r="AH1292" s="38"/>
      <c r="AI1292" s="38"/>
      <c r="AJ1292" s="38"/>
      <c r="AK1292" s="54">
        <f t="shared" si="897"/>
        <v>183.02000000073573</v>
      </c>
      <c r="AL1292" s="53"/>
      <c r="AM1292" s="53">
        <f t="shared" si="885"/>
        <v>0</v>
      </c>
      <c r="AN1292" s="38"/>
      <c r="AO1292" s="38"/>
      <c r="AP1292" s="38"/>
      <c r="AQ1292" s="54"/>
      <c r="AR1292" s="53"/>
      <c r="AS1292" s="29">
        <f t="shared" si="898"/>
        <v>-871556.68000000156</v>
      </c>
      <c r="AT1292" s="29">
        <f t="shared" si="899"/>
        <v>45048</v>
      </c>
      <c r="AU1292" s="29">
        <f t="shared" si="900"/>
        <v>0</v>
      </c>
      <c r="AV1292" s="29">
        <f t="shared" si="901"/>
        <v>-93083.839999999997</v>
      </c>
      <c r="AW1292" s="29"/>
      <c r="AX1292" s="29">
        <f t="shared" si="902"/>
        <v>-919409.50000000093</v>
      </c>
      <c r="AY1292" s="29">
        <f t="shared" si="903"/>
        <v>9300000</v>
      </c>
      <c r="AZ1292" s="29">
        <f t="shared" si="904"/>
        <v>8380590.4999999991</v>
      </c>
    </row>
    <row r="1293" spans="2:52" x14ac:dyDescent="0.3">
      <c r="B1293" s="99">
        <f t="shared" si="865"/>
        <v>45974</v>
      </c>
      <c r="C1293" s="44">
        <f t="shared" si="886"/>
        <v>-1373216.2199999997</v>
      </c>
      <c r="D1293" s="38">
        <v>39665.769999999997</v>
      </c>
      <c r="E1293" s="38"/>
      <c r="F1293" s="38">
        <v>-21582.33</v>
      </c>
      <c r="G1293" s="45">
        <f t="shared" si="887"/>
        <v>-1355132.7799999998</v>
      </c>
      <c r="H1293" s="44">
        <v>4300000</v>
      </c>
      <c r="I1293" s="46">
        <f t="shared" si="888"/>
        <v>453018.81999999995</v>
      </c>
      <c r="J1293" s="38"/>
      <c r="K1293" s="38"/>
      <c r="L1293" s="38">
        <v>-13106.52</v>
      </c>
      <c r="M1293" s="47">
        <f t="shared" si="889"/>
        <v>439912.29999999993</v>
      </c>
      <c r="N1293" s="46">
        <v>5000000</v>
      </c>
      <c r="O1293" s="48">
        <f t="shared" si="890"/>
        <v>537.86999999944237</v>
      </c>
      <c r="P1293" s="38"/>
      <c r="Q1293" s="38"/>
      <c r="R1293" s="38"/>
      <c r="S1293" s="55">
        <f t="shared" si="891"/>
        <v>537.86999999944237</v>
      </c>
      <c r="T1293" s="48"/>
      <c r="U1293" s="49">
        <f t="shared" si="892"/>
        <v>66.509999999511422</v>
      </c>
      <c r="V1293" s="38"/>
      <c r="W1293" s="38"/>
      <c r="X1293" s="38"/>
      <c r="Y1293" s="51">
        <f t="shared" si="893"/>
        <v>66.509999999511422</v>
      </c>
      <c r="Z1293" s="52"/>
      <c r="AA1293" s="53">
        <f t="shared" si="894"/>
        <v>0.49999999923022642</v>
      </c>
      <c r="AB1293" s="38"/>
      <c r="AC1293" s="38"/>
      <c r="AD1293" s="38"/>
      <c r="AE1293" s="54">
        <f t="shared" si="895"/>
        <v>0.49999999923022642</v>
      </c>
      <c r="AF1293" s="53"/>
      <c r="AG1293" s="53">
        <f t="shared" si="896"/>
        <v>183.02000000073573</v>
      </c>
      <c r="AH1293" s="38"/>
      <c r="AI1293" s="38"/>
      <c r="AJ1293" s="38"/>
      <c r="AK1293" s="54">
        <f t="shared" si="897"/>
        <v>183.02000000073573</v>
      </c>
      <c r="AL1293" s="53"/>
      <c r="AM1293" s="53">
        <f t="shared" si="885"/>
        <v>0</v>
      </c>
      <c r="AN1293" s="38"/>
      <c r="AO1293" s="38"/>
      <c r="AP1293" s="38"/>
      <c r="AQ1293" s="54"/>
      <c r="AR1293" s="53"/>
      <c r="AS1293" s="29">
        <f t="shared" si="898"/>
        <v>-919592.52000000165</v>
      </c>
      <c r="AT1293" s="29">
        <f t="shared" si="899"/>
        <v>39665.769999999997</v>
      </c>
      <c r="AU1293" s="29">
        <f t="shared" si="900"/>
        <v>0</v>
      </c>
      <c r="AV1293" s="29">
        <f t="shared" si="901"/>
        <v>-34688.850000000006</v>
      </c>
      <c r="AW1293" s="29"/>
      <c r="AX1293" s="29">
        <f t="shared" si="902"/>
        <v>-914432.58000000101</v>
      </c>
      <c r="AY1293" s="29">
        <f t="shared" si="903"/>
        <v>9300000</v>
      </c>
      <c r="AZ1293" s="29">
        <f t="shared" si="904"/>
        <v>8385567.419999999</v>
      </c>
    </row>
    <row r="1294" spans="2:52" x14ac:dyDescent="0.3">
      <c r="B1294" s="99">
        <f t="shared" si="865"/>
        <v>45975</v>
      </c>
      <c r="C1294" s="44">
        <f t="shared" si="886"/>
        <v>-1355132.7799999998</v>
      </c>
      <c r="D1294" s="38"/>
      <c r="E1294" s="38"/>
      <c r="F1294" s="38">
        <f>-9071.62-3603.12-115.6</f>
        <v>-12790.340000000002</v>
      </c>
      <c r="G1294" s="45">
        <f t="shared" si="887"/>
        <v>-1367923.1199999999</v>
      </c>
      <c r="H1294" s="44">
        <v>4300000</v>
      </c>
      <c r="I1294" s="46">
        <f t="shared" si="888"/>
        <v>439912.29999999993</v>
      </c>
      <c r="J1294" s="38">
        <v>139379.59</v>
      </c>
      <c r="K1294" s="38"/>
      <c r="L1294" s="38">
        <v>-301075.73</v>
      </c>
      <c r="M1294" s="47">
        <f t="shared" si="889"/>
        <v>278216.15999999992</v>
      </c>
      <c r="N1294" s="46">
        <v>5000000</v>
      </c>
      <c r="O1294" s="48">
        <f t="shared" si="890"/>
        <v>537.86999999944237</v>
      </c>
      <c r="P1294" s="38"/>
      <c r="Q1294" s="38"/>
      <c r="R1294" s="38"/>
      <c r="S1294" s="55">
        <f t="shared" si="891"/>
        <v>537.86999999944237</v>
      </c>
      <c r="T1294" s="48"/>
      <c r="U1294" s="49">
        <f t="shared" si="892"/>
        <v>66.509999999511422</v>
      </c>
      <c r="V1294" s="38"/>
      <c r="W1294" s="38"/>
      <c r="X1294" s="38"/>
      <c r="Y1294" s="51">
        <f t="shared" si="893"/>
        <v>66.509999999511422</v>
      </c>
      <c r="Z1294" s="52"/>
      <c r="AA1294" s="53">
        <f t="shared" si="894"/>
        <v>0.49999999923022642</v>
      </c>
      <c r="AB1294" s="38"/>
      <c r="AC1294" s="38"/>
      <c r="AD1294" s="38"/>
      <c r="AE1294" s="54">
        <f t="shared" si="895"/>
        <v>0.49999999923022642</v>
      </c>
      <c r="AF1294" s="53"/>
      <c r="AG1294" s="53">
        <f t="shared" si="896"/>
        <v>183.02000000073573</v>
      </c>
      <c r="AH1294" s="38"/>
      <c r="AI1294" s="38"/>
      <c r="AJ1294" s="38"/>
      <c r="AK1294" s="54">
        <f t="shared" si="897"/>
        <v>183.02000000073573</v>
      </c>
      <c r="AL1294" s="53"/>
      <c r="AM1294" s="53">
        <f t="shared" si="885"/>
        <v>0</v>
      </c>
      <c r="AN1294" s="38"/>
      <c r="AO1294" s="38"/>
      <c r="AP1294" s="38"/>
      <c r="AQ1294" s="54"/>
      <c r="AR1294" s="53"/>
      <c r="AS1294" s="29">
        <f t="shared" si="898"/>
        <v>-914615.60000000172</v>
      </c>
      <c r="AT1294" s="29">
        <f t="shared" si="899"/>
        <v>139379.59</v>
      </c>
      <c r="AU1294" s="29">
        <f t="shared" si="900"/>
        <v>0</v>
      </c>
      <c r="AV1294" s="29">
        <f t="shared" si="901"/>
        <v>-313866.07</v>
      </c>
      <c r="AW1294" s="29"/>
      <c r="AX1294" s="29">
        <f t="shared" si="902"/>
        <v>-1088919.060000001</v>
      </c>
      <c r="AY1294" s="29">
        <f t="shared" si="903"/>
        <v>9300000</v>
      </c>
      <c r="AZ1294" s="29">
        <f t="shared" si="904"/>
        <v>8211080.9399999995</v>
      </c>
    </row>
    <row r="1295" spans="2:52" x14ac:dyDescent="0.3">
      <c r="B1295" s="99">
        <f>B1294+3</f>
        <v>45978</v>
      </c>
      <c r="C1295" s="44">
        <f t="shared" si="886"/>
        <v>-1367923.1199999999</v>
      </c>
      <c r="D1295" s="38">
        <f>264268.92+33708.95</f>
        <v>297977.87</v>
      </c>
      <c r="E1295" s="38"/>
      <c r="F1295" s="38">
        <f>-3791.32-16988.38</f>
        <v>-20779.7</v>
      </c>
      <c r="G1295" s="45">
        <f t="shared" si="887"/>
        <v>-1090724.95</v>
      </c>
      <c r="H1295" s="44">
        <v>4300000</v>
      </c>
      <c r="I1295" s="46">
        <f t="shared" si="888"/>
        <v>278216.15999999992</v>
      </c>
      <c r="J1295" s="38"/>
      <c r="K1295" s="38"/>
      <c r="L1295" s="38">
        <v>-169979.23</v>
      </c>
      <c r="M1295" s="47">
        <f t="shared" si="889"/>
        <v>108236.92999999991</v>
      </c>
      <c r="N1295" s="46">
        <v>5000000</v>
      </c>
      <c r="O1295" s="48">
        <f t="shared" si="890"/>
        <v>537.86999999944237</v>
      </c>
      <c r="P1295" s="38"/>
      <c r="Q1295" s="38"/>
      <c r="R1295" s="38"/>
      <c r="S1295" s="55">
        <f t="shared" si="891"/>
        <v>537.86999999944237</v>
      </c>
      <c r="T1295" s="48"/>
      <c r="U1295" s="49">
        <f t="shared" si="892"/>
        <v>66.509999999511422</v>
      </c>
      <c r="V1295" s="38"/>
      <c r="W1295" s="38"/>
      <c r="X1295" s="38"/>
      <c r="Y1295" s="51">
        <f t="shared" si="893"/>
        <v>66.509999999511422</v>
      </c>
      <c r="Z1295" s="52"/>
      <c r="AA1295" s="53">
        <f t="shared" si="894"/>
        <v>0.49999999923022642</v>
      </c>
      <c r="AB1295" s="38"/>
      <c r="AC1295" s="38"/>
      <c r="AD1295" s="38"/>
      <c r="AE1295" s="54">
        <f t="shared" si="895"/>
        <v>0.49999999923022642</v>
      </c>
      <c r="AF1295" s="53"/>
      <c r="AG1295" s="53">
        <f t="shared" si="896"/>
        <v>183.02000000073573</v>
      </c>
      <c r="AH1295" s="38"/>
      <c r="AI1295" s="38"/>
      <c r="AJ1295" s="38"/>
      <c r="AK1295" s="54">
        <f t="shared" si="897"/>
        <v>183.02000000073573</v>
      </c>
      <c r="AL1295" s="53"/>
      <c r="AM1295" s="53">
        <f t="shared" si="885"/>
        <v>0</v>
      </c>
      <c r="AN1295" s="38"/>
      <c r="AO1295" s="38"/>
      <c r="AP1295" s="38"/>
      <c r="AQ1295" s="54"/>
      <c r="AR1295" s="53"/>
      <c r="AS1295" s="29">
        <f t="shared" si="898"/>
        <v>-1089102.0800000017</v>
      </c>
      <c r="AT1295" s="29">
        <f t="shared" si="899"/>
        <v>297977.87</v>
      </c>
      <c r="AU1295" s="29">
        <f t="shared" si="900"/>
        <v>0</v>
      </c>
      <c r="AV1295" s="29">
        <f t="shared" si="901"/>
        <v>-190758.93000000002</v>
      </c>
      <c r="AW1295" s="29"/>
      <c r="AX1295" s="29">
        <f t="shared" si="902"/>
        <v>-981700.12000000116</v>
      </c>
      <c r="AY1295" s="29">
        <f t="shared" si="903"/>
        <v>9300000</v>
      </c>
      <c r="AZ1295" s="29">
        <f t="shared" si="904"/>
        <v>8318299.879999999</v>
      </c>
    </row>
    <row r="1296" spans="2:52" x14ac:dyDescent="0.3">
      <c r="B1296" s="99">
        <f t="shared" si="865"/>
        <v>45979</v>
      </c>
      <c r="C1296" s="44">
        <f t="shared" si="886"/>
        <v>-1090724.95</v>
      </c>
      <c r="D1296" s="38">
        <v>408895.24</v>
      </c>
      <c r="E1296" s="38">
        <v>-1000000</v>
      </c>
      <c r="F1296" s="38"/>
      <c r="G1296" s="45">
        <f t="shared" si="887"/>
        <v>-1681829.71</v>
      </c>
      <c r="H1296" s="44">
        <v>4300000</v>
      </c>
      <c r="I1296" s="46">
        <f t="shared" si="888"/>
        <v>108236.92999999991</v>
      </c>
      <c r="J1296" s="38"/>
      <c r="K1296" s="38">
        <v>1034000</v>
      </c>
      <c r="L1296" s="38">
        <v>-1110819.6000000001</v>
      </c>
      <c r="M1296" s="47">
        <f t="shared" si="889"/>
        <v>31417.329999999842</v>
      </c>
      <c r="N1296" s="46">
        <v>5000000</v>
      </c>
      <c r="O1296" s="48">
        <f t="shared" si="890"/>
        <v>537.86999999944237</v>
      </c>
      <c r="P1296" s="38">
        <v>34440.629999999997</v>
      </c>
      <c r="Q1296" s="38">
        <v>-34000</v>
      </c>
      <c r="R1296" s="38">
        <v>-10</v>
      </c>
      <c r="S1296" s="55">
        <f t="shared" si="891"/>
        <v>968.49999999943975</v>
      </c>
      <c r="T1296" s="48"/>
      <c r="U1296" s="49">
        <f t="shared" si="892"/>
        <v>66.509999999511422</v>
      </c>
      <c r="V1296" s="38"/>
      <c r="W1296" s="38"/>
      <c r="X1296" s="38"/>
      <c r="Y1296" s="51">
        <f t="shared" si="893"/>
        <v>66.509999999511422</v>
      </c>
      <c r="Z1296" s="52"/>
      <c r="AA1296" s="53">
        <f t="shared" si="894"/>
        <v>0.49999999923022642</v>
      </c>
      <c r="AB1296" s="38"/>
      <c r="AC1296" s="38"/>
      <c r="AD1296" s="38"/>
      <c r="AE1296" s="54">
        <f t="shared" si="895"/>
        <v>0.49999999923022642</v>
      </c>
      <c r="AF1296" s="53"/>
      <c r="AG1296" s="53">
        <f t="shared" si="896"/>
        <v>183.02000000073573</v>
      </c>
      <c r="AH1296" s="38"/>
      <c r="AI1296" s="38"/>
      <c r="AJ1296" s="38"/>
      <c r="AK1296" s="54">
        <f t="shared" si="897"/>
        <v>183.02000000073573</v>
      </c>
      <c r="AL1296" s="53"/>
      <c r="AM1296" s="53">
        <f t="shared" si="885"/>
        <v>0</v>
      </c>
      <c r="AN1296" s="38"/>
      <c r="AO1296" s="38"/>
      <c r="AP1296" s="38"/>
      <c r="AQ1296" s="54"/>
      <c r="AR1296" s="53"/>
      <c r="AS1296" s="29">
        <f t="shared" si="898"/>
        <v>-981883.14000000188</v>
      </c>
      <c r="AT1296" s="29">
        <f t="shared" si="899"/>
        <v>443335.87</v>
      </c>
      <c r="AU1296" s="29">
        <f t="shared" si="900"/>
        <v>0</v>
      </c>
      <c r="AV1296" s="29">
        <f t="shared" si="901"/>
        <v>-1110829.6000000001</v>
      </c>
      <c r="AW1296" s="29"/>
      <c r="AX1296" s="29">
        <f t="shared" si="902"/>
        <v>-1649193.850000001</v>
      </c>
      <c r="AY1296" s="29">
        <f t="shared" si="903"/>
        <v>9300000</v>
      </c>
      <c r="AZ1296" s="29">
        <f t="shared" si="904"/>
        <v>7650806.1499999985</v>
      </c>
    </row>
    <row r="1297" spans="2:52" x14ac:dyDescent="0.3">
      <c r="B1297" s="99">
        <f t="shared" si="865"/>
        <v>45980</v>
      </c>
      <c r="C1297" s="44">
        <f t="shared" si="886"/>
        <v>-1681829.71</v>
      </c>
      <c r="D1297" s="38">
        <v>37540</v>
      </c>
      <c r="E1297" s="38">
        <v>-1050000</v>
      </c>
      <c r="F1297" s="38">
        <f>-2398.16-1074.57-49.9-1.11-705056.13</f>
        <v>-708579.87</v>
      </c>
      <c r="G1297" s="45">
        <f t="shared" si="887"/>
        <v>-3402869.58</v>
      </c>
      <c r="H1297" s="44">
        <v>4300000</v>
      </c>
      <c r="I1297" s="46">
        <f t="shared" si="888"/>
        <v>31417.329999999842</v>
      </c>
      <c r="J1297" s="38">
        <v>114353.11</v>
      </c>
      <c r="K1297" s="38">
        <f>100000+950000</f>
        <v>1050000</v>
      </c>
      <c r="L1297" s="38">
        <v>-990460.12</v>
      </c>
      <c r="M1297" s="47">
        <f t="shared" si="889"/>
        <v>205310.31999999995</v>
      </c>
      <c r="N1297" s="46">
        <v>5000000</v>
      </c>
      <c r="O1297" s="48">
        <f t="shared" si="890"/>
        <v>968.49999999943975</v>
      </c>
      <c r="P1297" s="38"/>
      <c r="Q1297" s="38"/>
      <c r="R1297" s="38">
        <v>-480</v>
      </c>
      <c r="S1297" s="55">
        <f t="shared" si="891"/>
        <v>488.49999999943975</v>
      </c>
      <c r="T1297" s="48"/>
      <c r="U1297" s="49">
        <f t="shared" si="892"/>
        <v>66.509999999511422</v>
      </c>
      <c r="V1297" s="38"/>
      <c r="W1297" s="38"/>
      <c r="X1297" s="38"/>
      <c r="Y1297" s="51">
        <f t="shared" si="893"/>
        <v>66.509999999511422</v>
      </c>
      <c r="Z1297" s="52"/>
      <c r="AA1297" s="53">
        <f t="shared" si="894"/>
        <v>0.49999999923022642</v>
      </c>
      <c r="AB1297" s="38"/>
      <c r="AC1297" s="38"/>
      <c r="AD1297" s="38"/>
      <c r="AE1297" s="54">
        <f t="shared" si="895"/>
        <v>0.49999999923022642</v>
      </c>
      <c r="AF1297" s="53"/>
      <c r="AG1297" s="53">
        <f t="shared" si="896"/>
        <v>183.02000000073573</v>
      </c>
      <c r="AH1297" s="38"/>
      <c r="AI1297" s="38"/>
      <c r="AJ1297" s="38"/>
      <c r="AK1297" s="54">
        <f t="shared" si="897"/>
        <v>183.02000000073573</v>
      </c>
      <c r="AL1297" s="53"/>
      <c r="AM1297" s="53">
        <f t="shared" si="885"/>
        <v>0</v>
      </c>
      <c r="AN1297" s="38"/>
      <c r="AO1297" s="38"/>
      <c r="AP1297" s="38"/>
      <c r="AQ1297" s="54"/>
      <c r="AR1297" s="53"/>
      <c r="AS1297" s="29">
        <f t="shared" si="898"/>
        <v>-1649376.8700000017</v>
      </c>
      <c r="AT1297" s="29">
        <f t="shared" si="899"/>
        <v>151893.10999999999</v>
      </c>
      <c r="AU1297" s="29">
        <f t="shared" si="900"/>
        <v>0</v>
      </c>
      <c r="AV1297" s="29">
        <f t="shared" si="901"/>
        <v>-1699519.99</v>
      </c>
      <c r="AW1297" s="29"/>
      <c r="AX1297" s="29">
        <f t="shared" si="902"/>
        <v>-3196820.7300000014</v>
      </c>
      <c r="AY1297" s="29">
        <f t="shared" si="903"/>
        <v>9300000</v>
      </c>
      <c r="AZ1297" s="29">
        <f t="shared" si="904"/>
        <v>6103179.2699999986</v>
      </c>
    </row>
    <row r="1298" spans="2:52" x14ac:dyDescent="0.3">
      <c r="B1298" s="99">
        <f t="shared" si="865"/>
        <v>45981</v>
      </c>
      <c r="C1298" s="44">
        <f t="shared" si="886"/>
        <v>-3402869.58</v>
      </c>
      <c r="D1298" s="38"/>
      <c r="E1298" s="38"/>
      <c r="F1298" s="38"/>
      <c r="G1298" s="45">
        <f t="shared" si="887"/>
        <v>-3402869.58</v>
      </c>
      <c r="H1298" s="44">
        <v>4300000</v>
      </c>
      <c r="I1298" s="46">
        <f t="shared" si="888"/>
        <v>205310.31999999995</v>
      </c>
      <c r="J1298" s="38"/>
      <c r="K1298" s="38"/>
      <c r="L1298" s="38"/>
      <c r="M1298" s="47">
        <f t="shared" si="889"/>
        <v>205310.31999999995</v>
      </c>
      <c r="N1298" s="46">
        <v>5000000</v>
      </c>
      <c r="O1298" s="48">
        <f t="shared" si="890"/>
        <v>488.49999999943975</v>
      </c>
      <c r="P1298" s="38"/>
      <c r="Q1298" s="38"/>
      <c r="R1298" s="38"/>
      <c r="S1298" s="55">
        <f t="shared" si="891"/>
        <v>488.49999999943975</v>
      </c>
      <c r="T1298" s="48"/>
      <c r="U1298" s="49">
        <f t="shared" si="892"/>
        <v>66.509999999511422</v>
      </c>
      <c r="V1298" s="38"/>
      <c r="W1298" s="38"/>
      <c r="X1298" s="38"/>
      <c r="Y1298" s="51">
        <f t="shared" si="893"/>
        <v>66.509999999511422</v>
      </c>
      <c r="Z1298" s="52"/>
      <c r="AA1298" s="53">
        <f t="shared" si="894"/>
        <v>0.49999999923022642</v>
      </c>
      <c r="AB1298" s="38"/>
      <c r="AC1298" s="38"/>
      <c r="AD1298" s="38"/>
      <c r="AE1298" s="54">
        <f t="shared" si="895"/>
        <v>0.49999999923022642</v>
      </c>
      <c r="AF1298" s="53"/>
      <c r="AG1298" s="53">
        <f t="shared" si="896"/>
        <v>183.02000000073573</v>
      </c>
      <c r="AH1298" s="38"/>
      <c r="AI1298" s="38"/>
      <c r="AJ1298" s="38"/>
      <c r="AK1298" s="54">
        <f t="shared" si="897"/>
        <v>183.02000000073573</v>
      </c>
      <c r="AL1298" s="53"/>
      <c r="AM1298" s="53">
        <f t="shared" si="885"/>
        <v>0</v>
      </c>
      <c r="AN1298" s="38"/>
      <c r="AO1298" s="38"/>
      <c r="AP1298" s="38"/>
      <c r="AQ1298" s="54"/>
      <c r="AR1298" s="53"/>
      <c r="AS1298" s="29">
        <f t="shared" si="898"/>
        <v>-3197003.7500000023</v>
      </c>
      <c r="AT1298" s="29">
        <f t="shared" si="899"/>
        <v>0</v>
      </c>
      <c r="AU1298" s="29">
        <f t="shared" si="900"/>
        <v>0</v>
      </c>
      <c r="AV1298" s="29">
        <f t="shared" si="901"/>
        <v>0</v>
      </c>
      <c r="AW1298" s="29"/>
      <c r="AX1298" s="29">
        <f t="shared" si="902"/>
        <v>-3196820.7300000014</v>
      </c>
      <c r="AY1298" s="29">
        <f t="shared" si="903"/>
        <v>9300000</v>
      </c>
      <c r="AZ1298" s="29">
        <f t="shared" si="904"/>
        <v>6103179.2699999986</v>
      </c>
    </row>
    <row r="1299" spans="2:52" x14ac:dyDescent="0.3">
      <c r="B1299" s="99">
        <f t="shared" si="865"/>
        <v>45982</v>
      </c>
      <c r="C1299" s="44">
        <f t="shared" si="886"/>
        <v>-3402869.58</v>
      </c>
      <c r="D1299" s="38">
        <f>695942.3+110469.01+110469.01+137520.79+114587.77+83069.86+59223.06+36539.56</f>
        <v>1347821.3600000003</v>
      </c>
      <c r="E1299" s="38"/>
      <c r="F1299" s="38">
        <f>-0.21-806041.15</f>
        <v>-806041.36</v>
      </c>
      <c r="G1299" s="45">
        <f t="shared" si="887"/>
        <v>-2861089.5799999996</v>
      </c>
      <c r="H1299" s="44">
        <v>4300000</v>
      </c>
      <c r="I1299" s="46">
        <f t="shared" si="888"/>
        <v>205310.31999999995</v>
      </c>
      <c r="J1299" s="38"/>
      <c r="K1299" s="38">
        <v>50000</v>
      </c>
      <c r="L1299" s="38">
        <v>-119370.34</v>
      </c>
      <c r="M1299" s="47">
        <f t="shared" si="889"/>
        <v>135939.97999999995</v>
      </c>
      <c r="N1299" s="46">
        <v>5000000</v>
      </c>
      <c r="O1299" s="48">
        <f t="shared" si="890"/>
        <v>488.49999999943975</v>
      </c>
      <c r="P1299" s="38"/>
      <c r="Q1299" s="38"/>
      <c r="R1299" s="38"/>
      <c r="S1299" s="55">
        <f t="shared" si="891"/>
        <v>488.49999999943975</v>
      </c>
      <c r="T1299" s="48"/>
      <c r="U1299" s="49">
        <f t="shared" si="892"/>
        <v>66.509999999511422</v>
      </c>
      <c r="V1299" s="38"/>
      <c r="W1299" s="38"/>
      <c r="X1299" s="38"/>
      <c r="Y1299" s="51">
        <f t="shared" si="893"/>
        <v>66.509999999511422</v>
      </c>
      <c r="Z1299" s="52"/>
      <c r="AA1299" s="53">
        <f t="shared" si="894"/>
        <v>0.49999999923022642</v>
      </c>
      <c r="AB1299" s="38"/>
      <c r="AC1299" s="38"/>
      <c r="AD1299" s="38"/>
      <c r="AE1299" s="54">
        <f t="shared" si="895"/>
        <v>0.49999999923022642</v>
      </c>
      <c r="AF1299" s="53"/>
      <c r="AG1299" s="53">
        <f t="shared" si="896"/>
        <v>183.02000000073573</v>
      </c>
      <c r="AH1299" s="38">
        <v>50120.41</v>
      </c>
      <c r="AI1299" s="38">
        <v>-50000</v>
      </c>
      <c r="AJ1299" s="38"/>
      <c r="AK1299" s="54">
        <f t="shared" si="897"/>
        <v>303.43000000074244</v>
      </c>
      <c r="AL1299" s="53"/>
      <c r="AM1299" s="53">
        <f t="shared" si="885"/>
        <v>0</v>
      </c>
      <c r="AN1299" s="38"/>
      <c r="AO1299" s="38"/>
      <c r="AP1299" s="38"/>
      <c r="AQ1299" s="54"/>
      <c r="AR1299" s="53"/>
      <c r="AS1299" s="29">
        <f t="shared" si="898"/>
        <v>-3197003.7500000023</v>
      </c>
      <c r="AT1299" s="29">
        <f t="shared" si="899"/>
        <v>1397941.7700000003</v>
      </c>
      <c r="AU1299" s="29">
        <f t="shared" si="900"/>
        <v>0</v>
      </c>
      <c r="AV1299" s="29">
        <f t="shared" si="901"/>
        <v>-925411.7</v>
      </c>
      <c r="AW1299" s="29"/>
      <c r="AX1299" s="29">
        <f t="shared" si="902"/>
        <v>-2724290.6600000011</v>
      </c>
      <c r="AY1299" s="29">
        <f t="shared" si="903"/>
        <v>9300000</v>
      </c>
      <c r="AZ1299" s="29">
        <f t="shared" si="904"/>
        <v>6575709.3399999989</v>
      </c>
    </row>
    <row r="1300" spans="2:52" x14ac:dyDescent="0.3">
      <c r="B1300" s="99">
        <f>B1299+3</f>
        <v>45985</v>
      </c>
      <c r="C1300" s="44">
        <f t="shared" ref="C1300:C1329" si="905">G1299</f>
        <v>-2861089.5799999996</v>
      </c>
      <c r="D1300" s="38">
        <f>175403.62+73881.96+71250.74</f>
        <v>320536.32000000001</v>
      </c>
      <c r="E1300" s="38"/>
      <c r="F1300" s="38">
        <f>-0.21-125-8780</f>
        <v>-8905.2099999999991</v>
      </c>
      <c r="G1300" s="45">
        <f t="shared" ref="G1300:G1329" si="906">SUM(C1300:F1300)</f>
        <v>-2549458.4699999997</v>
      </c>
      <c r="H1300" s="44">
        <v>4300000</v>
      </c>
      <c r="I1300" s="46">
        <f t="shared" ref="I1300:I1329" si="907">M1299</f>
        <v>135939.97999999995</v>
      </c>
      <c r="J1300" s="38"/>
      <c r="K1300" s="38"/>
      <c r="L1300" s="38">
        <v>-97506.559999999998</v>
      </c>
      <c r="M1300" s="47">
        <f t="shared" ref="M1300:M1329" si="908">SUM(I1300:L1300)</f>
        <v>38433.419999999955</v>
      </c>
      <c r="N1300" s="46">
        <v>5000000</v>
      </c>
      <c r="O1300" s="48">
        <f t="shared" ref="O1300:O1329" si="909">S1299</f>
        <v>488.49999999943975</v>
      </c>
      <c r="P1300" s="38"/>
      <c r="Q1300" s="38"/>
      <c r="R1300" s="38">
        <v>-250</v>
      </c>
      <c r="S1300" s="55">
        <f t="shared" ref="S1300:S1329" si="910">SUM(O1300:R1300)</f>
        <v>238.49999999943975</v>
      </c>
      <c r="T1300" s="48"/>
      <c r="U1300" s="49">
        <f t="shared" ref="U1300:U1329" si="911">Y1299</f>
        <v>66.509999999511422</v>
      </c>
      <c r="V1300" s="38"/>
      <c r="W1300" s="38"/>
      <c r="X1300" s="38"/>
      <c r="Y1300" s="51">
        <f t="shared" ref="Y1300:Y1329" si="912">SUM(U1300:X1300)</f>
        <v>66.509999999511422</v>
      </c>
      <c r="Z1300" s="52"/>
      <c r="AA1300" s="53">
        <f t="shared" ref="AA1300:AA1329" si="913">AE1299</f>
        <v>0.49999999923022642</v>
      </c>
      <c r="AB1300" s="38"/>
      <c r="AC1300" s="38"/>
      <c r="AD1300" s="38"/>
      <c r="AE1300" s="54">
        <f t="shared" ref="AE1300:AE1329" si="914">SUM(AA1300:AD1300)</f>
        <v>0.49999999923022642</v>
      </c>
      <c r="AF1300" s="53"/>
      <c r="AG1300" s="53">
        <f t="shared" ref="AG1300:AG1329" si="915">AK1299</f>
        <v>303.43000000074244</v>
      </c>
      <c r="AH1300" s="38"/>
      <c r="AI1300" s="38"/>
      <c r="AJ1300" s="38">
        <v>-9.9</v>
      </c>
      <c r="AK1300" s="54">
        <f t="shared" ref="AK1300:AK1329" si="916">SUM(AG1300:AJ1300)</f>
        <v>293.53000000074246</v>
      </c>
      <c r="AL1300" s="53"/>
      <c r="AM1300" s="53">
        <f t="shared" si="885"/>
        <v>0</v>
      </c>
      <c r="AN1300" s="38"/>
      <c r="AO1300" s="38"/>
      <c r="AP1300" s="38"/>
      <c r="AQ1300" s="54"/>
      <c r="AR1300" s="53"/>
      <c r="AS1300" s="29">
        <f t="shared" ref="AS1300:AS1324" si="917">SUM(C1300,I1300,O1300,U1300,AA1300,)</f>
        <v>-2724594.0900000017</v>
      </c>
      <c r="AT1300" s="29">
        <f t="shared" ref="AT1300:AT1318" si="918">SUM(D1300,J1300,P1300,V1300,AB1300,AH1300)</f>
        <v>320536.32000000001</v>
      </c>
      <c r="AU1300" s="29">
        <f t="shared" ref="AU1300:AU1324" si="919">SUM(E1300,K1300,Q1300,W1300,AC1300,AI1300)</f>
        <v>0</v>
      </c>
      <c r="AV1300" s="29">
        <f t="shared" ref="AV1300:AV1324" si="920">SUM(F1300,L1300,R1300,X1300,AD1300,AJ1300)</f>
        <v>-106671.66999999998</v>
      </c>
      <c r="AW1300" s="29"/>
      <c r="AX1300" s="29">
        <f t="shared" ref="AX1300:AX1304" si="921">SUM(G1300,M1300,S1300,Y1300,AE1300,AK1300)</f>
        <v>-2510426.0100000012</v>
      </c>
      <c r="AY1300" s="29">
        <f t="shared" ref="AY1300:AY1329" si="922">SUM(H1300,N1300,T1300,Z1300,AF1300,AL1300)</f>
        <v>9300000</v>
      </c>
      <c r="AZ1300" s="29">
        <f t="shared" ref="AZ1300:AZ1329" si="923">AX1300+AY1300</f>
        <v>6789573.9899999984</v>
      </c>
    </row>
    <row r="1301" spans="2:52" x14ac:dyDescent="0.3">
      <c r="B1301" s="99">
        <f t="shared" si="865"/>
        <v>45986</v>
      </c>
      <c r="C1301" s="44">
        <f t="shared" si="905"/>
        <v>-2549458.4699999997</v>
      </c>
      <c r="D1301" s="38">
        <f>32503.25+29101.01+206495.02+31637.44+81340.92+48508.88</f>
        <v>429586.51999999996</v>
      </c>
      <c r="E1301" s="38">
        <v>-100000</v>
      </c>
      <c r="F1301" s="38">
        <f>-84379.17-310046.06-18282.12-69656.07</f>
        <v>-482363.42</v>
      </c>
      <c r="G1301" s="45">
        <f t="shared" si="906"/>
        <v>-2702235.3699999996</v>
      </c>
      <c r="H1301" s="44">
        <v>4300000</v>
      </c>
      <c r="I1301" s="46">
        <f t="shared" si="907"/>
        <v>38433.419999999955</v>
      </c>
      <c r="J1301" s="38"/>
      <c r="K1301" s="38">
        <v>100000</v>
      </c>
      <c r="L1301" s="38">
        <v>-84056.38</v>
      </c>
      <c r="M1301" s="47">
        <f t="shared" si="908"/>
        <v>54377.03999999995</v>
      </c>
      <c r="N1301" s="46">
        <v>5000000</v>
      </c>
      <c r="O1301" s="48">
        <f t="shared" si="909"/>
        <v>238.49999999943975</v>
      </c>
      <c r="P1301" s="38"/>
      <c r="Q1301" s="38">
        <v>50</v>
      </c>
      <c r="R1301" s="38">
        <v>-139.19999999999999</v>
      </c>
      <c r="S1301" s="55">
        <f t="shared" si="910"/>
        <v>149.29999999943976</v>
      </c>
      <c r="T1301" s="48"/>
      <c r="U1301" s="49">
        <f t="shared" si="911"/>
        <v>66.509999999511422</v>
      </c>
      <c r="V1301" s="38"/>
      <c r="W1301" s="38">
        <v>-50</v>
      </c>
      <c r="X1301" s="38">
        <v>-1.7</v>
      </c>
      <c r="Y1301" s="51">
        <f t="shared" si="912"/>
        <v>14.809999999511422</v>
      </c>
      <c r="Z1301" s="52"/>
      <c r="AA1301" s="53">
        <f t="shared" si="913"/>
        <v>0.49999999923022642</v>
      </c>
      <c r="AB1301" s="38"/>
      <c r="AC1301" s="38"/>
      <c r="AD1301" s="38"/>
      <c r="AE1301" s="54">
        <f t="shared" si="914"/>
        <v>0.49999999923022642</v>
      </c>
      <c r="AF1301" s="53"/>
      <c r="AG1301" s="53">
        <f t="shared" si="915"/>
        <v>293.53000000074246</v>
      </c>
      <c r="AH1301" s="38"/>
      <c r="AI1301" s="38"/>
      <c r="AJ1301" s="38"/>
      <c r="AK1301" s="54">
        <f t="shared" si="916"/>
        <v>293.53000000074246</v>
      </c>
      <c r="AL1301" s="53"/>
      <c r="AM1301" s="53">
        <f t="shared" si="885"/>
        <v>0</v>
      </c>
      <c r="AN1301" s="38"/>
      <c r="AO1301" s="38"/>
      <c r="AP1301" s="38"/>
      <c r="AQ1301" s="54"/>
      <c r="AR1301" s="53"/>
      <c r="AS1301" s="29">
        <f t="shared" si="917"/>
        <v>-2510719.5400000019</v>
      </c>
      <c r="AT1301" s="29">
        <f t="shared" si="918"/>
        <v>429586.51999999996</v>
      </c>
      <c r="AU1301" s="29">
        <f t="shared" si="919"/>
        <v>0</v>
      </c>
      <c r="AV1301" s="29">
        <f t="shared" si="920"/>
        <v>-566560.69999999995</v>
      </c>
      <c r="AW1301" s="29"/>
      <c r="AX1301" s="29">
        <f t="shared" si="921"/>
        <v>-2647400.1900000009</v>
      </c>
      <c r="AY1301" s="29">
        <f t="shared" si="922"/>
        <v>9300000</v>
      </c>
      <c r="AZ1301" s="29">
        <f t="shared" si="923"/>
        <v>6652599.8099999987</v>
      </c>
    </row>
    <row r="1302" spans="2:52" x14ac:dyDescent="0.3">
      <c r="B1302" s="99">
        <f t="shared" si="865"/>
        <v>45987</v>
      </c>
      <c r="C1302" s="44">
        <f t="shared" si="905"/>
        <v>-2702235.3699999996</v>
      </c>
      <c r="D1302" s="38">
        <v>239003.05</v>
      </c>
      <c r="E1302" s="38"/>
      <c r="F1302" s="38">
        <f>-33376.72-2.16-963.7-624.8</f>
        <v>-34967.380000000005</v>
      </c>
      <c r="G1302" s="45">
        <f t="shared" si="906"/>
        <v>-2498199.6999999997</v>
      </c>
      <c r="H1302" s="44">
        <v>4300000</v>
      </c>
      <c r="I1302" s="46">
        <f t="shared" si="907"/>
        <v>54377.03999999995</v>
      </c>
      <c r="J1302" s="38">
        <v>10242.790000000001</v>
      </c>
      <c r="K1302" s="38">
        <v>1620000</v>
      </c>
      <c r="L1302" s="38">
        <v>-779923.71</v>
      </c>
      <c r="M1302" s="47">
        <f t="shared" si="908"/>
        <v>904696.11999999988</v>
      </c>
      <c r="N1302" s="46">
        <v>5000000</v>
      </c>
      <c r="O1302" s="48">
        <f t="shared" si="909"/>
        <v>149.29999999943976</v>
      </c>
      <c r="P1302" s="38">
        <f>61988.96+109315.98</f>
        <v>171304.94</v>
      </c>
      <c r="Q1302" s="38">
        <f>1463000-1620000</f>
        <v>-157000</v>
      </c>
      <c r="R1302" s="38">
        <v>-10</v>
      </c>
      <c r="S1302" s="55">
        <f t="shared" si="910"/>
        <v>14444.239999999438</v>
      </c>
      <c r="T1302" s="48"/>
      <c r="U1302" s="49">
        <f t="shared" si="911"/>
        <v>14.809999999511422</v>
      </c>
      <c r="V1302" s="38">
        <v>1463169.15</v>
      </c>
      <c r="W1302" s="38">
        <v>-1463000</v>
      </c>
      <c r="X1302" s="38">
        <v>-1.7</v>
      </c>
      <c r="Y1302" s="51">
        <f t="shared" si="912"/>
        <v>182.2599999994971</v>
      </c>
      <c r="Z1302" s="52"/>
      <c r="AA1302" s="53">
        <f t="shared" si="913"/>
        <v>0.49999999923022642</v>
      </c>
      <c r="AB1302" s="38"/>
      <c r="AC1302" s="38"/>
      <c r="AD1302" s="38"/>
      <c r="AE1302" s="54">
        <f t="shared" si="914"/>
        <v>0.49999999923022642</v>
      </c>
      <c r="AF1302" s="53"/>
      <c r="AG1302" s="53">
        <f t="shared" si="915"/>
        <v>293.53000000074246</v>
      </c>
      <c r="AH1302" s="38"/>
      <c r="AI1302" s="38"/>
      <c r="AJ1302" s="38"/>
      <c r="AK1302" s="54">
        <f t="shared" si="916"/>
        <v>293.53000000074246</v>
      </c>
      <c r="AL1302" s="53"/>
      <c r="AM1302" s="53">
        <f t="shared" si="885"/>
        <v>0</v>
      </c>
      <c r="AN1302" s="38"/>
      <c r="AO1302" s="38"/>
      <c r="AP1302" s="38"/>
      <c r="AQ1302" s="54"/>
      <c r="AR1302" s="53"/>
      <c r="AS1302" s="29">
        <f t="shared" si="917"/>
        <v>-2647693.7200000016</v>
      </c>
      <c r="AT1302" s="29">
        <f t="shared" si="918"/>
        <v>1883719.93</v>
      </c>
      <c r="AU1302" s="29">
        <f t="shared" si="919"/>
        <v>0</v>
      </c>
      <c r="AV1302" s="29">
        <f t="shared" si="920"/>
        <v>-814902.78999999992</v>
      </c>
      <c r="AW1302" s="29"/>
      <c r="AX1302" s="29">
        <f t="shared" si="921"/>
        <v>-1578583.0500000007</v>
      </c>
      <c r="AY1302" s="29">
        <f t="shared" si="922"/>
        <v>9300000</v>
      </c>
      <c r="AZ1302" s="29">
        <f t="shared" si="923"/>
        <v>7721416.9499999993</v>
      </c>
    </row>
    <row r="1303" spans="2:52" x14ac:dyDescent="0.3">
      <c r="B1303" s="99">
        <f t="shared" si="865"/>
        <v>45988</v>
      </c>
      <c r="C1303" s="44">
        <f t="shared" si="905"/>
        <v>-2498199.6999999997</v>
      </c>
      <c r="D1303" s="38">
        <f>1377902.35-920000</f>
        <v>457902.35000000009</v>
      </c>
      <c r="E1303" s="38">
        <f>-800000+920000</f>
        <v>120000</v>
      </c>
      <c r="F1303" s="38">
        <v>0.21</v>
      </c>
      <c r="G1303" s="45">
        <f t="shared" si="906"/>
        <v>-1920297.1399999997</v>
      </c>
      <c r="H1303" s="44">
        <v>4300000</v>
      </c>
      <c r="I1303" s="46">
        <f t="shared" si="907"/>
        <v>904696.11999999988</v>
      </c>
      <c r="J1303" s="38"/>
      <c r="K1303" s="38">
        <f>800000+160000</f>
        <v>960000</v>
      </c>
      <c r="L1303" s="38">
        <v>-1838572.1</v>
      </c>
      <c r="M1303" s="47">
        <f t="shared" si="908"/>
        <v>26124.019999999786</v>
      </c>
      <c r="N1303" s="46">
        <v>5000000</v>
      </c>
      <c r="O1303" s="48">
        <f t="shared" si="909"/>
        <v>14444.239999999438</v>
      </c>
      <c r="P1303" s="38">
        <f>70248.43+193225.38+263884.87+387376.51</f>
        <v>914735.19</v>
      </c>
      <c r="Q1303" s="38">
        <f>-920000-160000+159700</f>
        <v>-920300</v>
      </c>
      <c r="R1303" s="38">
        <f>-796.22-5800.95-1150-20</f>
        <v>-7767.17</v>
      </c>
      <c r="S1303" s="55">
        <f t="shared" si="910"/>
        <v>1112.2599999993527</v>
      </c>
      <c r="T1303" s="48"/>
      <c r="U1303" s="49">
        <f t="shared" si="911"/>
        <v>182.2599999994971</v>
      </c>
      <c r="V1303" s="38">
        <v>159636</v>
      </c>
      <c r="W1303" s="38">
        <v>-159700</v>
      </c>
      <c r="X1303" s="38">
        <v>-1.7</v>
      </c>
      <c r="Y1303" s="51">
        <f t="shared" si="912"/>
        <v>116.55999999948544</v>
      </c>
      <c r="Z1303" s="52"/>
      <c r="AA1303" s="53">
        <f t="shared" si="913"/>
        <v>0.49999999923022642</v>
      </c>
      <c r="AB1303" s="38"/>
      <c r="AC1303" s="38"/>
      <c r="AD1303" s="38"/>
      <c r="AE1303" s="54">
        <f t="shared" si="914"/>
        <v>0.49999999923022642</v>
      </c>
      <c r="AF1303" s="53"/>
      <c r="AG1303" s="53">
        <f t="shared" si="915"/>
        <v>293.53000000074246</v>
      </c>
      <c r="AH1303" s="38"/>
      <c r="AI1303" s="38"/>
      <c r="AJ1303" s="38"/>
      <c r="AK1303" s="54">
        <f t="shared" si="916"/>
        <v>293.53000000074246</v>
      </c>
      <c r="AL1303" s="53"/>
      <c r="AM1303" s="53">
        <f t="shared" si="885"/>
        <v>0</v>
      </c>
      <c r="AN1303" s="38"/>
      <c r="AO1303" s="38"/>
      <c r="AP1303" s="38"/>
      <c r="AQ1303" s="54"/>
      <c r="AR1303" s="53"/>
      <c r="AS1303" s="29">
        <f t="shared" si="917"/>
        <v>-1578876.5800000015</v>
      </c>
      <c r="AT1303" s="29">
        <f t="shared" si="918"/>
        <v>1532273.54</v>
      </c>
      <c r="AU1303" s="29">
        <f t="shared" si="919"/>
        <v>0</v>
      </c>
      <c r="AV1303" s="29">
        <f t="shared" si="920"/>
        <v>-1846340.76</v>
      </c>
      <c r="AW1303" s="29"/>
      <c r="AX1303" s="29">
        <f t="shared" si="921"/>
        <v>-1892650.2700000009</v>
      </c>
      <c r="AY1303" s="29">
        <f t="shared" si="922"/>
        <v>9300000</v>
      </c>
      <c r="AZ1303" s="29">
        <f t="shared" si="923"/>
        <v>7407349.7299999986</v>
      </c>
    </row>
    <row r="1304" spans="2:52" x14ac:dyDescent="0.3">
      <c r="B1304" s="99">
        <f t="shared" si="865"/>
        <v>45989</v>
      </c>
      <c r="C1304" s="44">
        <f t="shared" si="905"/>
        <v>-1920297.1399999997</v>
      </c>
      <c r="D1304" s="38">
        <v>592601.28</v>
      </c>
      <c r="E1304" s="38">
        <f>96000-50000</f>
        <v>46000</v>
      </c>
      <c r="F1304" s="38">
        <v>-1096591.29</v>
      </c>
      <c r="G1304" s="45">
        <f t="shared" si="906"/>
        <v>-2378287.1499999994</v>
      </c>
      <c r="H1304" s="44">
        <v>4300000</v>
      </c>
      <c r="I1304" s="46">
        <f t="shared" si="907"/>
        <v>26124.019999999786</v>
      </c>
      <c r="J1304" s="38">
        <v>700168.11</v>
      </c>
      <c r="K1304" s="38">
        <f>50000+39000+227000</f>
        <v>316000</v>
      </c>
      <c r="L1304" s="38">
        <v>-1000000</v>
      </c>
      <c r="M1304" s="47">
        <f t="shared" si="908"/>
        <v>42292.129999999772</v>
      </c>
      <c r="N1304" s="46">
        <v>5000000</v>
      </c>
      <c r="O1304" s="48">
        <f t="shared" si="909"/>
        <v>1112.2599999993527</v>
      </c>
      <c r="P1304" s="38">
        <v>266155.25</v>
      </c>
      <c r="Q1304" s="38">
        <f>56148-227000-96000</f>
        <v>-266852</v>
      </c>
      <c r="R1304" s="38">
        <v>-20</v>
      </c>
      <c r="S1304" s="55">
        <f t="shared" si="910"/>
        <v>395.50999999936903</v>
      </c>
      <c r="T1304" s="48"/>
      <c r="U1304" s="49">
        <f t="shared" si="911"/>
        <v>116.55999999948544</v>
      </c>
      <c r="V1304" s="38">
        <v>56131.46</v>
      </c>
      <c r="W1304" s="38">
        <v>-56148</v>
      </c>
      <c r="X1304" s="38">
        <v>-1.7</v>
      </c>
      <c r="Y1304" s="51">
        <f t="shared" si="912"/>
        <v>98.319999999487479</v>
      </c>
      <c r="Z1304" s="52"/>
      <c r="AA1304" s="53">
        <f t="shared" si="913"/>
        <v>0.49999999923022642</v>
      </c>
      <c r="AB1304" s="38"/>
      <c r="AC1304" s="38"/>
      <c r="AD1304" s="38"/>
      <c r="AE1304" s="54">
        <f t="shared" si="914"/>
        <v>0.49999999923022642</v>
      </c>
      <c r="AF1304" s="53"/>
      <c r="AG1304" s="53">
        <f t="shared" si="915"/>
        <v>293.53000000074246</v>
      </c>
      <c r="AH1304" s="38">
        <f>38823.87+918060.17</f>
        <v>956884.04</v>
      </c>
      <c r="AI1304" s="38">
        <v>-39000</v>
      </c>
      <c r="AJ1304" s="38">
        <v>0.41</v>
      </c>
      <c r="AK1304" s="54">
        <f t="shared" si="916"/>
        <v>918177.9800000008</v>
      </c>
      <c r="AL1304" s="53"/>
      <c r="AM1304" s="53">
        <f t="shared" si="885"/>
        <v>0</v>
      </c>
      <c r="AN1304" s="38"/>
      <c r="AO1304" s="38"/>
      <c r="AP1304" s="38"/>
      <c r="AQ1304" s="54"/>
      <c r="AR1304" s="53"/>
      <c r="AS1304" s="29">
        <f t="shared" si="917"/>
        <v>-1892943.8000000017</v>
      </c>
      <c r="AT1304" s="29">
        <f t="shared" si="918"/>
        <v>2571940.14</v>
      </c>
      <c r="AU1304" s="29">
        <f t="shared" si="919"/>
        <v>0</v>
      </c>
      <c r="AV1304" s="29">
        <f t="shared" si="920"/>
        <v>-2096612.58</v>
      </c>
      <c r="AW1304" s="29"/>
      <c r="AX1304" s="29">
        <f t="shared" si="921"/>
        <v>-1417322.7100000009</v>
      </c>
      <c r="AY1304" s="29">
        <f t="shared" si="922"/>
        <v>9300000</v>
      </c>
      <c r="AZ1304" s="29">
        <f t="shared" si="923"/>
        <v>7882677.2899999991</v>
      </c>
    </row>
    <row r="1305" spans="2:52" x14ac:dyDescent="0.3">
      <c r="B1305" s="99">
        <f>B1304+3</f>
        <v>45992</v>
      </c>
      <c r="C1305" s="44">
        <f t="shared" si="905"/>
        <v>-2378287.1499999994</v>
      </c>
      <c r="D1305" s="38">
        <f>111855.74+58710.04</f>
        <v>170565.78</v>
      </c>
      <c r="E1305" s="38">
        <v>2608000</v>
      </c>
      <c r="F1305" s="38">
        <f>-0.21-13149.2-0.66</f>
        <v>-13150.07</v>
      </c>
      <c r="G1305" s="45">
        <f t="shared" si="906"/>
        <v>387128.56000000035</v>
      </c>
      <c r="H1305" s="44">
        <v>4300000</v>
      </c>
      <c r="I1305" s="46">
        <f t="shared" si="907"/>
        <v>42292.129999999772</v>
      </c>
      <c r="J1305" s="38"/>
      <c r="K1305" s="38">
        <v>100000</v>
      </c>
      <c r="L1305" s="38">
        <v>-112671.52</v>
      </c>
      <c r="M1305" s="47">
        <f t="shared" si="908"/>
        <v>29620.609999999768</v>
      </c>
      <c r="N1305" s="46">
        <v>5000000</v>
      </c>
      <c r="O1305" s="48">
        <f t="shared" si="909"/>
        <v>395.50999999936903</v>
      </c>
      <c r="P1305" s="38">
        <f>87689.66+34440.63</f>
        <v>122130.29000000001</v>
      </c>
      <c r="Q1305" s="38">
        <v>-100000</v>
      </c>
      <c r="R1305" s="38">
        <v>-21902.880000000001</v>
      </c>
      <c r="S1305" s="55">
        <f t="shared" si="910"/>
        <v>622.91999999937616</v>
      </c>
      <c r="T1305" s="48"/>
      <c r="U1305" s="49">
        <f t="shared" si="911"/>
        <v>98.319999999487479</v>
      </c>
      <c r="V1305" s="38"/>
      <c r="W1305" s="38"/>
      <c r="X1305" s="38"/>
      <c r="Y1305" s="51">
        <f t="shared" si="912"/>
        <v>98.319999999487479</v>
      </c>
      <c r="Z1305" s="52"/>
      <c r="AA1305" s="53">
        <f t="shared" si="913"/>
        <v>0.49999999923022642</v>
      </c>
      <c r="AB1305" s="38"/>
      <c r="AC1305" s="38"/>
      <c r="AD1305" s="38"/>
      <c r="AE1305" s="54">
        <f t="shared" si="914"/>
        <v>0.49999999923022642</v>
      </c>
      <c r="AF1305" s="53"/>
      <c r="AG1305" s="53">
        <f t="shared" si="915"/>
        <v>918177.9800000008</v>
      </c>
      <c r="AH1305" s="38">
        <f>155526.08+736493.25+798471.68</f>
        <v>1690491.01</v>
      </c>
      <c r="AI1305" s="38">
        <v>-2608000</v>
      </c>
      <c r="AJ1305" s="38">
        <f>-99.9</f>
        <v>-99.9</v>
      </c>
      <c r="AK1305" s="54">
        <f t="shared" si="916"/>
        <v>569.0900000006892</v>
      </c>
      <c r="AL1305" s="53"/>
      <c r="AM1305" s="53">
        <f t="shared" si="885"/>
        <v>0</v>
      </c>
      <c r="AN1305" s="38"/>
      <c r="AO1305" s="38"/>
      <c r="AP1305" s="38"/>
      <c r="AQ1305" s="54"/>
      <c r="AR1305" s="53"/>
      <c r="AS1305" s="29">
        <f t="shared" si="917"/>
        <v>-2335500.6900000018</v>
      </c>
      <c r="AT1305" s="29">
        <f t="shared" si="918"/>
        <v>1983187.08</v>
      </c>
      <c r="AU1305" s="29">
        <f t="shared" si="919"/>
        <v>0</v>
      </c>
      <c r="AV1305" s="29">
        <f t="shared" si="920"/>
        <v>-147824.37</v>
      </c>
      <c r="AW1305" s="29"/>
      <c r="AX1305" s="29">
        <f t="shared" ref="AX1305:AX1326" si="924">SUM(G1305,M1305,S1305,Y1305,AE1305,AK1305,AQ1305)</f>
        <v>418039.99999999889</v>
      </c>
      <c r="AY1305" s="29">
        <f t="shared" si="922"/>
        <v>9300000</v>
      </c>
      <c r="AZ1305" s="29">
        <f t="shared" si="923"/>
        <v>9718039.9999999981</v>
      </c>
    </row>
    <row r="1306" spans="2:52" x14ac:dyDescent="0.3">
      <c r="B1306" s="99">
        <f t="shared" si="865"/>
        <v>45993</v>
      </c>
      <c r="C1306" s="44">
        <f t="shared" si="905"/>
        <v>387128.56000000035</v>
      </c>
      <c r="D1306" s="38">
        <v>170732.52</v>
      </c>
      <c r="E1306" s="38"/>
      <c r="F1306" s="38">
        <f>-180.21-46425.73-869.44-3210</f>
        <v>-50685.380000000005</v>
      </c>
      <c r="G1306" s="45">
        <f t="shared" si="906"/>
        <v>507175.7000000003</v>
      </c>
      <c r="H1306" s="44">
        <v>4300000</v>
      </c>
      <c r="I1306" s="46">
        <f t="shared" si="907"/>
        <v>29620.609999999768</v>
      </c>
      <c r="J1306" s="38">
        <v>1064.6500000000001</v>
      </c>
      <c r="K1306" s="38">
        <f>440000+56000</f>
        <v>496000</v>
      </c>
      <c r="L1306" s="38">
        <v>-94038.1</v>
      </c>
      <c r="M1306" s="47">
        <f t="shared" si="908"/>
        <v>432647.1599999998</v>
      </c>
      <c r="N1306" s="46">
        <v>5000000</v>
      </c>
      <c r="O1306" s="48">
        <f t="shared" si="909"/>
        <v>622.91999999937616</v>
      </c>
      <c r="P1306" s="38">
        <f>73829.73+131385.72+238216.91</f>
        <v>443432.36</v>
      </c>
      <c r="Q1306" s="38">
        <v>-440000</v>
      </c>
      <c r="R1306" s="38">
        <f>-885.5-10</f>
        <v>-895.5</v>
      </c>
      <c r="S1306" s="55">
        <f t="shared" si="910"/>
        <v>3159.7799999993877</v>
      </c>
      <c r="T1306" s="48"/>
      <c r="U1306" s="49">
        <f t="shared" si="911"/>
        <v>98.319999999487479</v>
      </c>
      <c r="V1306" s="38"/>
      <c r="W1306" s="38"/>
      <c r="X1306" s="38">
        <v>-70.599999999999994</v>
      </c>
      <c r="Y1306" s="51">
        <f t="shared" si="912"/>
        <v>27.719999999487484</v>
      </c>
      <c r="Z1306" s="52"/>
      <c r="AA1306" s="53">
        <f t="shared" si="913"/>
        <v>0.49999999923022642</v>
      </c>
      <c r="AB1306" s="38"/>
      <c r="AC1306" s="38"/>
      <c r="AD1306" s="38"/>
      <c r="AE1306" s="54">
        <f t="shared" si="914"/>
        <v>0.49999999923022642</v>
      </c>
      <c r="AF1306" s="53"/>
      <c r="AG1306" s="53">
        <f t="shared" si="915"/>
        <v>569.0900000006892</v>
      </c>
      <c r="AH1306" s="38">
        <v>57545.2</v>
      </c>
      <c r="AI1306" s="38">
        <v>-56000</v>
      </c>
      <c r="AJ1306" s="38">
        <v>-1119.8</v>
      </c>
      <c r="AK1306" s="54">
        <f t="shared" si="916"/>
        <v>994.49000000068486</v>
      </c>
      <c r="AL1306" s="53"/>
      <c r="AM1306" s="53">
        <f t="shared" si="885"/>
        <v>0</v>
      </c>
      <c r="AN1306" s="38"/>
      <c r="AO1306" s="38"/>
      <c r="AP1306" s="38"/>
      <c r="AQ1306" s="54"/>
      <c r="AR1306" s="53"/>
      <c r="AS1306" s="29">
        <f t="shared" si="917"/>
        <v>417470.90999999823</v>
      </c>
      <c r="AT1306" s="29">
        <f t="shared" si="918"/>
        <v>672774.73</v>
      </c>
      <c r="AU1306" s="29">
        <f t="shared" si="919"/>
        <v>0</v>
      </c>
      <c r="AV1306" s="29">
        <f t="shared" si="920"/>
        <v>-146809.38</v>
      </c>
      <c r="AW1306" s="29"/>
      <c r="AX1306" s="29">
        <f t="shared" si="924"/>
        <v>944005.34999999881</v>
      </c>
      <c r="AY1306" s="29">
        <f t="shared" si="922"/>
        <v>9300000</v>
      </c>
      <c r="AZ1306" s="29">
        <f t="shared" si="923"/>
        <v>10244005.35</v>
      </c>
    </row>
    <row r="1307" spans="2:52" x14ac:dyDescent="0.3">
      <c r="B1307" s="99">
        <f t="shared" si="865"/>
        <v>45994</v>
      </c>
      <c r="C1307" s="44">
        <f t="shared" si="905"/>
        <v>507175.7000000003</v>
      </c>
      <c r="D1307" s="38">
        <v>523934.9</v>
      </c>
      <c r="E1307" s="38">
        <v>-2600000</v>
      </c>
      <c r="F1307" s="38">
        <f>-17914.92-1.11-889.78-12.96-37187.15+1.94</f>
        <v>-56003.979999999996</v>
      </c>
      <c r="G1307" s="45">
        <f t="shared" si="906"/>
        <v>-1624893.3799999997</v>
      </c>
      <c r="H1307" s="44">
        <v>4300000</v>
      </c>
      <c r="I1307" s="46">
        <f t="shared" si="907"/>
        <v>432647.1599999998</v>
      </c>
      <c r="J1307" s="38"/>
      <c r="K1307" s="38">
        <f>2600000+980000</f>
        <v>3580000</v>
      </c>
      <c r="L1307" s="38">
        <v>-3934676.62</v>
      </c>
      <c r="M1307" s="47">
        <f t="shared" si="908"/>
        <v>77970.539999999572</v>
      </c>
      <c r="N1307" s="46">
        <v>5000000</v>
      </c>
      <c r="O1307" s="48">
        <f t="shared" si="909"/>
        <v>3159.7799999993877</v>
      </c>
      <c r="P1307" s="38">
        <v>984641.34</v>
      </c>
      <c r="Q1307" s="38">
        <v>-980000</v>
      </c>
      <c r="R1307" s="38">
        <f>-10-1639.75-1306.67-1962.36-1478.73</f>
        <v>-6397.51</v>
      </c>
      <c r="S1307" s="55">
        <f t="shared" si="910"/>
        <v>1403.609999999413</v>
      </c>
      <c r="T1307" s="48"/>
      <c r="U1307" s="49">
        <f t="shared" si="911"/>
        <v>27.719999999487484</v>
      </c>
      <c r="V1307" s="38"/>
      <c r="W1307" s="38"/>
      <c r="X1307" s="38"/>
      <c r="Y1307" s="51">
        <f t="shared" si="912"/>
        <v>27.719999999487484</v>
      </c>
      <c r="Z1307" s="52"/>
      <c r="AA1307" s="53">
        <f t="shared" si="913"/>
        <v>0.49999999923022642</v>
      </c>
      <c r="AB1307" s="38"/>
      <c r="AC1307" s="38"/>
      <c r="AD1307" s="38"/>
      <c r="AE1307" s="54">
        <f t="shared" si="914"/>
        <v>0.49999999923022642</v>
      </c>
      <c r="AF1307" s="53"/>
      <c r="AG1307" s="53">
        <f t="shared" si="915"/>
        <v>994.49000000068486</v>
      </c>
      <c r="AH1307" s="38"/>
      <c r="AI1307" s="38"/>
      <c r="AJ1307" s="38">
        <f>-462.06-9.9</f>
        <v>-471.96</v>
      </c>
      <c r="AK1307" s="54">
        <f t="shared" si="916"/>
        <v>522.53000000068482</v>
      </c>
      <c r="AL1307" s="53"/>
      <c r="AM1307" s="53">
        <f t="shared" si="885"/>
        <v>0</v>
      </c>
      <c r="AN1307" s="38"/>
      <c r="AO1307" s="38"/>
      <c r="AP1307" s="38"/>
      <c r="AQ1307" s="54"/>
      <c r="AR1307" s="53"/>
      <c r="AS1307" s="29">
        <f t="shared" si="917"/>
        <v>943010.85999999812</v>
      </c>
      <c r="AT1307" s="29">
        <f t="shared" si="918"/>
        <v>1508576.24</v>
      </c>
      <c r="AU1307" s="29">
        <f t="shared" si="919"/>
        <v>0</v>
      </c>
      <c r="AV1307" s="29">
        <f t="shared" si="920"/>
        <v>-3997550.07</v>
      </c>
      <c r="AW1307" s="29"/>
      <c r="AX1307" s="29">
        <f t="shared" si="924"/>
        <v>-1544968.4800000011</v>
      </c>
      <c r="AY1307" s="29">
        <f t="shared" si="922"/>
        <v>9300000</v>
      </c>
      <c r="AZ1307" s="29">
        <f t="shared" si="923"/>
        <v>7755031.5199999986</v>
      </c>
    </row>
    <row r="1308" spans="2:52" x14ac:dyDescent="0.3">
      <c r="B1308" s="99">
        <f t="shared" si="865"/>
        <v>45995</v>
      </c>
      <c r="C1308" s="44">
        <f t="shared" si="905"/>
        <v>-1624893.3799999997</v>
      </c>
      <c r="D1308" s="38">
        <f>390830.27+81424.17+208256.9</f>
        <v>680511.34</v>
      </c>
      <c r="E1308" s="38">
        <v>1260000</v>
      </c>
      <c r="F1308" s="38">
        <f>-2173.41-48.2</f>
        <v>-2221.6099999999997</v>
      </c>
      <c r="G1308" s="45">
        <f t="shared" si="906"/>
        <v>313396.35000000033</v>
      </c>
      <c r="H1308" s="44">
        <v>4300000</v>
      </c>
      <c r="I1308" s="46">
        <f t="shared" si="907"/>
        <v>77970.539999999572</v>
      </c>
      <c r="J1308" s="38">
        <f>388355.16+111805.83+30217.79</f>
        <v>530378.78</v>
      </c>
      <c r="K1308" s="38">
        <v>739000</v>
      </c>
      <c r="L1308" s="38">
        <v>-576180.06999999995</v>
      </c>
      <c r="M1308" s="47">
        <f t="shared" si="908"/>
        <v>771169.24999999965</v>
      </c>
      <c r="N1308" s="46">
        <v>5000000</v>
      </c>
      <c r="O1308" s="48">
        <f t="shared" si="909"/>
        <v>1403.609999999413</v>
      </c>
      <c r="P1308" s="38">
        <v>4732349.5199999996</v>
      </c>
      <c r="Q1308" s="38">
        <f>-739000-1260000+38100</f>
        <v>-1960900</v>
      </c>
      <c r="R1308" s="38">
        <f>-2173.41-20</f>
        <v>-2193.41</v>
      </c>
      <c r="S1308" s="55">
        <f t="shared" si="910"/>
        <v>2770659.7199999988</v>
      </c>
      <c r="T1308" s="48"/>
      <c r="U1308" s="49">
        <f t="shared" si="911"/>
        <v>27.719999999487484</v>
      </c>
      <c r="V1308" s="38">
        <v>38167.67</v>
      </c>
      <c r="W1308" s="38">
        <v>-38100</v>
      </c>
      <c r="X1308" s="38">
        <v>-1.7</v>
      </c>
      <c r="Y1308" s="51">
        <f t="shared" si="912"/>
        <v>93.689999999482822</v>
      </c>
      <c r="Z1308" s="52"/>
      <c r="AA1308" s="53">
        <f t="shared" si="913"/>
        <v>0.49999999923022642</v>
      </c>
      <c r="AB1308" s="38"/>
      <c r="AC1308" s="38"/>
      <c r="AD1308" s="38"/>
      <c r="AE1308" s="54">
        <f t="shared" si="914"/>
        <v>0.49999999923022642</v>
      </c>
      <c r="AF1308" s="53"/>
      <c r="AG1308" s="53">
        <f t="shared" si="915"/>
        <v>522.53000000068482</v>
      </c>
      <c r="AH1308" s="38">
        <v>115756.62</v>
      </c>
      <c r="AI1308" s="38"/>
      <c r="AJ1308" s="38"/>
      <c r="AK1308" s="54">
        <f t="shared" si="916"/>
        <v>116279.15000000068</v>
      </c>
      <c r="AL1308" s="53"/>
      <c r="AM1308" s="53">
        <f t="shared" si="885"/>
        <v>0</v>
      </c>
      <c r="AN1308" s="38"/>
      <c r="AO1308" s="38"/>
      <c r="AP1308" s="38"/>
      <c r="AQ1308" s="54"/>
      <c r="AR1308" s="53"/>
      <c r="AS1308" s="29">
        <f t="shared" si="917"/>
        <v>-1545491.0100000019</v>
      </c>
      <c r="AT1308" s="29">
        <f t="shared" si="918"/>
        <v>6097163.9299999997</v>
      </c>
      <c r="AU1308" s="29">
        <f t="shared" si="919"/>
        <v>0</v>
      </c>
      <c r="AV1308" s="29">
        <f t="shared" si="920"/>
        <v>-580596.78999999992</v>
      </c>
      <c r="AW1308" s="29"/>
      <c r="AX1308" s="29">
        <f t="shared" si="924"/>
        <v>3971598.6599999983</v>
      </c>
      <c r="AY1308" s="29">
        <f t="shared" si="922"/>
        <v>9300000</v>
      </c>
      <c r="AZ1308" s="29">
        <f t="shared" si="923"/>
        <v>13271598.659999998</v>
      </c>
    </row>
    <row r="1309" spans="2:52" x14ac:dyDescent="0.3">
      <c r="B1309" s="99">
        <f t="shared" si="865"/>
        <v>45996</v>
      </c>
      <c r="C1309" s="44">
        <f t="shared" si="905"/>
        <v>313396.35000000033</v>
      </c>
      <c r="D1309" s="38">
        <f>71250.74+750.8</f>
        <v>72001.540000000008</v>
      </c>
      <c r="E1309" s="38"/>
      <c r="F1309" s="38">
        <f>-0.21-2674.72</f>
        <v>-2674.93</v>
      </c>
      <c r="G1309" s="45">
        <f t="shared" si="906"/>
        <v>382722.96000000037</v>
      </c>
      <c r="H1309" s="44">
        <v>4300000</v>
      </c>
      <c r="I1309" s="46">
        <f t="shared" si="907"/>
        <v>771169.24999999965</v>
      </c>
      <c r="J1309" s="38">
        <f>19478.14+13132.95+15346.27+27298.79</f>
        <v>75256.149999999994</v>
      </c>
      <c r="K1309" s="38">
        <f>2116000+1269000</f>
        <v>3385000</v>
      </c>
      <c r="L1309" s="38">
        <v>-2183736.2200000002</v>
      </c>
      <c r="M1309" s="47">
        <f t="shared" si="908"/>
        <v>2047689.1799999992</v>
      </c>
      <c r="N1309" s="46">
        <v>5000000</v>
      </c>
      <c r="O1309" s="48">
        <f t="shared" si="909"/>
        <v>2770659.7199999988</v>
      </c>
      <c r="P1309" s="38">
        <f>268511.59+12875.75+217610.34</f>
        <v>498997.68000000005</v>
      </c>
      <c r="Q1309" s="38">
        <v>-3269000</v>
      </c>
      <c r="R1309" s="38">
        <v>-10</v>
      </c>
      <c r="S1309" s="55">
        <f t="shared" si="910"/>
        <v>647.39999999897555</v>
      </c>
      <c r="T1309" s="48"/>
      <c r="U1309" s="49">
        <f t="shared" si="911"/>
        <v>93.689999999482822</v>
      </c>
      <c r="V1309" s="38"/>
      <c r="W1309" s="38"/>
      <c r="X1309" s="38"/>
      <c r="Y1309" s="51">
        <f t="shared" si="912"/>
        <v>93.689999999482822</v>
      </c>
      <c r="Z1309" s="52"/>
      <c r="AA1309" s="53">
        <f t="shared" si="913"/>
        <v>0.49999999923022642</v>
      </c>
      <c r="AB1309" s="38"/>
      <c r="AC1309" s="38"/>
      <c r="AD1309" s="38"/>
      <c r="AE1309" s="54">
        <f t="shared" si="914"/>
        <v>0.49999999923022642</v>
      </c>
      <c r="AF1309" s="53"/>
      <c r="AG1309" s="53">
        <f t="shared" si="915"/>
        <v>116279.15000000068</v>
      </c>
      <c r="AH1309" s="38"/>
      <c r="AI1309" s="38">
        <v>-116000</v>
      </c>
      <c r="AJ1309" s="38"/>
      <c r="AK1309" s="54">
        <f t="shared" si="916"/>
        <v>279.15000000067812</v>
      </c>
      <c r="AL1309" s="53"/>
      <c r="AM1309" s="53">
        <f t="shared" si="885"/>
        <v>0</v>
      </c>
      <c r="AN1309" s="38"/>
      <c r="AO1309" s="38"/>
      <c r="AP1309" s="38"/>
      <c r="AQ1309" s="54"/>
      <c r="AR1309" s="53"/>
      <c r="AS1309" s="29">
        <f t="shared" si="917"/>
        <v>3855319.5099999974</v>
      </c>
      <c r="AT1309" s="29">
        <f t="shared" si="918"/>
        <v>646255.37000000011</v>
      </c>
      <c r="AU1309" s="29">
        <f t="shared" si="919"/>
        <v>0</v>
      </c>
      <c r="AV1309" s="29">
        <f t="shared" si="920"/>
        <v>-2186421.1500000004</v>
      </c>
      <c r="AW1309" s="29"/>
      <c r="AX1309" s="29">
        <f t="shared" si="924"/>
        <v>2431432.879999998</v>
      </c>
      <c r="AY1309" s="29">
        <f t="shared" si="922"/>
        <v>9300000</v>
      </c>
      <c r="AZ1309" s="29">
        <f t="shared" si="923"/>
        <v>11731432.879999999</v>
      </c>
    </row>
    <row r="1310" spans="2:52" x14ac:dyDescent="0.3">
      <c r="B1310" s="99">
        <f>B1309+3</f>
        <v>45999</v>
      </c>
      <c r="C1310" s="44">
        <f t="shared" si="905"/>
        <v>382722.96000000037</v>
      </c>
      <c r="D1310" s="38"/>
      <c r="E1310" s="38"/>
      <c r="F1310" s="38"/>
      <c r="G1310" s="45">
        <f t="shared" si="906"/>
        <v>382722.96000000037</v>
      </c>
      <c r="H1310" s="44">
        <v>4300000</v>
      </c>
      <c r="I1310" s="46">
        <f t="shared" si="907"/>
        <v>2047689.1799999992</v>
      </c>
      <c r="J1310" s="38"/>
      <c r="K1310" s="38"/>
      <c r="L1310" s="38"/>
      <c r="M1310" s="47">
        <f t="shared" si="908"/>
        <v>2047689.1799999992</v>
      </c>
      <c r="N1310" s="46">
        <v>5000000</v>
      </c>
      <c r="O1310" s="48">
        <f t="shared" si="909"/>
        <v>647.39999999897555</v>
      </c>
      <c r="P1310" s="38">
        <f>48551.52+6861.51+57914.75</f>
        <v>113327.78</v>
      </c>
      <c r="Q1310" s="38"/>
      <c r="R1310" s="38"/>
      <c r="S1310" s="55">
        <f t="shared" si="910"/>
        <v>113975.17999999897</v>
      </c>
      <c r="T1310" s="48"/>
      <c r="U1310" s="49">
        <f t="shared" si="911"/>
        <v>93.689999999482822</v>
      </c>
      <c r="V1310" s="38"/>
      <c r="W1310" s="38"/>
      <c r="X1310" s="38"/>
      <c r="Y1310" s="51">
        <f t="shared" si="912"/>
        <v>93.689999999482822</v>
      </c>
      <c r="Z1310" s="52"/>
      <c r="AA1310" s="53">
        <f t="shared" si="913"/>
        <v>0.49999999923022642</v>
      </c>
      <c r="AB1310" s="38"/>
      <c r="AC1310" s="38"/>
      <c r="AD1310" s="38"/>
      <c r="AE1310" s="54">
        <f t="shared" si="914"/>
        <v>0.49999999923022642</v>
      </c>
      <c r="AF1310" s="53"/>
      <c r="AG1310" s="53">
        <f t="shared" si="915"/>
        <v>279.15000000067812</v>
      </c>
      <c r="AH1310" s="38"/>
      <c r="AI1310" s="38"/>
      <c r="AJ1310" s="38">
        <v>-9.9</v>
      </c>
      <c r="AK1310" s="54">
        <f t="shared" si="916"/>
        <v>269.25000000067814</v>
      </c>
      <c r="AL1310" s="53"/>
      <c r="AM1310" s="53">
        <f t="shared" si="885"/>
        <v>0</v>
      </c>
      <c r="AN1310" s="38"/>
      <c r="AO1310" s="38"/>
      <c r="AP1310" s="38"/>
      <c r="AQ1310" s="54"/>
      <c r="AR1310" s="53"/>
      <c r="AS1310" s="29">
        <f t="shared" si="917"/>
        <v>2431153.7299999972</v>
      </c>
      <c r="AT1310" s="29">
        <f t="shared" si="918"/>
        <v>113327.78</v>
      </c>
      <c r="AU1310" s="29">
        <f t="shared" si="919"/>
        <v>0</v>
      </c>
      <c r="AV1310" s="29">
        <f t="shared" si="920"/>
        <v>-9.9</v>
      </c>
      <c r="AW1310" s="29"/>
      <c r="AX1310" s="29">
        <f t="shared" si="924"/>
        <v>2544750.7599999974</v>
      </c>
      <c r="AY1310" s="29">
        <f t="shared" si="922"/>
        <v>9300000</v>
      </c>
      <c r="AZ1310" s="29">
        <f t="shared" si="923"/>
        <v>11844750.759999998</v>
      </c>
    </row>
    <row r="1311" spans="2:52" x14ac:dyDescent="0.3">
      <c r="B1311" s="99">
        <f t="shared" si="865"/>
        <v>46000</v>
      </c>
      <c r="C1311" s="44">
        <f t="shared" si="905"/>
        <v>382722.96000000037</v>
      </c>
      <c r="D1311" s="38">
        <v>253719.79</v>
      </c>
      <c r="E1311" s="38"/>
      <c r="F1311" s="38">
        <f>-1600-48.2-336.58</f>
        <v>-1984.78</v>
      </c>
      <c r="G1311" s="45">
        <f t="shared" si="906"/>
        <v>634457.97000000032</v>
      </c>
      <c r="H1311" s="44">
        <v>4300000</v>
      </c>
      <c r="I1311" s="46">
        <f t="shared" si="907"/>
        <v>2047689.1799999992</v>
      </c>
      <c r="J1311" s="38">
        <f>34177.53+482521.32</f>
        <v>516698.85</v>
      </c>
      <c r="K1311" s="38">
        <v>110000</v>
      </c>
      <c r="L1311" s="38">
        <v>-1151801.6000000001</v>
      </c>
      <c r="M1311" s="47">
        <f t="shared" si="908"/>
        <v>1522586.4299999992</v>
      </c>
      <c r="N1311" s="46">
        <v>5000000</v>
      </c>
      <c r="O1311" s="48">
        <f t="shared" si="909"/>
        <v>113975.17999999897</v>
      </c>
      <c r="P1311" s="38"/>
      <c r="Q1311" s="38">
        <v>-110000</v>
      </c>
      <c r="R1311" s="38">
        <v>-3210</v>
      </c>
      <c r="S1311" s="55">
        <f t="shared" si="910"/>
        <v>765.17999999897438</v>
      </c>
      <c r="T1311" s="48"/>
      <c r="U1311" s="49">
        <f t="shared" si="911"/>
        <v>93.689999999482822</v>
      </c>
      <c r="V1311" s="38"/>
      <c r="W1311" s="38"/>
      <c r="X1311" s="38"/>
      <c r="Y1311" s="51">
        <f t="shared" si="912"/>
        <v>93.689999999482822</v>
      </c>
      <c r="Z1311" s="52"/>
      <c r="AA1311" s="53">
        <f t="shared" si="913"/>
        <v>0.49999999923022642</v>
      </c>
      <c r="AB1311" s="38"/>
      <c r="AC1311" s="38"/>
      <c r="AD1311" s="38"/>
      <c r="AE1311" s="54">
        <f t="shared" si="914"/>
        <v>0.49999999923022642</v>
      </c>
      <c r="AF1311" s="53"/>
      <c r="AG1311" s="53">
        <f t="shared" si="915"/>
        <v>269.25000000067814</v>
      </c>
      <c r="AH1311" s="38"/>
      <c r="AI1311" s="38"/>
      <c r="AJ1311" s="38"/>
      <c r="AK1311" s="54">
        <f t="shared" si="916"/>
        <v>269.25000000067814</v>
      </c>
      <c r="AL1311" s="53"/>
      <c r="AM1311" s="53">
        <f t="shared" si="885"/>
        <v>0</v>
      </c>
      <c r="AN1311" s="38"/>
      <c r="AO1311" s="38"/>
      <c r="AP1311" s="38"/>
      <c r="AQ1311" s="54"/>
      <c r="AR1311" s="53"/>
      <c r="AS1311" s="29">
        <f t="shared" si="917"/>
        <v>2544481.509999997</v>
      </c>
      <c r="AT1311" s="29">
        <f t="shared" si="918"/>
        <v>770418.64</v>
      </c>
      <c r="AU1311" s="29">
        <f t="shared" si="919"/>
        <v>0</v>
      </c>
      <c r="AV1311" s="29">
        <f t="shared" si="920"/>
        <v>-1156996.3800000001</v>
      </c>
      <c r="AW1311" s="29"/>
      <c r="AX1311" s="29">
        <f t="shared" si="924"/>
        <v>2158173.0199999972</v>
      </c>
      <c r="AY1311" s="29">
        <f t="shared" si="922"/>
        <v>9300000</v>
      </c>
      <c r="AZ1311" s="29">
        <f t="shared" si="923"/>
        <v>11458173.019999998</v>
      </c>
    </row>
    <row r="1312" spans="2:52" x14ac:dyDescent="0.3">
      <c r="B1312" s="99">
        <f t="shared" si="865"/>
        <v>46001</v>
      </c>
      <c r="C1312" s="44">
        <f t="shared" si="905"/>
        <v>634457.97000000032</v>
      </c>
      <c r="D1312" s="38"/>
      <c r="E1312" s="38"/>
      <c r="F1312" s="38">
        <v>-1939.2</v>
      </c>
      <c r="G1312" s="45">
        <f t="shared" si="906"/>
        <v>632518.77000000037</v>
      </c>
      <c r="H1312" s="44">
        <v>4300000</v>
      </c>
      <c r="I1312" s="46">
        <f t="shared" si="907"/>
        <v>1522586.4299999992</v>
      </c>
      <c r="J1312" s="38">
        <f>379.5*2</f>
        <v>759</v>
      </c>
      <c r="K1312" s="38"/>
      <c r="L1312" s="38">
        <v>-520734.13</v>
      </c>
      <c r="M1312" s="47">
        <f t="shared" si="908"/>
        <v>1002611.2999999992</v>
      </c>
      <c r="N1312" s="46">
        <v>5000000</v>
      </c>
      <c r="O1312" s="48">
        <f t="shared" si="909"/>
        <v>765.17999999897438</v>
      </c>
      <c r="P1312" s="38"/>
      <c r="Q1312" s="38"/>
      <c r="R1312" s="38"/>
      <c r="S1312" s="55">
        <f t="shared" si="910"/>
        <v>765.17999999897438</v>
      </c>
      <c r="T1312" s="48"/>
      <c r="U1312" s="49">
        <f t="shared" si="911"/>
        <v>93.689999999482822</v>
      </c>
      <c r="V1312" s="38">
        <v>22861.86</v>
      </c>
      <c r="W1312" s="38"/>
      <c r="X1312" s="38"/>
      <c r="Y1312" s="51">
        <f t="shared" si="912"/>
        <v>22955.549999999483</v>
      </c>
      <c r="Z1312" s="52"/>
      <c r="AA1312" s="53">
        <f t="shared" si="913"/>
        <v>0.49999999923022642</v>
      </c>
      <c r="AB1312" s="38"/>
      <c r="AC1312" s="38"/>
      <c r="AD1312" s="38"/>
      <c r="AE1312" s="54">
        <f t="shared" si="914"/>
        <v>0.49999999923022642</v>
      </c>
      <c r="AF1312" s="53"/>
      <c r="AG1312" s="53">
        <f t="shared" si="915"/>
        <v>269.25000000067814</v>
      </c>
      <c r="AH1312" s="38"/>
      <c r="AI1312" s="38"/>
      <c r="AJ1312" s="38"/>
      <c r="AK1312" s="54">
        <f t="shared" si="916"/>
        <v>269.25000000067814</v>
      </c>
      <c r="AL1312" s="53"/>
      <c r="AM1312" s="53">
        <f t="shared" si="885"/>
        <v>0</v>
      </c>
      <c r="AN1312" s="38"/>
      <c r="AO1312" s="38"/>
      <c r="AP1312" s="38"/>
      <c r="AQ1312" s="54"/>
      <c r="AR1312" s="53"/>
      <c r="AS1312" s="29">
        <f t="shared" si="917"/>
        <v>2157903.7699999968</v>
      </c>
      <c r="AT1312" s="29">
        <f t="shared" si="918"/>
        <v>23620.86</v>
      </c>
      <c r="AU1312" s="29">
        <f t="shared" si="919"/>
        <v>0</v>
      </c>
      <c r="AV1312" s="29">
        <f t="shared" si="920"/>
        <v>-522673.33</v>
      </c>
      <c r="AW1312" s="29"/>
      <c r="AX1312" s="29">
        <f t="shared" si="924"/>
        <v>1659120.5499999982</v>
      </c>
      <c r="AY1312" s="29">
        <f t="shared" si="922"/>
        <v>9300000</v>
      </c>
      <c r="AZ1312" s="29">
        <f t="shared" si="923"/>
        <v>10959120.549999999</v>
      </c>
    </row>
    <row r="1313" spans="2:52" x14ac:dyDescent="0.3">
      <c r="B1313" s="99">
        <f t="shared" si="865"/>
        <v>46002</v>
      </c>
      <c r="C1313" s="44">
        <f t="shared" si="905"/>
        <v>632518.77000000037</v>
      </c>
      <c r="D1313" s="38">
        <v>1995.13</v>
      </c>
      <c r="E1313" s="38"/>
      <c r="F1313" s="38">
        <v>-20118.32</v>
      </c>
      <c r="G1313" s="45">
        <f t="shared" si="906"/>
        <v>614395.58000000042</v>
      </c>
      <c r="H1313" s="44">
        <v>4300000</v>
      </c>
      <c r="I1313" s="46">
        <f t="shared" si="907"/>
        <v>1002611.2999999992</v>
      </c>
      <c r="J1313" s="38"/>
      <c r="K1313" s="38">
        <v>22900</v>
      </c>
      <c r="L1313" s="38">
        <v>-97614.03</v>
      </c>
      <c r="M1313" s="47">
        <f t="shared" si="908"/>
        <v>927897.2699999992</v>
      </c>
      <c r="N1313" s="46">
        <v>5000000</v>
      </c>
      <c r="O1313" s="48">
        <f t="shared" si="909"/>
        <v>765.17999999897438</v>
      </c>
      <c r="P1313" s="38"/>
      <c r="Q1313" s="38"/>
      <c r="R1313" s="38"/>
      <c r="S1313" s="55">
        <f t="shared" si="910"/>
        <v>765.17999999897438</v>
      </c>
      <c r="T1313" s="48"/>
      <c r="U1313" s="49">
        <f t="shared" si="911"/>
        <v>22955.549999999483</v>
      </c>
      <c r="V1313" s="38"/>
      <c r="W1313" s="38">
        <v>-22900</v>
      </c>
      <c r="X1313" s="38">
        <v>-10</v>
      </c>
      <c r="Y1313" s="51">
        <f t="shared" si="912"/>
        <v>45.549999999482679</v>
      </c>
      <c r="Z1313" s="52"/>
      <c r="AA1313" s="53">
        <f t="shared" si="913"/>
        <v>0.49999999923022642</v>
      </c>
      <c r="AB1313" s="38"/>
      <c r="AC1313" s="38"/>
      <c r="AD1313" s="38">
        <v>-0.5</v>
      </c>
      <c r="AE1313" s="54">
        <f t="shared" si="914"/>
        <v>-7.6977357821306214E-10</v>
      </c>
      <c r="AF1313" s="53"/>
      <c r="AG1313" s="53">
        <f t="shared" si="915"/>
        <v>269.25000000067814</v>
      </c>
      <c r="AH1313" s="38"/>
      <c r="AI1313" s="38"/>
      <c r="AJ1313" s="38"/>
      <c r="AK1313" s="54">
        <f t="shared" si="916"/>
        <v>269.25000000067814</v>
      </c>
      <c r="AL1313" s="53"/>
      <c r="AM1313" s="53">
        <f t="shared" si="885"/>
        <v>0</v>
      </c>
      <c r="AN1313" s="38"/>
      <c r="AO1313" s="38"/>
      <c r="AP1313" s="38"/>
      <c r="AQ1313" s="54"/>
      <c r="AR1313" s="53"/>
      <c r="AS1313" s="29">
        <f t="shared" si="917"/>
        <v>1658851.2999999975</v>
      </c>
      <c r="AT1313" s="29">
        <f t="shared" si="918"/>
        <v>1995.13</v>
      </c>
      <c r="AU1313" s="29">
        <f t="shared" si="919"/>
        <v>0</v>
      </c>
      <c r="AV1313" s="29">
        <f t="shared" si="920"/>
        <v>-117742.85</v>
      </c>
      <c r="AW1313" s="29"/>
      <c r="AX1313" s="29">
        <f t="shared" si="924"/>
        <v>1543372.8299999982</v>
      </c>
      <c r="AY1313" s="29">
        <f t="shared" si="922"/>
        <v>9300000</v>
      </c>
      <c r="AZ1313" s="29">
        <f t="shared" si="923"/>
        <v>10843372.829999998</v>
      </c>
    </row>
    <row r="1314" spans="2:52" x14ac:dyDescent="0.3">
      <c r="B1314" s="99">
        <f t="shared" si="865"/>
        <v>46003</v>
      </c>
      <c r="C1314" s="44">
        <f t="shared" si="905"/>
        <v>614395.58000000042</v>
      </c>
      <c r="D1314" s="38">
        <f>48555.33+20873.79</f>
        <v>69429.119999999995</v>
      </c>
      <c r="E1314" s="38"/>
      <c r="F1314" s="38">
        <f>-20149.72-5807.3-705.24-450</f>
        <v>-27112.260000000002</v>
      </c>
      <c r="G1314" s="45">
        <f t="shared" si="906"/>
        <v>656712.44000000041</v>
      </c>
      <c r="H1314" s="44">
        <v>4300000</v>
      </c>
      <c r="I1314" s="46">
        <f t="shared" si="907"/>
        <v>927897.2699999992</v>
      </c>
      <c r="J1314" s="38"/>
      <c r="K1314" s="38"/>
      <c r="L1314" s="38">
        <v>-93996.49</v>
      </c>
      <c r="M1314" s="47">
        <f t="shared" si="908"/>
        <v>833900.77999999921</v>
      </c>
      <c r="N1314" s="46">
        <v>5000000</v>
      </c>
      <c r="O1314" s="48">
        <f t="shared" si="909"/>
        <v>765.17999999897438</v>
      </c>
      <c r="P1314" s="38"/>
      <c r="Q1314" s="38"/>
      <c r="R1314" s="38"/>
      <c r="S1314" s="55">
        <f t="shared" si="910"/>
        <v>765.17999999897438</v>
      </c>
      <c r="T1314" s="48"/>
      <c r="U1314" s="49">
        <f t="shared" si="911"/>
        <v>45.549999999482679</v>
      </c>
      <c r="V1314" s="38"/>
      <c r="W1314" s="38"/>
      <c r="X1314" s="38"/>
      <c r="Y1314" s="51">
        <f t="shared" si="912"/>
        <v>45.549999999482679</v>
      </c>
      <c r="Z1314" s="52"/>
      <c r="AA1314" s="53">
        <f t="shared" si="913"/>
        <v>-7.6977357821306214E-10</v>
      </c>
      <c r="AB1314" s="38"/>
      <c r="AC1314" s="38"/>
      <c r="AD1314" s="38"/>
      <c r="AE1314" s="54">
        <f t="shared" si="914"/>
        <v>-7.6977357821306214E-10</v>
      </c>
      <c r="AF1314" s="53"/>
      <c r="AG1314" s="53">
        <f t="shared" si="915"/>
        <v>269.25000000067814</v>
      </c>
      <c r="AH1314" s="38"/>
      <c r="AI1314" s="38"/>
      <c r="AJ1314" s="38"/>
      <c r="AK1314" s="54">
        <f t="shared" si="916"/>
        <v>269.25000000067814</v>
      </c>
      <c r="AL1314" s="53"/>
      <c r="AM1314" s="53">
        <f t="shared" si="885"/>
        <v>0</v>
      </c>
      <c r="AN1314" s="38"/>
      <c r="AO1314" s="38"/>
      <c r="AP1314" s="38"/>
      <c r="AQ1314" s="54"/>
      <c r="AR1314" s="53"/>
      <c r="AS1314" s="29">
        <f t="shared" si="917"/>
        <v>1543103.5799999975</v>
      </c>
      <c r="AT1314" s="29">
        <f t="shared" si="918"/>
        <v>69429.119999999995</v>
      </c>
      <c r="AU1314" s="29">
        <f t="shared" si="919"/>
        <v>0</v>
      </c>
      <c r="AV1314" s="29">
        <f t="shared" si="920"/>
        <v>-121108.75</v>
      </c>
      <c r="AW1314" s="29"/>
      <c r="AX1314" s="29">
        <f t="shared" si="924"/>
        <v>1491693.1999999983</v>
      </c>
      <c r="AY1314" s="29">
        <f t="shared" si="922"/>
        <v>9300000</v>
      </c>
      <c r="AZ1314" s="29">
        <f t="shared" si="923"/>
        <v>10791693.199999999</v>
      </c>
    </row>
    <row r="1315" spans="2:52" x14ac:dyDescent="0.3">
      <c r="B1315" s="99">
        <f>B1314+3</f>
        <v>46006</v>
      </c>
      <c r="C1315" s="44">
        <f t="shared" si="905"/>
        <v>656712.44000000041</v>
      </c>
      <c r="D1315" s="38">
        <f>24488.79+41747.58</f>
        <v>66236.37</v>
      </c>
      <c r="E1315" s="38"/>
      <c r="F1315" s="38">
        <f>-3246.87-16988.38-3603.03-115.6</f>
        <v>-23953.879999999997</v>
      </c>
      <c r="G1315" s="45">
        <f t="shared" si="906"/>
        <v>698994.9300000004</v>
      </c>
      <c r="H1315" s="44">
        <v>4300000</v>
      </c>
      <c r="I1315" s="46">
        <f t="shared" si="907"/>
        <v>833900.77999999921</v>
      </c>
      <c r="J1315" s="38"/>
      <c r="K1315" s="38">
        <v>1360000</v>
      </c>
      <c r="L1315" s="38">
        <v>-99793.79</v>
      </c>
      <c r="M1315" s="47">
        <f t="shared" si="908"/>
        <v>2094106.9899999993</v>
      </c>
      <c r="N1315" s="46">
        <v>5000000</v>
      </c>
      <c r="O1315" s="48">
        <f t="shared" si="909"/>
        <v>765.17999999897438</v>
      </c>
      <c r="P1315" s="38"/>
      <c r="Q1315" s="38">
        <f>1361600-1360000</f>
        <v>1600</v>
      </c>
      <c r="R1315" s="38">
        <v>-10</v>
      </c>
      <c r="S1315" s="55">
        <f t="shared" si="910"/>
        <v>2355.1799999989744</v>
      </c>
      <c r="T1315" s="48"/>
      <c r="U1315" s="49">
        <f t="shared" si="911"/>
        <v>45.549999999482679</v>
      </c>
      <c r="V1315" s="38">
        <f>57154.65+1304492.88</f>
        <v>1361647.5299999998</v>
      </c>
      <c r="W1315" s="38">
        <v>-1361600</v>
      </c>
      <c r="X1315" s="38">
        <v>-1.7</v>
      </c>
      <c r="Y1315" s="51">
        <f t="shared" si="912"/>
        <v>91.379999999376011</v>
      </c>
      <c r="Z1315" s="52"/>
      <c r="AA1315" s="53">
        <f t="shared" si="913"/>
        <v>-7.6977357821306214E-10</v>
      </c>
      <c r="AB1315" s="38"/>
      <c r="AC1315" s="38"/>
      <c r="AD1315" s="38"/>
      <c r="AE1315" s="54">
        <f t="shared" si="914"/>
        <v>-7.6977357821306214E-10</v>
      </c>
      <c r="AF1315" s="53"/>
      <c r="AG1315" s="53">
        <f t="shared" si="915"/>
        <v>269.25000000067814</v>
      </c>
      <c r="AH1315" s="38"/>
      <c r="AI1315" s="38"/>
      <c r="AJ1315" s="38"/>
      <c r="AK1315" s="54">
        <f t="shared" si="916"/>
        <v>269.25000000067814</v>
      </c>
      <c r="AL1315" s="53"/>
      <c r="AM1315" s="53">
        <f t="shared" si="885"/>
        <v>0</v>
      </c>
      <c r="AN1315" s="38"/>
      <c r="AO1315" s="38"/>
      <c r="AP1315" s="38"/>
      <c r="AQ1315" s="54"/>
      <c r="AR1315" s="53"/>
      <c r="AS1315" s="29">
        <f t="shared" si="917"/>
        <v>1491423.9499999976</v>
      </c>
      <c r="AT1315" s="29">
        <f t="shared" si="918"/>
        <v>1427883.9</v>
      </c>
      <c r="AU1315" s="29">
        <f t="shared" si="919"/>
        <v>0</v>
      </c>
      <c r="AV1315" s="29">
        <f t="shared" si="920"/>
        <v>-123759.36999999998</v>
      </c>
      <c r="AW1315" s="29"/>
      <c r="AX1315" s="29">
        <f t="shared" si="924"/>
        <v>2795817.7299999977</v>
      </c>
      <c r="AY1315" s="29">
        <f t="shared" si="922"/>
        <v>9300000</v>
      </c>
      <c r="AZ1315" s="29">
        <f t="shared" si="923"/>
        <v>12095817.729999997</v>
      </c>
    </row>
    <row r="1316" spans="2:52" x14ac:dyDescent="0.3">
      <c r="B1316" s="99">
        <f t="shared" si="865"/>
        <v>46007</v>
      </c>
      <c r="C1316" s="44">
        <f t="shared" si="905"/>
        <v>698994.9300000004</v>
      </c>
      <c r="D1316" s="38">
        <v>493385.02</v>
      </c>
      <c r="E1316" s="38"/>
      <c r="F1316" s="38"/>
      <c r="G1316" s="45">
        <f t="shared" si="906"/>
        <v>1192379.9500000004</v>
      </c>
      <c r="H1316" s="44">
        <v>4300000</v>
      </c>
      <c r="I1316" s="46">
        <f t="shared" si="907"/>
        <v>2094106.9899999993</v>
      </c>
      <c r="J1316" s="38">
        <v>296619.59999999998</v>
      </c>
      <c r="K1316" s="38">
        <v>287000</v>
      </c>
      <c r="L1316" s="38">
        <v>-18815.43</v>
      </c>
      <c r="M1316" s="47">
        <f t="shared" si="908"/>
        <v>2658911.1599999992</v>
      </c>
      <c r="N1316" s="46">
        <v>5000000</v>
      </c>
      <c r="O1316" s="48">
        <f t="shared" si="909"/>
        <v>2355.1799999989744</v>
      </c>
      <c r="P1316" s="38">
        <v>285879.87</v>
      </c>
      <c r="Q1316" s="38">
        <v>-287000</v>
      </c>
      <c r="R1316" s="38">
        <v>-10</v>
      </c>
      <c r="S1316" s="55">
        <f t="shared" si="910"/>
        <v>1225.0499999989988</v>
      </c>
      <c r="T1316" s="48"/>
      <c r="U1316" s="49">
        <f t="shared" si="911"/>
        <v>91.379999999376011</v>
      </c>
      <c r="V1316" s="38"/>
      <c r="W1316" s="38"/>
      <c r="X1316" s="38"/>
      <c r="Y1316" s="51">
        <f t="shared" si="912"/>
        <v>91.379999999376011</v>
      </c>
      <c r="Z1316" s="52"/>
      <c r="AA1316" s="53">
        <f t="shared" si="913"/>
        <v>-7.6977357821306214E-10</v>
      </c>
      <c r="AB1316" s="38"/>
      <c r="AC1316" s="38"/>
      <c r="AD1316" s="38"/>
      <c r="AE1316" s="54">
        <f t="shared" si="914"/>
        <v>-7.6977357821306214E-10</v>
      </c>
      <c r="AF1316" s="53"/>
      <c r="AG1316" s="53">
        <f t="shared" si="915"/>
        <v>269.25000000067814</v>
      </c>
      <c r="AH1316" s="38"/>
      <c r="AI1316" s="38"/>
      <c r="AJ1316" s="38"/>
      <c r="AK1316" s="54">
        <f t="shared" si="916"/>
        <v>269.25000000067814</v>
      </c>
      <c r="AL1316" s="53"/>
      <c r="AM1316" s="53">
        <f t="shared" si="885"/>
        <v>0</v>
      </c>
      <c r="AN1316" s="38"/>
      <c r="AO1316" s="38"/>
      <c r="AP1316" s="38"/>
      <c r="AQ1316" s="54"/>
      <c r="AR1316" s="53"/>
      <c r="AS1316" s="29">
        <f t="shared" si="917"/>
        <v>2795548.4799999972</v>
      </c>
      <c r="AT1316" s="29">
        <f t="shared" si="918"/>
        <v>1075884.49</v>
      </c>
      <c r="AU1316" s="29">
        <f t="shared" si="919"/>
        <v>0</v>
      </c>
      <c r="AV1316" s="29">
        <f t="shared" si="920"/>
        <v>-18825.43</v>
      </c>
      <c r="AW1316" s="29"/>
      <c r="AX1316" s="29">
        <f t="shared" si="924"/>
        <v>3852876.7899999972</v>
      </c>
      <c r="AY1316" s="29">
        <f t="shared" si="922"/>
        <v>9300000</v>
      </c>
      <c r="AZ1316" s="29">
        <f t="shared" si="923"/>
        <v>13152876.789999997</v>
      </c>
    </row>
    <row r="1317" spans="2:52" x14ac:dyDescent="0.3">
      <c r="B1317" s="99">
        <f t="shared" ref="B1317:B1319" si="925">B1316+1</f>
        <v>46008</v>
      </c>
      <c r="C1317" s="44">
        <f t="shared" si="905"/>
        <v>1192379.9500000004</v>
      </c>
      <c r="D1317" s="38">
        <f>111855.74+32503.25+32503.25</f>
        <v>176862.24</v>
      </c>
      <c r="E1317" s="38"/>
      <c r="F1317" s="38">
        <f>-2398.16-2.16-3080</f>
        <v>-5480.32</v>
      </c>
      <c r="G1317" s="45">
        <f t="shared" si="906"/>
        <v>1363761.8700000003</v>
      </c>
      <c r="H1317" s="44">
        <v>4300000</v>
      </c>
      <c r="I1317" s="46">
        <f t="shared" si="907"/>
        <v>2658911.1599999992</v>
      </c>
      <c r="J1317" s="38"/>
      <c r="K1317" s="38"/>
      <c r="L1317" s="38">
        <v>-1308632.29</v>
      </c>
      <c r="M1317" s="47">
        <f t="shared" si="908"/>
        <v>1350278.8699999992</v>
      </c>
      <c r="N1317" s="46">
        <v>5000000</v>
      </c>
      <c r="O1317" s="48">
        <f t="shared" si="909"/>
        <v>1225.0499999989988</v>
      </c>
      <c r="P1317" s="38"/>
      <c r="Q1317" s="38"/>
      <c r="R1317" s="38"/>
      <c r="S1317" s="55">
        <f t="shared" si="910"/>
        <v>1225.0499999989988</v>
      </c>
      <c r="T1317" s="48"/>
      <c r="U1317" s="49">
        <f t="shared" si="911"/>
        <v>91.379999999376011</v>
      </c>
      <c r="V1317" s="38"/>
      <c r="W1317" s="38"/>
      <c r="X1317" s="38"/>
      <c r="Y1317" s="51">
        <f t="shared" si="912"/>
        <v>91.379999999376011</v>
      </c>
      <c r="Z1317" s="52"/>
      <c r="AA1317" s="53">
        <f t="shared" si="913"/>
        <v>-7.6977357821306214E-10</v>
      </c>
      <c r="AB1317" s="38"/>
      <c r="AC1317" s="38"/>
      <c r="AD1317" s="38"/>
      <c r="AE1317" s="54">
        <f t="shared" si="914"/>
        <v>-7.6977357821306214E-10</v>
      </c>
      <c r="AF1317" s="53"/>
      <c r="AG1317" s="53">
        <f t="shared" si="915"/>
        <v>269.25000000067814</v>
      </c>
      <c r="AH1317" s="38"/>
      <c r="AI1317" s="38"/>
      <c r="AJ1317" s="38"/>
      <c r="AK1317" s="54">
        <f t="shared" si="916"/>
        <v>269.25000000067814</v>
      </c>
      <c r="AL1317" s="53"/>
      <c r="AM1317" s="53">
        <f t="shared" si="885"/>
        <v>0</v>
      </c>
      <c r="AN1317" s="38"/>
      <c r="AO1317" s="38"/>
      <c r="AP1317" s="38"/>
      <c r="AQ1317" s="54"/>
      <c r="AR1317" s="53"/>
      <c r="AS1317" s="29">
        <f t="shared" si="917"/>
        <v>3852607.5399999968</v>
      </c>
      <c r="AT1317" s="29">
        <f t="shared" si="918"/>
        <v>176862.24</v>
      </c>
      <c r="AU1317" s="29">
        <f t="shared" si="919"/>
        <v>0</v>
      </c>
      <c r="AV1317" s="29">
        <f t="shared" si="920"/>
        <v>-1314112.6100000001</v>
      </c>
      <c r="AW1317" s="29"/>
      <c r="AX1317" s="29">
        <f t="shared" si="924"/>
        <v>2715626.4199999971</v>
      </c>
      <c r="AY1317" s="29">
        <f t="shared" si="922"/>
        <v>9300000</v>
      </c>
      <c r="AZ1317" s="29">
        <f t="shared" si="923"/>
        <v>12015626.419999998</v>
      </c>
    </row>
    <row r="1318" spans="2:52" x14ac:dyDescent="0.3">
      <c r="B1318" s="99">
        <f t="shared" si="925"/>
        <v>46009</v>
      </c>
      <c r="C1318" s="44">
        <f t="shared" si="905"/>
        <v>1363761.8700000003</v>
      </c>
      <c r="D1318" s="38">
        <f>34350.09+162127.25+99460.92</f>
        <v>295938.26</v>
      </c>
      <c r="E1318" s="38"/>
      <c r="F1318" s="38">
        <f>-14005.24-12.96-809.38-6493.94-27390.58</f>
        <v>-48712.1</v>
      </c>
      <c r="G1318" s="45">
        <f t="shared" si="906"/>
        <v>1610988.0300000003</v>
      </c>
      <c r="H1318" s="44">
        <v>4300000</v>
      </c>
      <c r="I1318" s="46">
        <f t="shared" si="907"/>
        <v>1350278.8699999992</v>
      </c>
      <c r="J1318" s="38">
        <f>5027.86+405620.25+100392.44+8119.73+27782.21+14370.29+118547.93</f>
        <v>679860.71</v>
      </c>
      <c r="K1318" s="38">
        <v>1745000</v>
      </c>
      <c r="L1318" s="38">
        <v>-1997343.58</v>
      </c>
      <c r="M1318" s="47">
        <f t="shared" si="908"/>
        <v>1777795.9999999991</v>
      </c>
      <c r="N1318" s="46">
        <v>5000000</v>
      </c>
      <c r="O1318" s="48">
        <f t="shared" si="909"/>
        <v>1225.0499999989988</v>
      </c>
      <c r="P1318" s="38">
        <f>173044.98+560236.18+578024.95+281387.34+57253.05+33183.25+52426.24</f>
        <v>1735555.99</v>
      </c>
      <c r="Q1318" s="38">
        <f>1321900-1745000</f>
        <v>-423100</v>
      </c>
      <c r="R1318" s="38">
        <f>-1779.03-10</f>
        <v>-1789.03</v>
      </c>
      <c r="S1318" s="55">
        <f t="shared" si="910"/>
        <v>1311892.0099999991</v>
      </c>
      <c r="T1318" s="48"/>
      <c r="U1318" s="49">
        <f t="shared" si="911"/>
        <v>91.379999999376011</v>
      </c>
      <c r="V1318" s="38">
        <v>1321923.49</v>
      </c>
      <c r="W1318" s="38">
        <v>-1321900</v>
      </c>
      <c r="X1318" s="38">
        <v>-1.7</v>
      </c>
      <c r="Y1318" s="51">
        <f t="shared" si="912"/>
        <v>113.16999999941326</v>
      </c>
      <c r="Z1318" s="52"/>
      <c r="AA1318" s="53">
        <f t="shared" si="913"/>
        <v>-7.6977357821306214E-10</v>
      </c>
      <c r="AB1318" s="38"/>
      <c r="AC1318" s="38"/>
      <c r="AD1318" s="38"/>
      <c r="AE1318" s="54">
        <f t="shared" si="914"/>
        <v>-7.6977357821306214E-10</v>
      </c>
      <c r="AF1318" s="53"/>
      <c r="AG1318" s="53">
        <f t="shared" si="915"/>
        <v>269.25000000067814</v>
      </c>
      <c r="AH1318" s="38"/>
      <c r="AI1318" s="38"/>
      <c r="AJ1318" s="38"/>
      <c r="AK1318" s="54">
        <f t="shared" si="916"/>
        <v>269.25000000067814</v>
      </c>
      <c r="AL1318" s="53"/>
      <c r="AM1318" s="53">
        <f t="shared" si="885"/>
        <v>0</v>
      </c>
      <c r="AN1318" s="38"/>
      <c r="AO1318" s="38"/>
      <c r="AP1318" s="38"/>
      <c r="AQ1318" s="54"/>
      <c r="AR1318" s="53"/>
      <c r="AS1318" s="29">
        <f t="shared" si="917"/>
        <v>2715357.1699999967</v>
      </c>
      <c r="AT1318" s="29">
        <f t="shared" si="918"/>
        <v>4033278.45</v>
      </c>
      <c r="AU1318" s="29">
        <f t="shared" si="919"/>
        <v>0</v>
      </c>
      <c r="AV1318" s="29">
        <f t="shared" si="920"/>
        <v>-2047846.4100000001</v>
      </c>
      <c r="AW1318" s="29"/>
      <c r="AX1318" s="29">
        <f t="shared" si="924"/>
        <v>4701058.4599999972</v>
      </c>
      <c r="AY1318" s="29">
        <f t="shared" si="922"/>
        <v>9300000</v>
      </c>
      <c r="AZ1318" s="29">
        <f t="shared" si="923"/>
        <v>14001058.459999997</v>
      </c>
    </row>
    <row r="1319" spans="2:52" x14ac:dyDescent="0.3">
      <c r="B1319" s="99">
        <f t="shared" si="925"/>
        <v>46010</v>
      </c>
      <c r="C1319" s="44">
        <f t="shared" si="905"/>
        <v>1610988.0300000003</v>
      </c>
      <c r="D1319" s="38">
        <f>6240.22+355.68+1146326.36</f>
        <v>1152922.26</v>
      </c>
      <c r="E1319" s="38"/>
      <c r="F1319" s="38">
        <f>-6240.22-355.68</f>
        <v>-6595.9000000000005</v>
      </c>
      <c r="G1319" s="45">
        <f t="shared" si="906"/>
        <v>2757314.39</v>
      </c>
      <c r="H1319" s="44">
        <v>4300000</v>
      </c>
      <c r="I1319" s="46">
        <f t="shared" si="907"/>
        <v>1777795.9999999991</v>
      </c>
      <c r="J1319" s="38">
        <f>13132.95+19478.14+275919.9+10207.35+6348.3+6246.65+54410.32+28811.39+14812.7+22782.95+17678.86+240798.67</f>
        <v>710628.18</v>
      </c>
      <c r="K1319" s="38">
        <f>2000000+840000</f>
        <v>2840000</v>
      </c>
      <c r="L1319" s="38">
        <v>-688020.64</v>
      </c>
      <c r="M1319" s="47">
        <f t="shared" si="908"/>
        <v>4640403.54</v>
      </c>
      <c r="N1319" s="46">
        <v>5000000</v>
      </c>
      <c r="O1319" s="48">
        <f t="shared" si="909"/>
        <v>1311892.0099999991</v>
      </c>
      <c r="P1319" s="38">
        <f>6861.51+292321.34+229440.92+131385.72+179700.4+229440.92+220210.23</f>
        <v>1289361.04</v>
      </c>
      <c r="Q1319" s="38">
        <f>239400-2840000</f>
        <v>-2600600</v>
      </c>
      <c r="R1319" s="38">
        <f>-480-13.4-13.4-10</f>
        <v>-516.79999999999995</v>
      </c>
      <c r="S1319" s="55">
        <f t="shared" si="910"/>
        <v>136.24999999888246</v>
      </c>
      <c r="T1319" s="48"/>
      <c r="U1319" s="49">
        <f t="shared" si="911"/>
        <v>113.16999999941326</v>
      </c>
      <c r="V1319" s="38">
        <v>239353.08</v>
      </c>
      <c r="W1319" s="38">
        <v>-239400</v>
      </c>
      <c r="X1319" s="38">
        <v>-1.7</v>
      </c>
      <c r="Y1319" s="51">
        <f t="shared" si="912"/>
        <v>64.549999999388817</v>
      </c>
      <c r="Z1319" s="52"/>
      <c r="AA1319" s="53">
        <f t="shared" si="913"/>
        <v>-7.6977357821306214E-10</v>
      </c>
      <c r="AB1319" s="38"/>
      <c r="AC1319" s="38"/>
      <c r="AD1319" s="38"/>
      <c r="AE1319" s="54">
        <f t="shared" si="914"/>
        <v>-7.6977357821306214E-10</v>
      </c>
      <c r="AF1319" s="53"/>
      <c r="AG1319" s="53">
        <f t="shared" si="915"/>
        <v>269.25000000067814</v>
      </c>
      <c r="AH1319" s="38"/>
      <c r="AI1319" s="38"/>
      <c r="AJ1319" s="38"/>
      <c r="AK1319" s="54">
        <f t="shared" si="916"/>
        <v>269.25000000067814</v>
      </c>
      <c r="AL1319" s="53"/>
      <c r="AM1319" s="53">
        <f t="shared" si="885"/>
        <v>0</v>
      </c>
      <c r="AN1319" s="38">
        <v>13281.56</v>
      </c>
      <c r="AO1319" s="38"/>
      <c r="AP1319" s="38"/>
      <c r="AQ1319" s="54">
        <f>SUM(AL1319:AP1319)</f>
        <v>13281.56</v>
      </c>
      <c r="AR1319" s="53"/>
      <c r="AS1319" s="29">
        <f t="shared" si="917"/>
        <v>4700789.2099999962</v>
      </c>
      <c r="AT1319" s="29">
        <f t="shared" ref="AT1319:AT1324" si="926">SUM(D1319,J1319,P1319,V1319,AB1319,AH1319,AN1319)</f>
        <v>3405546.12</v>
      </c>
      <c r="AU1319" s="29">
        <f t="shared" si="919"/>
        <v>0</v>
      </c>
      <c r="AV1319" s="29">
        <f t="shared" si="920"/>
        <v>-695135.04</v>
      </c>
      <c r="AW1319" s="29"/>
      <c r="AX1319" s="29">
        <f t="shared" si="924"/>
        <v>7411469.5399999982</v>
      </c>
      <c r="AY1319" s="29">
        <f t="shared" si="922"/>
        <v>9300000</v>
      </c>
      <c r="AZ1319" s="29">
        <f t="shared" si="923"/>
        <v>16711469.539999999</v>
      </c>
    </row>
    <row r="1320" spans="2:52" x14ac:dyDescent="0.3">
      <c r="B1320" s="99">
        <f>B1319+3</f>
        <v>46013</v>
      </c>
      <c r="C1320" s="44">
        <f t="shared" si="905"/>
        <v>2757314.39</v>
      </c>
      <c r="D1320" s="38">
        <f>57444.36+39665.77+25429.22+25429.22+25429.22+25429.22+150816.48+44785.59+98801.78+110469.01+119067.94</f>
        <v>722767.81</v>
      </c>
      <c r="E1320" s="38"/>
      <c r="F1320" s="38">
        <f>-853125.23-125-3720.88</f>
        <v>-856971.11</v>
      </c>
      <c r="G1320" s="45">
        <f t="shared" si="906"/>
        <v>2623111.0900000003</v>
      </c>
      <c r="H1320" s="44">
        <v>4300000</v>
      </c>
      <c r="I1320" s="46">
        <f t="shared" si="907"/>
        <v>4640403.54</v>
      </c>
      <c r="J1320" s="38"/>
      <c r="K1320" s="38">
        <v>4045000</v>
      </c>
      <c r="L1320" s="38">
        <v>-208723.95</v>
      </c>
      <c r="M1320" s="47">
        <f t="shared" si="908"/>
        <v>8476679.5899999999</v>
      </c>
      <c r="N1320" s="46">
        <v>5000000</v>
      </c>
      <c r="O1320" s="48">
        <f t="shared" si="909"/>
        <v>136.24999999888246</v>
      </c>
      <c r="P1320" s="38">
        <v>4498.8100000000004</v>
      </c>
      <c r="Q1320" s="38"/>
      <c r="R1320" s="38">
        <v>-250</v>
      </c>
      <c r="S1320" s="55">
        <f t="shared" si="910"/>
        <v>4385.0599999988826</v>
      </c>
      <c r="T1320" s="48"/>
      <c r="U1320" s="49">
        <f t="shared" si="911"/>
        <v>64.549999999388817</v>
      </c>
      <c r="V1320" s="38"/>
      <c r="W1320" s="38"/>
      <c r="X1320" s="38"/>
      <c r="Y1320" s="51">
        <f t="shared" si="912"/>
        <v>64.549999999388817</v>
      </c>
      <c r="Z1320" s="52"/>
      <c r="AA1320" s="53">
        <f t="shared" si="913"/>
        <v>-7.6977357821306214E-10</v>
      </c>
      <c r="AB1320" s="38"/>
      <c r="AC1320" s="38"/>
      <c r="AD1320" s="38"/>
      <c r="AE1320" s="54">
        <f t="shared" si="914"/>
        <v>-7.6977357821306214E-10</v>
      </c>
      <c r="AF1320" s="53"/>
      <c r="AG1320" s="53">
        <f t="shared" si="915"/>
        <v>269.25000000067814</v>
      </c>
      <c r="AH1320" s="38">
        <f>2109721.46+1518592.05+174814.24+102985.07+77647.74+61101.23</f>
        <v>4044861.79</v>
      </c>
      <c r="AI1320" s="38">
        <v>-4045000</v>
      </c>
      <c r="AJ1320" s="38"/>
      <c r="AK1320" s="54">
        <f t="shared" si="916"/>
        <v>131.04000000050291</v>
      </c>
      <c r="AL1320" s="53"/>
      <c r="AM1320" s="53">
        <f t="shared" si="885"/>
        <v>13281.56</v>
      </c>
      <c r="AN1320" s="38"/>
      <c r="AO1320" s="38"/>
      <c r="AP1320" s="38"/>
      <c r="AQ1320" s="54">
        <f t="shared" ref="AQ1320:AQ1324" si="927">SUM(AL1320:AP1320)</f>
        <v>13281.56</v>
      </c>
      <c r="AR1320" s="53"/>
      <c r="AS1320" s="29">
        <f t="shared" si="917"/>
        <v>7397918.7299999977</v>
      </c>
      <c r="AT1320" s="29">
        <f t="shared" si="926"/>
        <v>4772128.41</v>
      </c>
      <c r="AU1320" s="29">
        <f t="shared" si="919"/>
        <v>0</v>
      </c>
      <c r="AV1320" s="29">
        <f t="shared" si="920"/>
        <v>-1065945.06</v>
      </c>
      <c r="AW1320" s="29"/>
      <c r="AX1320" s="29">
        <f t="shared" si="924"/>
        <v>11117652.889999999</v>
      </c>
      <c r="AY1320" s="29">
        <f t="shared" si="922"/>
        <v>9300000</v>
      </c>
      <c r="AZ1320" s="29">
        <f t="shared" si="923"/>
        <v>20417652.890000001</v>
      </c>
    </row>
    <row r="1321" spans="2:52" x14ac:dyDescent="0.3">
      <c r="B1321" s="99">
        <f t="shared" ref="B1321:B1324" si="928">B1320+1</f>
        <v>46014</v>
      </c>
      <c r="C1321" s="44">
        <f t="shared" si="905"/>
        <v>2623111.0900000003</v>
      </c>
      <c r="D1321" s="38">
        <f>96905.46+88198.4+88198.4</f>
        <v>273302.26</v>
      </c>
      <c r="E1321" s="38"/>
      <c r="F1321" s="38">
        <f>-11330.75-48.2</f>
        <v>-11378.95</v>
      </c>
      <c r="G1321" s="45">
        <f t="shared" si="906"/>
        <v>2885034.4000000004</v>
      </c>
      <c r="H1321" s="44">
        <v>4300000</v>
      </c>
      <c r="I1321" s="46">
        <f t="shared" si="907"/>
        <v>8476679.5899999999</v>
      </c>
      <c r="J1321" s="38">
        <f>23608.87+10242.79</f>
        <v>33851.660000000003</v>
      </c>
      <c r="K1321" s="38">
        <v>430000</v>
      </c>
      <c r="L1321" s="38">
        <v>-51648.38</v>
      </c>
      <c r="M1321" s="47">
        <f t="shared" si="908"/>
        <v>8888882.8699999992</v>
      </c>
      <c r="N1321" s="46">
        <v>5000000</v>
      </c>
      <c r="O1321" s="48">
        <f t="shared" si="909"/>
        <v>4385.0599999988826</v>
      </c>
      <c r="P1321" s="38">
        <f>45561.54+126119.75+220013.69+34440.63</f>
        <v>426135.61</v>
      </c>
      <c r="Q1321" s="38">
        <v>-430000</v>
      </c>
      <c r="R1321" s="38"/>
      <c r="S1321" s="55">
        <f t="shared" si="910"/>
        <v>520.66999999887776</v>
      </c>
      <c r="T1321" s="48"/>
      <c r="U1321" s="49">
        <f t="shared" si="911"/>
        <v>64.549999999388817</v>
      </c>
      <c r="V1321" s="38"/>
      <c r="W1321" s="38"/>
      <c r="X1321" s="38"/>
      <c r="Y1321" s="51">
        <f t="shared" si="912"/>
        <v>64.549999999388817</v>
      </c>
      <c r="Z1321" s="52"/>
      <c r="AA1321" s="53">
        <f t="shared" si="913"/>
        <v>-7.6977357821306214E-10</v>
      </c>
      <c r="AB1321" s="38"/>
      <c r="AC1321" s="38"/>
      <c r="AD1321" s="38"/>
      <c r="AE1321" s="54">
        <f t="shared" si="914"/>
        <v>-7.6977357821306214E-10</v>
      </c>
      <c r="AF1321" s="53"/>
      <c r="AG1321" s="53">
        <f t="shared" si="915"/>
        <v>131.04000000050291</v>
      </c>
      <c r="AH1321" s="38"/>
      <c r="AI1321" s="38"/>
      <c r="AJ1321" s="38">
        <v>-9.9</v>
      </c>
      <c r="AK1321" s="54">
        <f t="shared" si="916"/>
        <v>121.14000000050291</v>
      </c>
      <c r="AL1321" s="53"/>
      <c r="AM1321" s="53">
        <f t="shared" si="885"/>
        <v>13281.56</v>
      </c>
      <c r="AN1321" s="38"/>
      <c r="AO1321" s="38"/>
      <c r="AP1321" s="38"/>
      <c r="AQ1321" s="54">
        <f t="shared" si="927"/>
        <v>13281.56</v>
      </c>
      <c r="AR1321" s="53"/>
      <c r="AS1321" s="29">
        <f t="shared" si="917"/>
        <v>11104240.289999997</v>
      </c>
      <c r="AT1321" s="29">
        <f t="shared" si="926"/>
        <v>733289.53</v>
      </c>
      <c r="AU1321" s="29">
        <f t="shared" si="919"/>
        <v>0</v>
      </c>
      <c r="AV1321" s="29">
        <f t="shared" si="920"/>
        <v>-63037.23</v>
      </c>
      <c r="AW1321" s="29"/>
      <c r="AX1321" s="29">
        <f t="shared" si="924"/>
        <v>11787905.189999998</v>
      </c>
      <c r="AY1321" s="29">
        <f t="shared" si="922"/>
        <v>9300000</v>
      </c>
      <c r="AZ1321" s="29">
        <f t="shared" si="923"/>
        <v>21087905.189999998</v>
      </c>
    </row>
    <row r="1322" spans="2:52" x14ac:dyDescent="0.3">
      <c r="B1322" s="99">
        <f t="shared" si="928"/>
        <v>46015</v>
      </c>
      <c r="C1322" s="44">
        <f t="shared" si="905"/>
        <v>2885034.4000000004</v>
      </c>
      <c r="D1322" s="38">
        <f>88198.4+232129.74+26135.27+50668.33+137639.86</f>
        <v>534771.60000000009</v>
      </c>
      <c r="E1322" s="38"/>
      <c r="F1322" s="38">
        <f>-48.2</f>
        <v>-48.2</v>
      </c>
      <c r="G1322" s="45">
        <f t="shared" si="906"/>
        <v>3419757.8000000003</v>
      </c>
      <c r="H1322" s="44">
        <v>4300000</v>
      </c>
      <c r="I1322" s="46">
        <f t="shared" si="907"/>
        <v>8888882.8699999992</v>
      </c>
      <c r="J1322" s="38">
        <v>27298.79</v>
      </c>
      <c r="K1322" s="38">
        <f>4164000</f>
        <v>4164000</v>
      </c>
      <c r="L1322" s="38">
        <v>-248595.04</v>
      </c>
      <c r="M1322" s="47">
        <f t="shared" si="908"/>
        <v>12831586.619999999</v>
      </c>
      <c r="N1322" s="46">
        <v>5000000</v>
      </c>
      <c r="O1322" s="48">
        <f t="shared" si="909"/>
        <v>520.66999999887776</v>
      </c>
      <c r="P1322" s="38">
        <v>4164779.89</v>
      </c>
      <c r="Q1322" s="38">
        <v>-4164000</v>
      </c>
      <c r="R1322" s="38">
        <f>-1010.22-13.4-10</f>
        <v>-1033.6199999999999</v>
      </c>
      <c r="S1322" s="55">
        <f t="shared" si="910"/>
        <v>266.93999999912467</v>
      </c>
      <c r="T1322" s="48"/>
      <c r="U1322" s="49">
        <f t="shared" si="911"/>
        <v>64.549999999388817</v>
      </c>
      <c r="V1322" s="38"/>
      <c r="W1322" s="38"/>
      <c r="X1322" s="38"/>
      <c r="Y1322" s="51">
        <f t="shared" si="912"/>
        <v>64.549999999388817</v>
      </c>
      <c r="Z1322" s="52"/>
      <c r="AA1322" s="53">
        <f t="shared" si="913"/>
        <v>-7.6977357821306214E-10</v>
      </c>
      <c r="AB1322" s="38"/>
      <c r="AC1322" s="38"/>
      <c r="AD1322" s="38"/>
      <c r="AE1322" s="54">
        <f t="shared" si="914"/>
        <v>-7.6977357821306214E-10</v>
      </c>
      <c r="AF1322" s="53"/>
      <c r="AG1322" s="53">
        <f t="shared" si="915"/>
        <v>121.14000000050291</v>
      </c>
      <c r="AH1322" s="38"/>
      <c r="AI1322" s="38"/>
      <c r="AJ1322" s="38"/>
      <c r="AK1322" s="54">
        <f t="shared" si="916"/>
        <v>121.14000000050291</v>
      </c>
      <c r="AL1322" s="53"/>
      <c r="AM1322" s="53">
        <f t="shared" si="885"/>
        <v>13281.56</v>
      </c>
      <c r="AN1322" s="38"/>
      <c r="AO1322" s="38"/>
      <c r="AP1322" s="38"/>
      <c r="AQ1322" s="54">
        <f t="shared" si="927"/>
        <v>13281.56</v>
      </c>
      <c r="AR1322" s="53"/>
      <c r="AS1322" s="29">
        <f t="shared" si="917"/>
        <v>11774502.489999996</v>
      </c>
      <c r="AT1322" s="29">
        <f t="shared" si="926"/>
        <v>4726850.28</v>
      </c>
      <c r="AU1322" s="29">
        <f t="shared" si="919"/>
        <v>0</v>
      </c>
      <c r="AV1322" s="29">
        <f t="shared" si="920"/>
        <v>-249676.86000000002</v>
      </c>
      <c r="AW1322" s="29"/>
      <c r="AX1322" s="29">
        <f t="shared" si="924"/>
        <v>16265078.609999999</v>
      </c>
      <c r="AY1322" s="29">
        <f t="shared" si="922"/>
        <v>9300000</v>
      </c>
      <c r="AZ1322" s="29">
        <f t="shared" si="923"/>
        <v>25565078.609999999</v>
      </c>
    </row>
    <row r="1323" spans="2:52" x14ac:dyDescent="0.3">
      <c r="B1323" s="99">
        <f t="shared" si="928"/>
        <v>46016</v>
      </c>
      <c r="C1323" s="44">
        <f t="shared" si="905"/>
        <v>3419757.8000000003</v>
      </c>
      <c r="D1323" s="38"/>
      <c r="E1323" s="38"/>
      <c r="F1323" s="38"/>
      <c r="G1323" s="45">
        <f t="shared" si="906"/>
        <v>3419757.8000000003</v>
      </c>
      <c r="H1323" s="44">
        <v>4300000</v>
      </c>
      <c r="I1323" s="46">
        <f t="shared" si="907"/>
        <v>12831586.619999999</v>
      </c>
      <c r="J1323" s="38"/>
      <c r="K1323" s="38"/>
      <c r="L1323" s="38"/>
      <c r="M1323" s="47">
        <f t="shared" si="908"/>
        <v>12831586.619999999</v>
      </c>
      <c r="N1323" s="46">
        <v>5000000</v>
      </c>
      <c r="O1323" s="48">
        <f t="shared" si="909"/>
        <v>266.93999999912467</v>
      </c>
      <c r="P1323" s="38"/>
      <c r="Q1323" s="38"/>
      <c r="R1323" s="38"/>
      <c r="S1323" s="55">
        <f t="shared" si="910"/>
        <v>266.93999999912467</v>
      </c>
      <c r="T1323" s="48"/>
      <c r="U1323" s="49">
        <f t="shared" si="911"/>
        <v>64.549999999388817</v>
      </c>
      <c r="V1323" s="38"/>
      <c r="W1323" s="38"/>
      <c r="X1323" s="38"/>
      <c r="Y1323" s="51">
        <f t="shared" si="912"/>
        <v>64.549999999388817</v>
      </c>
      <c r="Z1323" s="52"/>
      <c r="AA1323" s="53">
        <f t="shared" si="913"/>
        <v>-7.6977357821306214E-10</v>
      </c>
      <c r="AB1323" s="38"/>
      <c r="AC1323" s="38"/>
      <c r="AD1323" s="38"/>
      <c r="AE1323" s="54">
        <f t="shared" si="914"/>
        <v>-7.6977357821306214E-10</v>
      </c>
      <c r="AF1323" s="53"/>
      <c r="AG1323" s="53">
        <f t="shared" si="915"/>
        <v>121.14000000050291</v>
      </c>
      <c r="AH1323" s="38"/>
      <c r="AI1323" s="38"/>
      <c r="AJ1323" s="38"/>
      <c r="AK1323" s="54">
        <f t="shared" si="916"/>
        <v>121.14000000050291</v>
      </c>
      <c r="AL1323" s="53"/>
      <c r="AM1323" s="53">
        <f t="shared" si="885"/>
        <v>13281.56</v>
      </c>
      <c r="AN1323" s="38"/>
      <c r="AO1323" s="38"/>
      <c r="AP1323" s="38"/>
      <c r="AQ1323" s="54">
        <f t="shared" si="927"/>
        <v>13281.56</v>
      </c>
      <c r="AR1323" s="53"/>
      <c r="AS1323" s="29">
        <f t="shared" si="917"/>
        <v>16251675.909999998</v>
      </c>
      <c r="AT1323" s="29">
        <f t="shared" si="926"/>
        <v>0</v>
      </c>
      <c r="AU1323" s="29">
        <f t="shared" si="919"/>
        <v>0</v>
      </c>
      <c r="AV1323" s="29">
        <f t="shared" si="920"/>
        <v>0</v>
      </c>
      <c r="AW1323" s="29"/>
      <c r="AX1323" s="29">
        <f t="shared" si="924"/>
        <v>16265078.609999999</v>
      </c>
      <c r="AY1323" s="29">
        <f t="shared" si="922"/>
        <v>9300000</v>
      </c>
      <c r="AZ1323" s="29">
        <f t="shared" si="923"/>
        <v>25565078.609999999</v>
      </c>
    </row>
    <row r="1324" spans="2:52" x14ac:dyDescent="0.3">
      <c r="B1324" s="99">
        <f t="shared" si="928"/>
        <v>46017</v>
      </c>
      <c r="C1324" s="44">
        <f t="shared" si="905"/>
        <v>3419757.8000000003</v>
      </c>
      <c r="D1324" s="38">
        <v>1044219.57</v>
      </c>
      <c r="E1324" s="38"/>
      <c r="F1324" s="38">
        <f>-1392.66-2.16-109388.29-921.8-596.4</f>
        <v>-112301.31</v>
      </c>
      <c r="G1324" s="45">
        <f t="shared" si="906"/>
        <v>4351676.0600000005</v>
      </c>
      <c r="H1324" s="44">
        <v>4300000</v>
      </c>
      <c r="I1324" s="46">
        <f t="shared" si="907"/>
        <v>12831586.619999999</v>
      </c>
      <c r="J1324" s="38"/>
      <c r="K1324" s="38">
        <v>930000</v>
      </c>
      <c r="L1324" s="38">
        <v>-886111.82</v>
      </c>
      <c r="M1324" s="47">
        <f t="shared" si="908"/>
        <v>12875474.799999999</v>
      </c>
      <c r="N1324" s="46">
        <v>5000000</v>
      </c>
      <c r="O1324" s="48">
        <f t="shared" si="909"/>
        <v>266.93999999912467</v>
      </c>
      <c r="P1324" s="38"/>
      <c r="Q1324" s="38"/>
      <c r="R1324" s="38">
        <f>-139.2-10</f>
        <v>-149.19999999999999</v>
      </c>
      <c r="S1324" s="55">
        <f t="shared" si="910"/>
        <v>117.73999999912468</v>
      </c>
      <c r="T1324" s="48"/>
      <c r="U1324" s="49">
        <f t="shared" si="911"/>
        <v>64.549999999388817</v>
      </c>
      <c r="V1324" s="38"/>
      <c r="W1324" s="38"/>
      <c r="X1324" s="38"/>
      <c r="Y1324" s="51">
        <f t="shared" si="912"/>
        <v>64.549999999388817</v>
      </c>
      <c r="Z1324" s="52"/>
      <c r="AA1324" s="53">
        <f t="shared" si="913"/>
        <v>-7.6977357821306214E-10</v>
      </c>
      <c r="AB1324" s="38"/>
      <c r="AC1324" s="38"/>
      <c r="AD1324" s="38"/>
      <c r="AE1324" s="54">
        <f t="shared" si="914"/>
        <v>-7.6977357821306214E-10</v>
      </c>
      <c r="AF1324" s="53"/>
      <c r="AG1324" s="53">
        <f t="shared" si="915"/>
        <v>121.14000000050291</v>
      </c>
      <c r="AH1324" s="38">
        <f>38823.87+155526.08+736493.25</f>
        <v>930843.2</v>
      </c>
      <c r="AI1324" s="38">
        <v>-930000</v>
      </c>
      <c r="AJ1324" s="38"/>
      <c r="AK1324" s="54">
        <f t="shared" si="916"/>
        <v>964.34000000043306</v>
      </c>
      <c r="AL1324" s="53"/>
      <c r="AM1324" s="53">
        <f t="shared" si="885"/>
        <v>13281.56</v>
      </c>
      <c r="AN1324" s="38"/>
      <c r="AO1324" s="38"/>
      <c r="AP1324" s="38"/>
      <c r="AQ1324" s="54">
        <f t="shared" si="927"/>
        <v>13281.56</v>
      </c>
      <c r="AR1324" s="53"/>
      <c r="AS1324" s="29">
        <f t="shared" si="917"/>
        <v>16251675.909999998</v>
      </c>
      <c r="AT1324" s="29">
        <f t="shared" si="926"/>
        <v>1975062.77</v>
      </c>
      <c r="AU1324" s="29">
        <f t="shared" si="919"/>
        <v>0</v>
      </c>
      <c r="AV1324" s="29">
        <f t="shared" si="920"/>
        <v>-998562.32999999984</v>
      </c>
      <c r="AW1324" s="29"/>
      <c r="AX1324" s="29">
        <f t="shared" si="924"/>
        <v>17241579.049999997</v>
      </c>
      <c r="AY1324" s="29">
        <f t="shared" si="922"/>
        <v>9300000</v>
      </c>
      <c r="AZ1324" s="29">
        <f t="shared" si="923"/>
        <v>26541579.049999997</v>
      </c>
    </row>
    <row r="1325" spans="2:52" x14ac:dyDescent="0.3">
      <c r="B1325" s="99">
        <f>B1324+3</f>
        <v>46020</v>
      </c>
      <c r="C1325" s="44">
        <f t="shared" si="905"/>
        <v>4351676.0600000005</v>
      </c>
      <c r="D1325" s="38">
        <v>325481.53000000003</v>
      </c>
      <c r="E1325" s="38"/>
      <c r="F1325" s="38"/>
      <c r="G1325" s="45">
        <f t="shared" si="906"/>
        <v>4677157.5900000008</v>
      </c>
      <c r="H1325" s="44">
        <v>4300000</v>
      </c>
      <c r="I1325" s="46">
        <f t="shared" si="907"/>
        <v>12875474.799999999</v>
      </c>
      <c r="J1325" s="38"/>
      <c r="K1325" s="38">
        <v>13000</v>
      </c>
      <c r="L1325" s="38">
        <v>-93705.83</v>
      </c>
      <c r="M1325" s="47">
        <f t="shared" si="908"/>
        <v>12794768.969999999</v>
      </c>
      <c r="N1325" s="46">
        <v>5000000</v>
      </c>
      <c r="O1325" s="48">
        <f t="shared" si="909"/>
        <v>117.73999999912468</v>
      </c>
      <c r="P1325" s="38"/>
      <c r="Q1325" s="38"/>
      <c r="R1325" s="38"/>
      <c r="S1325" s="55">
        <f t="shared" si="910"/>
        <v>117.73999999912468</v>
      </c>
      <c r="T1325" s="48"/>
      <c r="U1325" s="49">
        <f t="shared" si="911"/>
        <v>64.549999999388817</v>
      </c>
      <c r="V1325" s="38">
        <v>35437.46</v>
      </c>
      <c r="W1325" s="38"/>
      <c r="X1325" s="38"/>
      <c r="Y1325" s="51">
        <f t="shared" si="912"/>
        <v>35502.009999999391</v>
      </c>
      <c r="Z1325" s="52"/>
      <c r="AA1325" s="53">
        <f t="shared" si="913"/>
        <v>-7.6977357821306214E-10</v>
      </c>
      <c r="AB1325" s="38"/>
      <c r="AC1325" s="38"/>
      <c r="AD1325" s="38"/>
      <c r="AE1325" s="54">
        <f t="shared" si="914"/>
        <v>-7.6977357821306214E-10</v>
      </c>
      <c r="AF1325" s="53"/>
      <c r="AG1325" s="53">
        <f t="shared" si="915"/>
        <v>964.34000000043306</v>
      </c>
      <c r="AH1325" s="38"/>
      <c r="AI1325" s="38"/>
      <c r="AJ1325" s="38">
        <v>-9.9</v>
      </c>
      <c r="AK1325" s="54">
        <f t="shared" si="916"/>
        <v>954.44000000043309</v>
      </c>
      <c r="AL1325" s="53"/>
      <c r="AM1325" s="53">
        <f t="shared" si="885"/>
        <v>13281.56</v>
      </c>
      <c r="AN1325" s="38"/>
      <c r="AO1325" s="38">
        <v>-13000</v>
      </c>
      <c r="AP1325" s="38"/>
      <c r="AQ1325" s="54">
        <f>SUM(AL1325:AP1325)</f>
        <v>281.55999999999949</v>
      </c>
      <c r="AR1325" s="53"/>
      <c r="AS1325" s="29">
        <f>SUM(C1325,I1325,O1325,U1325,AA1325,AG1325,AM1325)</f>
        <v>17241579.049999997</v>
      </c>
      <c r="AT1325" s="29">
        <f>SUM(D1325,J1325,P1325,V1325,AB1325,AH1325,AN1325)</f>
        <v>360918.99000000005</v>
      </c>
      <c r="AU1325" s="29">
        <f>SUM(E1325,K1325,Q1325,W1325,AC1325,AI1325,AO1325)</f>
        <v>0</v>
      </c>
      <c r="AV1325" s="29">
        <f>SUM(F1325,L1325,R1325,X1325,AD1325,AJ1325,AP1325)</f>
        <v>-93715.73</v>
      </c>
      <c r="AW1325" s="29"/>
      <c r="AX1325" s="29">
        <f t="shared" si="924"/>
        <v>17508782.309999995</v>
      </c>
      <c r="AY1325" s="29">
        <f t="shared" si="922"/>
        <v>9300000</v>
      </c>
      <c r="AZ1325" s="29">
        <f t="shared" si="923"/>
        <v>26808782.309999995</v>
      </c>
    </row>
    <row r="1326" spans="2:52" x14ac:dyDescent="0.3">
      <c r="B1326" s="99">
        <f t="shared" ref="B1326:B1329" si="929">B1325+1</f>
        <v>46021</v>
      </c>
      <c r="C1326" s="44">
        <f t="shared" si="905"/>
        <v>4677157.5900000008</v>
      </c>
      <c r="D1326" s="38">
        <v>327620.03999999998</v>
      </c>
      <c r="E1326" s="38"/>
      <c r="F1326" s="38">
        <v>-22482.98</v>
      </c>
      <c r="G1326" s="45">
        <f t="shared" si="906"/>
        <v>4982294.6500000004</v>
      </c>
      <c r="H1326" s="44">
        <v>4300000</v>
      </c>
      <c r="I1326" s="46">
        <f t="shared" si="907"/>
        <v>12794768.969999999</v>
      </c>
      <c r="J1326" s="38">
        <v>78526.48</v>
      </c>
      <c r="K1326" s="38">
        <v>120000</v>
      </c>
      <c r="L1326" s="38"/>
      <c r="M1326" s="47">
        <f t="shared" si="908"/>
        <v>12993295.449999999</v>
      </c>
      <c r="N1326" s="46">
        <v>5000000</v>
      </c>
      <c r="O1326" s="48">
        <f t="shared" si="909"/>
        <v>117.73999999912468</v>
      </c>
      <c r="P1326" s="38">
        <v>80353.850000000006</v>
      </c>
      <c r="Q1326" s="38">
        <f>80200-120000</f>
        <v>-39800</v>
      </c>
      <c r="R1326" s="38">
        <v>-10</v>
      </c>
      <c r="S1326" s="55">
        <f t="shared" si="910"/>
        <v>40661.589999999123</v>
      </c>
      <c r="T1326" s="48"/>
      <c r="U1326" s="49">
        <f t="shared" si="911"/>
        <v>35502.009999999391</v>
      </c>
      <c r="V1326" s="38">
        <v>45546.53</v>
      </c>
      <c r="W1326" s="38">
        <v>-80200</v>
      </c>
      <c r="X1326" s="38">
        <v>-721.7</v>
      </c>
      <c r="Y1326" s="51">
        <f t="shared" si="912"/>
        <v>126.83999999939692</v>
      </c>
      <c r="Z1326" s="52"/>
      <c r="AA1326" s="53">
        <f t="shared" si="913"/>
        <v>-7.6977357821306214E-10</v>
      </c>
      <c r="AB1326" s="38"/>
      <c r="AC1326" s="38"/>
      <c r="AD1326" s="38"/>
      <c r="AE1326" s="54">
        <f t="shared" si="914"/>
        <v>-7.6977357821306214E-10</v>
      </c>
      <c r="AF1326" s="53"/>
      <c r="AG1326" s="53">
        <f t="shared" si="915"/>
        <v>954.44000000043309</v>
      </c>
      <c r="AH1326" s="38"/>
      <c r="AI1326" s="38"/>
      <c r="AJ1326" s="38"/>
      <c r="AK1326" s="54">
        <f t="shared" si="916"/>
        <v>954.44000000043309</v>
      </c>
      <c r="AL1326" s="53"/>
      <c r="AM1326" s="53">
        <f t="shared" si="885"/>
        <v>281.55999999999949</v>
      </c>
      <c r="AN1326" s="38"/>
      <c r="AO1326" s="38"/>
      <c r="AP1326" s="38"/>
      <c r="AQ1326" s="54">
        <f>SUM(AL1326:AP1326)</f>
        <v>281.55999999999949</v>
      </c>
      <c r="AR1326" s="53"/>
      <c r="AS1326" s="29">
        <f t="shared" ref="AS1326:AS1389" si="930">SUM(C1326,I1326,O1326,U1326,AA1326,AG1326,AM1326)</f>
        <v>17508782.309999995</v>
      </c>
      <c r="AT1326" s="29">
        <f t="shared" ref="AT1326:AT1389" si="931">SUM(D1326,J1326,P1326,V1326,AB1326,AH1326,AN1326)</f>
        <v>532046.9</v>
      </c>
      <c r="AU1326" s="29">
        <f t="shared" ref="AU1326:AU1389" si="932">SUM(E1326,K1326,Q1326,W1326,AC1326,AI1326,AO1326)</f>
        <v>0</v>
      </c>
      <c r="AV1326" s="29">
        <f t="shared" ref="AV1326:AV1389" si="933">SUM(F1326,L1326,R1326,X1326,AD1326,AJ1326,AP1326)</f>
        <v>-23214.68</v>
      </c>
      <c r="AW1326" s="29"/>
      <c r="AX1326" s="29">
        <f t="shared" si="924"/>
        <v>18017614.530000001</v>
      </c>
      <c r="AY1326" s="29">
        <f t="shared" si="922"/>
        <v>9300000</v>
      </c>
      <c r="AZ1326" s="29">
        <f t="shared" si="923"/>
        <v>27317614.530000001</v>
      </c>
    </row>
    <row r="1327" spans="2:52" x14ac:dyDescent="0.3">
      <c r="B1327" s="99">
        <f t="shared" si="929"/>
        <v>46022</v>
      </c>
      <c r="C1327" s="44">
        <f t="shared" si="905"/>
        <v>4982294.6500000004</v>
      </c>
      <c r="D1327" s="38">
        <v>446.17</v>
      </c>
      <c r="E1327" s="38"/>
      <c r="F1327" s="38"/>
      <c r="G1327" s="45">
        <f t="shared" si="906"/>
        <v>4982740.82</v>
      </c>
      <c r="H1327" s="44">
        <v>4300000</v>
      </c>
      <c r="I1327" s="46">
        <f t="shared" si="907"/>
        <v>12993295.449999999</v>
      </c>
      <c r="J1327" s="38">
        <v>237.51</v>
      </c>
      <c r="K1327" s="38"/>
      <c r="L1327" s="38"/>
      <c r="M1327" s="47">
        <f t="shared" si="908"/>
        <v>12993532.959999999</v>
      </c>
      <c r="N1327" s="46">
        <v>5000000</v>
      </c>
      <c r="O1327" s="48">
        <f t="shared" si="909"/>
        <v>40661.589999999123</v>
      </c>
      <c r="P1327" s="38">
        <v>113087.5</v>
      </c>
      <c r="Q1327" s="38"/>
      <c r="R1327" s="38"/>
      <c r="S1327" s="55">
        <f t="shared" si="910"/>
        <v>153749.08999999912</v>
      </c>
      <c r="T1327" s="48"/>
      <c r="U1327" s="49">
        <f t="shared" si="911"/>
        <v>126.83999999939692</v>
      </c>
      <c r="V1327" s="38"/>
      <c r="W1327" s="38"/>
      <c r="X1327" s="38"/>
      <c r="Y1327" s="51">
        <f t="shared" si="912"/>
        <v>126.83999999939692</v>
      </c>
      <c r="Z1327" s="52"/>
      <c r="AA1327" s="53">
        <f t="shared" si="913"/>
        <v>-7.6977357821306214E-10</v>
      </c>
      <c r="AB1327" s="38"/>
      <c r="AC1327" s="38"/>
      <c r="AD1327" s="38"/>
      <c r="AE1327" s="54">
        <f t="shared" si="914"/>
        <v>-7.6977357821306214E-10</v>
      </c>
      <c r="AF1327" s="53"/>
      <c r="AG1327" s="53">
        <f t="shared" si="915"/>
        <v>954.44000000043309</v>
      </c>
      <c r="AH1327" s="38"/>
      <c r="AI1327" s="38"/>
      <c r="AJ1327" s="38">
        <f>-90+0.06</f>
        <v>-89.94</v>
      </c>
      <c r="AK1327" s="54">
        <f t="shared" si="916"/>
        <v>864.50000000043315</v>
      </c>
      <c r="AL1327" s="53"/>
      <c r="AM1327" s="53">
        <f t="shared" si="885"/>
        <v>281.55999999999949</v>
      </c>
      <c r="AN1327" s="38"/>
      <c r="AO1327" s="38"/>
      <c r="AP1327" s="38"/>
      <c r="AQ1327" s="54">
        <f>SUM(AL1327:AP1327)</f>
        <v>281.55999999999949</v>
      </c>
      <c r="AR1327" s="53"/>
      <c r="AS1327" s="29">
        <f t="shared" si="930"/>
        <v>18017614.530000001</v>
      </c>
      <c r="AT1327" s="29">
        <f t="shared" si="931"/>
        <v>113771.18</v>
      </c>
      <c r="AU1327" s="29">
        <f t="shared" si="932"/>
        <v>0</v>
      </c>
      <c r="AV1327" s="29">
        <f t="shared" si="933"/>
        <v>-89.94</v>
      </c>
      <c r="AW1327" s="29"/>
      <c r="AX1327" s="29">
        <f t="shared" ref="AX1327:AX1389" si="934">SUM(G1327,M1327,S1327,Y1327,AE1327,AK1327,AQ1327)</f>
        <v>18131295.77</v>
      </c>
      <c r="AY1327" s="29">
        <f t="shared" si="922"/>
        <v>9300000</v>
      </c>
      <c r="AZ1327" s="29">
        <f t="shared" si="923"/>
        <v>27431295.77</v>
      </c>
    </row>
    <row r="1328" spans="2:52" x14ac:dyDescent="0.3">
      <c r="B1328" s="99">
        <f t="shared" si="929"/>
        <v>46023</v>
      </c>
      <c r="C1328" s="44">
        <f t="shared" si="905"/>
        <v>4982740.82</v>
      </c>
      <c r="D1328" s="38"/>
      <c r="E1328" s="38"/>
      <c r="F1328" s="38"/>
      <c r="G1328" s="45">
        <f t="shared" si="906"/>
        <v>4982740.82</v>
      </c>
      <c r="H1328" s="44">
        <v>4300000</v>
      </c>
      <c r="I1328" s="46">
        <f t="shared" si="907"/>
        <v>12993532.959999999</v>
      </c>
      <c r="J1328" s="38"/>
      <c r="K1328" s="38"/>
      <c r="L1328" s="38"/>
      <c r="M1328" s="47">
        <f t="shared" si="908"/>
        <v>12993532.959999999</v>
      </c>
      <c r="N1328" s="46">
        <v>5000000</v>
      </c>
      <c r="O1328" s="48">
        <f t="shared" si="909"/>
        <v>153749.08999999912</v>
      </c>
      <c r="P1328" s="38"/>
      <c r="Q1328" s="38"/>
      <c r="R1328" s="38"/>
      <c r="S1328" s="55">
        <f t="shared" si="910"/>
        <v>153749.08999999912</v>
      </c>
      <c r="T1328" s="48"/>
      <c r="U1328" s="49">
        <f t="shared" si="911"/>
        <v>126.83999999939692</v>
      </c>
      <c r="V1328" s="38"/>
      <c r="W1328" s="38"/>
      <c r="X1328" s="38"/>
      <c r="Y1328" s="51">
        <f t="shared" si="912"/>
        <v>126.83999999939692</v>
      </c>
      <c r="Z1328" s="52"/>
      <c r="AA1328" s="53">
        <f t="shared" si="913"/>
        <v>-7.6977357821306214E-10</v>
      </c>
      <c r="AB1328" s="38"/>
      <c r="AC1328" s="38"/>
      <c r="AD1328" s="38"/>
      <c r="AE1328" s="54">
        <f t="shared" si="914"/>
        <v>-7.6977357821306214E-10</v>
      </c>
      <c r="AF1328" s="53"/>
      <c r="AG1328" s="53">
        <f t="shared" si="915"/>
        <v>864.50000000043315</v>
      </c>
      <c r="AH1328" s="38"/>
      <c r="AI1328" s="38"/>
      <c r="AJ1328" s="38"/>
      <c r="AK1328" s="54">
        <f t="shared" si="916"/>
        <v>864.50000000043315</v>
      </c>
      <c r="AL1328" s="53"/>
      <c r="AM1328" s="53">
        <f t="shared" si="885"/>
        <v>281.55999999999949</v>
      </c>
      <c r="AN1328" s="38"/>
      <c r="AO1328" s="38"/>
      <c r="AP1328" s="38"/>
      <c r="AQ1328" s="54">
        <f>SUM(AL1328:AP1328)</f>
        <v>281.55999999999949</v>
      </c>
      <c r="AR1328" s="53"/>
      <c r="AS1328" s="29">
        <f t="shared" si="930"/>
        <v>18131295.77</v>
      </c>
      <c r="AT1328" s="29">
        <f t="shared" si="931"/>
        <v>0</v>
      </c>
      <c r="AU1328" s="29">
        <f t="shared" si="932"/>
        <v>0</v>
      </c>
      <c r="AV1328" s="29">
        <f t="shared" si="933"/>
        <v>0</v>
      </c>
      <c r="AW1328" s="29"/>
      <c r="AX1328" s="29">
        <f t="shared" si="934"/>
        <v>18131295.77</v>
      </c>
      <c r="AY1328" s="29">
        <f t="shared" si="922"/>
        <v>9300000</v>
      </c>
      <c r="AZ1328" s="29">
        <f t="shared" si="923"/>
        <v>27431295.77</v>
      </c>
    </row>
    <row r="1329" spans="2:52" x14ac:dyDescent="0.3">
      <c r="B1329" s="99">
        <f t="shared" si="929"/>
        <v>46024</v>
      </c>
      <c r="C1329" s="44">
        <f t="shared" si="905"/>
        <v>4982740.82</v>
      </c>
      <c r="D1329" s="38"/>
      <c r="E1329" s="38"/>
      <c r="F1329" s="38">
        <v>-1673.66</v>
      </c>
      <c r="G1329" s="45">
        <f t="shared" si="906"/>
        <v>4981067.16</v>
      </c>
      <c r="H1329" s="44">
        <v>4300000</v>
      </c>
      <c r="I1329" s="46">
        <f t="shared" si="907"/>
        <v>12993532.959999999</v>
      </c>
      <c r="J1329" s="38"/>
      <c r="K1329" s="38"/>
      <c r="L1329" s="38">
        <v>-119441.45</v>
      </c>
      <c r="M1329" s="47">
        <f t="shared" si="908"/>
        <v>12874091.51</v>
      </c>
      <c r="N1329" s="46">
        <v>5000000</v>
      </c>
      <c r="O1329" s="48">
        <f t="shared" si="909"/>
        <v>153749.08999999912</v>
      </c>
      <c r="P1329" s="38"/>
      <c r="Q1329" s="38"/>
      <c r="R1329" s="38"/>
      <c r="S1329" s="55">
        <f t="shared" si="910"/>
        <v>153749.08999999912</v>
      </c>
      <c r="T1329" s="48"/>
      <c r="U1329" s="49">
        <f t="shared" si="911"/>
        <v>126.83999999939692</v>
      </c>
      <c r="V1329" s="38"/>
      <c r="W1329" s="38"/>
      <c r="X1329" s="38"/>
      <c r="Y1329" s="51">
        <f t="shared" si="912"/>
        <v>126.83999999939692</v>
      </c>
      <c r="Z1329" s="52"/>
      <c r="AA1329" s="53">
        <f t="shared" si="913"/>
        <v>-7.6977357821306214E-10</v>
      </c>
      <c r="AB1329" s="38"/>
      <c r="AC1329" s="38"/>
      <c r="AD1329" s="38"/>
      <c r="AE1329" s="54">
        <f t="shared" si="914"/>
        <v>-7.6977357821306214E-10</v>
      </c>
      <c r="AF1329" s="53"/>
      <c r="AG1329" s="53">
        <f t="shared" si="915"/>
        <v>864.50000000043315</v>
      </c>
      <c r="AH1329" s="38"/>
      <c r="AI1329" s="38"/>
      <c r="AJ1329" s="38"/>
      <c r="AK1329" s="54">
        <f t="shared" si="916"/>
        <v>864.50000000043315</v>
      </c>
      <c r="AL1329" s="53"/>
      <c r="AM1329" s="53">
        <f t="shared" si="885"/>
        <v>281.55999999999949</v>
      </c>
      <c r="AN1329" s="38"/>
      <c r="AO1329" s="38"/>
      <c r="AP1329" s="38"/>
      <c r="AQ1329" s="54">
        <f>SUM(AL1329:AP1329)</f>
        <v>281.55999999999949</v>
      </c>
      <c r="AR1329" s="53"/>
      <c r="AS1329" s="29">
        <f t="shared" si="930"/>
        <v>18131295.77</v>
      </c>
      <c r="AT1329" s="29">
        <f t="shared" si="931"/>
        <v>0</v>
      </c>
      <c r="AU1329" s="29">
        <f t="shared" si="932"/>
        <v>0</v>
      </c>
      <c r="AV1329" s="29">
        <f t="shared" si="933"/>
        <v>-121115.11</v>
      </c>
      <c r="AW1329" s="29"/>
      <c r="AX1329" s="29">
        <f t="shared" si="934"/>
        <v>18010180.66</v>
      </c>
      <c r="AY1329" s="29">
        <f t="shared" si="922"/>
        <v>9300000</v>
      </c>
      <c r="AZ1329" s="29">
        <f t="shared" si="923"/>
        <v>27310180.66</v>
      </c>
    </row>
    <row r="1330" spans="2:52" x14ac:dyDescent="0.3">
      <c r="B1330" s="99">
        <f>B1329+3</f>
        <v>46027</v>
      </c>
      <c r="C1330" s="44">
        <f t="shared" ref="C1330:C1344" si="935">G1329</f>
        <v>4981067.16</v>
      </c>
      <c r="D1330" s="38"/>
      <c r="E1330" s="38"/>
      <c r="F1330" s="38">
        <v>-19045.810000000001</v>
      </c>
      <c r="G1330" s="45">
        <f t="shared" ref="G1330:G1344" si="936">SUM(C1330:F1330)</f>
        <v>4962021.3500000006</v>
      </c>
      <c r="H1330" s="44">
        <v>4300000</v>
      </c>
      <c r="I1330" s="46">
        <f t="shared" ref="I1330:I1344" si="937">M1329</f>
        <v>12874091.51</v>
      </c>
      <c r="J1330" s="38"/>
      <c r="K1330" s="38">
        <v>150000</v>
      </c>
      <c r="L1330" s="38">
        <v>-5548899.8700000001</v>
      </c>
      <c r="M1330" s="47">
        <f t="shared" ref="M1330:M1344" si="938">SUM(I1330:L1330)</f>
        <v>7475191.6399999997</v>
      </c>
      <c r="N1330" s="46">
        <v>5000000</v>
      </c>
      <c r="O1330" s="48">
        <f t="shared" ref="O1330:O1344" si="939">S1329</f>
        <v>153749.08999999912</v>
      </c>
      <c r="P1330" s="38"/>
      <c r="Q1330" s="38">
        <v>-150000</v>
      </c>
      <c r="R1330" s="38">
        <v>-3382.48</v>
      </c>
      <c r="S1330" s="55">
        <f t="shared" ref="S1330:S1344" si="940">SUM(O1330:R1330)</f>
        <v>366.60999999912337</v>
      </c>
      <c r="T1330" s="48"/>
      <c r="U1330" s="49">
        <f t="shared" ref="U1330:U1344" si="941">Y1329</f>
        <v>126.83999999939692</v>
      </c>
      <c r="V1330" s="38"/>
      <c r="W1330" s="38"/>
      <c r="X1330" s="38">
        <v>-70.599999999999994</v>
      </c>
      <c r="Y1330" s="51">
        <f t="shared" ref="Y1330:Y1344" si="942">SUM(U1330:X1330)</f>
        <v>56.239999999396929</v>
      </c>
      <c r="Z1330" s="52"/>
      <c r="AA1330" s="53">
        <f t="shared" ref="AA1330:AA1344" si="943">AE1329</f>
        <v>-7.6977357821306214E-10</v>
      </c>
      <c r="AB1330" s="38"/>
      <c r="AC1330" s="38"/>
      <c r="AD1330" s="38"/>
      <c r="AE1330" s="54">
        <f t="shared" ref="AE1330:AE1344" si="944">SUM(AA1330:AD1330)</f>
        <v>-7.6977357821306214E-10</v>
      </c>
      <c r="AF1330" s="53"/>
      <c r="AG1330" s="53">
        <f t="shared" ref="AG1330:AG1344" si="945">AK1329</f>
        <v>864.50000000043315</v>
      </c>
      <c r="AH1330" s="38"/>
      <c r="AI1330" s="38"/>
      <c r="AJ1330" s="38">
        <v>-478.96</v>
      </c>
      <c r="AK1330" s="54">
        <f t="shared" ref="AK1330:AK1344" si="946">SUM(AG1330:AJ1330)</f>
        <v>385.54000000043317</v>
      </c>
      <c r="AL1330" s="53"/>
      <c r="AM1330" s="53">
        <f t="shared" si="885"/>
        <v>281.55999999999949</v>
      </c>
      <c r="AN1330" s="38"/>
      <c r="AO1330" s="38"/>
      <c r="AP1330" s="38"/>
      <c r="AQ1330" s="54">
        <f t="shared" ref="AQ1330:AQ1344" si="947">SUM(AL1330:AP1330)</f>
        <v>281.55999999999949</v>
      </c>
      <c r="AR1330" s="53"/>
      <c r="AS1330" s="29">
        <f t="shared" si="930"/>
        <v>18010180.66</v>
      </c>
      <c r="AT1330" s="29">
        <f t="shared" si="931"/>
        <v>0</v>
      </c>
      <c r="AU1330" s="29">
        <f t="shared" si="932"/>
        <v>0</v>
      </c>
      <c r="AV1330" s="29">
        <f t="shared" si="933"/>
        <v>-5571877.7199999997</v>
      </c>
      <c r="AW1330" s="29"/>
      <c r="AX1330" s="29">
        <f t="shared" si="934"/>
        <v>12438302.940000001</v>
      </c>
      <c r="AY1330" s="29">
        <f t="shared" ref="AY1330:AY1344" si="948">SUM(H1330,N1330,T1330,Z1330,AF1330,AL1330)</f>
        <v>9300000</v>
      </c>
      <c r="AZ1330" s="29">
        <f t="shared" ref="AZ1330:AZ1344" si="949">AX1330+AY1330</f>
        <v>21738302.940000001</v>
      </c>
    </row>
    <row r="1331" spans="2:52" x14ac:dyDescent="0.3">
      <c r="B1331" s="99">
        <f t="shared" ref="B1331:B1334" si="950">B1330+1</f>
        <v>46028</v>
      </c>
      <c r="C1331" s="44">
        <f t="shared" si="935"/>
        <v>4962021.3500000006</v>
      </c>
      <c r="D1331" s="38">
        <v>151589.70000000001</v>
      </c>
      <c r="E1331" s="38"/>
      <c r="F1331" s="38">
        <v>-11532.45</v>
      </c>
      <c r="G1331" s="45">
        <f t="shared" si="936"/>
        <v>5102078.6000000006</v>
      </c>
      <c r="H1331" s="44">
        <v>4300000</v>
      </c>
      <c r="I1331" s="46">
        <f t="shared" si="937"/>
        <v>7475191.6399999997</v>
      </c>
      <c r="J1331" s="38"/>
      <c r="K1331" s="38"/>
      <c r="L1331" s="38">
        <v>-192761.27</v>
      </c>
      <c r="M1331" s="47">
        <f t="shared" si="938"/>
        <v>7282430.3700000001</v>
      </c>
      <c r="N1331" s="46">
        <v>5000000</v>
      </c>
      <c r="O1331" s="48">
        <f t="shared" si="939"/>
        <v>366.60999999912337</v>
      </c>
      <c r="P1331" s="38"/>
      <c r="Q1331" s="38"/>
      <c r="R1331" s="38"/>
      <c r="S1331" s="55">
        <f t="shared" si="940"/>
        <v>366.60999999912337</v>
      </c>
      <c r="T1331" s="48"/>
      <c r="U1331" s="49">
        <f t="shared" si="941"/>
        <v>56.239999999396929</v>
      </c>
      <c r="V1331" s="38"/>
      <c r="W1331" s="38"/>
      <c r="X1331" s="38"/>
      <c r="Y1331" s="51">
        <f t="shared" si="942"/>
        <v>56.239999999396929</v>
      </c>
      <c r="Z1331" s="52"/>
      <c r="AA1331" s="53">
        <f t="shared" si="943"/>
        <v>-7.6977357821306214E-10</v>
      </c>
      <c r="AB1331" s="38"/>
      <c r="AC1331" s="38"/>
      <c r="AD1331" s="38"/>
      <c r="AE1331" s="54">
        <f t="shared" si="944"/>
        <v>-7.6977357821306214E-10</v>
      </c>
      <c r="AF1331" s="53"/>
      <c r="AG1331" s="53">
        <f t="shared" si="945"/>
        <v>385.54000000043317</v>
      </c>
      <c r="AH1331" s="38"/>
      <c r="AI1331" s="38"/>
      <c r="AJ1331" s="38"/>
      <c r="AK1331" s="54">
        <f t="shared" si="946"/>
        <v>385.54000000043317</v>
      </c>
      <c r="AL1331" s="53"/>
      <c r="AM1331" s="53">
        <f t="shared" si="885"/>
        <v>281.55999999999949</v>
      </c>
      <c r="AN1331" s="38"/>
      <c r="AO1331" s="38"/>
      <c r="AP1331" s="38"/>
      <c r="AQ1331" s="54">
        <f t="shared" si="947"/>
        <v>281.55999999999949</v>
      </c>
      <c r="AR1331" s="53"/>
      <c r="AS1331" s="29">
        <f t="shared" si="930"/>
        <v>12438302.940000001</v>
      </c>
      <c r="AT1331" s="29">
        <f t="shared" si="931"/>
        <v>151589.70000000001</v>
      </c>
      <c r="AU1331" s="29">
        <f t="shared" si="932"/>
        <v>0</v>
      </c>
      <c r="AV1331" s="29">
        <f t="shared" si="933"/>
        <v>-204293.72</v>
      </c>
      <c r="AW1331" s="29"/>
      <c r="AX1331" s="29">
        <f t="shared" si="934"/>
        <v>12385598.920000002</v>
      </c>
      <c r="AY1331" s="29">
        <f t="shared" si="948"/>
        <v>9300000</v>
      </c>
      <c r="AZ1331" s="29">
        <f t="shared" si="949"/>
        <v>21685598.920000002</v>
      </c>
    </row>
    <row r="1332" spans="2:52" x14ac:dyDescent="0.3">
      <c r="B1332" s="99">
        <f t="shared" si="950"/>
        <v>46029</v>
      </c>
      <c r="C1332" s="44">
        <f t="shared" si="935"/>
        <v>5102078.6000000006</v>
      </c>
      <c r="D1332" s="38">
        <v>48758.82</v>
      </c>
      <c r="E1332" s="38"/>
      <c r="F1332" s="38">
        <v>-225.5</v>
      </c>
      <c r="G1332" s="45">
        <f t="shared" si="936"/>
        <v>5150611.9200000009</v>
      </c>
      <c r="H1332" s="44">
        <v>4300000</v>
      </c>
      <c r="I1332" s="46">
        <f t="shared" si="937"/>
        <v>7282430.3700000001</v>
      </c>
      <c r="J1332" s="38"/>
      <c r="K1332" s="38"/>
      <c r="L1332" s="38">
        <v>-242482.89</v>
      </c>
      <c r="M1332" s="47">
        <f t="shared" si="938"/>
        <v>7039947.4800000004</v>
      </c>
      <c r="N1332" s="46">
        <v>5000000</v>
      </c>
      <c r="O1332" s="48">
        <f t="shared" si="939"/>
        <v>366.60999999912337</v>
      </c>
      <c r="P1332" s="38"/>
      <c r="Q1332" s="38"/>
      <c r="R1332" s="38"/>
      <c r="S1332" s="55">
        <f t="shared" si="940"/>
        <v>366.60999999912337</v>
      </c>
      <c r="T1332" s="48"/>
      <c r="U1332" s="49">
        <f t="shared" si="941"/>
        <v>56.239999999396929</v>
      </c>
      <c r="V1332" s="38"/>
      <c r="W1332" s="38"/>
      <c r="X1332" s="38"/>
      <c r="Y1332" s="51">
        <f t="shared" si="942"/>
        <v>56.239999999396929</v>
      </c>
      <c r="Z1332" s="52"/>
      <c r="AA1332" s="53">
        <f t="shared" si="943"/>
        <v>-7.6977357821306214E-10</v>
      </c>
      <c r="AB1332" s="38"/>
      <c r="AC1332" s="38"/>
      <c r="AD1332" s="38"/>
      <c r="AE1332" s="54">
        <f t="shared" si="944"/>
        <v>-7.6977357821306214E-10</v>
      </c>
      <c r="AF1332" s="53"/>
      <c r="AG1332" s="53">
        <f t="shared" si="945"/>
        <v>385.54000000043317</v>
      </c>
      <c r="AH1332" s="38"/>
      <c r="AI1332" s="38"/>
      <c r="AJ1332" s="38"/>
      <c r="AK1332" s="54">
        <f t="shared" si="946"/>
        <v>385.54000000043317</v>
      </c>
      <c r="AL1332" s="53"/>
      <c r="AM1332" s="53">
        <f t="shared" si="885"/>
        <v>281.55999999999949</v>
      </c>
      <c r="AN1332" s="38"/>
      <c r="AO1332" s="38"/>
      <c r="AP1332" s="38"/>
      <c r="AQ1332" s="54">
        <f t="shared" si="947"/>
        <v>281.55999999999949</v>
      </c>
      <c r="AR1332" s="53"/>
      <c r="AS1332" s="29">
        <f t="shared" si="930"/>
        <v>12385598.920000002</v>
      </c>
      <c r="AT1332" s="29">
        <f t="shared" si="931"/>
        <v>48758.82</v>
      </c>
      <c r="AU1332" s="29">
        <f t="shared" si="932"/>
        <v>0</v>
      </c>
      <c r="AV1332" s="29">
        <f t="shared" si="933"/>
        <v>-242708.39</v>
      </c>
      <c r="AW1332" s="29"/>
      <c r="AX1332" s="29">
        <f t="shared" si="934"/>
        <v>12191649.350000003</v>
      </c>
      <c r="AY1332" s="29">
        <f t="shared" si="948"/>
        <v>9300000</v>
      </c>
      <c r="AZ1332" s="29">
        <f t="shared" si="949"/>
        <v>21491649.350000001</v>
      </c>
    </row>
    <row r="1333" spans="2:52" x14ac:dyDescent="0.3">
      <c r="B1333" s="99">
        <f t="shared" si="950"/>
        <v>46030</v>
      </c>
      <c r="C1333" s="44">
        <f t="shared" si="935"/>
        <v>5150611.9200000009</v>
      </c>
      <c r="D1333" s="38"/>
      <c r="E1333" s="38"/>
      <c r="F1333" s="38"/>
      <c r="G1333" s="45">
        <f t="shared" si="936"/>
        <v>5150611.9200000009</v>
      </c>
      <c r="H1333" s="44">
        <v>4300000</v>
      </c>
      <c r="I1333" s="46">
        <f t="shared" si="937"/>
        <v>7039947.4800000004</v>
      </c>
      <c r="J1333" s="38">
        <v>660</v>
      </c>
      <c r="K1333" s="38"/>
      <c r="L1333" s="38">
        <v>-37534.36</v>
      </c>
      <c r="M1333" s="47">
        <f t="shared" si="938"/>
        <v>7003073.1200000001</v>
      </c>
      <c r="N1333" s="46">
        <v>5000000</v>
      </c>
      <c r="O1333" s="48">
        <f t="shared" si="939"/>
        <v>366.60999999912337</v>
      </c>
      <c r="P1333" s="38">
        <v>10.23</v>
      </c>
      <c r="Q1333" s="38"/>
      <c r="R1333" s="38"/>
      <c r="S1333" s="55">
        <f t="shared" si="940"/>
        <v>376.83999999912339</v>
      </c>
      <c r="T1333" s="48"/>
      <c r="U1333" s="49">
        <f t="shared" si="941"/>
        <v>56.239999999396929</v>
      </c>
      <c r="V1333" s="38"/>
      <c r="W1333" s="38"/>
      <c r="X1333" s="38"/>
      <c r="Y1333" s="51">
        <f t="shared" si="942"/>
        <v>56.239999999396929</v>
      </c>
      <c r="Z1333" s="52"/>
      <c r="AA1333" s="53">
        <f t="shared" si="943"/>
        <v>-7.6977357821306214E-10</v>
      </c>
      <c r="AB1333" s="38"/>
      <c r="AC1333" s="38"/>
      <c r="AD1333" s="38"/>
      <c r="AE1333" s="54">
        <f t="shared" si="944"/>
        <v>-7.6977357821306214E-10</v>
      </c>
      <c r="AF1333" s="53"/>
      <c r="AG1333" s="53">
        <f t="shared" si="945"/>
        <v>385.54000000043317</v>
      </c>
      <c r="AH1333" s="38"/>
      <c r="AI1333" s="38"/>
      <c r="AJ1333" s="38"/>
      <c r="AK1333" s="54">
        <f t="shared" si="946"/>
        <v>385.54000000043317</v>
      </c>
      <c r="AL1333" s="53"/>
      <c r="AM1333" s="53">
        <f t="shared" ref="AM1333:AM1396" si="951">AQ1332</f>
        <v>281.55999999999949</v>
      </c>
      <c r="AN1333" s="38"/>
      <c r="AO1333" s="38"/>
      <c r="AP1333" s="38"/>
      <c r="AQ1333" s="54">
        <f t="shared" si="947"/>
        <v>281.55999999999949</v>
      </c>
      <c r="AR1333" s="53"/>
      <c r="AS1333" s="29">
        <f t="shared" si="930"/>
        <v>12191649.350000003</v>
      </c>
      <c r="AT1333" s="29">
        <f t="shared" si="931"/>
        <v>670.23</v>
      </c>
      <c r="AU1333" s="29">
        <f t="shared" si="932"/>
        <v>0</v>
      </c>
      <c r="AV1333" s="29">
        <f t="shared" si="933"/>
        <v>-37534.36</v>
      </c>
      <c r="AW1333" s="29"/>
      <c r="AX1333" s="29">
        <f t="shared" si="934"/>
        <v>12154785.220000003</v>
      </c>
      <c r="AY1333" s="29">
        <f t="shared" si="948"/>
        <v>9300000</v>
      </c>
      <c r="AZ1333" s="29">
        <f t="shared" si="949"/>
        <v>21454785.220000003</v>
      </c>
    </row>
    <row r="1334" spans="2:52" x14ac:dyDescent="0.3">
      <c r="B1334" s="99">
        <f t="shared" si="950"/>
        <v>46031</v>
      </c>
      <c r="C1334" s="44">
        <f t="shared" si="935"/>
        <v>5150611.9200000009</v>
      </c>
      <c r="D1334" s="38"/>
      <c r="E1334" s="38"/>
      <c r="F1334" s="38">
        <f>-1796.67-48.2</f>
        <v>-1844.8700000000001</v>
      </c>
      <c r="G1334" s="45">
        <f t="shared" si="936"/>
        <v>5148767.0500000007</v>
      </c>
      <c r="H1334" s="44">
        <v>4300000</v>
      </c>
      <c r="I1334" s="46">
        <f t="shared" si="937"/>
        <v>7003073.1200000001</v>
      </c>
      <c r="J1334" s="38">
        <v>8652.31</v>
      </c>
      <c r="K1334" s="38"/>
      <c r="L1334" s="38">
        <v>-250775.5</v>
      </c>
      <c r="M1334" s="47">
        <f t="shared" si="938"/>
        <v>6760949.9299999997</v>
      </c>
      <c r="N1334" s="46">
        <v>5000000</v>
      </c>
      <c r="O1334" s="48">
        <f t="shared" si="939"/>
        <v>376.83999999912339</v>
      </c>
      <c r="P1334" s="38"/>
      <c r="Q1334" s="38"/>
      <c r="R1334" s="38"/>
      <c r="S1334" s="55">
        <f t="shared" si="940"/>
        <v>376.83999999912339</v>
      </c>
      <c r="T1334" s="48"/>
      <c r="U1334" s="49">
        <f t="shared" si="941"/>
        <v>56.239999999396929</v>
      </c>
      <c r="V1334" s="38"/>
      <c r="W1334" s="38"/>
      <c r="X1334" s="38"/>
      <c r="Y1334" s="51">
        <f t="shared" si="942"/>
        <v>56.239999999396929</v>
      </c>
      <c r="Z1334" s="52"/>
      <c r="AA1334" s="53">
        <f t="shared" si="943"/>
        <v>-7.6977357821306214E-10</v>
      </c>
      <c r="AB1334" s="38"/>
      <c r="AC1334" s="38"/>
      <c r="AD1334" s="38"/>
      <c r="AE1334" s="54">
        <f t="shared" si="944"/>
        <v>-7.6977357821306214E-10</v>
      </c>
      <c r="AF1334" s="53"/>
      <c r="AG1334" s="53">
        <f t="shared" si="945"/>
        <v>385.54000000043317</v>
      </c>
      <c r="AH1334" s="38"/>
      <c r="AI1334" s="38"/>
      <c r="AJ1334" s="38"/>
      <c r="AK1334" s="54">
        <f t="shared" si="946"/>
        <v>385.54000000043317</v>
      </c>
      <c r="AL1334" s="53"/>
      <c r="AM1334" s="53">
        <f t="shared" si="951"/>
        <v>281.55999999999949</v>
      </c>
      <c r="AN1334" s="38"/>
      <c r="AO1334" s="38"/>
      <c r="AP1334" s="38"/>
      <c r="AQ1334" s="54">
        <f t="shared" si="947"/>
        <v>281.55999999999949</v>
      </c>
      <c r="AR1334" s="53"/>
      <c r="AS1334" s="29">
        <f t="shared" si="930"/>
        <v>12154785.220000003</v>
      </c>
      <c r="AT1334" s="29">
        <f t="shared" si="931"/>
        <v>8652.31</v>
      </c>
      <c r="AU1334" s="29">
        <f t="shared" si="932"/>
        <v>0</v>
      </c>
      <c r="AV1334" s="29">
        <f t="shared" si="933"/>
        <v>-252620.37</v>
      </c>
      <c r="AW1334" s="29"/>
      <c r="AX1334" s="29">
        <f t="shared" si="934"/>
        <v>11910817.160000002</v>
      </c>
      <c r="AY1334" s="29">
        <f t="shared" si="948"/>
        <v>9300000</v>
      </c>
      <c r="AZ1334" s="29">
        <f t="shared" si="949"/>
        <v>21210817.160000004</v>
      </c>
    </row>
    <row r="1335" spans="2:52" x14ac:dyDescent="0.3">
      <c r="B1335" s="99">
        <f>B1334+3</f>
        <v>46034</v>
      </c>
      <c r="C1335" s="44">
        <f t="shared" si="935"/>
        <v>5148767.0500000007</v>
      </c>
      <c r="D1335" s="38">
        <v>15711.619999999999</v>
      </c>
      <c r="E1335" s="38"/>
      <c r="F1335" s="38">
        <v>-5783.0400000000009</v>
      </c>
      <c r="G1335" s="45">
        <f t="shared" si="936"/>
        <v>5158695.6300000008</v>
      </c>
      <c r="H1335" s="44">
        <v>4300000</v>
      </c>
      <c r="I1335" s="46">
        <f t="shared" si="937"/>
        <v>6760949.9299999997</v>
      </c>
      <c r="J1335" s="38"/>
      <c r="K1335" s="38"/>
      <c r="L1335" s="38">
        <v>-490230.33</v>
      </c>
      <c r="M1335" s="47">
        <f t="shared" si="938"/>
        <v>6270719.5999999996</v>
      </c>
      <c r="N1335" s="46">
        <v>5000000</v>
      </c>
      <c r="O1335" s="48">
        <f t="shared" si="939"/>
        <v>376.83999999912339</v>
      </c>
      <c r="P1335" s="38"/>
      <c r="Q1335" s="38"/>
      <c r="R1335" s="38"/>
      <c r="S1335" s="55">
        <f t="shared" si="940"/>
        <v>376.83999999912339</v>
      </c>
      <c r="T1335" s="48"/>
      <c r="U1335" s="49">
        <f t="shared" si="941"/>
        <v>56.239999999396929</v>
      </c>
      <c r="V1335" s="38"/>
      <c r="W1335" s="38"/>
      <c r="X1335" s="38"/>
      <c r="Y1335" s="51">
        <f t="shared" si="942"/>
        <v>56.239999999396929</v>
      </c>
      <c r="Z1335" s="52"/>
      <c r="AA1335" s="53">
        <f t="shared" si="943"/>
        <v>-7.6977357821306214E-10</v>
      </c>
      <c r="AB1335" s="38"/>
      <c r="AC1335" s="38"/>
      <c r="AD1335" s="38"/>
      <c r="AE1335" s="54">
        <f t="shared" si="944"/>
        <v>-7.6977357821306214E-10</v>
      </c>
      <c r="AF1335" s="53"/>
      <c r="AG1335" s="53">
        <f t="shared" si="945"/>
        <v>385.54000000043317</v>
      </c>
      <c r="AH1335" s="38"/>
      <c r="AI1335" s="38"/>
      <c r="AJ1335" s="38"/>
      <c r="AK1335" s="54">
        <f t="shared" si="946"/>
        <v>385.54000000043317</v>
      </c>
      <c r="AL1335" s="53"/>
      <c r="AM1335" s="53">
        <f t="shared" si="951"/>
        <v>281.55999999999949</v>
      </c>
      <c r="AN1335" s="38"/>
      <c r="AO1335" s="38"/>
      <c r="AP1335" s="38"/>
      <c r="AQ1335" s="54">
        <f t="shared" si="947"/>
        <v>281.55999999999949</v>
      </c>
      <c r="AR1335" s="53"/>
      <c r="AS1335" s="29">
        <f t="shared" si="930"/>
        <v>11910817.160000002</v>
      </c>
      <c r="AT1335" s="29">
        <f t="shared" si="931"/>
        <v>15711.619999999999</v>
      </c>
      <c r="AU1335" s="29">
        <f t="shared" si="932"/>
        <v>0</v>
      </c>
      <c r="AV1335" s="29">
        <f t="shared" si="933"/>
        <v>-496013.37</v>
      </c>
      <c r="AW1335" s="29"/>
      <c r="AX1335" s="29">
        <f t="shared" si="934"/>
        <v>11430515.410000002</v>
      </c>
      <c r="AY1335" s="29">
        <f t="shared" si="948"/>
        <v>9300000</v>
      </c>
      <c r="AZ1335" s="29">
        <f t="shared" si="949"/>
        <v>20730515.410000004</v>
      </c>
    </row>
    <row r="1336" spans="2:52" x14ac:dyDescent="0.3">
      <c r="B1336" s="99">
        <f t="shared" ref="B1336:B1339" si="952">B1335+1</f>
        <v>46035</v>
      </c>
      <c r="C1336" s="44">
        <f t="shared" si="935"/>
        <v>5158695.6300000008</v>
      </c>
      <c r="D1336" s="38"/>
      <c r="E1336" s="38"/>
      <c r="F1336" s="38">
        <v>-42567.87</v>
      </c>
      <c r="G1336" s="45">
        <f t="shared" si="936"/>
        <v>5116127.7600000007</v>
      </c>
      <c r="H1336" s="44">
        <v>4300000</v>
      </c>
      <c r="I1336" s="46">
        <f t="shared" si="937"/>
        <v>6270719.5999999996</v>
      </c>
      <c r="J1336" s="38"/>
      <c r="K1336" s="38"/>
      <c r="L1336" s="38">
        <v>-3295.4</v>
      </c>
      <c r="M1336" s="47">
        <f t="shared" si="938"/>
        <v>6267424.1999999993</v>
      </c>
      <c r="N1336" s="46">
        <v>5000000</v>
      </c>
      <c r="O1336" s="48">
        <f t="shared" si="939"/>
        <v>376.83999999912339</v>
      </c>
      <c r="P1336" s="38"/>
      <c r="Q1336" s="38"/>
      <c r="R1336" s="38"/>
      <c r="S1336" s="55">
        <f t="shared" si="940"/>
        <v>376.83999999912339</v>
      </c>
      <c r="T1336" s="48"/>
      <c r="U1336" s="49">
        <f t="shared" si="941"/>
        <v>56.239999999396929</v>
      </c>
      <c r="V1336" s="38"/>
      <c r="W1336" s="38"/>
      <c r="X1336" s="38"/>
      <c r="Y1336" s="51">
        <f t="shared" si="942"/>
        <v>56.239999999396929</v>
      </c>
      <c r="Z1336" s="52"/>
      <c r="AA1336" s="53">
        <f t="shared" si="943"/>
        <v>-7.6977357821306214E-10</v>
      </c>
      <c r="AB1336" s="38"/>
      <c r="AC1336" s="38"/>
      <c r="AD1336" s="38"/>
      <c r="AE1336" s="54">
        <f t="shared" si="944"/>
        <v>-7.6977357821306214E-10</v>
      </c>
      <c r="AF1336" s="53"/>
      <c r="AG1336" s="53">
        <f t="shared" si="945"/>
        <v>385.54000000043317</v>
      </c>
      <c r="AH1336" s="38"/>
      <c r="AI1336" s="38"/>
      <c r="AJ1336" s="38"/>
      <c r="AK1336" s="54">
        <f t="shared" si="946"/>
        <v>385.54000000043317</v>
      </c>
      <c r="AL1336" s="53"/>
      <c r="AM1336" s="53">
        <f t="shared" si="951"/>
        <v>281.55999999999949</v>
      </c>
      <c r="AN1336" s="38"/>
      <c r="AO1336" s="38"/>
      <c r="AP1336" s="38"/>
      <c r="AQ1336" s="54">
        <f t="shared" si="947"/>
        <v>281.55999999999949</v>
      </c>
      <c r="AR1336" s="53"/>
      <c r="AS1336" s="29">
        <f t="shared" si="930"/>
        <v>11430515.410000002</v>
      </c>
      <c r="AT1336" s="29">
        <f t="shared" si="931"/>
        <v>0</v>
      </c>
      <c r="AU1336" s="29">
        <f t="shared" si="932"/>
        <v>0</v>
      </c>
      <c r="AV1336" s="29">
        <f t="shared" si="933"/>
        <v>-45863.270000000004</v>
      </c>
      <c r="AW1336" s="29"/>
      <c r="AX1336" s="29">
        <f t="shared" si="934"/>
        <v>11384652.140000002</v>
      </c>
      <c r="AY1336" s="29">
        <f t="shared" si="948"/>
        <v>9300000</v>
      </c>
      <c r="AZ1336" s="29">
        <f t="shared" si="949"/>
        <v>20684652.140000001</v>
      </c>
    </row>
    <row r="1337" spans="2:52" x14ac:dyDescent="0.3">
      <c r="B1337" s="99">
        <f t="shared" si="952"/>
        <v>46036</v>
      </c>
      <c r="C1337" s="44">
        <f t="shared" si="935"/>
        <v>5116127.7600000007</v>
      </c>
      <c r="D1337" s="38">
        <v>26062.11</v>
      </c>
      <c r="E1337" s="38"/>
      <c r="F1337" s="38">
        <f>-26062.11-16763.39</f>
        <v>-42825.5</v>
      </c>
      <c r="G1337" s="45">
        <f t="shared" si="936"/>
        <v>5099364.370000001</v>
      </c>
      <c r="H1337" s="44">
        <v>4300000</v>
      </c>
      <c r="I1337" s="46">
        <f t="shared" si="937"/>
        <v>6267424.1999999993</v>
      </c>
      <c r="J1337" s="38">
        <v>502255.17</v>
      </c>
      <c r="K1337" s="38"/>
      <c r="L1337" s="38">
        <v>-47564.28</v>
      </c>
      <c r="M1337" s="47">
        <f t="shared" si="938"/>
        <v>6722115.0899999989</v>
      </c>
      <c r="N1337" s="46">
        <v>5000000</v>
      </c>
      <c r="O1337" s="48">
        <f t="shared" si="939"/>
        <v>376.83999999912339</v>
      </c>
      <c r="P1337" s="38"/>
      <c r="Q1337" s="38"/>
      <c r="R1337" s="38"/>
      <c r="S1337" s="55">
        <f t="shared" si="940"/>
        <v>376.83999999912339</v>
      </c>
      <c r="T1337" s="48"/>
      <c r="U1337" s="49">
        <f t="shared" si="941"/>
        <v>56.239999999396929</v>
      </c>
      <c r="V1337" s="38"/>
      <c r="W1337" s="38"/>
      <c r="X1337" s="38"/>
      <c r="Y1337" s="51">
        <f t="shared" si="942"/>
        <v>56.239999999396929</v>
      </c>
      <c r="Z1337" s="52"/>
      <c r="AA1337" s="53">
        <f t="shared" si="943"/>
        <v>-7.6977357821306214E-10</v>
      </c>
      <c r="AB1337" s="38"/>
      <c r="AC1337" s="38"/>
      <c r="AD1337" s="38"/>
      <c r="AE1337" s="54">
        <f t="shared" si="944"/>
        <v>-7.6977357821306214E-10</v>
      </c>
      <c r="AF1337" s="53"/>
      <c r="AG1337" s="53">
        <f t="shared" si="945"/>
        <v>385.54000000043317</v>
      </c>
      <c r="AH1337" s="38">
        <v>13280.5</v>
      </c>
      <c r="AI1337" s="38"/>
      <c r="AJ1337" s="38"/>
      <c r="AK1337" s="54">
        <f t="shared" si="946"/>
        <v>13666.040000000434</v>
      </c>
      <c r="AL1337" s="53"/>
      <c r="AM1337" s="53">
        <f t="shared" si="951"/>
        <v>281.55999999999949</v>
      </c>
      <c r="AN1337" s="38"/>
      <c r="AO1337" s="38"/>
      <c r="AP1337" s="38"/>
      <c r="AQ1337" s="54">
        <f t="shared" si="947"/>
        <v>281.55999999999949</v>
      </c>
      <c r="AR1337" s="53"/>
      <c r="AS1337" s="29">
        <f t="shared" si="930"/>
        <v>11384652.140000002</v>
      </c>
      <c r="AT1337" s="29">
        <f t="shared" si="931"/>
        <v>541597.78</v>
      </c>
      <c r="AU1337" s="29">
        <f t="shared" si="932"/>
        <v>0</v>
      </c>
      <c r="AV1337" s="29">
        <f t="shared" si="933"/>
        <v>-90389.78</v>
      </c>
      <c r="AW1337" s="29"/>
      <c r="AX1337" s="29">
        <f t="shared" si="934"/>
        <v>11835860.140000002</v>
      </c>
      <c r="AY1337" s="29">
        <f t="shared" si="948"/>
        <v>9300000</v>
      </c>
      <c r="AZ1337" s="29">
        <f t="shared" si="949"/>
        <v>21135860.140000001</v>
      </c>
    </row>
    <row r="1338" spans="2:52" x14ac:dyDescent="0.3">
      <c r="B1338" s="99">
        <f t="shared" si="952"/>
        <v>46037</v>
      </c>
      <c r="C1338" s="44">
        <f t="shared" si="935"/>
        <v>5099364.370000001</v>
      </c>
      <c r="D1338" s="38">
        <v>1200.1600000000001</v>
      </c>
      <c r="E1338" s="38">
        <v>13000</v>
      </c>
      <c r="F1338" s="38">
        <v>-125384.1</v>
      </c>
      <c r="G1338" s="45">
        <f t="shared" si="936"/>
        <v>4988180.4300000016</v>
      </c>
      <c r="H1338" s="44">
        <v>4300000</v>
      </c>
      <c r="I1338" s="46">
        <f t="shared" si="937"/>
        <v>6722115.0899999989</v>
      </c>
      <c r="J1338" s="38">
        <f>384.35+127.45+127.45</f>
        <v>639.25</v>
      </c>
      <c r="K1338" s="38"/>
      <c r="L1338" s="38">
        <v>-43626.74</v>
      </c>
      <c r="M1338" s="47">
        <f t="shared" si="938"/>
        <v>6679127.5999999987</v>
      </c>
      <c r="N1338" s="46">
        <v>5000000</v>
      </c>
      <c r="O1338" s="48">
        <f t="shared" si="939"/>
        <v>376.83999999912339</v>
      </c>
      <c r="P1338" s="38">
        <f>15736.05+24438.54</f>
        <v>40174.589999999997</v>
      </c>
      <c r="Q1338" s="38"/>
      <c r="R1338" s="38"/>
      <c r="S1338" s="55">
        <f t="shared" si="940"/>
        <v>40551.42999999912</v>
      </c>
      <c r="T1338" s="48"/>
      <c r="U1338" s="49">
        <f t="shared" si="941"/>
        <v>56.239999999396929</v>
      </c>
      <c r="V1338" s="38"/>
      <c r="W1338" s="38"/>
      <c r="X1338" s="38"/>
      <c r="Y1338" s="51">
        <f t="shared" si="942"/>
        <v>56.239999999396929</v>
      </c>
      <c r="Z1338" s="52"/>
      <c r="AA1338" s="53">
        <f t="shared" si="943"/>
        <v>-7.6977357821306214E-10</v>
      </c>
      <c r="AB1338" s="38"/>
      <c r="AC1338" s="38"/>
      <c r="AD1338" s="38"/>
      <c r="AE1338" s="54">
        <f t="shared" si="944"/>
        <v>-7.6977357821306214E-10</v>
      </c>
      <c r="AF1338" s="53"/>
      <c r="AG1338" s="53">
        <f t="shared" si="945"/>
        <v>13666.040000000434</v>
      </c>
      <c r="AH1338" s="38"/>
      <c r="AI1338" s="38">
        <v>-13000</v>
      </c>
      <c r="AJ1338" s="38"/>
      <c r="AK1338" s="54">
        <f t="shared" si="946"/>
        <v>666.04000000043379</v>
      </c>
      <c r="AL1338" s="53"/>
      <c r="AM1338" s="53">
        <f t="shared" si="951"/>
        <v>281.55999999999949</v>
      </c>
      <c r="AN1338" s="38"/>
      <c r="AO1338" s="38"/>
      <c r="AP1338" s="38"/>
      <c r="AQ1338" s="54">
        <f t="shared" si="947"/>
        <v>281.55999999999949</v>
      </c>
      <c r="AR1338" s="53"/>
      <c r="AS1338" s="29">
        <f t="shared" si="930"/>
        <v>11835860.140000002</v>
      </c>
      <c r="AT1338" s="29">
        <f t="shared" si="931"/>
        <v>42014</v>
      </c>
      <c r="AU1338" s="29">
        <f t="shared" si="932"/>
        <v>0</v>
      </c>
      <c r="AV1338" s="29">
        <f t="shared" si="933"/>
        <v>-169010.84</v>
      </c>
      <c r="AW1338" s="29"/>
      <c r="AX1338" s="29">
        <f t="shared" si="934"/>
        <v>11708863.300000003</v>
      </c>
      <c r="AY1338" s="29">
        <f t="shared" si="948"/>
        <v>9300000</v>
      </c>
      <c r="AZ1338" s="29">
        <f t="shared" si="949"/>
        <v>21008863.300000004</v>
      </c>
    </row>
    <row r="1339" spans="2:52" x14ac:dyDescent="0.3">
      <c r="B1339" s="99">
        <f t="shared" si="952"/>
        <v>46038</v>
      </c>
      <c r="C1339" s="44">
        <f t="shared" si="935"/>
        <v>4988180.4300000016</v>
      </c>
      <c r="D1339" s="38">
        <f>126623.47+151589.7+314855.78+34177.53</f>
        <v>627246.4800000001</v>
      </c>
      <c r="E1339" s="38"/>
      <c r="F1339" s="38">
        <f>-627246.48+527944.71</f>
        <v>-99301.770000000019</v>
      </c>
      <c r="G1339" s="45">
        <f t="shared" si="936"/>
        <v>5516125.1400000025</v>
      </c>
      <c r="H1339" s="44">
        <v>4300000</v>
      </c>
      <c r="I1339" s="46">
        <f t="shared" si="937"/>
        <v>6679127.5999999987</v>
      </c>
      <c r="J1339" s="38">
        <v>34177.53</v>
      </c>
      <c r="K1339" s="38"/>
      <c r="L1339" s="38">
        <v>-128724.51</v>
      </c>
      <c r="M1339" s="47">
        <f t="shared" si="938"/>
        <v>6584580.6199999992</v>
      </c>
      <c r="N1339" s="46">
        <v>5000000</v>
      </c>
      <c r="O1339" s="48">
        <f t="shared" si="939"/>
        <v>40551.42999999912</v>
      </c>
      <c r="P1339" s="38"/>
      <c r="Q1339" s="38"/>
      <c r="R1339" s="38"/>
      <c r="S1339" s="55">
        <f t="shared" si="940"/>
        <v>40551.42999999912</v>
      </c>
      <c r="T1339" s="48"/>
      <c r="U1339" s="49">
        <f t="shared" si="941"/>
        <v>56.239999999396929</v>
      </c>
      <c r="V1339" s="38"/>
      <c r="W1339" s="38"/>
      <c r="X1339" s="38"/>
      <c r="Y1339" s="51">
        <f t="shared" si="942"/>
        <v>56.239999999396929</v>
      </c>
      <c r="Z1339" s="52"/>
      <c r="AA1339" s="53">
        <f t="shared" si="943"/>
        <v>-7.6977357821306214E-10</v>
      </c>
      <c r="AB1339" s="38"/>
      <c r="AC1339" s="38"/>
      <c r="AD1339" s="38"/>
      <c r="AE1339" s="54">
        <f t="shared" si="944"/>
        <v>-7.6977357821306214E-10</v>
      </c>
      <c r="AF1339" s="53"/>
      <c r="AG1339" s="53">
        <f t="shared" si="945"/>
        <v>666.04000000043379</v>
      </c>
      <c r="AH1339" s="38"/>
      <c r="AI1339" s="38"/>
      <c r="AJ1339" s="38">
        <v>-9.9</v>
      </c>
      <c r="AK1339" s="54">
        <f t="shared" si="946"/>
        <v>656.14000000043382</v>
      </c>
      <c r="AL1339" s="53"/>
      <c r="AM1339" s="53">
        <f t="shared" si="951"/>
        <v>281.55999999999949</v>
      </c>
      <c r="AN1339" s="38"/>
      <c r="AO1339" s="38"/>
      <c r="AP1339" s="38"/>
      <c r="AQ1339" s="54">
        <f t="shared" si="947"/>
        <v>281.55999999999949</v>
      </c>
      <c r="AR1339" s="53"/>
      <c r="AS1339" s="29">
        <f t="shared" si="930"/>
        <v>11708863.300000003</v>
      </c>
      <c r="AT1339" s="29">
        <f t="shared" si="931"/>
        <v>661424.01000000013</v>
      </c>
      <c r="AU1339" s="29">
        <f t="shared" si="932"/>
        <v>0</v>
      </c>
      <c r="AV1339" s="29">
        <f t="shared" si="933"/>
        <v>-228036.18000000002</v>
      </c>
      <c r="AW1339" s="29"/>
      <c r="AX1339" s="29">
        <f t="shared" si="934"/>
        <v>12142251.130000003</v>
      </c>
      <c r="AY1339" s="29">
        <f t="shared" si="948"/>
        <v>9300000</v>
      </c>
      <c r="AZ1339" s="29">
        <f t="shared" si="949"/>
        <v>21442251.130000003</v>
      </c>
    </row>
    <row r="1340" spans="2:52" x14ac:dyDescent="0.3">
      <c r="B1340" s="99">
        <f>B1339+3</f>
        <v>46041</v>
      </c>
      <c r="C1340" s="44">
        <f t="shared" si="935"/>
        <v>5516125.1400000025</v>
      </c>
      <c r="D1340" s="38">
        <f>129836.15+29101.01+71250.74</f>
        <v>230187.90000000002</v>
      </c>
      <c r="E1340" s="38">
        <v>30000</v>
      </c>
      <c r="F1340" s="38">
        <v>-92954.68</v>
      </c>
      <c r="G1340" s="45">
        <f t="shared" si="936"/>
        <v>5683358.3600000031</v>
      </c>
      <c r="H1340" s="44">
        <v>4300000</v>
      </c>
      <c r="I1340" s="46">
        <f t="shared" si="937"/>
        <v>6584580.6199999992</v>
      </c>
      <c r="J1340" s="38"/>
      <c r="K1340" s="38"/>
      <c r="L1340" s="38">
        <v>-967717.5</v>
      </c>
      <c r="M1340" s="47">
        <f t="shared" si="938"/>
        <v>5616863.1199999992</v>
      </c>
      <c r="N1340" s="46">
        <v>5000000</v>
      </c>
      <c r="O1340" s="48">
        <f t="shared" si="939"/>
        <v>40551.42999999912</v>
      </c>
      <c r="P1340" s="38"/>
      <c r="Q1340" s="38">
        <v>-30000</v>
      </c>
      <c r="R1340" s="38">
        <v>-4702.5</v>
      </c>
      <c r="S1340" s="55">
        <f t="shared" si="940"/>
        <v>5848.9299999991199</v>
      </c>
      <c r="T1340" s="48"/>
      <c r="U1340" s="49">
        <f t="shared" si="941"/>
        <v>56.239999999396929</v>
      </c>
      <c r="V1340" s="38"/>
      <c r="W1340" s="38"/>
      <c r="X1340" s="38"/>
      <c r="Y1340" s="51">
        <f t="shared" si="942"/>
        <v>56.239999999396929</v>
      </c>
      <c r="Z1340" s="52"/>
      <c r="AA1340" s="53">
        <f t="shared" si="943"/>
        <v>-7.6977357821306214E-10</v>
      </c>
      <c r="AB1340" s="38"/>
      <c r="AC1340" s="38"/>
      <c r="AD1340" s="38"/>
      <c r="AE1340" s="54">
        <f t="shared" si="944"/>
        <v>-7.6977357821306214E-10</v>
      </c>
      <c r="AF1340" s="53"/>
      <c r="AG1340" s="53">
        <f t="shared" si="945"/>
        <v>656.14000000043382</v>
      </c>
      <c r="AH1340" s="38"/>
      <c r="AI1340" s="38"/>
      <c r="AJ1340" s="38"/>
      <c r="AK1340" s="54">
        <f t="shared" si="946"/>
        <v>656.14000000043382</v>
      </c>
      <c r="AL1340" s="53"/>
      <c r="AM1340" s="53">
        <f t="shared" si="951"/>
        <v>281.55999999999949</v>
      </c>
      <c r="AN1340" s="38"/>
      <c r="AO1340" s="38"/>
      <c r="AP1340" s="38"/>
      <c r="AQ1340" s="54">
        <f t="shared" si="947"/>
        <v>281.55999999999949</v>
      </c>
      <c r="AR1340" s="53"/>
      <c r="AS1340" s="29">
        <f t="shared" si="930"/>
        <v>12142251.130000003</v>
      </c>
      <c r="AT1340" s="29">
        <f t="shared" si="931"/>
        <v>230187.90000000002</v>
      </c>
      <c r="AU1340" s="29">
        <f t="shared" si="932"/>
        <v>0</v>
      </c>
      <c r="AV1340" s="29">
        <f t="shared" si="933"/>
        <v>-1065374.68</v>
      </c>
      <c r="AW1340" s="29"/>
      <c r="AX1340" s="29">
        <f t="shared" si="934"/>
        <v>11307064.350000003</v>
      </c>
      <c r="AY1340" s="29">
        <f t="shared" si="948"/>
        <v>9300000</v>
      </c>
      <c r="AZ1340" s="29">
        <f t="shared" si="949"/>
        <v>20607064.350000001</v>
      </c>
    </row>
    <row r="1341" spans="2:52" x14ac:dyDescent="0.3">
      <c r="B1341" s="99">
        <f t="shared" ref="B1341:B1344" si="953">B1340+1</f>
        <v>46042</v>
      </c>
      <c r="C1341" s="44">
        <f t="shared" si="935"/>
        <v>5683358.3600000031</v>
      </c>
      <c r="D1341" s="38">
        <f>131910.36+27081.38+88198.4</f>
        <v>247190.13999999998</v>
      </c>
      <c r="E1341" s="38"/>
      <c r="F1341" s="38">
        <f>-4739585.86+167233.22+254.9</f>
        <v>-4572097.74</v>
      </c>
      <c r="G1341" s="45">
        <f t="shared" si="936"/>
        <v>1358450.7600000026</v>
      </c>
      <c r="H1341" s="44">
        <v>4300000</v>
      </c>
      <c r="I1341" s="46">
        <f t="shared" si="937"/>
        <v>5616863.1199999992</v>
      </c>
      <c r="J1341" s="38">
        <f>19478.14+27298.79+13132.95+24789.35</f>
        <v>84699.23000000001</v>
      </c>
      <c r="K1341" s="38"/>
      <c r="L1341" s="38">
        <v>-10060.799999999999</v>
      </c>
      <c r="M1341" s="47">
        <f t="shared" si="938"/>
        <v>5691501.5499999998</v>
      </c>
      <c r="N1341" s="46">
        <v>5000000</v>
      </c>
      <c r="O1341" s="48">
        <f t="shared" si="939"/>
        <v>5848.9299999991199</v>
      </c>
      <c r="P1341" s="38"/>
      <c r="Q1341" s="38"/>
      <c r="R1341" s="38"/>
      <c r="S1341" s="55">
        <f t="shared" si="940"/>
        <v>5848.9299999991199</v>
      </c>
      <c r="T1341" s="48"/>
      <c r="U1341" s="49">
        <f t="shared" si="941"/>
        <v>56.239999999396929</v>
      </c>
      <c r="V1341" s="38"/>
      <c r="W1341" s="38"/>
      <c r="X1341" s="38"/>
      <c r="Y1341" s="51">
        <f t="shared" si="942"/>
        <v>56.239999999396929</v>
      </c>
      <c r="Z1341" s="52"/>
      <c r="AA1341" s="53">
        <f t="shared" si="943"/>
        <v>-7.6977357821306214E-10</v>
      </c>
      <c r="AB1341" s="38"/>
      <c r="AC1341" s="38"/>
      <c r="AD1341" s="38"/>
      <c r="AE1341" s="54">
        <f t="shared" si="944"/>
        <v>-7.6977357821306214E-10</v>
      </c>
      <c r="AF1341" s="53"/>
      <c r="AG1341" s="53">
        <f t="shared" si="945"/>
        <v>656.14000000043382</v>
      </c>
      <c r="AH1341" s="38"/>
      <c r="AI1341" s="38"/>
      <c r="AJ1341" s="38"/>
      <c r="AK1341" s="54">
        <f t="shared" si="946"/>
        <v>656.14000000043382</v>
      </c>
      <c r="AL1341" s="53"/>
      <c r="AM1341" s="53">
        <f t="shared" si="951"/>
        <v>281.55999999999949</v>
      </c>
      <c r="AN1341" s="38"/>
      <c r="AO1341" s="38"/>
      <c r="AP1341" s="38"/>
      <c r="AQ1341" s="54">
        <f t="shared" si="947"/>
        <v>281.55999999999949</v>
      </c>
      <c r="AR1341" s="53"/>
      <c r="AS1341" s="29">
        <f t="shared" si="930"/>
        <v>11307064.350000003</v>
      </c>
      <c r="AT1341" s="29">
        <f t="shared" si="931"/>
        <v>331889.37</v>
      </c>
      <c r="AU1341" s="29">
        <f t="shared" si="932"/>
        <v>0</v>
      </c>
      <c r="AV1341" s="29">
        <f t="shared" si="933"/>
        <v>-4582158.54</v>
      </c>
      <c r="AW1341" s="29"/>
      <c r="AX1341" s="29">
        <f t="shared" si="934"/>
        <v>7056795.1799999997</v>
      </c>
      <c r="AY1341" s="29">
        <f t="shared" si="948"/>
        <v>9300000</v>
      </c>
      <c r="AZ1341" s="29">
        <f t="shared" si="949"/>
        <v>16356795.18</v>
      </c>
    </row>
    <row r="1342" spans="2:52" x14ac:dyDescent="0.3">
      <c r="B1342" s="99">
        <f t="shared" si="953"/>
        <v>46043</v>
      </c>
      <c r="C1342" s="44">
        <f t="shared" si="935"/>
        <v>1358450.7600000026</v>
      </c>
      <c r="D1342" s="38">
        <v>194222.28</v>
      </c>
      <c r="E1342" s="38"/>
      <c r="F1342" s="38">
        <v>-46730.879999999997</v>
      </c>
      <c r="G1342" s="45">
        <f t="shared" si="936"/>
        <v>1505942.1600000027</v>
      </c>
      <c r="H1342" s="44">
        <v>4300000</v>
      </c>
      <c r="I1342" s="46">
        <f t="shared" si="937"/>
        <v>5691501.5499999998</v>
      </c>
      <c r="J1342" s="38"/>
      <c r="K1342" s="38"/>
      <c r="L1342" s="38">
        <v>-119538.22</v>
      </c>
      <c r="M1342" s="47">
        <f t="shared" si="938"/>
        <v>5571963.3300000001</v>
      </c>
      <c r="N1342" s="46">
        <v>5000000</v>
      </c>
      <c r="O1342" s="48">
        <f t="shared" si="939"/>
        <v>5848.9299999991199</v>
      </c>
      <c r="P1342" s="38"/>
      <c r="Q1342" s="38"/>
      <c r="R1342" s="38"/>
      <c r="S1342" s="55">
        <f t="shared" si="940"/>
        <v>5848.9299999991199</v>
      </c>
      <c r="T1342" s="48"/>
      <c r="U1342" s="49">
        <f t="shared" si="941"/>
        <v>56.239999999396929</v>
      </c>
      <c r="V1342" s="38"/>
      <c r="W1342" s="38"/>
      <c r="X1342" s="38"/>
      <c r="Y1342" s="51">
        <f t="shared" si="942"/>
        <v>56.239999999396929</v>
      </c>
      <c r="Z1342" s="52"/>
      <c r="AA1342" s="53">
        <f t="shared" si="943"/>
        <v>-7.6977357821306214E-10</v>
      </c>
      <c r="AB1342" s="38"/>
      <c r="AC1342" s="38"/>
      <c r="AD1342" s="38"/>
      <c r="AE1342" s="54">
        <f t="shared" si="944"/>
        <v>-7.6977357821306214E-10</v>
      </c>
      <c r="AF1342" s="53"/>
      <c r="AG1342" s="53">
        <f t="shared" si="945"/>
        <v>656.14000000043382</v>
      </c>
      <c r="AH1342" s="38"/>
      <c r="AI1342" s="38"/>
      <c r="AJ1342" s="38"/>
      <c r="AK1342" s="54">
        <f t="shared" si="946"/>
        <v>656.14000000043382</v>
      </c>
      <c r="AL1342" s="53"/>
      <c r="AM1342" s="53">
        <f t="shared" si="951"/>
        <v>281.55999999999949</v>
      </c>
      <c r="AN1342" s="38"/>
      <c r="AO1342" s="38"/>
      <c r="AP1342" s="38"/>
      <c r="AQ1342" s="54">
        <f t="shared" si="947"/>
        <v>281.55999999999949</v>
      </c>
      <c r="AR1342" s="53"/>
      <c r="AS1342" s="29">
        <f t="shared" si="930"/>
        <v>7056795.1799999997</v>
      </c>
      <c r="AT1342" s="29">
        <f t="shared" si="931"/>
        <v>194222.28</v>
      </c>
      <c r="AU1342" s="29">
        <f t="shared" si="932"/>
        <v>0</v>
      </c>
      <c r="AV1342" s="29">
        <f t="shared" si="933"/>
        <v>-166269.1</v>
      </c>
      <c r="AW1342" s="29"/>
      <c r="AX1342" s="29">
        <f t="shared" si="934"/>
        <v>7084748.3600000003</v>
      </c>
      <c r="AY1342" s="29">
        <f t="shared" si="948"/>
        <v>9300000</v>
      </c>
      <c r="AZ1342" s="29">
        <f t="shared" si="949"/>
        <v>16384748.359999999</v>
      </c>
    </row>
    <row r="1343" spans="2:52" x14ac:dyDescent="0.3">
      <c r="B1343" s="99">
        <f t="shared" si="953"/>
        <v>46044</v>
      </c>
      <c r="C1343" s="44">
        <f t="shared" si="935"/>
        <v>1505942.1600000027</v>
      </c>
      <c r="D1343" s="38">
        <v>115356.22</v>
      </c>
      <c r="E1343" s="38"/>
      <c r="F1343" s="38">
        <v>-52244.47</v>
      </c>
      <c r="G1343" s="45">
        <f t="shared" si="936"/>
        <v>1569053.9100000027</v>
      </c>
      <c r="H1343" s="44">
        <v>4300000</v>
      </c>
      <c r="I1343" s="46">
        <f t="shared" si="937"/>
        <v>5571963.3300000001</v>
      </c>
      <c r="J1343" s="38"/>
      <c r="K1343" s="38"/>
      <c r="L1343" s="38"/>
      <c r="M1343" s="47">
        <f t="shared" si="938"/>
        <v>5571963.3300000001</v>
      </c>
      <c r="N1343" s="46">
        <v>5000000</v>
      </c>
      <c r="O1343" s="48">
        <f t="shared" si="939"/>
        <v>5848.9299999991199</v>
      </c>
      <c r="P1343" s="38"/>
      <c r="Q1343" s="38"/>
      <c r="R1343" s="38">
        <f>-254.9-500</f>
        <v>-754.9</v>
      </c>
      <c r="S1343" s="55">
        <f t="shared" si="940"/>
        <v>5094.0299999991203</v>
      </c>
      <c r="T1343" s="48"/>
      <c r="U1343" s="49">
        <f t="shared" si="941"/>
        <v>56.239999999396929</v>
      </c>
      <c r="V1343" s="38"/>
      <c r="W1343" s="38"/>
      <c r="X1343" s="38"/>
      <c r="Y1343" s="51">
        <f t="shared" si="942"/>
        <v>56.239999999396929</v>
      </c>
      <c r="Z1343" s="52"/>
      <c r="AA1343" s="53">
        <f t="shared" si="943"/>
        <v>-7.6977357821306214E-10</v>
      </c>
      <c r="AB1343" s="38"/>
      <c r="AC1343" s="38"/>
      <c r="AD1343" s="38"/>
      <c r="AE1343" s="54">
        <f t="shared" si="944"/>
        <v>-7.6977357821306214E-10</v>
      </c>
      <c r="AF1343" s="53"/>
      <c r="AG1343" s="53">
        <f t="shared" si="945"/>
        <v>656.14000000043382</v>
      </c>
      <c r="AH1343" s="38"/>
      <c r="AI1343" s="38"/>
      <c r="AJ1343" s="38"/>
      <c r="AK1343" s="54">
        <f t="shared" si="946"/>
        <v>656.14000000043382</v>
      </c>
      <c r="AL1343" s="53"/>
      <c r="AM1343" s="53">
        <f t="shared" si="951"/>
        <v>281.55999999999949</v>
      </c>
      <c r="AN1343" s="38"/>
      <c r="AO1343" s="38"/>
      <c r="AP1343" s="38"/>
      <c r="AQ1343" s="54">
        <f t="shared" si="947"/>
        <v>281.55999999999949</v>
      </c>
      <c r="AR1343" s="53"/>
      <c r="AS1343" s="29">
        <f t="shared" si="930"/>
        <v>7084748.3600000003</v>
      </c>
      <c r="AT1343" s="29">
        <f t="shared" si="931"/>
        <v>115356.22</v>
      </c>
      <c r="AU1343" s="29">
        <f t="shared" si="932"/>
        <v>0</v>
      </c>
      <c r="AV1343" s="29">
        <f t="shared" si="933"/>
        <v>-52999.37</v>
      </c>
      <c r="AW1343" s="29"/>
      <c r="AX1343" s="29">
        <f t="shared" si="934"/>
        <v>7147105.2100000009</v>
      </c>
      <c r="AY1343" s="29">
        <f t="shared" si="948"/>
        <v>9300000</v>
      </c>
      <c r="AZ1343" s="29">
        <f t="shared" si="949"/>
        <v>16447105.210000001</v>
      </c>
    </row>
    <row r="1344" spans="2:52" x14ac:dyDescent="0.3">
      <c r="B1344" s="99">
        <f t="shared" si="953"/>
        <v>46045</v>
      </c>
      <c r="C1344" s="44">
        <f t="shared" si="935"/>
        <v>1569053.9100000027</v>
      </c>
      <c r="D1344" s="38">
        <f>4470.51+15321.39+33708.95</f>
        <v>53500.85</v>
      </c>
      <c r="E1344" s="38">
        <v>89900</v>
      </c>
      <c r="F1344" s="38">
        <v>-701137.19</v>
      </c>
      <c r="G1344" s="45">
        <f t="shared" si="936"/>
        <v>1011317.5700000029</v>
      </c>
      <c r="H1344" s="44">
        <v>4300000</v>
      </c>
      <c r="I1344" s="46">
        <f t="shared" si="937"/>
        <v>5571963.3300000001</v>
      </c>
      <c r="J1344" s="38">
        <v>5278.35</v>
      </c>
      <c r="K1344" s="38"/>
      <c r="L1344" s="38">
        <v>-36588.629999999997</v>
      </c>
      <c r="M1344" s="47">
        <f t="shared" si="938"/>
        <v>5540653.0499999998</v>
      </c>
      <c r="N1344" s="46">
        <v>5000000</v>
      </c>
      <c r="O1344" s="48">
        <f t="shared" si="939"/>
        <v>5094.0299999991203</v>
      </c>
      <c r="P1344" s="38"/>
      <c r="Q1344" s="38"/>
      <c r="R1344" s="38">
        <v>-3879.89</v>
      </c>
      <c r="S1344" s="55">
        <f t="shared" si="940"/>
        <v>1214.1399999991204</v>
      </c>
      <c r="T1344" s="48"/>
      <c r="U1344" s="49">
        <f t="shared" si="941"/>
        <v>56.239999999396929</v>
      </c>
      <c r="V1344" s="38">
        <v>89956.35</v>
      </c>
      <c r="W1344" s="38">
        <v>-89900</v>
      </c>
      <c r="X1344" s="38">
        <v>-10</v>
      </c>
      <c r="Y1344" s="51">
        <f t="shared" si="942"/>
        <v>102.58999999939988</v>
      </c>
      <c r="Z1344" s="52"/>
      <c r="AA1344" s="53">
        <f t="shared" si="943"/>
        <v>-7.6977357821306214E-10</v>
      </c>
      <c r="AB1344" s="38"/>
      <c r="AC1344" s="38"/>
      <c r="AD1344" s="38"/>
      <c r="AE1344" s="54">
        <f t="shared" si="944"/>
        <v>-7.6977357821306214E-10</v>
      </c>
      <c r="AF1344" s="53"/>
      <c r="AG1344" s="53">
        <f t="shared" si="945"/>
        <v>656.14000000043382</v>
      </c>
      <c r="AH1344" s="38"/>
      <c r="AI1344" s="38"/>
      <c r="AJ1344" s="38"/>
      <c r="AK1344" s="54">
        <f t="shared" si="946"/>
        <v>656.14000000043382</v>
      </c>
      <c r="AL1344" s="53"/>
      <c r="AM1344" s="53">
        <f t="shared" si="951"/>
        <v>281.55999999999949</v>
      </c>
      <c r="AN1344" s="38"/>
      <c r="AO1344" s="38"/>
      <c r="AP1344" s="38"/>
      <c r="AQ1344" s="54">
        <f t="shared" si="947"/>
        <v>281.55999999999949</v>
      </c>
      <c r="AR1344" s="53"/>
      <c r="AS1344" s="29">
        <f t="shared" si="930"/>
        <v>7147105.2100000009</v>
      </c>
      <c r="AT1344" s="29">
        <f t="shared" si="931"/>
        <v>148735.54999999999</v>
      </c>
      <c r="AU1344" s="29">
        <f t="shared" si="932"/>
        <v>0</v>
      </c>
      <c r="AV1344" s="29">
        <f t="shared" si="933"/>
        <v>-741615.71</v>
      </c>
      <c r="AW1344" s="29"/>
      <c r="AX1344" s="29">
        <f t="shared" si="934"/>
        <v>6554225.0500000007</v>
      </c>
      <c r="AY1344" s="29">
        <f t="shared" si="948"/>
        <v>9300000</v>
      </c>
      <c r="AZ1344" s="29">
        <f t="shared" si="949"/>
        <v>15854225.050000001</v>
      </c>
    </row>
    <row r="1345" spans="2:52" x14ac:dyDescent="0.3">
      <c r="B1345" s="99">
        <f>B1344+3</f>
        <v>46048</v>
      </c>
      <c r="C1345" s="44">
        <f t="shared" ref="C1345:C1354" si="954">G1344</f>
        <v>1011317.5700000029</v>
      </c>
      <c r="D1345" s="38">
        <v>842907.21</v>
      </c>
      <c r="E1345" s="38">
        <v>17000</v>
      </c>
      <c r="F1345" s="38">
        <v>-236775.6</v>
      </c>
      <c r="G1345" s="45">
        <f t="shared" ref="G1345:G1354" si="955">SUM(C1345:F1345)</f>
        <v>1634449.1800000027</v>
      </c>
      <c r="H1345" s="44">
        <v>4300000</v>
      </c>
      <c r="I1345" s="46">
        <f t="shared" ref="I1345:I1354" si="956">M1344</f>
        <v>5540653.0499999998</v>
      </c>
      <c r="J1345" s="38"/>
      <c r="K1345" s="38"/>
      <c r="L1345" s="38"/>
      <c r="M1345" s="47">
        <f t="shared" ref="M1345:M1354" si="957">SUM(I1345:L1345)</f>
        <v>5540653.0499999998</v>
      </c>
      <c r="N1345" s="46">
        <v>5000000</v>
      </c>
      <c r="O1345" s="48">
        <f t="shared" ref="O1345:O1354" si="958">S1344</f>
        <v>1214.1399999991204</v>
      </c>
      <c r="P1345" s="38"/>
      <c r="Q1345" s="38"/>
      <c r="R1345" s="38">
        <v>-139.19999999999999</v>
      </c>
      <c r="S1345" s="55">
        <f t="shared" ref="S1345:S1354" si="959">SUM(O1345:R1345)</f>
        <v>1074.9399999991203</v>
      </c>
      <c r="T1345" s="48"/>
      <c r="U1345" s="49">
        <f t="shared" ref="U1345:U1354" si="960">Y1344</f>
        <v>102.58999999939988</v>
      </c>
      <c r="V1345" s="38"/>
      <c r="W1345" s="38"/>
      <c r="X1345" s="38"/>
      <c r="Y1345" s="51">
        <f t="shared" ref="Y1345:Y1354" si="961">SUM(U1345:X1345)</f>
        <v>102.58999999939988</v>
      </c>
      <c r="Z1345" s="52"/>
      <c r="AA1345" s="53">
        <f t="shared" ref="AA1345:AA1354" si="962">AE1344</f>
        <v>-7.6977357821306214E-10</v>
      </c>
      <c r="AB1345" s="38"/>
      <c r="AC1345" s="38"/>
      <c r="AD1345" s="38"/>
      <c r="AE1345" s="54">
        <f t="shared" ref="AE1345:AE1354" si="963">SUM(AA1345:AD1345)</f>
        <v>-7.6977357821306214E-10</v>
      </c>
      <c r="AF1345" s="53"/>
      <c r="AG1345" s="53">
        <f t="shared" ref="AG1345:AG1354" si="964">AK1344</f>
        <v>656.14000000043382</v>
      </c>
      <c r="AH1345" s="38">
        <v>16541.62</v>
      </c>
      <c r="AI1345" s="38">
        <v>-17000</v>
      </c>
      <c r="AJ1345" s="38"/>
      <c r="AK1345" s="54">
        <f t="shared" ref="AK1345:AK1354" si="965">SUM(AG1345:AJ1345)</f>
        <v>197.76000000043132</v>
      </c>
      <c r="AL1345" s="53"/>
      <c r="AM1345" s="53">
        <f t="shared" si="951"/>
        <v>281.55999999999949</v>
      </c>
      <c r="AN1345" s="38"/>
      <c r="AO1345" s="38"/>
      <c r="AP1345" s="38"/>
      <c r="AQ1345" s="54">
        <f t="shared" ref="AQ1345:AQ1408" si="966">SUM(AL1345:AP1345)</f>
        <v>281.55999999999949</v>
      </c>
      <c r="AR1345" s="53"/>
      <c r="AS1345" s="29">
        <f t="shared" si="930"/>
        <v>6554225.0500000007</v>
      </c>
      <c r="AT1345" s="29">
        <f t="shared" si="931"/>
        <v>859448.83</v>
      </c>
      <c r="AU1345" s="29">
        <f t="shared" si="932"/>
        <v>0</v>
      </c>
      <c r="AV1345" s="29">
        <f t="shared" si="933"/>
        <v>-236914.80000000002</v>
      </c>
      <c r="AW1345" s="29"/>
      <c r="AX1345" s="29">
        <f t="shared" si="934"/>
        <v>7176759.080000001</v>
      </c>
      <c r="AY1345" s="29">
        <f t="shared" ref="AY1345:AY1354" si="967">SUM(H1345,N1345,T1345,Z1345,AF1345,AL1345)</f>
        <v>9300000</v>
      </c>
      <c r="AZ1345" s="29">
        <f t="shared" ref="AZ1345:AZ1354" si="968">AX1345+AY1345</f>
        <v>16476759.080000002</v>
      </c>
    </row>
    <row r="1346" spans="2:52" x14ac:dyDescent="0.3">
      <c r="B1346" s="99">
        <f t="shared" ref="B1346:B1349" si="969">B1345+1</f>
        <v>46049</v>
      </c>
      <c r="C1346" s="44">
        <f t="shared" si="954"/>
        <v>1634449.1800000027</v>
      </c>
      <c r="D1346" s="38">
        <v>12594.57</v>
      </c>
      <c r="E1346" s="38"/>
      <c r="F1346" s="38">
        <f>-12594.57-105058.17</f>
        <v>-117652.73999999999</v>
      </c>
      <c r="G1346" s="45">
        <f t="shared" si="955"/>
        <v>1529391.0100000028</v>
      </c>
      <c r="H1346" s="44">
        <v>4300000</v>
      </c>
      <c r="I1346" s="46">
        <f t="shared" si="956"/>
        <v>5540653.0499999998</v>
      </c>
      <c r="J1346" s="38"/>
      <c r="K1346" s="38"/>
      <c r="L1346" s="38">
        <v>-85189.98</v>
      </c>
      <c r="M1346" s="47">
        <f t="shared" si="957"/>
        <v>5455463.0699999994</v>
      </c>
      <c r="N1346" s="46">
        <v>5000000</v>
      </c>
      <c r="O1346" s="48">
        <f t="shared" si="958"/>
        <v>1074.9399999991203</v>
      </c>
      <c r="P1346" s="38"/>
      <c r="Q1346" s="38"/>
      <c r="R1346" s="38"/>
      <c r="S1346" s="55">
        <f t="shared" si="959"/>
        <v>1074.9399999991203</v>
      </c>
      <c r="T1346" s="48"/>
      <c r="U1346" s="49">
        <f t="shared" si="960"/>
        <v>102.58999999939988</v>
      </c>
      <c r="V1346" s="38">
        <v>10471.6</v>
      </c>
      <c r="W1346" s="38"/>
      <c r="X1346" s="38"/>
      <c r="Y1346" s="51">
        <f t="shared" si="961"/>
        <v>10574.1899999994</v>
      </c>
      <c r="Z1346" s="52"/>
      <c r="AA1346" s="53">
        <f t="shared" si="962"/>
        <v>-7.6977357821306214E-10</v>
      </c>
      <c r="AB1346" s="38"/>
      <c r="AC1346" s="38"/>
      <c r="AD1346" s="38"/>
      <c r="AE1346" s="54">
        <f t="shared" si="963"/>
        <v>-7.6977357821306214E-10</v>
      </c>
      <c r="AF1346" s="53"/>
      <c r="AG1346" s="53">
        <f t="shared" si="964"/>
        <v>197.76000000043132</v>
      </c>
      <c r="AH1346" s="38"/>
      <c r="AI1346" s="38"/>
      <c r="AJ1346" s="38">
        <v>-9.9</v>
      </c>
      <c r="AK1346" s="54">
        <f t="shared" si="965"/>
        <v>187.86000000043131</v>
      </c>
      <c r="AL1346" s="53"/>
      <c r="AM1346" s="53">
        <f t="shared" si="951"/>
        <v>281.55999999999949</v>
      </c>
      <c r="AN1346" s="38"/>
      <c r="AO1346" s="38"/>
      <c r="AP1346" s="38"/>
      <c r="AQ1346" s="54">
        <f t="shared" si="966"/>
        <v>281.55999999999949</v>
      </c>
      <c r="AR1346" s="53"/>
      <c r="AS1346" s="29">
        <f t="shared" si="930"/>
        <v>7176759.080000001</v>
      </c>
      <c r="AT1346" s="29">
        <f t="shared" si="931"/>
        <v>23066.17</v>
      </c>
      <c r="AU1346" s="29">
        <f t="shared" si="932"/>
        <v>0</v>
      </c>
      <c r="AV1346" s="29">
        <f t="shared" si="933"/>
        <v>-202852.61999999997</v>
      </c>
      <c r="AW1346" s="29"/>
      <c r="AX1346" s="29">
        <f t="shared" si="934"/>
        <v>6996972.6299999999</v>
      </c>
      <c r="AY1346" s="29">
        <f t="shared" si="967"/>
        <v>9300000</v>
      </c>
      <c r="AZ1346" s="29">
        <f t="shared" si="968"/>
        <v>16296972.629999999</v>
      </c>
    </row>
    <row r="1347" spans="2:52" x14ac:dyDescent="0.3">
      <c r="B1347" s="99">
        <f t="shared" si="969"/>
        <v>46050</v>
      </c>
      <c r="C1347" s="44">
        <f t="shared" si="954"/>
        <v>1529391.0100000028</v>
      </c>
      <c r="D1347" s="38">
        <f>12381.12+692391.58</f>
        <v>704772.7</v>
      </c>
      <c r="E1347" s="38">
        <v>226000</v>
      </c>
      <c r="F1347" s="38">
        <v>-441436.96</v>
      </c>
      <c r="G1347" s="45">
        <f t="shared" si="955"/>
        <v>2018726.7500000028</v>
      </c>
      <c r="H1347" s="44">
        <v>4300000</v>
      </c>
      <c r="I1347" s="46">
        <f t="shared" si="956"/>
        <v>5455463.0699999994</v>
      </c>
      <c r="J1347" s="38">
        <v>10242.790000000001</v>
      </c>
      <c r="K1347" s="38"/>
      <c r="L1347" s="38">
        <v>-236798.66</v>
      </c>
      <c r="M1347" s="47">
        <f t="shared" si="957"/>
        <v>5228907.1999999993</v>
      </c>
      <c r="N1347" s="46">
        <v>5000000</v>
      </c>
      <c r="O1347" s="48">
        <f t="shared" si="958"/>
        <v>1074.9399999991203</v>
      </c>
      <c r="P1347" s="38">
        <f>111677.65+169619.28</f>
        <v>281296.93</v>
      </c>
      <c r="Q1347" s="38">
        <f>10500-226000</f>
        <v>-215500</v>
      </c>
      <c r="R1347" s="38">
        <v>-66213.399999999994</v>
      </c>
      <c r="S1347" s="55">
        <f t="shared" si="959"/>
        <v>658.46999999912805</v>
      </c>
      <c r="T1347" s="48"/>
      <c r="U1347" s="49">
        <f t="shared" si="960"/>
        <v>10574.1899999994</v>
      </c>
      <c r="V1347" s="38"/>
      <c r="W1347" s="38">
        <v>-10500</v>
      </c>
      <c r="X1347" s="38">
        <v>-1.7</v>
      </c>
      <c r="Y1347" s="51">
        <f t="shared" si="961"/>
        <v>72.48999999940024</v>
      </c>
      <c r="Z1347" s="52"/>
      <c r="AA1347" s="53">
        <f t="shared" si="962"/>
        <v>-7.6977357821306214E-10</v>
      </c>
      <c r="AB1347" s="38"/>
      <c r="AC1347" s="38"/>
      <c r="AD1347" s="38"/>
      <c r="AE1347" s="54">
        <f t="shared" si="963"/>
        <v>-7.6977357821306214E-10</v>
      </c>
      <c r="AF1347" s="53"/>
      <c r="AG1347" s="53">
        <f t="shared" si="964"/>
        <v>187.86000000043131</v>
      </c>
      <c r="AH1347" s="38"/>
      <c r="AI1347" s="38"/>
      <c r="AJ1347" s="38"/>
      <c r="AK1347" s="54">
        <f t="shared" si="965"/>
        <v>187.86000000043131</v>
      </c>
      <c r="AL1347" s="53"/>
      <c r="AM1347" s="53">
        <f t="shared" si="951"/>
        <v>281.55999999999949</v>
      </c>
      <c r="AN1347" s="38"/>
      <c r="AO1347" s="38"/>
      <c r="AP1347" s="38"/>
      <c r="AQ1347" s="54">
        <f t="shared" si="966"/>
        <v>281.55999999999949</v>
      </c>
      <c r="AR1347" s="53"/>
      <c r="AS1347" s="29">
        <f t="shared" si="930"/>
        <v>6996972.6299999999</v>
      </c>
      <c r="AT1347" s="29">
        <f t="shared" si="931"/>
        <v>996312.41999999993</v>
      </c>
      <c r="AU1347" s="29">
        <f t="shared" si="932"/>
        <v>0</v>
      </c>
      <c r="AV1347" s="29">
        <f t="shared" si="933"/>
        <v>-744450.72</v>
      </c>
      <c r="AW1347" s="29"/>
      <c r="AX1347" s="29">
        <f t="shared" si="934"/>
        <v>7248834.3299999991</v>
      </c>
      <c r="AY1347" s="29">
        <f t="shared" si="967"/>
        <v>9300000</v>
      </c>
      <c r="AZ1347" s="29">
        <f t="shared" si="968"/>
        <v>16548834.329999998</v>
      </c>
    </row>
    <row r="1348" spans="2:52" x14ac:dyDescent="0.3">
      <c r="B1348" s="99">
        <f t="shared" si="969"/>
        <v>46051</v>
      </c>
      <c r="C1348" s="44">
        <f t="shared" si="954"/>
        <v>2018726.7500000028</v>
      </c>
      <c r="D1348" s="38">
        <f>116201.32+170039.36+232129.74</f>
        <v>518370.42</v>
      </c>
      <c r="E1348" s="38">
        <v>5005000</v>
      </c>
      <c r="F1348" s="38">
        <f>-0.21*7-42739.77</f>
        <v>-42741.24</v>
      </c>
      <c r="G1348" s="45">
        <f t="shared" si="955"/>
        <v>7499355.9300000025</v>
      </c>
      <c r="H1348" s="44">
        <v>4300000</v>
      </c>
      <c r="I1348" s="46">
        <f t="shared" si="956"/>
        <v>5228907.1999999993</v>
      </c>
      <c r="J1348" s="38"/>
      <c r="K1348" s="38">
        <v>-5005000</v>
      </c>
      <c r="L1348" s="38"/>
      <c r="M1348" s="47">
        <f t="shared" si="957"/>
        <v>223907.19999999925</v>
      </c>
      <c r="N1348" s="46">
        <v>5000000</v>
      </c>
      <c r="O1348" s="48">
        <f t="shared" si="958"/>
        <v>658.46999999912805</v>
      </c>
      <c r="P1348" s="38"/>
      <c r="Q1348" s="38"/>
      <c r="R1348" s="38"/>
      <c r="S1348" s="55">
        <f t="shared" si="959"/>
        <v>658.46999999912805</v>
      </c>
      <c r="T1348" s="48"/>
      <c r="U1348" s="49">
        <f t="shared" si="960"/>
        <v>72.48999999940024</v>
      </c>
      <c r="V1348" s="38"/>
      <c r="W1348" s="38"/>
      <c r="X1348" s="38"/>
      <c r="Y1348" s="51">
        <f t="shared" si="961"/>
        <v>72.48999999940024</v>
      </c>
      <c r="Z1348" s="52"/>
      <c r="AA1348" s="53">
        <f t="shared" si="962"/>
        <v>-7.6977357821306214E-10</v>
      </c>
      <c r="AB1348" s="38"/>
      <c r="AC1348" s="38"/>
      <c r="AD1348" s="38"/>
      <c r="AE1348" s="54">
        <f t="shared" si="963"/>
        <v>-7.6977357821306214E-10</v>
      </c>
      <c r="AF1348" s="53"/>
      <c r="AG1348" s="53">
        <f t="shared" si="964"/>
        <v>187.86000000043131</v>
      </c>
      <c r="AH1348" s="38"/>
      <c r="AI1348" s="38"/>
      <c r="AJ1348" s="38">
        <v>-99</v>
      </c>
      <c r="AK1348" s="54">
        <f t="shared" si="965"/>
        <v>88.860000000431313</v>
      </c>
      <c r="AL1348" s="53"/>
      <c r="AM1348" s="53">
        <f t="shared" si="951"/>
        <v>281.55999999999949</v>
      </c>
      <c r="AN1348" s="38"/>
      <c r="AO1348" s="38"/>
      <c r="AP1348" s="38"/>
      <c r="AQ1348" s="54">
        <f t="shared" si="966"/>
        <v>281.55999999999949</v>
      </c>
      <c r="AR1348" s="53"/>
      <c r="AS1348" s="29">
        <f t="shared" si="930"/>
        <v>7248834.3299999991</v>
      </c>
      <c r="AT1348" s="29">
        <f t="shared" si="931"/>
        <v>518370.42</v>
      </c>
      <c r="AU1348" s="29">
        <f t="shared" si="932"/>
        <v>0</v>
      </c>
      <c r="AV1348" s="29">
        <f t="shared" si="933"/>
        <v>-42840.24</v>
      </c>
      <c r="AW1348" s="29"/>
      <c r="AX1348" s="29">
        <f t="shared" si="934"/>
        <v>7724364.5099999988</v>
      </c>
      <c r="AY1348" s="29">
        <f t="shared" si="967"/>
        <v>9300000</v>
      </c>
      <c r="AZ1348" s="29">
        <f t="shared" si="968"/>
        <v>17024364.509999998</v>
      </c>
    </row>
    <row r="1349" spans="2:52" x14ac:dyDescent="0.3">
      <c r="B1349" s="99">
        <f t="shared" si="969"/>
        <v>46052</v>
      </c>
      <c r="C1349" s="44">
        <f t="shared" si="954"/>
        <v>7499355.9300000025</v>
      </c>
      <c r="D1349" s="38">
        <f>14463.26+50249.74+81424.17+51277.6</f>
        <v>197414.77</v>
      </c>
      <c r="E1349" s="38"/>
      <c r="F1349" s="38">
        <v>-3727721.42</v>
      </c>
      <c r="G1349" s="45">
        <f t="shared" si="955"/>
        <v>3969049.2800000021</v>
      </c>
      <c r="H1349" s="44">
        <v>4300000</v>
      </c>
      <c r="I1349" s="46">
        <f t="shared" si="956"/>
        <v>223907.19999999925</v>
      </c>
      <c r="J1349" s="38">
        <v>284937.25</v>
      </c>
      <c r="K1349" s="38"/>
      <c r="L1349" s="38"/>
      <c r="M1349" s="47">
        <f t="shared" si="957"/>
        <v>508844.44999999925</v>
      </c>
      <c r="N1349" s="46">
        <v>5000000</v>
      </c>
      <c r="O1349" s="48">
        <f t="shared" si="958"/>
        <v>658.46999999912805</v>
      </c>
      <c r="P1349" s="38"/>
      <c r="Q1349" s="38"/>
      <c r="R1349" s="38"/>
      <c r="S1349" s="55">
        <f t="shared" si="959"/>
        <v>658.46999999912805</v>
      </c>
      <c r="T1349" s="48"/>
      <c r="U1349" s="49">
        <f t="shared" si="960"/>
        <v>72.48999999940024</v>
      </c>
      <c r="V1349" s="38"/>
      <c r="W1349" s="38"/>
      <c r="X1349" s="38"/>
      <c r="Y1349" s="51">
        <f t="shared" si="961"/>
        <v>72.48999999940024</v>
      </c>
      <c r="Z1349" s="52"/>
      <c r="AA1349" s="53">
        <f t="shared" si="962"/>
        <v>-7.6977357821306214E-10</v>
      </c>
      <c r="AB1349" s="38"/>
      <c r="AC1349" s="38"/>
      <c r="AD1349" s="38"/>
      <c r="AE1349" s="54">
        <f t="shared" si="963"/>
        <v>-7.6977357821306214E-10</v>
      </c>
      <c r="AF1349" s="53"/>
      <c r="AG1349" s="53">
        <f t="shared" si="964"/>
        <v>88.860000000431313</v>
      </c>
      <c r="AH1349" s="38">
        <v>36754.959999999999</v>
      </c>
      <c r="AI1349" s="38"/>
      <c r="AJ1349" s="38">
        <v>7.0000000000000007E-2</v>
      </c>
      <c r="AK1349" s="54">
        <f t="shared" si="965"/>
        <v>36843.890000000429</v>
      </c>
      <c r="AL1349" s="53"/>
      <c r="AM1349" s="53">
        <f t="shared" si="951"/>
        <v>281.55999999999949</v>
      </c>
      <c r="AN1349" s="38"/>
      <c r="AO1349" s="38"/>
      <c r="AP1349" s="38"/>
      <c r="AQ1349" s="54">
        <f t="shared" si="966"/>
        <v>281.55999999999949</v>
      </c>
      <c r="AR1349" s="53"/>
      <c r="AS1349" s="29">
        <f t="shared" si="930"/>
        <v>7724364.5099999988</v>
      </c>
      <c r="AT1349" s="29">
        <f t="shared" si="931"/>
        <v>519106.98000000004</v>
      </c>
      <c r="AU1349" s="29">
        <f t="shared" si="932"/>
        <v>0</v>
      </c>
      <c r="AV1349" s="29">
        <f t="shared" si="933"/>
        <v>-3727721.35</v>
      </c>
      <c r="AW1349" s="29"/>
      <c r="AX1349" s="29">
        <f t="shared" si="934"/>
        <v>4515750.1399999987</v>
      </c>
      <c r="AY1349" s="29">
        <f t="shared" si="967"/>
        <v>9300000</v>
      </c>
      <c r="AZ1349" s="29">
        <f t="shared" si="968"/>
        <v>13815750.139999999</v>
      </c>
    </row>
    <row r="1350" spans="2:52" x14ac:dyDescent="0.3">
      <c r="B1350" s="99">
        <f>B1349+3</f>
        <v>46055</v>
      </c>
      <c r="C1350" s="44">
        <f t="shared" si="954"/>
        <v>3969049.2800000021</v>
      </c>
      <c r="D1350" s="38">
        <v>54212.33</v>
      </c>
      <c r="E1350" s="38">
        <v>35000</v>
      </c>
      <c r="F1350" s="38">
        <v>-128789.84</v>
      </c>
      <c r="G1350" s="45">
        <f t="shared" si="955"/>
        <v>3929471.7700000023</v>
      </c>
      <c r="H1350" s="44">
        <v>4300000</v>
      </c>
      <c r="I1350" s="46">
        <f t="shared" si="956"/>
        <v>508844.44999999925</v>
      </c>
      <c r="J1350" s="38">
        <v>4256.1899999999996</v>
      </c>
      <c r="K1350" s="38"/>
      <c r="L1350" s="38">
        <v>-5827.68</v>
      </c>
      <c r="M1350" s="47">
        <f t="shared" si="957"/>
        <v>507272.95999999926</v>
      </c>
      <c r="N1350" s="46">
        <v>5000000</v>
      </c>
      <c r="O1350" s="48">
        <f t="shared" si="958"/>
        <v>658.46999999912805</v>
      </c>
      <c r="P1350" s="38">
        <v>40179.26</v>
      </c>
      <c r="Q1350" s="38">
        <v>-35000</v>
      </c>
      <c r="R1350" s="38">
        <v>-871.76</v>
      </c>
      <c r="S1350" s="55">
        <f t="shared" si="959"/>
        <v>4965.9699999991299</v>
      </c>
      <c r="T1350" s="48"/>
      <c r="U1350" s="49">
        <f t="shared" si="960"/>
        <v>72.48999999940024</v>
      </c>
      <c r="V1350" s="38"/>
      <c r="W1350" s="38"/>
      <c r="X1350" s="38"/>
      <c r="Y1350" s="51">
        <f t="shared" si="961"/>
        <v>72.48999999940024</v>
      </c>
      <c r="Z1350" s="52"/>
      <c r="AA1350" s="53">
        <f t="shared" si="962"/>
        <v>-7.6977357821306214E-10</v>
      </c>
      <c r="AB1350" s="38"/>
      <c r="AC1350" s="38"/>
      <c r="AD1350" s="38"/>
      <c r="AE1350" s="54">
        <f t="shared" si="963"/>
        <v>-7.6977357821306214E-10</v>
      </c>
      <c r="AF1350" s="53"/>
      <c r="AG1350" s="53">
        <f t="shared" si="964"/>
        <v>36843.890000000429</v>
      </c>
      <c r="AH1350" s="38"/>
      <c r="AI1350" s="38"/>
      <c r="AJ1350" s="38"/>
      <c r="AK1350" s="54">
        <f t="shared" si="965"/>
        <v>36843.890000000429</v>
      </c>
      <c r="AL1350" s="53"/>
      <c r="AM1350" s="53">
        <f t="shared" si="951"/>
        <v>281.55999999999949</v>
      </c>
      <c r="AN1350" s="38"/>
      <c r="AO1350" s="38"/>
      <c r="AP1350" s="38"/>
      <c r="AQ1350" s="54">
        <f t="shared" si="966"/>
        <v>281.55999999999949</v>
      </c>
      <c r="AR1350" s="53"/>
      <c r="AS1350" s="29">
        <f t="shared" si="930"/>
        <v>4515750.1399999987</v>
      </c>
      <c r="AT1350" s="29">
        <f t="shared" si="931"/>
        <v>98647.78</v>
      </c>
      <c r="AU1350" s="29">
        <f t="shared" si="932"/>
        <v>0</v>
      </c>
      <c r="AV1350" s="29">
        <f t="shared" si="933"/>
        <v>-135489.28</v>
      </c>
      <c r="AW1350" s="29"/>
      <c r="AX1350" s="29">
        <f t="shared" si="934"/>
        <v>4478908.6399999987</v>
      </c>
      <c r="AY1350" s="29">
        <f t="shared" si="967"/>
        <v>9300000</v>
      </c>
      <c r="AZ1350" s="29">
        <f t="shared" si="968"/>
        <v>13778908.639999999</v>
      </c>
    </row>
    <row r="1351" spans="2:52" x14ac:dyDescent="0.3">
      <c r="B1351" s="99">
        <f t="shared" ref="B1351:B1354" si="970">B1350+1</f>
        <v>46056</v>
      </c>
      <c r="C1351" s="44">
        <f t="shared" si="954"/>
        <v>3929471.7700000023</v>
      </c>
      <c r="D1351" s="38">
        <v>44828.73</v>
      </c>
      <c r="E1351" s="38">
        <v>290000</v>
      </c>
      <c r="F1351" s="38">
        <v>-21185.82</v>
      </c>
      <c r="G1351" s="45">
        <f t="shared" si="955"/>
        <v>4243114.6800000016</v>
      </c>
      <c r="H1351" s="44">
        <v>4300000</v>
      </c>
      <c r="I1351" s="46">
        <f t="shared" si="956"/>
        <v>507272.95999999926</v>
      </c>
      <c r="J1351" s="38"/>
      <c r="K1351" s="38"/>
      <c r="L1351" s="38">
        <v>-1973.89</v>
      </c>
      <c r="M1351" s="47">
        <f t="shared" si="957"/>
        <v>505299.06999999925</v>
      </c>
      <c r="N1351" s="46">
        <v>5000000</v>
      </c>
      <c r="O1351" s="48">
        <f t="shared" si="958"/>
        <v>4965.9699999991299</v>
      </c>
      <c r="P1351" s="38">
        <v>288482.46999999997</v>
      </c>
      <c r="Q1351" s="38">
        <v>-290000</v>
      </c>
      <c r="R1351" s="38">
        <f>-790.4-885.5-10</f>
        <v>-1685.9</v>
      </c>
      <c r="S1351" s="55">
        <f t="shared" si="959"/>
        <v>1762.5399999991291</v>
      </c>
      <c r="T1351" s="48"/>
      <c r="U1351" s="49">
        <f t="shared" si="960"/>
        <v>72.48999999940024</v>
      </c>
      <c r="V1351" s="38"/>
      <c r="W1351" s="38"/>
      <c r="X1351" s="38">
        <v>-70.599999999999994</v>
      </c>
      <c r="Y1351" s="51">
        <f t="shared" si="961"/>
        <v>1.8899999994002457</v>
      </c>
      <c r="Z1351" s="52"/>
      <c r="AA1351" s="53">
        <f t="shared" si="962"/>
        <v>-7.6977357821306214E-10</v>
      </c>
      <c r="AB1351" s="38"/>
      <c r="AC1351" s="38"/>
      <c r="AD1351" s="38"/>
      <c r="AE1351" s="54">
        <f t="shared" si="963"/>
        <v>-7.6977357821306214E-10</v>
      </c>
      <c r="AF1351" s="53"/>
      <c r="AG1351" s="53">
        <f t="shared" si="964"/>
        <v>36843.890000000429</v>
      </c>
      <c r="AH1351" s="38"/>
      <c r="AI1351" s="38"/>
      <c r="AJ1351" s="38"/>
      <c r="AK1351" s="54">
        <f t="shared" si="965"/>
        <v>36843.890000000429</v>
      </c>
      <c r="AL1351" s="53"/>
      <c r="AM1351" s="53">
        <f t="shared" si="951"/>
        <v>281.55999999999949</v>
      </c>
      <c r="AN1351" s="38"/>
      <c r="AO1351" s="38"/>
      <c r="AP1351" s="38"/>
      <c r="AQ1351" s="54">
        <f t="shared" si="966"/>
        <v>281.55999999999949</v>
      </c>
      <c r="AR1351" s="53"/>
      <c r="AS1351" s="29">
        <f t="shared" si="930"/>
        <v>4478908.6399999987</v>
      </c>
      <c r="AT1351" s="29">
        <f t="shared" si="931"/>
        <v>333311.19999999995</v>
      </c>
      <c r="AU1351" s="29">
        <f t="shared" si="932"/>
        <v>0</v>
      </c>
      <c r="AV1351" s="29">
        <f t="shared" si="933"/>
        <v>-24916.21</v>
      </c>
      <c r="AW1351" s="29"/>
      <c r="AX1351" s="29">
        <f t="shared" si="934"/>
        <v>4787303.629999999</v>
      </c>
      <c r="AY1351" s="29">
        <f t="shared" si="967"/>
        <v>9300000</v>
      </c>
      <c r="AZ1351" s="29">
        <f t="shared" si="968"/>
        <v>14087303.629999999</v>
      </c>
    </row>
    <row r="1352" spans="2:52" x14ac:dyDescent="0.3">
      <c r="B1352" s="99">
        <f t="shared" si="970"/>
        <v>46057</v>
      </c>
      <c r="C1352" s="44">
        <f t="shared" si="954"/>
        <v>4243114.6800000016</v>
      </c>
      <c r="D1352" s="38">
        <v>79268.02</v>
      </c>
      <c r="E1352" s="38">
        <v>-3847476.68</v>
      </c>
      <c r="F1352" s="38">
        <v>-148432.35999999999</v>
      </c>
      <c r="G1352" s="45">
        <f t="shared" si="955"/>
        <v>326473.66000000096</v>
      </c>
      <c r="H1352" s="44">
        <v>4300000</v>
      </c>
      <c r="I1352" s="46">
        <f t="shared" si="956"/>
        <v>505299.06999999925</v>
      </c>
      <c r="J1352" s="38"/>
      <c r="K1352" s="38">
        <f>1307000+2847476.68</f>
        <v>4154476.68</v>
      </c>
      <c r="L1352" s="38">
        <v>-4616088.1100000003</v>
      </c>
      <c r="M1352" s="47">
        <f t="shared" si="957"/>
        <v>43687.639999998733</v>
      </c>
      <c r="N1352" s="46">
        <v>5000000</v>
      </c>
      <c r="O1352" s="48">
        <f t="shared" si="958"/>
        <v>1762.5399999991291</v>
      </c>
      <c r="P1352" s="38">
        <f>1197.29+223796.59+85354.37</f>
        <v>310348.25</v>
      </c>
      <c r="Q1352" s="38">
        <v>-307000</v>
      </c>
      <c r="R1352" s="38">
        <f>-1739.4-1736.74-10</f>
        <v>-3486.1400000000003</v>
      </c>
      <c r="S1352" s="55">
        <f t="shared" si="959"/>
        <v>1624.6499999991056</v>
      </c>
      <c r="T1352" s="48"/>
      <c r="U1352" s="49">
        <f t="shared" si="960"/>
        <v>1.8899999994002457</v>
      </c>
      <c r="V1352" s="38"/>
      <c r="W1352" s="38"/>
      <c r="X1352" s="38"/>
      <c r="Y1352" s="51">
        <f t="shared" si="961"/>
        <v>1.8899999994002457</v>
      </c>
      <c r="Z1352" s="52"/>
      <c r="AA1352" s="53">
        <f t="shared" si="962"/>
        <v>-7.6977357821306214E-10</v>
      </c>
      <c r="AB1352" s="38"/>
      <c r="AC1352" s="38"/>
      <c r="AD1352" s="38"/>
      <c r="AE1352" s="54">
        <f t="shared" si="963"/>
        <v>-7.6977357821306214E-10</v>
      </c>
      <c r="AF1352" s="53"/>
      <c r="AG1352" s="53">
        <f t="shared" si="964"/>
        <v>36843.890000000429</v>
      </c>
      <c r="AH1352" s="38"/>
      <c r="AI1352" s="38"/>
      <c r="AJ1352" s="38"/>
      <c r="AK1352" s="54">
        <f t="shared" si="965"/>
        <v>36843.890000000429</v>
      </c>
      <c r="AL1352" s="53"/>
      <c r="AM1352" s="53">
        <f t="shared" si="951"/>
        <v>281.55999999999949</v>
      </c>
      <c r="AN1352" s="38"/>
      <c r="AO1352" s="38"/>
      <c r="AP1352" s="38"/>
      <c r="AQ1352" s="54">
        <f t="shared" si="966"/>
        <v>281.55999999999949</v>
      </c>
      <c r="AR1352" s="53"/>
      <c r="AS1352" s="29">
        <f t="shared" si="930"/>
        <v>4787303.629999999</v>
      </c>
      <c r="AT1352" s="29">
        <f t="shared" si="931"/>
        <v>389616.27</v>
      </c>
      <c r="AU1352" s="29">
        <f t="shared" si="932"/>
        <v>0</v>
      </c>
      <c r="AV1352" s="29">
        <f t="shared" si="933"/>
        <v>-4768006.6100000003</v>
      </c>
      <c r="AW1352" s="29"/>
      <c r="AX1352" s="29">
        <f t="shared" si="934"/>
        <v>408913.28999999783</v>
      </c>
      <c r="AY1352" s="29">
        <f t="shared" si="967"/>
        <v>9300000</v>
      </c>
      <c r="AZ1352" s="29">
        <f t="shared" si="968"/>
        <v>9708913.2899999972</v>
      </c>
    </row>
    <row r="1353" spans="2:52" x14ac:dyDescent="0.3">
      <c r="B1353" s="99">
        <f t="shared" si="970"/>
        <v>46058</v>
      </c>
      <c r="C1353" s="44">
        <f t="shared" si="954"/>
        <v>326473.66000000096</v>
      </c>
      <c r="D1353" s="38"/>
      <c r="E1353" s="38">
        <v>1000000</v>
      </c>
      <c r="F1353" s="38">
        <v>-1278848.72</v>
      </c>
      <c r="G1353" s="45">
        <f t="shared" si="955"/>
        <v>47624.940000001108</v>
      </c>
      <c r="H1353" s="44">
        <v>4300000</v>
      </c>
      <c r="I1353" s="46">
        <f t="shared" si="956"/>
        <v>43687.639999998733</v>
      </c>
      <c r="J1353" s="38">
        <v>1450</v>
      </c>
      <c r="K1353" s="38">
        <f>1114000-1000000</f>
        <v>114000</v>
      </c>
      <c r="L1353" s="38">
        <v>-49371.82</v>
      </c>
      <c r="M1353" s="47">
        <f t="shared" si="957"/>
        <v>109765.81999999873</v>
      </c>
      <c r="N1353" s="46">
        <v>5000000</v>
      </c>
      <c r="O1353" s="48">
        <f t="shared" si="958"/>
        <v>1624.6499999991056</v>
      </c>
      <c r="P1353" s="38">
        <v>1112799.05</v>
      </c>
      <c r="Q1353" s="38">
        <v>-1114000</v>
      </c>
      <c r="R1353" s="38">
        <v>-57.2</v>
      </c>
      <c r="S1353" s="55">
        <f t="shared" si="959"/>
        <v>366.49999999925495</v>
      </c>
      <c r="T1353" s="48"/>
      <c r="U1353" s="49">
        <f t="shared" si="960"/>
        <v>1.8899999994002457</v>
      </c>
      <c r="V1353" s="38"/>
      <c r="W1353" s="38"/>
      <c r="X1353" s="38"/>
      <c r="Y1353" s="51">
        <f t="shared" si="961"/>
        <v>1.8899999994002457</v>
      </c>
      <c r="Z1353" s="52"/>
      <c r="AA1353" s="53">
        <f t="shared" si="962"/>
        <v>-7.6977357821306214E-10</v>
      </c>
      <c r="AB1353" s="38"/>
      <c r="AC1353" s="38"/>
      <c r="AD1353" s="38"/>
      <c r="AE1353" s="54">
        <f t="shared" si="963"/>
        <v>-7.6977357821306214E-10</v>
      </c>
      <c r="AF1353" s="53"/>
      <c r="AG1353" s="53">
        <f t="shared" si="964"/>
        <v>36843.890000000429</v>
      </c>
      <c r="AH1353" s="38"/>
      <c r="AI1353" s="38"/>
      <c r="AJ1353" s="38"/>
      <c r="AK1353" s="54">
        <f t="shared" si="965"/>
        <v>36843.890000000429</v>
      </c>
      <c r="AL1353" s="53"/>
      <c r="AM1353" s="53">
        <f t="shared" si="951"/>
        <v>281.55999999999949</v>
      </c>
      <c r="AN1353" s="38"/>
      <c r="AO1353" s="38"/>
      <c r="AP1353" s="38"/>
      <c r="AQ1353" s="54">
        <f t="shared" si="966"/>
        <v>281.55999999999949</v>
      </c>
      <c r="AR1353" s="53"/>
      <c r="AS1353" s="29">
        <f t="shared" si="930"/>
        <v>408913.28999999783</v>
      </c>
      <c r="AT1353" s="29">
        <f t="shared" si="931"/>
        <v>1114249.05</v>
      </c>
      <c r="AU1353" s="29">
        <f t="shared" si="932"/>
        <v>0</v>
      </c>
      <c r="AV1353" s="29">
        <f t="shared" si="933"/>
        <v>-1328277.74</v>
      </c>
      <c r="AW1353" s="29"/>
      <c r="AX1353" s="29">
        <f t="shared" si="934"/>
        <v>194884.59999999814</v>
      </c>
      <c r="AY1353" s="29">
        <f t="shared" si="967"/>
        <v>9300000</v>
      </c>
      <c r="AZ1353" s="29">
        <f t="shared" si="968"/>
        <v>9494884.5999999978</v>
      </c>
    </row>
    <row r="1354" spans="2:52" x14ac:dyDescent="0.3">
      <c r="B1354" s="99">
        <f t="shared" si="970"/>
        <v>46059</v>
      </c>
      <c r="C1354" s="44">
        <f t="shared" si="954"/>
        <v>47624.940000001108</v>
      </c>
      <c r="D1354" s="38"/>
      <c r="E1354" s="38">
        <v>100000</v>
      </c>
      <c r="F1354" s="38">
        <v>-143495.87</v>
      </c>
      <c r="G1354" s="45">
        <f t="shared" si="955"/>
        <v>4129.0700000011129</v>
      </c>
      <c r="H1354" s="44">
        <v>4300000</v>
      </c>
      <c r="I1354" s="46">
        <f t="shared" si="956"/>
        <v>109765.81999999873</v>
      </c>
      <c r="J1354" s="38">
        <f>536.52+69178.34</f>
        <v>69714.86</v>
      </c>
      <c r="K1354" s="38">
        <f>-100000</f>
        <v>-100000</v>
      </c>
      <c r="L1354" s="38">
        <v>-52126.239999999998</v>
      </c>
      <c r="M1354" s="47">
        <f t="shared" si="957"/>
        <v>27354.439999998714</v>
      </c>
      <c r="N1354" s="46">
        <v>5000000</v>
      </c>
      <c r="O1354" s="48">
        <f t="shared" si="958"/>
        <v>366.49999999925495</v>
      </c>
      <c r="P1354" s="38"/>
      <c r="Q1354" s="38"/>
      <c r="R1354" s="38"/>
      <c r="S1354" s="55">
        <f t="shared" si="959"/>
        <v>366.49999999925495</v>
      </c>
      <c r="T1354" s="48"/>
      <c r="U1354" s="49">
        <f t="shared" si="960"/>
        <v>1.8899999994002457</v>
      </c>
      <c r="V1354" s="38"/>
      <c r="W1354" s="38"/>
      <c r="X1354" s="38"/>
      <c r="Y1354" s="51">
        <f t="shared" si="961"/>
        <v>1.8899999994002457</v>
      </c>
      <c r="Z1354" s="52"/>
      <c r="AA1354" s="53">
        <f t="shared" si="962"/>
        <v>-7.6977357821306214E-10</v>
      </c>
      <c r="AB1354" s="38"/>
      <c r="AC1354" s="38"/>
      <c r="AD1354" s="38"/>
      <c r="AE1354" s="54">
        <f t="shared" si="963"/>
        <v>-7.6977357821306214E-10</v>
      </c>
      <c r="AF1354" s="53"/>
      <c r="AG1354" s="53">
        <f t="shared" si="964"/>
        <v>36843.890000000429</v>
      </c>
      <c r="AH1354" s="38">
        <v>38823.870000000003</v>
      </c>
      <c r="AI1354" s="38"/>
      <c r="AJ1354" s="38"/>
      <c r="AK1354" s="54">
        <f t="shared" si="965"/>
        <v>75667.760000000431</v>
      </c>
      <c r="AL1354" s="53"/>
      <c r="AM1354" s="53">
        <f t="shared" si="951"/>
        <v>281.55999999999949</v>
      </c>
      <c r="AN1354" s="38"/>
      <c r="AO1354" s="38"/>
      <c r="AP1354" s="38"/>
      <c r="AQ1354" s="54">
        <f t="shared" si="966"/>
        <v>281.55999999999949</v>
      </c>
      <c r="AR1354" s="53"/>
      <c r="AS1354" s="29">
        <f t="shared" si="930"/>
        <v>194884.59999999814</v>
      </c>
      <c r="AT1354" s="29">
        <f t="shared" si="931"/>
        <v>108538.73000000001</v>
      </c>
      <c r="AU1354" s="29">
        <f t="shared" si="932"/>
        <v>0</v>
      </c>
      <c r="AV1354" s="29">
        <f t="shared" si="933"/>
        <v>-195622.11</v>
      </c>
      <c r="AW1354" s="29"/>
      <c r="AX1354" s="29">
        <f t="shared" si="934"/>
        <v>107801.21999999814</v>
      </c>
      <c r="AY1354" s="29">
        <f t="shared" si="967"/>
        <v>9300000</v>
      </c>
      <c r="AZ1354" s="29">
        <f t="shared" si="968"/>
        <v>9407801.2199999988</v>
      </c>
    </row>
    <row r="1355" spans="2:52" x14ac:dyDescent="0.3">
      <c r="B1355" s="99">
        <f>B1354+3</f>
        <v>46062</v>
      </c>
      <c r="C1355" s="44">
        <f t="shared" ref="C1355:C1374" si="971">G1354</f>
        <v>4129.0700000011129</v>
      </c>
      <c r="D1355" s="38">
        <f>49414.15+2032.05+70006.87</f>
        <v>121453.07</v>
      </c>
      <c r="E1355" s="38">
        <v>87000</v>
      </c>
      <c r="F1355" s="38">
        <v>-80441.36</v>
      </c>
      <c r="G1355" s="45">
        <f t="shared" ref="G1355:G1374" si="972">SUM(C1355:F1355)</f>
        <v>132140.78000000113</v>
      </c>
      <c r="H1355" s="44">
        <v>4300000</v>
      </c>
      <c r="I1355" s="46">
        <f t="shared" ref="I1355:I1374" si="973">M1354</f>
        <v>27354.439999998714</v>
      </c>
      <c r="J1355" s="38">
        <v>885.5</v>
      </c>
      <c r="K1355" s="38"/>
      <c r="L1355" s="38">
        <f>-897.2-56.03-354-183.96</f>
        <v>-1491.19</v>
      </c>
      <c r="M1355" s="47">
        <f t="shared" ref="M1355:M1374" si="974">SUM(I1355:L1355)</f>
        <v>26748.749999998716</v>
      </c>
      <c r="N1355" s="46">
        <v>5000000</v>
      </c>
      <c r="O1355" s="48">
        <f t="shared" ref="O1355:O1374" si="975">S1354</f>
        <v>366.49999999925495</v>
      </c>
      <c r="P1355" s="38">
        <f>79968.13+6861.51</f>
        <v>86829.64</v>
      </c>
      <c r="Q1355" s="38">
        <v>-87000</v>
      </c>
      <c r="R1355" s="38">
        <v>-10</v>
      </c>
      <c r="S1355" s="55">
        <f t="shared" ref="S1355:S1374" si="976">SUM(O1355:R1355)</f>
        <v>186.13999999925727</v>
      </c>
      <c r="T1355" s="48"/>
      <c r="U1355" s="49">
        <f t="shared" ref="U1355:U1374" si="977">Y1354</f>
        <v>1.8899999994002457</v>
      </c>
      <c r="V1355" s="38"/>
      <c r="W1355" s="38"/>
      <c r="X1355" s="38"/>
      <c r="Y1355" s="51">
        <f t="shared" ref="Y1355:Y1374" si="978">SUM(U1355:X1355)</f>
        <v>1.8899999994002457</v>
      </c>
      <c r="Z1355" s="52"/>
      <c r="AA1355" s="53">
        <f t="shared" ref="AA1355:AA1374" si="979">AE1354</f>
        <v>-7.6977357821306214E-10</v>
      </c>
      <c r="AB1355" s="38"/>
      <c r="AC1355" s="38"/>
      <c r="AD1355" s="38"/>
      <c r="AE1355" s="54">
        <f t="shared" ref="AE1355:AE1374" si="980">SUM(AA1355:AD1355)</f>
        <v>-7.6977357821306214E-10</v>
      </c>
      <c r="AF1355" s="53"/>
      <c r="AG1355" s="53">
        <f t="shared" ref="AG1355:AG1374" si="981">AK1354</f>
        <v>75667.760000000431</v>
      </c>
      <c r="AH1355" s="38"/>
      <c r="AI1355" s="38"/>
      <c r="AJ1355" s="38"/>
      <c r="AK1355" s="54">
        <f t="shared" ref="AK1355:AK1374" si="982">SUM(AG1355:AJ1355)</f>
        <v>75667.760000000431</v>
      </c>
      <c r="AL1355" s="53"/>
      <c r="AM1355" s="53">
        <f t="shared" si="951"/>
        <v>281.55999999999949</v>
      </c>
      <c r="AN1355" s="38"/>
      <c r="AO1355" s="38"/>
      <c r="AP1355" s="38"/>
      <c r="AQ1355" s="54">
        <f t="shared" si="966"/>
        <v>281.55999999999949</v>
      </c>
      <c r="AR1355" s="53"/>
      <c r="AS1355" s="29">
        <f t="shared" si="930"/>
        <v>107801.21999999814</v>
      </c>
      <c r="AT1355" s="29">
        <f t="shared" si="931"/>
        <v>209168.21000000002</v>
      </c>
      <c r="AU1355" s="29">
        <f t="shared" si="932"/>
        <v>0</v>
      </c>
      <c r="AV1355" s="29">
        <f t="shared" si="933"/>
        <v>-81942.55</v>
      </c>
      <c r="AW1355" s="29"/>
      <c r="AX1355" s="29">
        <f t="shared" si="934"/>
        <v>235026.8799999982</v>
      </c>
      <c r="AY1355" s="29">
        <f t="shared" ref="AY1355:AY1374" si="983">SUM(H1355,N1355,T1355,Z1355,AF1355,AL1355)</f>
        <v>9300000</v>
      </c>
      <c r="AZ1355" s="29">
        <f t="shared" ref="AZ1355:AZ1374" si="984">AX1355+AY1355</f>
        <v>9535026.879999999</v>
      </c>
    </row>
    <row r="1356" spans="2:52" x14ac:dyDescent="0.3">
      <c r="B1356" s="99">
        <f t="shared" ref="B1356:B1359" si="985">B1355+1</f>
        <v>46063</v>
      </c>
      <c r="C1356" s="44">
        <f t="shared" si="971"/>
        <v>132140.78000000113</v>
      </c>
      <c r="D1356" s="38">
        <v>750.8</v>
      </c>
      <c r="E1356" s="38">
        <f>337000-50000</f>
        <v>287000</v>
      </c>
      <c r="F1356" s="38">
        <v>-183296.43</v>
      </c>
      <c r="G1356" s="45">
        <f t="shared" si="972"/>
        <v>236595.15000000113</v>
      </c>
      <c r="H1356" s="44">
        <v>4300000</v>
      </c>
      <c r="I1356" s="46">
        <f t="shared" si="973"/>
        <v>26748.749999998716</v>
      </c>
      <c r="J1356" s="38"/>
      <c r="K1356" s="38">
        <v>50000</v>
      </c>
      <c r="L1356" s="38">
        <f>-1650.44-25565.1-458.82-4900-2952.5</f>
        <v>-35526.86</v>
      </c>
      <c r="M1356" s="47">
        <f t="shared" si="974"/>
        <v>41221.889999998719</v>
      </c>
      <c r="N1356" s="46">
        <v>5000000</v>
      </c>
      <c r="O1356" s="48">
        <f t="shared" si="975"/>
        <v>186.13999999925727</v>
      </c>
      <c r="P1356" s="38">
        <f>45561.54+292321.34</f>
        <v>337882.88</v>
      </c>
      <c r="Q1356" s="38">
        <v>-337000</v>
      </c>
      <c r="R1356" s="38">
        <v>-10</v>
      </c>
      <c r="S1356" s="55">
        <f t="shared" si="976"/>
        <v>1059.0199999992619</v>
      </c>
      <c r="T1356" s="48"/>
      <c r="U1356" s="49">
        <f t="shared" si="977"/>
        <v>1.8899999994002457</v>
      </c>
      <c r="V1356" s="38"/>
      <c r="W1356" s="38"/>
      <c r="X1356" s="38"/>
      <c r="Y1356" s="51">
        <f t="shared" si="978"/>
        <v>1.8899999994002457</v>
      </c>
      <c r="Z1356" s="52"/>
      <c r="AA1356" s="53">
        <f t="shared" si="979"/>
        <v>-7.6977357821306214E-10</v>
      </c>
      <c r="AB1356" s="38"/>
      <c r="AC1356" s="38"/>
      <c r="AD1356" s="38"/>
      <c r="AE1356" s="54">
        <f t="shared" si="980"/>
        <v>-7.6977357821306214E-10</v>
      </c>
      <c r="AF1356" s="53"/>
      <c r="AG1356" s="53">
        <f t="shared" si="981"/>
        <v>75667.760000000431</v>
      </c>
      <c r="AH1356" s="38"/>
      <c r="AI1356" s="38"/>
      <c r="AJ1356" s="38"/>
      <c r="AK1356" s="54">
        <f t="shared" si="982"/>
        <v>75667.760000000431</v>
      </c>
      <c r="AL1356" s="53"/>
      <c r="AM1356" s="53">
        <f t="shared" si="951"/>
        <v>281.55999999999949</v>
      </c>
      <c r="AN1356" s="38"/>
      <c r="AO1356" s="38"/>
      <c r="AP1356" s="38"/>
      <c r="AQ1356" s="54">
        <f t="shared" si="966"/>
        <v>281.55999999999949</v>
      </c>
      <c r="AR1356" s="53"/>
      <c r="AS1356" s="29">
        <f t="shared" si="930"/>
        <v>235026.8799999982</v>
      </c>
      <c r="AT1356" s="29">
        <f t="shared" si="931"/>
        <v>338633.68</v>
      </c>
      <c r="AU1356" s="29">
        <f t="shared" si="932"/>
        <v>0</v>
      </c>
      <c r="AV1356" s="29">
        <f t="shared" si="933"/>
        <v>-218833.28999999998</v>
      </c>
      <c r="AW1356" s="29"/>
      <c r="AX1356" s="29">
        <f t="shared" si="934"/>
        <v>354827.26999999816</v>
      </c>
      <c r="AY1356" s="29">
        <f t="shared" si="983"/>
        <v>9300000</v>
      </c>
      <c r="AZ1356" s="29">
        <f t="shared" si="984"/>
        <v>9654827.2699999977</v>
      </c>
    </row>
    <row r="1357" spans="2:52" x14ac:dyDescent="0.3">
      <c r="B1357" s="99">
        <f t="shared" si="985"/>
        <v>46064</v>
      </c>
      <c r="C1357" s="44">
        <f t="shared" si="971"/>
        <v>236595.15000000113</v>
      </c>
      <c r="D1357" s="38">
        <f>26062.11+49527.08</f>
        <v>75589.19</v>
      </c>
      <c r="E1357" s="38"/>
      <c r="F1357" s="38">
        <f>-10062.91-2500.74-2605-0.21-0.21-0.21-893.9-3854.21-1492.21</f>
        <v>-21409.599999999995</v>
      </c>
      <c r="G1357" s="45">
        <f t="shared" si="972"/>
        <v>290774.74000000115</v>
      </c>
      <c r="H1357" s="44">
        <v>4300000</v>
      </c>
      <c r="I1357" s="46">
        <f t="shared" si="973"/>
        <v>41221.889999998719</v>
      </c>
      <c r="J1357" s="38">
        <v>4256.1899999999996</v>
      </c>
      <c r="K1357" s="38"/>
      <c r="L1357" s="38">
        <f>-1.95-15352.65-1125.83-567.13-553.28-2084.36-553.28-1219.05-518-5935.89-2088.43-885.5-553.28-91.7-6959.05</f>
        <v>-38489.379999999997</v>
      </c>
      <c r="M1357" s="47">
        <f t="shared" si="974"/>
        <v>6988.6999999987238</v>
      </c>
      <c r="N1357" s="46">
        <v>5000000</v>
      </c>
      <c r="O1357" s="48">
        <f t="shared" si="975"/>
        <v>1059.0199999992619</v>
      </c>
      <c r="P1357" s="38"/>
      <c r="Q1357" s="38"/>
      <c r="R1357" s="38">
        <v>-407</v>
      </c>
      <c r="S1357" s="55">
        <f t="shared" si="976"/>
        <v>652.01999999926193</v>
      </c>
      <c r="T1357" s="48"/>
      <c r="U1357" s="49">
        <f t="shared" si="977"/>
        <v>1.8899999994002457</v>
      </c>
      <c r="V1357" s="38"/>
      <c r="W1357" s="38"/>
      <c r="X1357" s="38"/>
      <c r="Y1357" s="51">
        <f t="shared" si="978"/>
        <v>1.8899999994002457</v>
      </c>
      <c r="Z1357" s="52"/>
      <c r="AA1357" s="53">
        <f t="shared" si="979"/>
        <v>-7.6977357821306214E-10</v>
      </c>
      <c r="AB1357" s="38"/>
      <c r="AC1357" s="38"/>
      <c r="AD1357" s="38"/>
      <c r="AE1357" s="54">
        <f t="shared" si="980"/>
        <v>-7.6977357821306214E-10</v>
      </c>
      <c r="AF1357" s="53"/>
      <c r="AG1357" s="53">
        <f t="shared" si="981"/>
        <v>75667.760000000431</v>
      </c>
      <c r="AH1357" s="38"/>
      <c r="AI1357" s="38"/>
      <c r="AJ1357" s="38"/>
      <c r="AK1357" s="54">
        <f t="shared" si="982"/>
        <v>75667.760000000431</v>
      </c>
      <c r="AL1357" s="53"/>
      <c r="AM1357" s="53">
        <f t="shared" si="951"/>
        <v>281.55999999999949</v>
      </c>
      <c r="AN1357" s="38"/>
      <c r="AO1357" s="38"/>
      <c r="AP1357" s="38"/>
      <c r="AQ1357" s="54">
        <f t="shared" si="966"/>
        <v>281.55999999999949</v>
      </c>
      <c r="AR1357" s="53"/>
      <c r="AS1357" s="29">
        <f t="shared" si="930"/>
        <v>354827.26999999816</v>
      </c>
      <c r="AT1357" s="29">
        <f t="shared" si="931"/>
        <v>79845.38</v>
      </c>
      <c r="AU1357" s="29">
        <f t="shared" si="932"/>
        <v>0</v>
      </c>
      <c r="AV1357" s="29">
        <f t="shared" si="933"/>
        <v>-60305.979999999996</v>
      </c>
      <c r="AW1357" s="29"/>
      <c r="AX1357" s="29">
        <f t="shared" si="934"/>
        <v>374366.66999999818</v>
      </c>
      <c r="AY1357" s="29">
        <f t="shared" si="983"/>
        <v>9300000</v>
      </c>
      <c r="AZ1357" s="29">
        <f t="shared" si="984"/>
        <v>9674366.6699999981</v>
      </c>
    </row>
    <row r="1358" spans="2:52" x14ac:dyDescent="0.3">
      <c r="B1358" s="99">
        <f t="shared" si="985"/>
        <v>46065</v>
      </c>
      <c r="C1358" s="44">
        <f t="shared" si="971"/>
        <v>290774.74000000115</v>
      </c>
      <c r="D1358" s="38">
        <f>14834.84</f>
        <v>14834.84</v>
      </c>
      <c r="E1358" s="38"/>
      <c r="F1358" s="38">
        <f>-14834.84-43452.04</f>
        <v>-58286.880000000005</v>
      </c>
      <c r="G1358" s="45">
        <f t="shared" si="972"/>
        <v>247322.70000000118</v>
      </c>
      <c r="H1358" s="44">
        <v>4300000</v>
      </c>
      <c r="I1358" s="46">
        <f t="shared" si="973"/>
        <v>6988.6999999987238</v>
      </c>
      <c r="J1358" s="38">
        <v>275919.90000000002</v>
      </c>
      <c r="K1358" s="38"/>
      <c r="L1358" s="38">
        <v>-90120.17</v>
      </c>
      <c r="M1358" s="47">
        <f t="shared" si="974"/>
        <v>192788.42999999877</v>
      </c>
      <c r="N1358" s="46">
        <v>5000000</v>
      </c>
      <c r="O1358" s="48">
        <f t="shared" si="975"/>
        <v>652.01999999926193</v>
      </c>
      <c r="P1358" s="38"/>
      <c r="Q1358" s="38"/>
      <c r="R1358" s="38">
        <v>-400</v>
      </c>
      <c r="S1358" s="55">
        <f t="shared" si="976"/>
        <v>252.01999999926193</v>
      </c>
      <c r="T1358" s="48"/>
      <c r="U1358" s="49">
        <f t="shared" si="977"/>
        <v>1.8899999994002457</v>
      </c>
      <c r="V1358" s="38"/>
      <c r="W1358" s="38"/>
      <c r="X1358" s="38"/>
      <c r="Y1358" s="51">
        <f t="shared" si="978"/>
        <v>1.8899999994002457</v>
      </c>
      <c r="Z1358" s="52"/>
      <c r="AA1358" s="53">
        <f t="shared" si="979"/>
        <v>-7.6977357821306214E-10</v>
      </c>
      <c r="AB1358" s="38"/>
      <c r="AC1358" s="38"/>
      <c r="AD1358" s="38"/>
      <c r="AE1358" s="54">
        <f t="shared" si="980"/>
        <v>-7.6977357821306214E-10</v>
      </c>
      <c r="AF1358" s="53"/>
      <c r="AG1358" s="53">
        <f t="shared" si="981"/>
        <v>75667.760000000431</v>
      </c>
      <c r="AH1358" s="38"/>
      <c r="AI1358" s="38"/>
      <c r="AJ1358" s="38"/>
      <c r="AK1358" s="54">
        <f t="shared" si="982"/>
        <v>75667.760000000431</v>
      </c>
      <c r="AL1358" s="53"/>
      <c r="AM1358" s="53">
        <f t="shared" si="951"/>
        <v>281.55999999999949</v>
      </c>
      <c r="AN1358" s="38"/>
      <c r="AO1358" s="38"/>
      <c r="AP1358" s="38"/>
      <c r="AQ1358" s="54">
        <f t="shared" si="966"/>
        <v>281.55999999999949</v>
      </c>
      <c r="AR1358" s="53"/>
      <c r="AS1358" s="29">
        <f t="shared" si="930"/>
        <v>374366.66999999818</v>
      </c>
      <c r="AT1358" s="29">
        <f t="shared" si="931"/>
        <v>290754.74000000005</v>
      </c>
      <c r="AU1358" s="29">
        <f t="shared" si="932"/>
        <v>0</v>
      </c>
      <c r="AV1358" s="29">
        <f t="shared" si="933"/>
        <v>-148807.04999999999</v>
      </c>
      <c r="AW1358" s="29"/>
      <c r="AX1358" s="29">
        <f t="shared" si="934"/>
        <v>516314.35999999824</v>
      </c>
      <c r="AY1358" s="29">
        <f t="shared" si="983"/>
        <v>9300000</v>
      </c>
      <c r="AZ1358" s="29">
        <f t="shared" si="984"/>
        <v>9816314.3599999975</v>
      </c>
    </row>
    <row r="1359" spans="2:52" x14ac:dyDescent="0.3">
      <c r="B1359" s="99">
        <f t="shared" si="985"/>
        <v>46066</v>
      </c>
      <c r="C1359" s="44">
        <f t="shared" si="971"/>
        <v>247322.70000000118</v>
      </c>
      <c r="D1359" s="38"/>
      <c r="E1359" s="38">
        <v>425000</v>
      </c>
      <c r="F1359" s="38">
        <v>-102266.32</v>
      </c>
      <c r="G1359" s="45">
        <f t="shared" si="972"/>
        <v>570056.38000000105</v>
      </c>
      <c r="H1359" s="44">
        <v>4300000</v>
      </c>
      <c r="I1359" s="46">
        <f t="shared" si="973"/>
        <v>192788.42999999877</v>
      </c>
      <c r="J1359" s="38">
        <v>6030.61</v>
      </c>
      <c r="K1359" s="38"/>
      <c r="L1359" s="38">
        <v>-40625.019999999997</v>
      </c>
      <c r="M1359" s="47">
        <f t="shared" si="974"/>
        <v>158194.01999999877</v>
      </c>
      <c r="N1359" s="46">
        <v>5000000</v>
      </c>
      <c r="O1359" s="48">
        <f t="shared" si="975"/>
        <v>252.01999999926193</v>
      </c>
      <c r="P1359" s="38">
        <v>425735.35</v>
      </c>
      <c r="Q1359" s="38">
        <v>-425000</v>
      </c>
      <c r="R1359" s="38">
        <v>-10</v>
      </c>
      <c r="S1359" s="55">
        <f t="shared" si="976"/>
        <v>977.36999999923864</v>
      </c>
      <c r="T1359" s="48"/>
      <c r="U1359" s="49">
        <f t="shared" si="977"/>
        <v>1.8899999994002457</v>
      </c>
      <c r="V1359" s="38"/>
      <c r="W1359" s="38"/>
      <c r="X1359" s="38"/>
      <c r="Y1359" s="51">
        <f t="shared" si="978"/>
        <v>1.8899999994002457</v>
      </c>
      <c r="Z1359" s="52"/>
      <c r="AA1359" s="53">
        <f t="shared" si="979"/>
        <v>-7.6977357821306214E-10</v>
      </c>
      <c r="AB1359" s="38"/>
      <c r="AC1359" s="38"/>
      <c r="AD1359" s="38"/>
      <c r="AE1359" s="54">
        <f t="shared" si="980"/>
        <v>-7.6977357821306214E-10</v>
      </c>
      <c r="AF1359" s="53"/>
      <c r="AG1359" s="53">
        <f t="shared" si="981"/>
        <v>75667.760000000431</v>
      </c>
      <c r="AH1359" s="38"/>
      <c r="AI1359" s="38"/>
      <c r="AJ1359" s="38"/>
      <c r="AK1359" s="54">
        <f t="shared" si="982"/>
        <v>75667.760000000431</v>
      </c>
      <c r="AL1359" s="53"/>
      <c r="AM1359" s="53">
        <f t="shared" si="951"/>
        <v>281.55999999999949</v>
      </c>
      <c r="AN1359" s="38"/>
      <c r="AO1359" s="38"/>
      <c r="AP1359" s="38"/>
      <c r="AQ1359" s="54">
        <f t="shared" si="966"/>
        <v>281.55999999999949</v>
      </c>
      <c r="AR1359" s="53"/>
      <c r="AS1359" s="29">
        <f t="shared" si="930"/>
        <v>516314.35999999824</v>
      </c>
      <c r="AT1359" s="29">
        <f t="shared" si="931"/>
        <v>431765.95999999996</v>
      </c>
      <c r="AU1359" s="29">
        <f t="shared" si="932"/>
        <v>0</v>
      </c>
      <c r="AV1359" s="29">
        <f t="shared" si="933"/>
        <v>-142901.34</v>
      </c>
      <c r="AW1359" s="29"/>
      <c r="AX1359" s="29">
        <f t="shared" si="934"/>
        <v>805178.97999999824</v>
      </c>
      <c r="AY1359" s="29">
        <f t="shared" si="983"/>
        <v>9300000</v>
      </c>
      <c r="AZ1359" s="29">
        <f t="shared" si="984"/>
        <v>10105178.979999999</v>
      </c>
    </row>
    <row r="1360" spans="2:52" x14ac:dyDescent="0.3">
      <c r="B1360" s="99">
        <f>B1359+3</f>
        <v>46069</v>
      </c>
      <c r="C1360" s="44">
        <f t="shared" si="971"/>
        <v>570056.38000000105</v>
      </c>
      <c r="D1360" s="38"/>
      <c r="E1360" s="38"/>
      <c r="F1360" s="38"/>
      <c r="G1360" s="45">
        <f t="shared" si="972"/>
        <v>570056.38000000105</v>
      </c>
      <c r="H1360" s="44">
        <v>4300000</v>
      </c>
      <c r="I1360" s="46">
        <f t="shared" si="973"/>
        <v>158194.01999999877</v>
      </c>
      <c r="J1360" s="38"/>
      <c r="K1360" s="38"/>
      <c r="L1360" s="38"/>
      <c r="M1360" s="47">
        <f t="shared" si="974"/>
        <v>158194.01999999877</v>
      </c>
      <c r="N1360" s="46">
        <v>5000000</v>
      </c>
      <c r="O1360" s="48">
        <f t="shared" si="975"/>
        <v>977.36999999923864</v>
      </c>
      <c r="P1360" s="38"/>
      <c r="Q1360" s="38"/>
      <c r="R1360" s="38"/>
      <c r="S1360" s="55">
        <f t="shared" si="976"/>
        <v>977.36999999923864</v>
      </c>
      <c r="T1360" s="48"/>
      <c r="U1360" s="49">
        <f t="shared" si="977"/>
        <v>1.8899999994002457</v>
      </c>
      <c r="V1360" s="38"/>
      <c r="W1360" s="38"/>
      <c r="X1360" s="38"/>
      <c r="Y1360" s="51">
        <f t="shared" si="978"/>
        <v>1.8899999994002457</v>
      </c>
      <c r="Z1360" s="52"/>
      <c r="AA1360" s="53">
        <f t="shared" si="979"/>
        <v>-7.6977357821306214E-10</v>
      </c>
      <c r="AB1360" s="38"/>
      <c r="AC1360" s="38"/>
      <c r="AD1360" s="38"/>
      <c r="AE1360" s="54">
        <f t="shared" si="980"/>
        <v>-7.6977357821306214E-10</v>
      </c>
      <c r="AF1360" s="53"/>
      <c r="AG1360" s="53">
        <f t="shared" si="981"/>
        <v>75667.760000000431</v>
      </c>
      <c r="AH1360" s="38"/>
      <c r="AI1360" s="38"/>
      <c r="AJ1360" s="38"/>
      <c r="AK1360" s="54">
        <f t="shared" si="982"/>
        <v>75667.760000000431</v>
      </c>
      <c r="AL1360" s="53"/>
      <c r="AM1360" s="53">
        <f t="shared" si="951"/>
        <v>281.55999999999949</v>
      </c>
      <c r="AN1360" s="38"/>
      <c r="AO1360" s="38"/>
      <c r="AP1360" s="38"/>
      <c r="AQ1360" s="54">
        <f t="shared" si="966"/>
        <v>281.55999999999949</v>
      </c>
      <c r="AR1360" s="53"/>
      <c r="AS1360" s="29">
        <f t="shared" si="930"/>
        <v>805178.97999999824</v>
      </c>
      <c r="AT1360" s="29">
        <f t="shared" si="931"/>
        <v>0</v>
      </c>
      <c r="AU1360" s="29">
        <f t="shared" si="932"/>
        <v>0</v>
      </c>
      <c r="AV1360" s="29">
        <f t="shared" si="933"/>
        <v>0</v>
      </c>
      <c r="AW1360" s="29"/>
      <c r="AX1360" s="29">
        <f t="shared" si="934"/>
        <v>805178.97999999824</v>
      </c>
      <c r="AY1360" s="29">
        <f t="shared" si="983"/>
        <v>9300000</v>
      </c>
      <c r="AZ1360" s="29">
        <f t="shared" si="984"/>
        <v>10105178.979999999</v>
      </c>
    </row>
    <row r="1361" spans="2:52" x14ac:dyDescent="0.3">
      <c r="B1361" s="99">
        <f t="shared" ref="B1361:B1364" si="986">B1360+1</f>
        <v>46070</v>
      </c>
      <c r="C1361" s="44">
        <f t="shared" si="971"/>
        <v>570056.38000000105</v>
      </c>
      <c r="D1361" s="38"/>
      <c r="E1361" s="38"/>
      <c r="F1361" s="38"/>
      <c r="G1361" s="45">
        <f t="shared" si="972"/>
        <v>570056.38000000105</v>
      </c>
      <c r="H1361" s="44">
        <v>4300000</v>
      </c>
      <c r="I1361" s="46">
        <f t="shared" si="973"/>
        <v>158194.01999999877</v>
      </c>
      <c r="J1361" s="38"/>
      <c r="K1361" s="38"/>
      <c r="L1361" s="38"/>
      <c r="M1361" s="47">
        <f t="shared" si="974"/>
        <v>158194.01999999877</v>
      </c>
      <c r="N1361" s="46">
        <v>5000000</v>
      </c>
      <c r="O1361" s="48">
        <f t="shared" si="975"/>
        <v>977.36999999923864</v>
      </c>
      <c r="P1361" s="38"/>
      <c r="Q1361" s="38"/>
      <c r="R1361" s="38"/>
      <c r="S1361" s="55">
        <f t="shared" si="976"/>
        <v>977.36999999923864</v>
      </c>
      <c r="T1361" s="48"/>
      <c r="U1361" s="49">
        <f t="shared" si="977"/>
        <v>1.8899999994002457</v>
      </c>
      <c r="V1361" s="38"/>
      <c r="W1361" s="38"/>
      <c r="X1361" s="38"/>
      <c r="Y1361" s="51">
        <f t="shared" si="978"/>
        <v>1.8899999994002457</v>
      </c>
      <c r="Z1361" s="52"/>
      <c r="AA1361" s="53">
        <f t="shared" si="979"/>
        <v>-7.6977357821306214E-10</v>
      </c>
      <c r="AB1361" s="38"/>
      <c r="AC1361" s="38"/>
      <c r="AD1361" s="38"/>
      <c r="AE1361" s="54">
        <f t="shared" si="980"/>
        <v>-7.6977357821306214E-10</v>
      </c>
      <c r="AF1361" s="53"/>
      <c r="AG1361" s="53">
        <f t="shared" si="981"/>
        <v>75667.760000000431</v>
      </c>
      <c r="AH1361" s="38"/>
      <c r="AI1361" s="38"/>
      <c r="AJ1361" s="38"/>
      <c r="AK1361" s="54">
        <f t="shared" si="982"/>
        <v>75667.760000000431</v>
      </c>
      <c r="AL1361" s="53"/>
      <c r="AM1361" s="53">
        <f t="shared" si="951"/>
        <v>281.55999999999949</v>
      </c>
      <c r="AN1361" s="38"/>
      <c r="AO1361" s="38"/>
      <c r="AP1361" s="38"/>
      <c r="AQ1361" s="54">
        <f t="shared" si="966"/>
        <v>281.55999999999949</v>
      </c>
      <c r="AR1361" s="53"/>
      <c r="AS1361" s="29">
        <f t="shared" si="930"/>
        <v>805178.97999999824</v>
      </c>
      <c r="AT1361" s="29">
        <f t="shared" si="931"/>
        <v>0</v>
      </c>
      <c r="AU1361" s="29">
        <f t="shared" si="932"/>
        <v>0</v>
      </c>
      <c r="AV1361" s="29">
        <f t="shared" si="933"/>
        <v>0</v>
      </c>
      <c r="AW1361" s="29"/>
      <c r="AX1361" s="29">
        <f t="shared" si="934"/>
        <v>805178.97999999824</v>
      </c>
      <c r="AY1361" s="29">
        <f t="shared" si="983"/>
        <v>9300000</v>
      </c>
      <c r="AZ1361" s="29">
        <f t="shared" si="984"/>
        <v>10105178.979999999</v>
      </c>
    </row>
    <row r="1362" spans="2:52" x14ac:dyDescent="0.3">
      <c r="B1362" s="99">
        <f t="shared" si="986"/>
        <v>46071</v>
      </c>
      <c r="C1362" s="44">
        <f t="shared" si="971"/>
        <v>570056.38000000105</v>
      </c>
      <c r="D1362" s="38">
        <v>318153.64</v>
      </c>
      <c r="E1362" s="38"/>
      <c r="F1362" s="38">
        <v>-151899.29</v>
      </c>
      <c r="G1362" s="45">
        <f t="shared" si="972"/>
        <v>736310.73000000103</v>
      </c>
      <c r="H1362" s="44">
        <v>4300000</v>
      </c>
      <c r="I1362" s="46">
        <f t="shared" si="973"/>
        <v>158194.01999999877</v>
      </c>
      <c r="J1362" s="38"/>
      <c r="K1362" s="38"/>
      <c r="L1362" s="38">
        <v>-79597.539999999994</v>
      </c>
      <c r="M1362" s="47">
        <f t="shared" si="974"/>
        <v>78596.479999998774</v>
      </c>
      <c r="N1362" s="46">
        <v>5000000</v>
      </c>
      <c r="O1362" s="48">
        <f t="shared" si="975"/>
        <v>977.36999999923864</v>
      </c>
      <c r="P1362" s="38">
        <f>94982.55+420842.31</f>
        <v>515824.86</v>
      </c>
      <c r="Q1362" s="38"/>
      <c r="R1362" s="38"/>
      <c r="S1362" s="55">
        <f t="shared" si="976"/>
        <v>516802.22999999922</v>
      </c>
      <c r="T1362" s="48"/>
      <c r="U1362" s="49">
        <f t="shared" si="977"/>
        <v>1.8899999994002457</v>
      </c>
      <c r="V1362" s="38"/>
      <c r="W1362" s="38"/>
      <c r="X1362" s="38"/>
      <c r="Y1362" s="51">
        <f t="shared" si="978"/>
        <v>1.8899999994002457</v>
      </c>
      <c r="Z1362" s="52"/>
      <c r="AA1362" s="53">
        <f t="shared" si="979"/>
        <v>-7.6977357821306214E-10</v>
      </c>
      <c r="AB1362" s="38"/>
      <c r="AC1362" s="38"/>
      <c r="AD1362" s="38"/>
      <c r="AE1362" s="54">
        <f t="shared" si="980"/>
        <v>-7.6977357821306214E-10</v>
      </c>
      <c r="AF1362" s="53"/>
      <c r="AG1362" s="53">
        <f t="shared" si="981"/>
        <v>75667.760000000431</v>
      </c>
      <c r="AH1362" s="38"/>
      <c r="AI1362" s="38"/>
      <c r="AJ1362" s="38"/>
      <c r="AK1362" s="54">
        <f t="shared" si="982"/>
        <v>75667.760000000431</v>
      </c>
      <c r="AL1362" s="53"/>
      <c r="AM1362" s="53">
        <f t="shared" si="951"/>
        <v>281.55999999999949</v>
      </c>
      <c r="AN1362" s="38"/>
      <c r="AO1362" s="38"/>
      <c r="AP1362" s="38"/>
      <c r="AQ1362" s="54">
        <f t="shared" si="966"/>
        <v>281.55999999999949</v>
      </c>
      <c r="AR1362" s="53"/>
      <c r="AS1362" s="29">
        <f t="shared" si="930"/>
        <v>805178.97999999824</v>
      </c>
      <c r="AT1362" s="29">
        <f t="shared" si="931"/>
        <v>833978.5</v>
      </c>
      <c r="AU1362" s="29">
        <f t="shared" si="932"/>
        <v>0</v>
      </c>
      <c r="AV1362" s="29">
        <f t="shared" si="933"/>
        <v>-231496.83000000002</v>
      </c>
      <c r="AW1362" s="29"/>
      <c r="AX1362" s="29">
        <f t="shared" si="934"/>
        <v>1407660.6499999983</v>
      </c>
      <c r="AY1362" s="29">
        <f t="shared" si="983"/>
        <v>9300000</v>
      </c>
      <c r="AZ1362" s="29">
        <f t="shared" si="984"/>
        <v>10707660.649999999</v>
      </c>
    </row>
    <row r="1363" spans="2:52" x14ac:dyDescent="0.3">
      <c r="B1363" s="99">
        <f t="shared" si="986"/>
        <v>46072</v>
      </c>
      <c r="C1363" s="44">
        <f t="shared" si="971"/>
        <v>736310.73000000103</v>
      </c>
      <c r="D1363" s="38">
        <f>111855.74+601.06+16228.65+35462.59+7813.79+38970.56</f>
        <v>210932.38999999998</v>
      </c>
      <c r="E1363" s="38">
        <v>-480000</v>
      </c>
      <c r="F1363" s="38">
        <v>-3078551.56</v>
      </c>
      <c r="G1363" s="45">
        <f t="shared" si="972"/>
        <v>-2611308.439999999</v>
      </c>
      <c r="H1363" s="44">
        <v>4300000</v>
      </c>
      <c r="I1363" s="46">
        <f t="shared" si="973"/>
        <v>78596.479999998774</v>
      </c>
      <c r="J1363" s="38"/>
      <c r="K1363" s="38">
        <f>480000+516000</f>
        <v>996000</v>
      </c>
      <c r="L1363" s="38">
        <v>-1039923.92</v>
      </c>
      <c r="M1363" s="47">
        <f t="shared" si="974"/>
        <v>34672.559999998775</v>
      </c>
      <c r="N1363" s="46">
        <v>5000000</v>
      </c>
      <c r="O1363" s="48">
        <f t="shared" si="975"/>
        <v>516802.22999999922</v>
      </c>
      <c r="P1363" s="38"/>
      <c r="Q1363" s="38">
        <v>-516000</v>
      </c>
      <c r="R1363" s="38">
        <v>-10</v>
      </c>
      <c r="S1363" s="55">
        <f t="shared" si="976"/>
        <v>792.22999999922467</v>
      </c>
      <c r="T1363" s="48"/>
      <c r="U1363" s="49">
        <f t="shared" si="977"/>
        <v>1.8899999994002457</v>
      </c>
      <c r="V1363" s="38"/>
      <c r="W1363" s="38"/>
      <c r="X1363" s="38"/>
      <c r="Y1363" s="51">
        <f t="shared" si="978"/>
        <v>1.8899999994002457</v>
      </c>
      <c r="Z1363" s="52"/>
      <c r="AA1363" s="53">
        <f t="shared" si="979"/>
        <v>-7.6977357821306214E-10</v>
      </c>
      <c r="AB1363" s="38"/>
      <c r="AC1363" s="38"/>
      <c r="AD1363" s="38"/>
      <c r="AE1363" s="54">
        <f t="shared" si="980"/>
        <v>-7.6977357821306214E-10</v>
      </c>
      <c r="AF1363" s="53"/>
      <c r="AG1363" s="53">
        <f t="shared" si="981"/>
        <v>75667.760000000431</v>
      </c>
      <c r="AH1363" s="38"/>
      <c r="AI1363" s="38"/>
      <c r="AJ1363" s="38"/>
      <c r="AK1363" s="54">
        <f t="shared" si="982"/>
        <v>75667.760000000431</v>
      </c>
      <c r="AL1363" s="53"/>
      <c r="AM1363" s="53">
        <f t="shared" si="951"/>
        <v>281.55999999999949</v>
      </c>
      <c r="AN1363" s="38"/>
      <c r="AO1363" s="38"/>
      <c r="AP1363" s="38"/>
      <c r="AQ1363" s="54">
        <f t="shared" si="966"/>
        <v>281.55999999999949</v>
      </c>
      <c r="AR1363" s="53"/>
      <c r="AS1363" s="29">
        <f t="shared" si="930"/>
        <v>1407660.6499999983</v>
      </c>
      <c r="AT1363" s="29">
        <f t="shared" si="931"/>
        <v>210932.38999999998</v>
      </c>
      <c r="AU1363" s="29">
        <f t="shared" si="932"/>
        <v>0</v>
      </c>
      <c r="AV1363" s="29">
        <f t="shared" si="933"/>
        <v>-4118485.48</v>
      </c>
      <c r="AW1363" s="29"/>
      <c r="AX1363" s="29">
        <f t="shared" si="934"/>
        <v>-2499892.4400000027</v>
      </c>
      <c r="AY1363" s="29">
        <f t="shared" si="983"/>
        <v>9300000</v>
      </c>
      <c r="AZ1363" s="29">
        <f t="shared" si="984"/>
        <v>6800107.5599999968</v>
      </c>
    </row>
    <row r="1364" spans="2:52" x14ac:dyDescent="0.3">
      <c r="B1364" s="99">
        <f t="shared" si="986"/>
        <v>46073</v>
      </c>
      <c r="C1364" s="44">
        <f t="shared" si="971"/>
        <v>-2611308.439999999</v>
      </c>
      <c r="D1364" s="38">
        <v>12404.06</v>
      </c>
      <c r="E1364" s="38">
        <v>502000</v>
      </c>
      <c r="F1364" s="38">
        <v>-1063858.93</v>
      </c>
      <c r="G1364" s="45">
        <f t="shared" si="972"/>
        <v>-3160763.3099999987</v>
      </c>
      <c r="H1364" s="44">
        <v>4300000</v>
      </c>
      <c r="I1364" s="46">
        <f t="shared" si="973"/>
        <v>34672.559999998775</v>
      </c>
      <c r="J1364" s="38">
        <v>274449.90000000002</v>
      </c>
      <c r="K1364" s="38"/>
      <c r="L1364" s="38">
        <v>-118153.31</v>
      </c>
      <c r="M1364" s="47">
        <f t="shared" si="974"/>
        <v>190969.1499999988</v>
      </c>
      <c r="N1364" s="46">
        <v>5000000</v>
      </c>
      <c r="O1364" s="48">
        <f t="shared" si="975"/>
        <v>792.22999999922467</v>
      </c>
      <c r="P1364" s="38"/>
      <c r="Q1364" s="38">
        <f>502200-502000</f>
        <v>200</v>
      </c>
      <c r="R1364" s="38">
        <v>-490</v>
      </c>
      <c r="S1364" s="55">
        <f t="shared" si="976"/>
        <v>502.22999999922467</v>
      </c>
      <c r="T1364" s="48"/>
      <c r="U1364" s="49">
        <f t="shared" si="977"/>
        <v>1.8899999994002457</v>
      </c>
      <c r="V1364" s="38">
        <v>502255.17</v>
      </c>
      <c r="W1364" s="38">
        <v>-502200</v>
      </c>
      <c r="X1364" s="38">
        <v>-1.7</v>
      </c>
      <c r="Y1364" s="51">
        <f t="shared" si="978"/>
        <v>55.359999999357385</v>
      </c>
      <c r="Z1364" s="52"/>
      <c r="AA1364" s="53">
        <f t="shared" si="979"/>
        <v>-7.6977357821306214E-10</v>
      </c>
      <c r="AB1364" s="38"/>
      <c r="AC1364" s="38"/>
      <c r="AD1364" s="38"/>
      <c r="AE1364" s="54">
        <f t="shared" si="980"/>
        <v>-7.6977357821306214E-10</v>
      </c>
      <c r="AF1364" s="53"/>
      <c r="AG1364" s="53">
        <f t="shared" si="981"/>
        <v>75667.760000000431</v>
      </c>
      <c r="AH1364" s="38">
        <v>7352.29</v>
      </c>
      <c r="AI1364" s="38"/>
      <c r="AJ1364" s="38"/>
      <c r="AK1364" s="54">
        <f t="shared" si="982"/>
        <v>83020.050000000425</v>
      </c>
      <c r="AL1364" s="53"/>
      <c r="AM1364" s="53">
        <f t="shared" si="951"/>
        <v>281.55999999999949</v>
      </c>
      <c r="AN1364" s="38"/>
      <c r="AO1364" s="38"/>
      <c r="AP1364" s="38"/>
      <c r="AQ1364" s="54">
        <f t="shared" si="966"/>
        <v>281.55999999999949</v>
      </c>
      <c r="AR1364" s="53"/>
      <c r="AS1364" s="29">
        <f t="shared" si="930"/>
        <v>-2499892.4400000027</v>
      </c>
      <c r="AT1364" s="29">
        <f t="shared" si="931"/>
        <v>796461.42</v>
      </c>
      <c r="AU1364" s="29">
        <f t="shared" si="932"/>
        <v>0</v>
      </c>
      <c r="AV1364" s="29">
        <f t="shared" si="933"/>
        <v>-1182503.94</v>
      </c>
      <c r="AW1364" s="29"/>
      <c r="AX1364" s="29">
        <f t="shared" si="934"/>
        <v>-2885934.9600000018</v>
      </c>
      <c r="AY1364" s="29">
        <f t="shared" si="983"/>
        <v>9300000</v>
      </c>
      <c r="AZ1364" s="29">
        <f t="shared" si="984"/>
        <v>6414065.0399999982</v>
      </c>
    </row>
    <row r="1365" spans="2:52" x14ac:dyDescent="0.3">
      <c r="B1365" s="99">
        <f>B1364+3</f>
        <v>46076</v>
      </c>
      <c r="C1365" s="44">
        <f t="shared" si="971"/>
        <v>-3160763.3099999987</v>
      </c>
      <c r="D1365" s="38">
        <f>1473.21+104744.74+98377.96</f>
        <v>204595.91000000003</v>
      </c>
      <c r="E1365" s="38"/>
      <c r="F1365" s="38">
        <v>-58411.88</v>
      </c>
      <c r="G1365" s="45">
        <f t="shared" si="972"/>
        <v>-3014579.2799999984</v>
      </c>
      <c r="H1365" s="44">
        <v>4300000</v>
      </c>
      <c r="I1365" s="46">
        <f t="shared" si="973"/>
        <v>190969.1499999988</v>
      </c>
      <c r="J1365" s="38"/>
      <c r="K1365" s="38"/>
      <c r="L1365" s="38">
        <f>-823.89-1500</f>
        <v>-2323.89</v>
      </c>
      <c r="M1365" s="47">
        <f t="shared" si="974"/>
        <v>188645.25999999879</v>
      </c>
      <c r="N1365" s="46">
        <v>5000000</v>
      </c>
      <c r="O1365" s="48">
        <f t="shared" si="975"/>
        <v>502.22999999922467</v>
      </c>
      <c r="P1365" s="38">
        <v>115131.6</v>
      </c>
      <c r="Q1365" s="38"/>
      <c r="R1365" s="38"/>
      <c r="S1365" s="55">
        <f t="shared" si="976"/>
        <v>115633.82999999923</v>
      </c>
      <c r="T1365" s="48"/>
      <c r="U1365" s="49">
        <f t="shared" si="977"/>
        <v>55.359999999357385</v>
      </c>
      <c r="V1365" s="38"/>
      <c r="W1365" s="38"/>
      <c r="X1365" s="38"/>
      <c r="Y1365" s="51">
        <f t="shared" si="978"/>
        <v>55.359999999357385</v>
      </c>
      <c r="Z1365" s="52"/>
      <c r="AA1365" s="53">
        <f t="shared" si="979"/>
        <v>-7.6977357821306214E-10</v>
      </c>
      <c r="AB1365" s="38"/>
      <c r="AC1365" s="38"/>
      <c r="AD1365" s="38"/>
      <c r="AE1365" s="54">
        <f t="shared" si="980"/>
        <v>-7.6977357821306214E-10</v>
      </c>
      <c r="AF1365" s="53"/>
      <c r="AG1365" s="53">
        <f t="shared" si="981"/>
        <v>83020.050000000425</v>
      </c>
      <c r="AH1365" s="38"/>
      <c r="AI1365" s="38"/>
      <c r="AJ1365" s="38"/>
      <c r="AK1365" s="54">
        <f t="shared" si="982"/>
        <v>83020.050000000425</v>
      </c>
      <c r="AL1365" s="53"/>
      <c r="AM1365" s="53">
        <f t="shared" si="951"/>
        <v>281.55999999999949</v>
      </c>
      <c r="AN1365" s="38"/>
      <c r="AO1365" s="38"/>
      <c r="AP1365" s="38"/>
      <c r="AQ1365" s="54">
        <f t="shared" si="966"/>
        <v>281.55999999999949</v>
      </c>
      <c r="AR1365" s="53"/>
      <c r="AS1365" s="29">
        <f t="shared" si="930"/>
        <v>-2885934.9600000018</v>
      </c>
      <c r="AT1365" s="29">
        <f t="shared" si="931"/>
        <v>319727.51</v>
      </c>
      <c r="AU1365" s="29">
        <f t="shared" si="932"/>
        <v>0</v>
      </c>
      <c r="AV1365" s="29">
        <f t="shared" si="933"/>
        <v>-60735.77</v>
      </c>
      <c r="AW1365" s="29"/>
      <c r="AX1365" s="29">
        <f t="shared" si="934"/>
        <v>-2626943.2200000016</v>
      </c>
      <c r="AY1365" s="29">
        <f t="shared" si="983"/>
        <v>9300000</v>
      </c>
      <c r="AZ1365" s="29">
        <f t="shared" si="984"/>
        <v>6673056.7799999984</v>
      </c>
    </row>
    <row r="1366" spans="2:52" x14ac:dyDescent="0.3">
      <c r="B1366" s="99">
        <f t="shared" ref="B1366:B1369" si="987">B1365+1</f>
        <v>46077</v>
      </c>
      <c r="C1366" s="44">
        <f t="shared" si="971"/>
        <v>-3014579.2799999984</v>
      </c>
      <c r="D1366" s="38">
        <f>97084.56+119917.49+22070.7+123595.94</f>
        <v>362668.69</v>
      </c>
      <c r="E1366" s="38">
        <v>235000</v>
      </c>
      <c r="F1366" s="38">
        <v>-84737.63</v>
      </c>
      <c r="G1366" s="45">
        <f t="shared" si="972"/>
        <v>-2501648.2199999983</v>
      </c>
      <c r="H1366" s="44">
        <v>4300000</v>
      </c>
      <c r="I1366" s="46">
        <f t="shared" si="973"/>
        <v>188645.25999999879</v>
      </c>
      <c r="J1366" s="38"/>
      <c r="K1366" s="38"/>
      <c r="L1366" s="38">
        <v>-2115.1799999999998</v>
      </c>
      <c r="M1366" s="47">
        <f t="shared" si="974"/>
        <v>186530.07999999879</v>
      </c>
      <c r="N1366" s="46">
        <v>5000000</v>
      </c>
      <c r="O1366" s="48">
        <f t="shared" si="975"/>
        <v>115633.82999999923</v>
      </c>
      <c r="P1366" s="38">
        <v>120514.42</v>
      </c>
      <c r="Q1366" s="38">
        <v>-235000</v>
      </c>
      <c r="R1366" s="38">
        <v>-825.68</v>
      </c>
      <c r="S1366" s="55">
        <f t="shared" si="976"/>
        <v>322.56999999924335</v>
      </c>
      <c r="T1366" s="48"/>
      <c r="U1366" s="49">
        <f t="shared" si="977"/>
        <v>55.359999999357385</v>
      </c>
      <c r="V1366" s="38"/>
      <c r="W1366" s="38"/>
      <c r="X1366" s="38"/>
      <c r="Y1366" s="51">
        <f t="shared" si="978"/>
        <v>55.359999999357385</v>
      </c>
      <c r="Z1366" s="52"/>
      <c r="AA1366" s="53">
        <f t="shared" si="979"/>
        <v>-7.6977357821306214E-10</v>
      </c>
      <c r="AB1366" s="38"/>
      <c r="AC1366" s="38"/>
      <c r="AD1366" s="38"/>
      <c r="AE1366" s="54">
        <f t="shared" si="980"/>
        <v>-7.6977357821306214E-10</v>
      </c>
      <c r="AF1366" s="53"/>
      <c r="AG1366" s="53">
        <f t="shared" si="981"/>
        <v>83020.050000000425</v>
      </c>
      <c r="AH1366" s="38">
        <v>21710.880000000001</v>
      </c>
      <c r="AI1366" s="38"/>
      <c r="AJ1366" s="38"/>
      <c r="AK1366" s="54">
        <f t="shared" si="982"/>
        <v>104730.93000000043</v>
      </c>
      <c r="AL1366" s="53"/>
      <c r="AM1366" s="53">
        <f t="shared" si="951"/>
        <v>281.55999999999949</v>
      </c>
      <c r="AN1366" s="38"/>
      <c r="AO1366" s="38"/>
      <c r="AP1366" s="38"/>
      <c r="AQ1366" s="54">
        <f t="shared" si="966"/>
        <v>281.55999999999949</v>
      </c>
      <c r="AR1366" s="53"/>
      <c r="AS1366" s="29">
        <f t="shared" si="930"/>
        <v>-2626943.2200000016</v>
      </c>
      <c r="AT1366" s="29">
        <f t="shared" si="931"/>
        <v>504893.99</v>
      </c>
      <c r="AU1366" s="29">
        <f t="shared" si="932"/>
        <v>0</v>
      </c>
      <c r="AV1366" s="29">
        <f t="shared" si="933"/>
        <v>-87678.489999999991</v>
      </c>
      <c r="AW1366" s="29"/>
      <c r="AX1366" s="29">
        <f t="shared" si="934"/>
        <v>-2209727.7200000011</v>
      </c>
      <c r="AY1366" s="29">
        <f t="shared" si="983"/>
        <v>9300000</v>
      </c>
      <c r="AZ1366" s="29">
        <f t="shared" si="984"/>
        <v>7090272.2799999993</v>
      </c>
    </row>
    <row r="1367" spans="2:52" x14ac:dyDescent="0.3">
      <c r="B1367" s="99">
        <f t="shared" si="987"/>
        <v>46078</v>
      </c>
      <c r="C1367" s="44">
        <f t="shared" si="971"/>
        <v>-2501648.2199999983</v>
      </c>
      <c r="D1367" s="38">
        <f>18568.07+104140.74</f>
        <v>122708.81</v>
      </c>
      <c r="E1367" s="38">
        <v>-60000</v>
      </c>
      <c r="F1367" s="38">
        <f>-729715.04+60000</f>
        <v>-669715.04</v>
      </c>
      <c r="G1367" s="45">
        <f t="shared" si="972"/>
        <v>-3108654.4499999983</v>
      </c>
      <c r="H1367" s="44">
        <v>4300000</v>
      </c>
      <c r="I1367" s="46">
        <f t="shared" si="973"/>
        <v>186530.07999999879</v>
      </c>
      <c r="J1367" s="38">
        <v>10242.790000000001</v>
      </c>
      <c r="K1367" s="38">
        <v>60000</v>
      </c>
      <c r="L1367" s="38">
        <v>-233592.07</v>
      </c>
      <c r="M1367" s="47">
        <f t="shared" si="974"/>
        <v>23180.799999998795</v>
      </c>
      <c r="N1367" s="46">
        <v>5000000</v>
      </c>
      <c r="O1367" s="48">
        <f t="shared" si="975"/>
        <v>322.56999999924335</v>
      </c>
      <c r="P1367" s="38">
        <v>2330.63</v>
      </c>
      <c r="Q1367" s="38"/>
      <c r="R1367" s="38">
        <f>-259.6-77-66.2-139.2</f>
        <v>-542</v>
      </c>
      <c r="S1367" s="55">
        <f t="shared" si="976"/>
        <v>2111.1999999992436</v>
      </c>
      <c r="T1367" s="48"/>
      <c r="U1367" s="49">
        <f t="shared" si="977"/>
        <v>55.359999999357385</v>
      </c>
      <c r="V1367" s="38"/>
      <c r="W1367" s="38"/>
      <c r="X1367" s="38"/>
      <c r="Y1367" s="51">
        <f t="shared" si="978"/>
        <v>55.359999999357385</v>
      </c>
      <c r="Z1367" s="52"/>
      <c r="AA1367" s="53">
        <f t="shared" si="979"/>
        <v>-7.6977357821306214E-10</v>
      </c>
      <c r="AB1367" s="38"/>
      <c r="AC1367" s="38"/>
      <c r="AD1367" s="38"/>
      <c r="AE1367" s="54">
        <f t="shared" si="980"/>
        <v>-7.6977357821306214E-10</v>
      </c>
      <c r="AF1367" s="53"/>
      <c r="AG1367" s="53">
        <f t="shared" si="981"/>
        <v>104730.93000000043</v>
      </c>
      <c r="AH1367" s="38"/>
      <c r="AI1367" s="38"/>
      <c r="AJ1367" s="38"/>
      <c r="AK1367" s="54">
        <f t="shared" si="982"/>
        <v>104730.93000000043</v>
      </c>
      <c r="AL1367" s="53"/>
      <c r="AM1367" s="53">
        <f t="shared" si="951"/>
        <v>281.55999999999949</v>
      </c>
      <c r="AN1367" s="38"/>
      <c r="AO1367" s="38"/>
      <c r="AP1367" s="38"/>
      <c r="AQ1367" s="54">
        <f t="shared" si="966"/>
        <v>281.55999999999949</v>
      </c>
      <c r="AR1367" s="53"/>
      <c r="AS1367" s="29">
        <f t="shared" si="930"/>
        <v>-2209727.7200000011</v>
      </c>
      <c r="AT1367" s="29">
        <f t="shared" si="931"/>
        <v>135282.23000000001</v>
      </c>
      <c r="AU1367" s="29">
        <f t="shared" si="932"/>
        <v>0</v>
      </c>
      <c r="AV1367" s="29">
        <f t="shared" si="933"/>
        <v>-903849.1100000001</v>
      </c>
      <c r="AW1367" s="29"/>
      <c r="AX1367" s="29">
        <f t="shared" si="934"/>
        <v>-2978294.600000001</v>
      </c>
      <c r="AY1367" s="29">
        <f t="shared" si="983"/>
        <v>9300000</v>
      </c>
      <c r="AZ1367" s="29">
        <f t="shared" si="984"/>
        <v>6321705.3999999985</v>
      </c>
    </row>
    <row r="1368" spans="2:52" x14ac:dyDescent="0.3">
      <c r="B1368" s="99">
        <f t="shared" si="987"/>
        <v>46079</v>
      </c>
      <c r="C1368" s="44">
        <f t="shared" si="971"/>
        <v>-3108654.4499999983</v>
      </c>
      <c r="D1368" s="38">
        <f>29031+29031+29031.01+29031+5701.36+25429.22+30068.6+83189.57+28593.09+93795</f>
        <v>382900.85000000003</v>
      </c>
      <c r="E1368" s="38"/>
      <c r="F1368" s="38">
        <f>-0.21*5</f>
        <v>-1.05</v>
      </c>
      <c r="G1368" s="45">
        <f t="shared" si="972"/>
        <v>-2725754.649999998</v>
      </c>
      <c r="H1368" s="44">
        <v>4300000</v>
      </c>
      <c r="I1368" s="46">
        <f t="shared" si="973"/>
        <v>23180.799999998795</v>
      </c>
      <c r="J1368" s="38"/>
      <c r="K1368" s="38"/>
      <c r="L1368" s="38"/>
      <c r="M1368" s="47">
        <f t="shared" si="974"/>
        <v>23180.799999998795</v>
      </c>
      <c r="N1368" s="46">
        <v>5000000</v>
      </c>
      <c r="O1368" s="48">
        <f t="shared" si="975"/>
        <v>2111.1999999992436</v>
      </c>
      <c r="P1368" s="38"/>
      <c r="Q1368" s="38"/>
      <c r="R1368" s="38"/>
      <c r="S1368" s="55">
        <f t="shared" si="976"/>
        <v>2111.1999999992436</v>
      </c>
      <c r="T1368" s="48"/>
      <c r="U1368" s="49">
        <f t="shared" si="977"/>
        <v>55.359999999357385</v>
      </c>
      <c r="V1368" s="38"/>
      <c r="W1368" s="38"/>
      <c r="X1368" s="38"/>
      <c r="Y1368" s="51">
        <f t="shared" si="978"/>
        <v>55.359999999357385</v>
      </c>
      <c r="Z1368" s="52"/>
      <c r="AA1368" s="53">
        <f t="shared" si="979"/>
        <v>-7.6977357821306214E-10</v>
      </c>
      <c r="AB1368" s="38"/>
      <c r="AC1368" s="38"/>
      <c r="AD1368" s="38"/>
      <c r="AE1368" s="54">
        <f t="shared" si="980"/>
        <v>-7.6977357821306214E-10</v>
      </c>
      <c r="AF1368" s="53"/>
      <c r="AG1368" s="53">
        <f t="shared" si="981"/>
        <v>104730.93000000043</v>
      </c>
      <c r="AH1368" s="38">
        <f>199892.93+310202.36+1389731.84+30187.79</f>
        <v>1930014.9200000002</v>
      </c>
      <c r="AI1368" s="38"/>
      <c r="AJ1368" s="38"/>
      <c r="AK1368" s="54">
        <f t="shared" si="982"/>
        <v>2034745.8500000006</v>
      </c>
      <c r="AL1368" s="53"/>
      <c r="AM1368" s="53">
        <f t="shared" si="951"/>
        <v>281.55999999999949</v>
      </c>
      <c r="AN1368" s="38"/>
      <c r="AO1368" s="38"/>
      <c r="AP1368" s="38"/>
      <c r="AQ1368" s="54">
        <f t="shared" si="966"/>
        <v>281.55999999999949</v>
      </c>
      <c r="AR1368" s="53"/>
      <c r="AS1368" s="29">
        <f t="shared" si="930"/>
        <v>-2978294.600000001</v>
      </c>
      <c r="AT1368" s="29">
        <f t="shared" si="931"/>
        <v>2312915.77</v>
      </c>
      <c r="AU1368" s="29">
        <f t="shared" si="932"/>
        <v>0</v>
      </c>
      <c r="AV1368" s="29">
        <f t="shared" si="933"/>
        <v>-1.05</v>
      </c>
      <c r="AW1368" s="29"/>
      <c r="AX1368" s="29">
        <f t="shared" si="934"/>
        <v>-665379.88000000082</v>
      </c>
      <c r="AY1368" s="29">
        <f t="shared" si="983"/>
        <v>9300000</v>
      </c>
      <c r="AZ1368" s="29">
        <f t="shared" si="984"/>
        <v>8634620.1199999992</v>
      </c>
    </row>
    <row r="1369" spans="2:52" x14ac:dyDescent="0.3">
      <c r="B1369" s="99">
        <f t="shared" si="987"/>
        <v>46080</v>
      </c>
      <c r="C1369" s="44">
        <f t="shared" si="971"/>
        <v>-2725754.649999998</v>
      </c>
      <c r="D1369" s="38">
        <v>659461.51</v>
      </c>
      <c r="E1369" s="38">
        <f>1466400+300000</f>
        <v>1766400</v>
      </c>
      <c r="F1369" s="38">
        <v>-22867.02</v>
      </c>
      <c r="G1369" s="45">
        <f t="shared" si="972"/>
        <v>-322760.15999999805</v>
      </c>
      <c r="H1369" s="44">
        <v>4300000</v>
      </c>
      <c r="I1369" s="46">
        <f t="shared" si="973"/>
        <v>23180.799999998795</v>
      </c>
      <c r="J1369" s="38">
        <v>342093.82</v>
      </c>
      <c r="K1369" s="38">
        <v>-300000</v>
      </c>
      <c r="L1369" s="38"/>
      <c r="M1369" s="47">
        <f t="shared" si="974"/>
        <v>65274.619999998831</v>
      </c>
      <c r="N1369" s="46">
        <v>5000000</v>
      </c>
      <c r="O1369" s="48">
        <f t="shared" si="975"/>
        <v>2111.1999999992436</v>
      </c>
      <c r="P1369" s="38">
        <v>24438.54</v>
      </c>
      <c r="Q1369" s="38">
        <f>1440500-1466400</f>
        <v>-25900</v>
      </c>
      <c r="R1369" s="38">
        <v>-10</v>
      </c>
      <c r="S1369" s="55">
        <f t="shared" si="976"/>
        <v>639.7399999992449</v>
      </c>
      <c r="T1369" s="48"/>
      <c r="U1369" s="49">
        <f t="shared" si="977"/>
        <v>55.359999999357385</v>
      </c>
      <c r="V1369" s="38">
        <v>1440501.34</v>
      </c>
      <c r="W1369" s="38">
        <v>-1440500</v>
      </c>
      <c r="X1369" s="38">
        <v>-1.7</v>
      </c>
      <c r="Y1369" s="51">
        <f t="shared" si="978"/>
        <v>54.99999999948777</v>
      </c>
      <c r="Z1369" s="52"/>
      <c r="AA1369" s="53">
        <f t="shared" si="979"/>
        <v>-7.6977357821306214E-10</v>
      </c>
      <c r="AB1369" s="38"/>
      <c r="AC1369" s="38"/>
      <c r="AD1369" s="38"/>
      <c r="AE1369" s="54">
        <f t="shared" si="980"/>
        <v>-7.6977357821306214E-10</v>
      </c>
      <c r="AF1369" s="53"/>
      <c r="AG1369" s="53">
        <f t="shared" si="981"/>
        <v>2034745.8500000006</v>
      </c>
      <c r="AH1369" s="38">
        <v>38823.870000000003</v>
      </c>
      <c r="AI1369" s="38"/>
      <c r="AJ1369" s="38"/>
      <c r="AK1369" s="54">
        <f t="shared" si="982"/>
        <v>2073569.7200000007</v>
      </c>
      <c r="AL1369" s="53"/>
      <c r="AM1369" s="53">
        <f t="shared" si="951"/>
        <v>281.55999999999949</v>
      </c>
      <c r="AN1369" s="38"/>
      <c r="AO1369" s="38"/>
      <c r="AP1369" s="38"/>
      <c r="AQ1369" s="54">
        <f t="shared" si="966"/>
        <v>281.55999999999949</v>
      </c>
      <c r="AR1369" s="53"/>
      <c r="AS1369" s="29">
        <f t="shared" si="930"/>
        <v>-665379.88000000082</v>
      </c>
      <c r="AT1369" s="29">
        <f t="shared" si="931"/>
        <v>2505319.08</v>
      </c>
      <c r="AU1369" s="29">
        <f t="shared" si="932"/>
        <v>0</v>
      </c>
      <c r="AV1369" s="29">
        <f t="shared" si="933"/>
        <v>-22878.720000000001</v>
      </c>
      <c r="AW1369" s="29"/>
      <c r="AX1369" s="29">
        <f t="shared" si="934"/>
        <v>1817060.4799999995</v>
      </c>
      <c r="AY1369" s="29">
        <f t="shared" si="983"/>
        <v>9300000</v>
      </c>
      <c r="AZ1369" s="29">
        <f t="shared" si="984"/>
        <v>11117060.48</v>
      </c>
    </row>
    <row r="1370" spans="2:52" x14ac:dyDescent="0.3">
      <c r="B1370" s="99">
        <f>B1369+3</f>
        <v>46083</v>
      </c>
      <c r="C1370" s="44">
        <f t="shared" si="971"/>
        <v>-322760.15999999805</v>
      </c>
      <c r="D1370" s="38">
        <v>101373.07</v>
      </c>
      <c r="E1370" s="38"/>
      <c r="F1370" s="38">
        <f>-87867.33+13699.78</f>
        <v>-74167.55</v>
      </c>
      <c r="G1370" s="45">
        <f t="shared" si="972"/>
        <v>-295554.63999999803</v>
      </c>
      <c r="H1370" s="44">
        <v>4300000</v>
      </c>
      <c r="I1370" s="46">
        <f t="shared" si="973"/>
        <v>65274.619999998831</v>
      </c>
      <c r="J1370" s="38"/>
      <c r="K1370" s="38"/>
      <c r="L1370" s="38">
        <v>-28490.42</v>
      </c>
      <c r="M1370" s="47">
        <f t="shared" si="974"/>
        <v>36784.199999998833</v>
      </c>
      <c r="N1370" s="46">
        <v>5000000</v>
      </c>
      <c r="O1370" s="48">
        <f t="shared" si="975"/>
        <v>639.7399999992449</v>
      </c>
      <c r="P1370" s="38">
        <v>41786.71</v>
      </c>
      <c r="Q1370" s="38"/>
      <c r="R1370" s="38">
        <f>-250-1659.84</f>
        <v>-1909.84</v>
      </c>
      <c r="S1370" s="55">
        <f t="shared" si="976"/>
        <v>40516.609999999244</v>
      </c>
      <c r="T1370" s="48"/>
      <c r="U1370" s="49">
        <f t="shared" si="977"/>
        <v>54.99999999948777</v>
      </c>
      <c r="V1370" s="38"/>
      <c r="W1370" s="38"/>
      <c r="X1370" s="38"/>
      <c r="Y1370" s="51">
        <f t="shared" si="978"/>
        <v>54.99999999948777</v>
      </c>
      <c r="Z1370" s="52"/>
      <c r="AA1370" s="53">
        <f t="shared" si="979"/>
        <v>-7.6977357821306214E-10</v>
      </c>
      <c r="AB1370" s="38"/>
      <c r="AC1370" s="38"/>
      <c r="AD1370" s="38"/>
      <c r="AE1370" s="54">
        <f t="shared" si="980"/>
        <v>-7.6977357821306214E-10</v>
      </c>
      <c r="AF1370" s="53"/>
      <c r="AG1370" s="53">
        <f t="shared" si="981"/>
        <v>2073569.7200000007</v>
      </c>
      <c r="AH1370" s="38">
        <v>33413.599999999999</v>
      </c>
      <c r="AI1370" s="38"/>
      <c r="AJ1370" s="38"/>
      <c r="AK1370" s="54">
        <f t="shared" si="982"/>
        <v>2106983.3200000008</v>
      </c>
      <c r="AL1370" s="53"/>
      <c r="AM1370" s="53">
        <f t="shared" si="951"/>
        <v>281.55999999999949</v>
      </c>
      <c r="AN1370" s="38"/>
      <c r="AO1370" s="38"/>
      <c r="AP1370" s="38"/>
      <c r="AQ1370" s="54">
        <f t="shared" si="966"/>
        <v>281.55999999999949</v>
      </c>
      <c r="AR1370" s="53"/>
      <c r="AS1370" s="29">
        <f t="shared" si="930"/>
        <v>1817060.4799999995</v>
      </c>
      <c r="AT1370" s="29">
        <f t="shared" si="931"/>
        <v>176573.38</v>
      </c>
      <c r="AU1370" s="29">
        <f t="shared" si="932"/>
        <v>0</v>
      </c>
      <c r="AV1370" s="29">
        <f t="shared" si="933"/>
        <v>-104567.81</v>
      </c>
      <c r="AW1370" s="29"/>
      <c r="AX1370" s="29">
        <f t="shared" si="934"/>
        <v>1889066.0499999996</v>
      </c>
      <c r="AY1370" s="29">
        <f t="shared" si="983"/>
        <v>9300000</v>
      </c>
      <c r="AZ1370" s="29">
        <f t="shared" si="984"/>
        <v>11189066.049999999</v>
      </c>
    </row>
    <row r="1371" spans="2:52" x14ac:dyDescent="0.3">
      <c r="B1371" s="99">
        <f t="shared" ref="B1371:B1374" si="988">B1370+1</f>
        <v>46084</v>
      </c>
      <c r="C1371" s="44">
        <f t="shared" si="971"/>
        <v>-295554.63999999803</v>
      </c>
      <c r="D1371" s="38">
        <v>129870.48</v>
      </c>
      <c r="E1371" s="38">
        <f>2725870.48-129870.48</f>
        <v>2596000</v>
      </c>
      <c r="F1371" s="38">
        <f>-2430314.84+2371452.36</f>
        <v>-58862.479999999981</v>
      </c>
      <c r="G1371" s="45">
        <f t="shared" si="972"/>
        <v>2371453.3600000017</v>
      </c>
      <c r="H1371" s="44">
        <v>4300000</v>
      </c>
      <c r="I1371" s="46">
        <f t="shared" si="973"/>
        <v>36784.199999998833</v>
      </c>
      <c r="J1371" s="38"/>
      <c r="K1371" s="38"/>
      <c r="L1371" s="38">
        <v>-26801.23</v>
      </c>
      <c r="M1371" s="47">
        <f t="shared" si="974"/>
        <v>9982.9699999988334</v>
      </c>
      <c r="N1371" s="46">
        <v>5000000</v>
      </c>
      <c r="O1371" s="48">
        <f t="shared" si="975"/>
        <v>40516.609999999244</v>
      </c>
      <c r="P1371" s="38">
        <f>87689.66+146943.05+215347.12</f>
        <v>449979.82999999996</v>
      </c>
      <c r="Q1371" s="38">
        <v>-490000</v>
      </c>
      <c r="R1371" s="38">
        <v>-10</v>
      </c>
      <c r="S1371" s="55">
        <f t="shared" si="976"/>
        <v>486.43999999918742</v>
      </c>
      <c r="T1371" s="48"/>
      <c r="U1371" s="49">
        <f t="shared" si="977"/>
        <v>54.99999999948777</v>
      </c>
      <c r="V1371" s="38"/>
      <c r="W1371" s="38"/>
      <c r="X1371" s="38">
        <v>-55</v>
      </c>
      <c r="Y1371" s="51">
        <f t="shared" si="978"/>
        <v>-5.1223025820945622E-10</v>
      </c>
      <c r="Z1371" s="52"/>
      <c r="AA1371" s="53">
        <f t="shared" si="979"/>
        <v>-7.6977357821306214E-10</v>
      </c>
      <c r="AB1371" s="38"/>
      <c r="AC1371" s="38"/>
      <c r="AD1371" s="38"/>
      <c r="AE1371" s="54">
        <f t="shared" si="980"/>
        <v>-7.6977357821306214E-10</v>
      </c>
      <c r="AF1371" s="53"/>
      <c r="AG1371" s="53">
        <f t="shared" si="981"/>
        <v>2106983.3200000008</v>
      </c>
      <c r="AH1371" s="38"/>
      <c r="AI1371" s="38">
        <f>-1106000-100000-900000</f>
        <v>-2106000</v>
      </c>
      <c r="AJ1371" s="38">
        <v>-99</v>
      </c>
      <c r="AK1371" s="54">
        <f t="shared" si="982"/>
        <v>884.32000000076368</v>
      </c>
      <c r="AL1371" s="53"/>
      <c r="AM1371" s="53">
        <f t="shared" si="951"/>
        <v>281.55999999999949</v>
      </c>
      <c r="AN1371" s="38"/>
      <c r="AO1371" s="38"/>
      <c r="AP1371" s="38"/>
      <c r="AQ1371" s="54">
        <f t="shared" si="966"/>
        <v>281.55999999999949</v>
      </c>
      <c r="AR1371" s="53"/>
      <c r="AS1371" s="29">
        <f t="shared" si="930"/>
        <v>1889066.0499999996</v>
      </c>
      <c r="AT1371" s="29">
        <f t="shared" si="931"/>
        <v>579850.30999999994</v>
      </c>
      <c r="AU1371" s="29">
        <f t="shared" si="932"/>
        <v>0</v>
      </c>
      <c r="AV1371" s="29">
        <f t="shared" si="933"/>
        <v>-85827.709999999977</v>
      </c>
      <c r="AW1371" s="29"/>
      <c r="AX1371" s="29">
        <f t="shared" si="934"/>
        <v>2383088.649999999</v>
      </c>
      <c r="AY1371" s="29">
        <f t="shared" si="983"/>
        <v>9300000</v>
      </c>
      <c r="AZ1371" s="29">
        <f t="shared" si="984"/>
        <v>11683088.649999999</v>
      </c>
    </row>
    <row r="1372" spans="2:52" x14ac:dyDescent="0.3">
      <c r="B1372" s="99">
        <f t="shared" si="988"/>
        <v>46085</v>
      </c>
      <c r="C1372" s="44">
        <f t="shared" si="971"/>
        <v>2371453.3600000017</v>
      </c>
      <c r="D1372" s="38"/>
      <c r="E1372" s="38">
        <v>-5100000</v>
      </c>
      <c r="F1372" s="38">
        <v>-258360.12</v>
      </c>
      <c r="G1372" s="45">
        <f t="shared" si="972"/>
        <v>-2986906.7599999984</v>
      </c>
      <c r="H1372" s="44">
        <v>4300000</v>
      </c>
      <c r="I1372" s="46">
        <f t="shared" si="973"/>
        <v>9982.9699999988334</v>
      </c>
      <c r="J1372" s="38"/>
      <c r="K1372" s="38">
        <v>5100000</v>
      </c>
      <c r="L1372" s="38">
        <v>-4987488.79</v>
      </c>
      <c r="M1372" s="47">
        <f t="shared" si="974"/>
        <v>122494.17999999877</v>
      </c>
      <c r="N1372" s="46">
        <v>5000000</v>
      </c>
      <c r="O1372" s="48">
        <f t="shared" si="975"/>
        <v>486.43999999918742</v>
      </c>
      <c r="P1372" s="38"/>
      <c r="Q1372" s="38">
        <v>-100</v>
      </c>
      <c r="R1372" s="38"/>
      <c r="S1372" s="55">
        <f t="shared" si="976"/>
        <v>386.43999999918742</v>
      </c>
      <c r="T1372" s="48"/>
      <c r="U1372" s="49">
        <f t="shared" si="977"/>
        <v>-5.1223025820945622E-10</v>
      </c>
      <c r="V1372" s="38"/>
      <c r="W1372" s="38">
        <v>100</v>
      </c>
      <c r="X1372" s="38">
        <v>-15.6</v>
      </c>
      <c r="Y1372" s="51">
        <f t="shared" si="978"/>
        <v>84.399999999487775</v>
      </c>
      <c r="Z1372" s="52"/>
      <c r="AA1372" s="53">
        <f t="shared" si="979"/>
        <v>-7.6977357821306214E-10</v>
      </c>
      <c r="AB1372" s="38"/>
      <c r="AC1372" s="38"/>
      <c r="AD1372" s="38"/>
      <c r="AE1372" s="54">
        <f t="shared" si="980"/>
        <v>-7.6977357821306214E-10</v>
      </c>
      <c r="AF1372" s="53"/>
      <c r="AG1372" s="53">
        <f t="shared" si="981"/>
        <v>884.32000000076368</v>
      </c>
      <c r="AH1372" s="38"/>
      <c r="AI1372" s="38"/>
      <c r="AJ1372" s="38">
        <v>-29.7</v>
      </c>
      <c r="AK1372" s="54">
        <f t="shared" si="982"/>
        <v>854.62000000076364</v>
      </c>
      <c r="AL1372" s="53"/>
      <c r="AM1372" s="53">
        <f t="shared" si="951"/>
        <v>281.55999999999949</v>
      </c>
      <c r="AN1372" s="38"/>
      <c r="AO1372" s="38"/>
      <c r="AP1372" s="38"/>
      <c r="AQ1372" s="54">
        <f t="shared" si="966"/>
        <v>281.55999999999949</v>
      </c>
      <c r="AR1372" s="53"/>
      <c r="AS1372" s="29">
        <f t="shared" si="930"/>
        <v>2383088.649999999</v>
      </c>
      <c r="AT1372" s="29">
        <f t="shared" si="931"/>
        <v>0</v>
      </c>
      <c r="AU1372" s="29">
        <f t="shared" si="932"/>
        <v>0</v>
      </c>
      <c r="AV1372" s="29">
        <f t="shared" si="933"/>
        <v>-5245894.21</v>
      </c>
      <c r="AW1372" s="29"/>
      <c r="AX1372" s="29">
        <f t="shared" si="934"/>
        <v>-2862805.5600000015</v>
      </c>
      <c r="AY1372" s="29">
        <f t="shared" si="983"/>
        <v>9300000</v>
      </c>
      <c r="AZ1372" s="29">
        <f t="shared" si="984"/>
        <v>6437194.4399999985</v>
      </c>
    </row>
    <row r="1373" spans="2:52" x14ac:dyDescent="0.3">
      <c r="B1373" s="99">
        <f t="shared" si="988"/>
        <v>46086</v>
      </c>
      <c r="C1373" s="44">
        <f t="shared" si="971"/>
        <v>-2986906.7599999984</v>
      </c>
      <c r="D1373" s="38">
        <f>38171.23+750.8</f>
        <v>38922.030000000006</v>
      </c>
      <c r="E1373" s="38"/>
      <c r="F1373" s="38">
        <v>-1258851.44</v>
      </c>
      <c r="G1373" s="45">
        <f t="shared" si="972"/>
        <v>-4206836.1699999981</v>
      </c>
      <c r="H1373" s="44">
        <v>4300000</v>
      </c>
      <c r="I1373" s="46">
        <f t="shared" si="973"/>
        <v>122494.17999999877</v>
      </c>
      <c r="J1373" s="38">
        <f>15500+961.86+1450</f>
        <v>17911.86</v>
      </c>
      <c r="K1373" s="38"/>
      <c r="L1373" s="38">
        <f>-46250.1</f>
        <v>-46250.1</v>
      </c>
      <c r="M1373" s="47">
        <f t="shared" si="974"/>
        <v>94155.939999998751</v>
      </c>
      <c r="N1373" s="46">
        <v>5000000</v>
      </c>
      <c r="O1373" s="48">
        <f t="shared" si="975"/>
        <v>386.43999999918742</v>
      </c>
      <c r="P1373" s="38">
        <f>681169.15+410922.64+238216.91</f>
        <v>1330308.7</v>
      </c>
      <c r="Q1373" s="38"/>
      <c r="R1373" s="38"/>
      <c r="S1373" s="55">
        <f t="shared" si="976"/>
        <v>1330695.1399999992</v>
      </c>
      <c r="T1373" s="48"/>
      <c r="U1373" s="49">
        <f t="shared" si="977"/>
        <v>84.399999999487775</v>
      </c>
      <c r="V1373" s="38"/>
      <c r="W1373" s="38"/>
      <c r="X1373" s="38"/>
      <c r="Y1373" s="51">
        <f t="shared" si="978"/>
        <v>84.399999999487775</v>
      </c>
      <c r="Z1373" s="52"/>
      <c r="AA1373" s="53">
        <f t="shared" si="979"/>
        <v>-7.6977357821306214E-10</v>
      </c>
      <c r="AB1373" s="38"/>
      <c r="AC1373" s="38"/>
      <c r="AD1373" s="38"/>
      <c r="AE1373" s="54">
        <f t="shared" si="980"/>
        <v>-7.6977357821306214E-10</v>
      </c>
      <c r="AF1373" s="53"/>
      <c r="AG1373" s="53">
        <f t="shared" si="981"/>
        <v>854.62000000076364</v>
      </c>
      <c r="AH1373" s="38"/>
      <c r="AI1373" s="38"/>
      <c r="AJ1373" s="38"/>
      <c r="AK1373" s="54">
        <f t="shared" si="982"/>
        <v>854.62000000076364</v>
      </c>
      <c r="AL1373" s="53"/>
      <c r="AM1373" s="53">
        <f t="shared" si="951"/>
        <v>281.55999999999949</v>
      </c>
      <c r="AN1373" s="38"/>
      <c r="AO1373" s="38"/>
      <c r="AP1373" s="38"/>
      <c r="AQ1373" s="54">
        <f t="shared" si="966"/>
        <v>281.55999999999949</v>
      </c>
      <c r="AR1373" s="53"/>
      <c r="AS1373" s="29">
        <f t="shared" si="930"/>
        <v>-2862805.5600000015</v>
      </c>
      <c r="AT1373" s="29">
        <f t="shared" si="931"/>
        <v>1387142.5899999999</v>
      </c>
      <c r="AU1373" s="29">
        <f t="shared" si="932"/>
        <v>0</v>
      </c>
      <c r="AV1373" s="29">
        <f t="shared" si="933"/>
        <v>-1305101.54</v>
      </c>
      <c r="AW1373" s="29"/>
      <c r="AX1373" s="29">
        <f t="shared" si="934"/>
        <v>-2780764.5100000012</v>
      </c>
      <c r="AY1373" s="29">
        <f t="shared" si="983"/>
        <v>9300000</v>
      </c>
      <c r="AZ1373" s="29">
        <f t="shared" si="984"/>
        <v>6519235.4899999984</v>
      </c>
    </row>
    <row r="1374" spans="2:52" x14ac:dyDescent="0.3">
      <c r="B1374" s="99">
        <f t="shared" si="988"/>
        <v>46087</v>
      </c>
      <c r="C1374" s="44">
        <f t="shared" si="971"/>
        <v>-4206836.1699999981</v>
      </c>
      <c r="D1374" s="38">
        <f>18740.02*3+24025.6</f>
        <v>80245.66</v>
      </c>
      <c r="E1374" s="38">
        <v>2040000</v>
      </c>
      <c r="F1374" s="38">
        <v>-79960.850000000006</v>
      </c>
      <c r="G1374" s="45">
        <f t="shared" si="972"/>
        <v>-2166551.359999998</v>
      </c>
      <c r="H1374" s="44">
        <v>4300000</v>
      </c>
      <c r="I1374" s="46">
        <f t="shared" si="973"/>
        <v>94155.939999998751</v>
      </c>
      <c r="J1374" s="38"/>
      <c r="K1374" s="38"/>
      <c r="L1374" s="38">
        <v>-39784.83</v>
      </c>
      <c r="M1374" s="47">
        <f t="shared" si="974"/>
        <v>54371.109999998749</v>
      </c>
      <c r="N1374" s="46">
        <v>5000000</v>
      </c>
      <c r="O1374" s="48">
        <f t="shared" si="975"/>
        <v>1330695.1399999992</v>
      </c>
      <c r="P1374" s="38">
        <v>712862.56</v>
      </c>
      <c r="Q1374" s="38">
        <v>-2040000</v>
      </c>
      <c r="R1374" s="38">
        <v>-3210</v>
      </c>
      <c r="S1374" s="55">
        <f t="shared" si="976"/>
        <v>347.69999999925494</v>
      </c>
      <c r="T1374" s="48"/>
      <c r="U1374" s="49">
        <f t="shared" si="977"/>
        <v>84.399999999487775</v>
      </c>
      <c r="V1374" s="38"/>
      <c r="W1374" s="38"/>
      <c r="X1374" s="38"/>
      <c r="Y1374" s="51">
        <f t="shared" si="978"/>
        <v>84.399999999487775</v>
      </c>
      <c r="Z1374" s="52"/>
      <c r="AA1374" s="53">
        <f t="shared" si="979"/>
        <v>-7.6977357821306214E-10</v>
      </c>
      <c r="AB1374" s="38"/>
      <c r="AC1374" s="38"/>
      <c r="AD1374" s="38"/>
      <c r="AE1374" s="54">
        <f t="shared" si="980"/>
        <v>-7.6977357821306214E-10</v>
      </c>
      <c r="AF1374" s="53"/>
      <c r="AG1374" s="53">
        <f t="shared" si="981"/>
        <v>854.62000000076364</v>
      </c>
      <c r="AH1374" s="38"/>
      <c r="AI1374" s="38"/>
      <c r="AJ1374" s="38"/>
      <c r="AK1374" s="54">
        <f t="shared" si="982"/>
        <v>854.62000000076364</v>
      </c>
      <c r="AL1374" s="53"/>
      <c r="AM1374" s="53">
        <f t="shared" si="951"/>
        <v>281.55999999999949</v>
      </c>
      <c r="AN1374" s="38"/>
      <c r="AO1374" s="38"/>
      <c r="AP1374" s="38"/>
      <c r="AQ1374" s="54">
        <f t="shared" si="966"/>
        <v>281.55999999999949</v>
      </c>
      <c r="AR1374" s="53"/>
      <c r="AS1374" s="29">
        <f t="shared" si="930"/>
        <v>-2780764.5100000012</v>
      </c>
      <c r="AT1374" s="29">
        <f t="shared" si="931"/>
        <v>793108.22000000009</v>
      </c>
      <c r="AU1374" s="29">
        <f t="shared" si="932"/>
        <v>0</v>
      </c>
      <c r="AV1374" s="29">
        <f t="shared" si="933"/>
        <v>-122955.68000000001</v>
      </c>
      <c r="AW1374" s="29"/>
      <c r="AX1374" s="29">
        <f t="shared" si="934"/>
        <v>-2110611.9700000007</v>
      </c>
      <c r="AY1374" s="29">
        <f t="shared" si="983"/>
        <v>9300000</v>
      </c>
      <c r="AZ1374" s="29">
        <f t="shared" si="984"/>
        <v>7189388.0299999993</v>
      </c>
    </row>
    <row r="1375" spans="2:52" x14ac:dyDescent="0.3">
      <c r="B1375" s="99">
        <f>B1374+3</f>
        <v>46090</v>
      </c>
      <c r="C1375" s="44">
        <f t="shared" ref="C1375:C1404" si="989">G1374</f>
        <v>-2166551.359999998</v>
      </c>
      <c r="D1375" s="38">
        <v>80766.17</v>
      </c>
      <c r="E1375" s="38">
        <v>330000</v>
      </c>
      <c r="F1375" s="38">
        <v>-83510.77</v>
      </c>
      <c r="G1375" s="45">
        <f t="shared" ref="G1375:G1404" si="990">SUM(C1375:F1375)</f>
        <v>-1839295.9599999981</v>
      </c>
      <c r="H1375" s="44">
        <v>4300000</v>
      </c>
      <c r="I1375" s="46">
        <f t="shared" ref="I1375:I1404" si="991">M1374</f>
        <v>54371.109999998749</v>
      </c>
      <c r="J1375" s="38"/>
      <c r="K1375" s="38"/>
      <c r="L1375" s="38">
        <v>-412.99</v>
      </c>
      <c r="M1375" s="47">
        <f t="shared" ref="M1375:M1404" si="992">SUM(I1375:L1375)</f>
        <v>53958.119999998751</v>
      </c>
      <c r="N1375" s="46">
        <v>5000000</v>
      </c>
      <c r="O1375" s="48">
        <f t="shared" ref="O1375:O1404" si="993">S1374</f>
        <v>347.69999999925494</v>
      </c>
      <c r="P1375" s="38">
        <f>155.59+331158.67</f>
        <v>331314.26</v>
      </c>
      <c r="Q1375" s="38">
        <v>-330000</v>
      </c>
      <c r="R1375" s="38">
        <v>-69</v>
      </c>
      <c r="S1375" s="55">
        <f t="shared" ref="S1375:S1404" si="994">SUM(O1375:R1375)</f>
        <v>1592.9599999992643</v>
      </c>
      <c r="T1375" s="48"/>
      <c r="U1375" s="49">
        <f t="shared" ref="U1375:U1404" si="995">Y1374</f>
        <v>84.399999999487775</v>
      </c>
      <c r="V1375" s="38"/>
      <c r="W1375" s="38"/>
      <c r="X1375" s="38"/>
      <c r="Y1375" s="51">
        <f t="shared" ref="Y1375:Y1404" si="996">SUM(U1375:X1375)</f>
        <v>84.399999999487775</v>
      </c>
      <c r="Z1375" s="52"/>
      <c r="AA1375" s="53">
        <f t="shared" ref="AA1375:AA1404" si="997">AE1374</f>
        <v>-7.6977357821306214E-10</v>
      </c>
      <c r="AB1375" s="38"/>
      <c r="AC1375" s="38"/>
      <c r="AD1375" s="38"/>
      <c r="AE1375" s="54">
        <f t="shared" ref="AE1375:AE1404" si="998">SUM(AA1375:AD1375)</f>
        <v>-7.6977357821306214E-10</v>
      </c>
      <c r="AF1375" s="53"/>
      <c r="AG1375" s="53">
        <f t="shared" ref="AG1375:AG1404" si="999">AK1374</f>
        <v>854.62000000076364</v>
      </c>
      <c r="AH1375" s="38"/>
      <c r="AI1375" s="38"/>
      <c r="AJ1375" s="38"/>
      <c r="AK1375" s="54">
        <f t="shared" ref="AK1375:AK1404" si="1000">SUM(AG1375:AJ1375)</f>
        <v>854.62000000076364</v>
      </c>
      <c r="AL1375" s="53"/>
      <c r="AM1375" s="53">
        <f t="shared" si="951"/>
        <v>281.55999999999949</v>
      </c>
      <c r="AN1375" s="38"/>
      <c r="AO1375" s="38"/>
      <c r="AP1375" s="38"/>
      <c r="AQ1375" s="54">
        <f t="shared" si="966"/>
        <v>281.55999999999949</v>
      </c>
      <c r="AR1375" s="53"/>
      <c r="AS1375" s="29">
        <f t="shared" si="930"/>
        <v>-2110611.9700000007</v>
      </c>
      <c r="AT1375" s="29">
        <f t="shared" si="931"/>
        <v>412080.43</v>
      </c>
      <c r="AU1375" s="29">
        <f t="shared" si="932"/>
        <v>0</v>
      </c>
      <c r="AV1375" s="29">
        <f t="shared" si="933"/>
        <v>-83992.760000000009</v>
      </c>
      <c r="AW1375" s="29"/>
      <c r="AX1375" s="29">
        <f t="shared" si="934"/>
        <v>-1782524.3000000005</v>
      </c>
      <c r="AY1375" s="29">
        <f t="shared" ref="AY1375:AY1404" si="1001">SUM(H1375,N1375,T1375,Z1375,AF1375,AL1375)</f>
        <v>9300000</v>
      </c>
      <c r="AZ1375" s="29">
        <f t="shared" ref="AZ1375:AZ1404" si="1002">AX1375+AY1375</f>
        <v>7517475.6999999993</v>
      </c>
    </row>
    <row r="1376" spans="2:52" x14ac:dyDescent="0.3">
      <c r="B1376" s="99">
        <f t="shared" ref="B1376:B1379" si="1003">B1375+1</f>
        <v>46091</v>
      </c>
      <c r="C1376" s="44">
        <f t="shared" si="989"/>
        <v>-1839295.9599999981</v>
      </c>
      <c r="D1376" s="38">
        <v>99293.3</v>
      </c>
      <c r="E1376" s="38"/>
      <c r="F1376" s="38">
        <v>-222191.7</v>
      </c>
      <c r="G1376" s="45">
        <f t="shared" si="990"/>
        <v>-1962194.359999998</v>
      </c>
      <c r="H1376" s="44">
        <v>4300000</v>
      </c>
      <c r="I1376" s="46">
        <f t="shared" si="991"/>
        <v>53958.119999998751</v>
      </c>
      <c r="J1376" s="38"/>
      <c r="K1376" s="38"/>
      <c r="L1376" s="38">
        <v>-9873.7099999999991</v>
      </c>
      <c r="M1376" s="47">
        <f t="shared" si="992"/>
        <v>44084.409999998752</v>
      </c>
      <c r="N1376" s="46">
        <v>5000000</v>
      </c>
      <c r="O1376" s="48">
        <f t="shared" si="993"/>
        <v>1592.9599999992643</v>
      </c>
      <c r="P1376" s="38"/>
      <c r="Q1376" s="38"/>
      <c r="R1376" s="38"/>
      <c r="S1376" s="55">
        <f t="shared" si="994"/>
        <v>1592.9599999992643</v>
      </c>
      <c r="T1376" s="48"/>
      <c r="U1376" s="49">
        <f t="shared" si="995"/>
        <v>84.399999999487775</v>
      </c>
      <c r="V1376" s="38"/>
      <c r="W1376" s="38"/>
      <c r="X1376" s="38"/>
      <c r="Y1376" s="51">
        <f t="shared" si="996"/>
        <v>84.399999999487775</v>
      </c>
      <c r="Z1376" s="52"/>
      <c r="AA1376" s="53">
        <f t="shared" si="997"/>
        <v>-7.6977357821306214E-10</v>
      </c>
      <c r="AB1376" s="38"/>
      <c r="AC1376" s="38"/>
      <c r="AD1376" s="38"/>
      <c r="AE1376" s="54">
        <f t="shared" si="998"/>
        <v>-7.6977357821306214E-10</v>
      </c>
      <c r="AF1376" s="53"/>
      <c r="AG1376" s="53">
        <f t="shared" si="999"/>
        <v>854.62000000076364</v>
      </c>
      <c r="AH1376" s="38"/>
      <c r="AI1376" s="38"/>
      <c r="AJ1376" s="38"/>
      <c r="AK1376" s="54">
        <f t="shared" si="1000"/>
        <v>854.62000000076364</v>
      </c>
      <c r="AL1376" s="53"/>
      <c r="AM1376" s="53">
        <f t="shared" si="951"/>
        <v>281.55999999999949</v>
      </c>
      <c r="AN1376" s="38"/>
      <c r="AO1376" s="38"/>
      <c r="AP1376" s="38"/>
      <c r="AQ1376" s="54">
        <f t="shared" si="966"/>
        <v>281.55999999999949</v>
      </c>
      <c r="AR1376" s="53"/>
      <c r="AS1376" s="29">
        <f t="shared" si="930"/>
        <v>-1782524.3000000005</v>
      </c>
      <c r="AT1376" s="29">
        <f t="shared" si="931"/>
        <v>99293.3</v>
      </c>
      <c r="AU1376" s="29">
        <f t="shared" si="932"/>
        <v>0</v>
      </c>
      <c r="AV1376" s="29">
        <f t="shared" si="933"/>
        <v>-232065.41</v>
      </c>
      <c r="AW1376" s="29"/>
      <c r="AX1376" s="29">
        <f t="shared" si="934"/>
        <v>-1915296.4100000004</v>
      </c>
      <c r="AY1376" s="29">
        <f t="shared" si="1001"/>
        <v>9300000</v>
      </c>
      <c r="AZ1376" s="29">
        <f t="shared" si="1002"/>
        <v>7384703.5899999999</v>
      </c>
    </row>
    <row r="1377" spans="2:52" x14ac:dyDescent="0.3">
      <c r="B1377" s="99">
        <f t="shared" si="1003"/>
        <v>46092</v>
      </c>
      <c r="C1377" s="44">
        <f t="shared" si="989"/>
        <v>-1962194.359999998</v>
      </c>
      <c r="D1377" s="38">
        <v>49527.08</v>
      </c>
      <c r="E1377" s="38">
        <v>-130000</v>
      </c>
      <c r="F1377" s="38">
        <v>-29302.71</v>
      </c>
      <c r="G1377" s="45">
        <f t="shared" si="990"/>
        <v>-2071969.9899999979</v>
      </c>
      <c r="H1377" s="44">
        <v>4300000</v>
      </c>
      <c r="I1377" s="46">
        <f t="shared" si="991"/>
        <v>44084.409999998752</v>
      </c>
      <c r="J1377" s="38">
        <v>5867.47</v>
      </c>
      <c r="K1377" s="38">
        <v>130000</v>
      </c>
      <c r="L1377" s="38">
        <v>-164937.29</v>
      </c>
      <c r="M1377" s="47">
        <f t="shared" si="992"/>
        <v>15014.589999998745</v>
      </c>
      <c r="N1377" s="46">
        <v>5000000</v>
      </c>
      <c r="O1377" s="48">
        <f t="shared" si="993"/>
        <v>1592.9599999992643</v>
      </c>
      <c r="P1377" s="38"/>
      <c r="Q1377" s="38"/>
      <c r="R1377" s="38"/>
      <c r="S1377" s="55">
        <f t="shared" si="994"/>
        <v>1592.9599999992643</v>
      </c>
      <c r="T1377" s="48"/>
      <c r="U1377" s="49">
        <f t="shared" si="995"/>
        <v>84.399999999487775</v>
      </c>
      <c r="V1377" s="38"/>
      <c r="W1377" s="38"/>
      <c r="X1377" s="38"/>
      <c r="Y1377" s="51">
        <f t="shared" si="996"/>
        <v>84.399999999487775</v>
      </c>
      <c r="Z1377" s="52"/>
      <c r="AA1377" s="53">
        <f t="shared" si="997"/>
        <v>-7.6977357821306214E-10</v>
      </c>
      <c r="AB1377" s="38"/>
      <c r="AC1377" s="38"/>
      <c r="AD1377" s="38"/>
      <c r="AE1377" s="54">
        <f t="shared" si="998"/>
        <v>-7.6977357821306214E-10</v>
      </c>
      <c r="AF1377" s="53"/>
      <c r="AG1377" s="53">
        <f t="shared" si="999"/>
        <v>854.62000000076364</v>
      </c>
      <c r="AH1377" s="38"/>
      <c r="AI1377" s="38"/>
      <c r="AJ1377" s="38"/>
      <c r="AK1377" s="54">
        <f t="shared" si="1000"/>
        <v>854.62000000076364</v>
      </c>
      <c r="AL1377" s="53"/>
      <c r="AM1377" s="53">
        <f t="shared" si="951"/>
        <v>281.55999999999949</v>
      </c>
      <c r="AN1377" s="38"/>
      <c r="AO1377" s="38"/>
      <c r="AP1377" s="38"/>
      <c r="AQ1377" s="54">
        <f t="shared" si="966"/>
        <v>281.55999999999949</v>
      </c>
      <c r="AR1377" s="53"/>
      <c r="AS1377" s="29">
        <f t="shared" si="930"/>
        <v>-1915296.4100000004</v>
      </c>
      <c r="AT1377" s="29">
        <f t="shared" si="931"/>
        <v>55394.55</v>
      </c>
      <c r="AU1377" s="29">
        <f t="shared" si="932"/>
        <v>0</v>
      </c>
      <c r="AV1377" s="29">
        <f t="shared" si="933"/>
        <v>-194240</v>
      </c>
      <c r="AW1377" s="29"/>
      <c r="AX1377" s="29">
        <f t="shared" si="934"/>
        <v>-2054141.8600000003</v>
      </c>
      <c r="AY1377" s="29">
        <f t="shared" si="1001"/>
        <v>9300000</v>
      </c>
      <c r="AZ1377" s="29">
        <f t="shared" si="1002"/>
        <v>7245858.1399999997</v>
      </c>
    </row>
    <row r="1378" spans="2:52" x14ac:dyDescent="0.3">
      <c r="B1378" s="99">
        <f t="shared" si="1003"/>
        <v>46093</v>
      </c>
      <c r="C1378" s="44">
        <f t="shared" si="989"/>
        <v>-2071969.9899999979</v>
      </c>
      <c r="D1378" s="38">
        <v>32503.25</v>
      </c>
      <c r="E1378" s="38">
        <f>313000-50000</f>
        <v>263000</v>
      </c>
      <c r="F1378" s="38">
        <v>-16905.87</v>
      </c>
      <c r="G1378" s="45">
        <f t="shared" si="990"/>
        <v>-1793372.609999998</v>
      </c>
      <c r="H1378" s="44">
        <v>4300000</v>
      </c>
      <c r="I1378" s="46">
        <f t="shared" si="991"/>
        <v>15014.589999998745</v>
      </c>
      <c r="J1378" s="38">
        <v>4256.1899999999996</v>
      </c>
      <c r="K1378" s="38">
        <v>50000</v>
      </c>
      <c r="L1378" s="38">
        <f>-1.95-1.95-21689.89-9635.13</f>
        <v>-31328.92</v>
      </c>
      <c r="M1378" s="47">
        <f t="shared" si="992"/>
        <v>37941.859999998749</v>
      </c>
      <c r="N1378" s="46">
        <v>5000000</v>
      </c>
      <c r="O1378" s="48">
        <f t="shared" si="993"/>
        <v>1592.9599999992643</v>
      </c>
      <c r="P1378" s="38">
        <f>79968.13+2889.05+229440.92</f>
        <v>312298.10000000003</v>
      </c>
      <c r="Q1378" s="38">
        <v>-313000</v>
      </c>
      <c r="R1378" s="38">
        <v>-10</v>
      </c>
      <c r="S1378" s="55">
        <f t="shared" si="994"/>
        <v>881.05999999929918</v>
      </c>
      <c r="T1378" s="48"/>
      <c r="U1378" s="49">
        <f t="shared" si="995"/>
        <v>84.399999999487775</v>
      </c>
      <c r="V1378" s="38"/>
      <c r="W1378" s="38"/>
      <c r="X1378" s="38"/>
      <c r="Y1378" s="51">
        <f t="shared" si="996"/>
        <v>84.399999999487775</v>
      </c>
      <c r="Z1378" s="52"/>
      <c r="AA1378" s="53">
        <f t="shared" si="997"/>
        <v>-7.6977357821306214E-10</v>
      </c>
      <c r="AB1378" s="38"/>
      <c r="AC1378" s="38"/>
      <c r="AD1378" s="38"/>
      <c r="AE1378" s="54">
        <f t="shared" si="998"/>
        <v>-7.6977357821306214E-10</v>
      </c>
      <c r="AF1378" s="53"/>
      <c r="AG1378" s="53">
        <f t="shared" si="999"/>
        <v>854.62000000076364</v>
      </c>
      <c r="AH1378" s="38"/>
      <c r="AI1378" s="38"/>
      <c r="AJ1378" s="38"/>
      <c r="AK1378" s="54">
        <f t="shared" si="1000"/>
        <v>854.62000000076364</v>
      </c>
      <c r="AL1378" s="53"/>
      <c r="AM1378" s="53">
        <f t="shared" si="951"/>
        <v>281.55999999999949</v>
      </c>
      <c r="AN1378" s="38"/>
      <c r="AO1378" s="38"/>
      <c r="AP1378" s="38"/>
      <c r="AQ1378" s="54">
        <f t="shared" si="966"/>
        <v>281.55999999999949</v>
      </c>
      <c r="AR1378" s="53"/>
      <c r="AS1378" s="29">
        <f t="shared" si="930"/>
        <v>-2054141.8600000003</v>
      </c>
      <c r="AT1378" s="29">
        <f t="shared" si="931"/>
        <v>349057.54000000004</v>
      </c>
      <c r="AU1378" s="29">
        <f t="shared" si="932"/>
        <v>0</v>
      </c>
      <c r="AV1378" s="29">
        <f t="shared" si="933"/>
        <v>-48244.789999999994</v>
      </c>
      <c r="AW1378" s="29"/>
      <c r="AX1378" s="29">
        <f t="shared" si="934"/>
        <v>-1753329.1100000003</v>
      </c>
      <c r="AY1378" s="29">
        <f t="shared" si="1001"/>
        <v>9300000</v>
      </c>
      <c r="AZ1378" s="29">
        <f t="shared" si="1002"/>
        <v>7546670.8899999997</v>
      </c>
    </row>
    <row r="1379" spans="2:52" x14ac:dyDescent="0.3">
      <c r="B1379" s="99">
        <f t="shared" si="1003"/>
        <v>46094</v>
      </c>
      <c r="C1379" s="44">
        <f t="shared" si="989"/>
        <v>-1793372.609999998</v>
      </c>
      <c r="D1379" s="38"/>
      <c r="E1379" s="38">
        <v>597000</v>
      </c>
      <c r="F1379" s="38">
        <v>-44141.1</v>
      </c>
      <c r="G1379" s="45">
        <f t="shared" si="990"/>
        <v>-1240513.7099999981</v>
      </c>
      <c r="H1379" s="44">
        <v>4300000</v>
      </c>
      <c r="I1379" s="46">
        <f t="shared" si="991"/>
        <v>37941.859999998749</v>
      </c>
      <c r="J1379" s="38">
        <f>4714.6+3863.07+8119.69+35726.79+118547.93+83979.89+8119.73</f>
        <v>263071.69999999995</v>
      </c>
      <c r="K1379" s="38">
        <v>-200000</v>
      </c>
      <c r="L1379" s="38">
        <v>-87392.89</v>
      </c>
      <c r="M1379" s="47">
        <f t="shared" si="992"/>
        <v>13620.669999998718</v>
      </c>
      <c r="N1379" s="46">
        <v>5000000</v>
      </c>
      <c r="O1379" s="48">
        <f t="shared" si="993"/>
        <v>881.05999999929918</v>
      </c>
      <c r="P1379" s="38">
        <f>281387.34+115131.6</f>
        <v>396518.94000000006</v>
      </c>
      <c r="Q1379" s="38">
        <v>-397000</v>
      </c>
      <c r="R1379" s="38">
        <v>-10</v>
      </c>
      <c r="S1379" s="55">
        <f t="shared" si="994"/>
        <v>389.99999999935972</v>
      </c>
      <c r="T1379" s="48"/>
      <c r="U1379" s="49">
        <f t="shared" si="995"/>
        <v>84.399999999487775</v>
      </c>
      <c r="V1379" s="38"/>
      <c r="W1379" s="38"/>
      <c r="X1379" s="38"/>
      <c r="Y1379" s="51">
        <f t="shared" si="996"/>
        <v>84.399999999487775</v>
      </c>
      <c r="Z1379" s="52"/>
      <c r="AA1379" s="53">
        <f t="shared" si="997"/>
        <v>-7.6977357821306214E-10</v>
      </c>
      <c r="AB1379" s="38"/>
      <c r="AC1379" s="38"/>
      <c r="AD1379" s="38"/>
      <c r="AE1379" s="54">
        <f t="shared" si="998"/>
        <v>-7.6977357821306214E-10</v>
      </c>
      <c r="AF1379" s="53"/>
      <c r="AG1379" s="53">
        <f t="shared" si="999"/>
        <v>854.62000000076364</v>
      </c>
      <c r="AH1379" s="38"/>
      <c r="AI1379" s="38"/>
      <c r="AJ1379" s="38"/>
      <c r="AK1379" s="54">
        <f t="shared" si="1000"/>
        <v>854.62000000076364</v>
      </c>
      <c r="AL1379" s="53"/>
      <c r="AM1379" s="53">
        <f t="shared" si="951"/>
        <v>281.55999999999949</v>
      </c>
      <c r="AN1379" s="38"/>
      <c r="AO1379" s="38"/>
      <c r="AP1379" s="38"/>
      <c r="AQ1379" s="54">
        <f t="shared" si="966"/>
        <v>281.55999999999949</v>
      </c>
      <c r="AR1379" s="53"/>
      <c r="AS1379" s="29">
        <f t="shared" si="930"/>
        <v>-1753329.1100000003</v>
      </c>
      <c r="AT1379" s="29">
        <f t="shared" si="931"/>
        <v>659590.64</v>
      </c>
      <c r="AU1379" s="29">
        <f t="shared" si="932"/>
        <v>0</v>
      </c>
      <c r="AV1379" s="29">
        <f t="shared" si="933"/>
        <v>-131543.99</v>
      </c>
      <c r="AW1379" s="29"/>
      <c r="AX1379" s="29">
        <f t="shared" si="934"/>
        <v>-1225282.4600000004</v>
      </c>
      <c r="AY1379" s="29">
        <f t="shared" si="1001"/>
        <v>9300000</v>
      </c>
      <c r="AZ1379" s="29">
        <f t="shared" si="1002"/>
        <v>8074717.5399999991</v>
      </c>
    </row>
    <row r="1380" spans="2:52" x14ac:dyDescent="0.3">
      <c r="B1380" s="99">
        <f>B1379+3</f>
        <v>46097</v>
      </c>
      <c r="C1380" s="44">
        <f t="shared" si="989"/>
        <v>-1240513.7099999981</v>
      </c>
      <c r="D1380" s="38">
        <f>80766.17+34177.53</f>
        <v>114943.7</v>
      </c>
      <c r="E1380" s="38">
        <v>-50000</v>
      </c>
      <c r="F1380" s="38">
        <v>-128254.62</v>
      </c>
      <c r="G1380" s="45">
        <f t="shared" si="990"/>
        <v>-1303824.629999998</v>
      </c>
      <c r="H1380" s="44">
        <v>4300000</v>
      </c>
      <c r="I1380" s="46">
        <f t="shared" si="991"/>
        <v>13620.669999998718</v>
      </c>
      <c r="J1380" s="38"/>
      <c r="K1380" s="38">
        <v>50000</v>
      </c>
      <c r="L1380" s="38">
        <f>-55.56-14771.64-1086.22-30324.35</f>
        <v>-46237.77</v>
      </c>
      <c r="M1380" s="47">
        <f t="shared" si="992"/>
        <v>17382.899999998721</v>
      </c>
      <c r="N1380" s="46">
        <v>5000000</v>
      </c>
      <c r="O1380" s="48">
        <f t="shared" si="993"/>
        <v>389.99999999935972</v>
      </c>
      <c r="P1380" s="38"/>
      <c r="Q1380" s="38"/>
      <c r="R1380" s="38"/>
      <c r="S1380" s="55">
        <f t="shared" si="994"/>
        <v>389.99999999935972</v>
      </c>
      <c r="T1380" s="48"/>
      <c r="U1380" s="49">
        <f t="shared" si="995"/>
        <v>84.399999999487775</v>
      </c>
      <c r="V1380" s="38"/>
      <c r="W1380" s="38"/>
      <c r="X1380" s="38"/>
      <c r="Y1380" s="51">
        <f t="shared" si="996"/>
        <v>84.399999999487775</v>
      </c>
      <c r="Z1380" s="52"/>
      <c r="AA1380" s="53">
        <f t="shared" si="997"/>
        <v>-7.6977357821306214E-10</v>
      </c>
      <c r="AB1380" s="38"/>
      <c r="AC1380" s="38"/>
      <c r="AD1380" s="38"/>
      <c r="AE1380" s="54">
        <f t="shared" si="998"/>
        <v>-7.6977357821306214E-10</v>
      </c>
      <c r="AF1380" s="53"/>
      <c r="AG1380" s="53">
        <f t="shared" si="999"/>
        <v>854.62000000076364</v>
      </c>
      <c r="AH1380" s="38"/>
      <c r="AI1380" s="38"/>
      <c r="AJ1380" s="38"/>
      <c r="AK1380" s="54">
        <f t="shared" si="1000"/>
        <v>854.62000000076364</v>
      </c>
      <c r="AL1380" s="53"/>
      <c r="AM1380" s="53">
        <f t="shared" si="951"/>
        <v>281.55999999999949</v>
      </c>
      <c r="AN1380" s="38"/>
      <c r="AO1380" s="38"/>
      <c r="AP1380" s="38"/>
      <c r="AQ1380" s="54">
        <f t="shared" si="966"/>
        <v>281.55999999999949</v>
      </c>
      <c r="AR1380" s="53"/>
      <c r="AS1380" s="29">
        <f t="shared" si="930"/>
        <v>-1225282.4600000004</v>
      </c>
      <c r="AT1380" s="29">
        <f t="shared" si="931"/>
        <v>114943.7</v>
      </c>
      <c r="AU1380" s="29">
        <f t="shared" si="932"/>
        <v>0</v>
      </c>
      <c r="AV1380" s="29">
        <f t="shared" si="933"/>
        <v>-174492.38999999998</v>
      </c>
      <c r="AW1380" s="29"/>
      <c r="AX1380" s="29">
        <f t="shared" si="934"/>
        <v>-1284831.1500000004</v>
      </c>
      <c r="AY1380" s="29">
        <f t="shared" si="1001"/>
        <v>9300000</v>
      </c>
      <c r="AZ1380" s="29">
        <f t="shared" si="1002"/>
        <v>8015168.8499999996</v>
      </c>
    </row>
    <row r="1381" spans="2:52" x14ac:dyDescent="0.3">
      <c r="B1381" s="99">
        <f t="shared" ref="B1381:B1384" si="1004">B1380+1</f>
        <v>46098</v>
      </c>
      <c r="C1381" s="44">
        <f t="shared" si="989"/>
        <v>-1303824.629999998</v>
      </c>
      <c r="D1381" s="38">
        <v>81528.91</v>
      </c>
      <c r="E1381" s="38">
        <v>631000</v>
      </c>
      <c r="F1381" s="38">
        <v>-255382.01</v>
      </c>
      <c r="G1381" s="45">
        <f t="shared" si="990"/>
        <v>-846677.72999999812</v>
      </c>
      <c r="H1381" s="44">
        <v>4300000</v>
      </c>
      <c r="I1381" s="46">
        <f t="shared" si="991"/>
        <v>17382.899999998721</v>
      </c>
      <c r="J1381" s="38">
        <f>146000+44000+10000+300791.27</f>
        <v>500791.27</v>
      </c>
      <c r="K1381" s="38">
        <v>-500000</v>
      </c>
      <c r="L1381" s="38">
        <f>-474.24*4</f>
        <v>-1896.96</v>
      </c>
      <c r="M1381" s="47">
        <f t="shared" si="992"/>
        <v>16277.209999998762</v>
      </c>
      <c r="N1381" s="46">
        <v>5000000</v>
      </c>
      <c r="O1381" s="48">
        <f t="shared" si="993"/>
        <v>389.99999999935972</v>
      </c>
      <c r="P1381" s="38">
        <v>131385.72</v>
      </c>
      <c r="Q1381" s="38">
        <v>-131000</v>
      </c>
      <c r="R1381" s="38">
        <v>-10</v>
      </c>
      <c r="S1381" s="55">
        <f t="shared" si="994"/>
        <v>765.71999999936088</v>
      </c>
      <c r="T1381" s="48"/>
      <c r="U1381" s="49">
        <f t="shared" si="995"/>
        <v>84.399999999487775</v>
      </c>
      <c r="V1381" s="38"/>
      <c r="W1381" s="38"/>
      <c r="X1381" s="38"/>
      <c r="Y1381" s="51">
        <f t="shared" si="996"/>
        <v>84.399999999487775</v>
      </c>
      <c r="Z1381" s="52"/>
      <c r="AA1381" s="53">
        <f t="shared" si="997"/>
        <v>-7.6977357821306214E-10</v>
      </c>
      <c r="AB1381" s="38"/>
      <c r="AC1381" s="38"/>
      <c r="AD1381" s="38"/>
      <c r="AE1381" s="54">
        <f t="shared" si="998"/>
        <v>-7.6977357821306214E-10</v>
      </c>
      <c r="AF1381" s="53"/>
      <c r="AG1381" s="53">
        <f t="shared" si="999"/>
        <v>854.62000000076364</v>
      </c>
      <c r="AH1381" s="38"/>
      <c r="AI1381" s="38"/>
      <c r="AJ1381" s="38"/>
      <c r="AK1381" s="54">
        <f t="shared" si="1000"/>
        <v>854.62000000076364</v>
      </c>
      <c r="AL1381" s="53"/>
      <c r="AM1381" s="53">
        <f t="shared" si="951"/>
        <v>281.55999999999949</v>
      </c>
      <c r="AN1381" s="38"/>
      <c r="AO1381" s="38"/>
      <c r="AP1381" s="38"/>
      <c r="AQ1381" s="54">
        <f t="shared" si="966"/>
        <v>281.55999999999949</v>
      </c>
      <c r="AR1381" s="53"/>
      <c r="AS1381" s="29">
        <f t="shared" si="930"/>
        <v>-1284831.1500000004</v>
      </c>
      <c r="AT1381" s="29">
        <f t="shared" si="931"/>
        <v>713705.9</v>
      </c>
      <c r="AU1381" s="29">
        <f t="shared" si="932"/>
        <v>0</v>
      </c>
      <c r="AV1381" s="29">
        <f t="shared" si="933"/>
        <v>-257288.97</v>
      </c>
      <c r="AW1381" s="29"/>
      <c r="AX1381" s="29">
        <f t="shared" si="934"/>
        <v>-828414.22000000044</v>
      </c>
      <c r="AY1381" s="29">
        <f t="shared" si="1001"/>
        <v>9300000</v>
      </c>
      <c r="AZ1381" s="29">
        <f t="shared" si="1002"/>
        <v>8471585.7799999993</v>
      </c>
    </row>
    <row r="1382" spans="2:52" x14ac:dyDescent="0.3">
      <c r="B1382" s="99">
        <f t="shared" si="1004"/>
        <v>46099</v>
      </c>
      <c r="C1382" s="44">
        <f t="shared" si="989"/>
        <v>-846677.72999999812</v>
      </c>
      <c r="D1382" s="38"/>
      <c r="E1382" s="38">
        <f>151000-990000</f>
        <v>-839000</v>
      </c>
      <c r="F1382" s="38">
        <v>-35091.279999999999</v>
      </c>
      <c r="G1382" s="45">
        <f t="shared" si="990"/>
        <v>-1720769.0099999981</v>
      </c>
      <c r="H1382" s="44">
        <v>4300000</v>
      </c>
      <c r="I1382" s="46">
        <f t="shared" si="991"/>
        <v>16277.209999998762</v>
      </c>
      <c r="J1382" s="38"/>
      <c r="K1382" s="38">
        <v>990000</v>
      </c>
      <c r="L1382" s="38">
        <v>-994380.13</v>
      </c>
      <c r="M1382" s="47">
        <f t="shared" si="992"/>
        <v>11897.079999998794</v>
      </c>
      <c r="N1382" s="46">
        <v>5000000</v>
      </c>
      <c r="O1382" s="48">
        <f t="shared" si="993"/>
        <v>765.71999999936088</v>
      </c>
      <c r="P1382" s="38">
        <v>151292.24</v>
      </c>
      <c r="Q1382" s="38">
        <v>-151000</v>
      </c>
      <c r="R1382" s="38">
        <v>-10</v>
      </c>
      <c r="S1382" s="55">
        <f t="shared" si="994"/>
        <v>1047.9599999993516</v>
      </c>
      <c r="T1382" s="48"/>
      <c r="U1382" s="49">
        <f t="shared" si="995"/>
        <v>84.399999999487775</v>
      </c>
      <c r="V1382" s="38"/>
      <c r="W1382" s="38"/>
      <c r="X1382" s="38"/>
      <c r="Y1382" s="51">
        <f t="shared" si="996"/>
        <v>84.399999999487775</v>
      </c>
      <c r="Z1382" s="52"/>
      <c r="AA1382" s="53">
        <f t="shared" si="997"/>
        <v>-7.6977357821306214E-10</v>
      </c>
      <c r="AB1382" s="38"/>
      <c r="AC1382" s="38"/>
      <c r="AD1382" s="38"/>
      <c r="AE1382" s="54">
        <f t="shared" si="998"/>
        <v>-7.6977357821306214E-10</v>
      </c>
      <c r="AF1382" s="53"/>
      <c r="AG1382" s="53">
        <f t="shared" si="999"/>
        <v>854.62000000076364</v>
      </c>
      <c r="AH1382" s="38"/>
      <c r="AI1382" s="38"/>
      <c r="AJ1382" s="38"/>
      <c r="AK1382" s="54">
        <f t="shared" si="1000"/>
        <v>854.62000000076364</v>
      </c>
      <c r="AL1382" s="53"/>
      <c r="AM1382" s="53">
        <f t="shared" si="951"/>
        <v>281.55999999999949</v>
      </c>
      <c r="AN1382" s="38"/>
      <c r="AO1382" s="38"/>
      <c r="AP1382" s="38"/>
      <c r="AQ1382" s="54">
        <f t="shared" si="966"/>
        <v>281.55999999999949</v>
      </c>
      <c r="AR1382" s="53"/>
      <c r="AS1382" s="29">
        <f t="shared" si="930"/>
        <v>-828414.22000000044</v>
      </c>
      <c r="AT1382" s="29">
        <f t="shared" si="931"/>
        <v>151292.24</v>
      </c>
      <c r="AU1382" s="29">
        <f t="shared" si="932"/>
        <v>0</v>
      </c>
      <c r="AV1382" s="29">
        <f t="shared" si="933"/>
        <v>-1029481.41</v>
      </c>
      <c r="AW1382" s="29"/>
      <c r="AX1382" s="29">
        <f t="shared" si="934"/>
        <v>-1706603.3900000004</v>
      </c>
      <c r="AY1382" s="29">
        <f t="shared" si="1001"/>
        <v>9300000</v>
      </c>
      <c r="AZ1382" s="29">
        <f t="shared" si="1002"/>
        <v>7593396.6099999994</v>
      </c>
    </row>
    <row r="1383" spans="2:52" x14ac:dyDescent="0.3">
      <c r="B1383" s="99">
        <f t="shared" si="1004"/>
        <v>46100</v>
      </c>
      <c r="C1383" s="44">
        <f t="shared" si="989"/>
        <v>-1720769.0099999981</v>
      </c>
      <c r="D1383" s="38"/>
      <c r="E1383" s="38">
        <v>1232100</v>
      </c>
      <c r="F1383" s="38">
        <v>-3248720.5</v>
      </c>
      <c r="G1383" s="45">
        <f t="shared" si="990"/>
        <v>-3737389.5099999979</v>
      </c>
      <c r="H1383" s="44">
        <v>4300000</v>
      </c>
      <c r="I1383" s="46">
        <f t="shared" si="991"/>
        <v>11897.079999998794</v>
      </c>
      <c r="J1383" s="38">
        <f>419358.1+28723.16+57582.27</f>
        <v>505663.52999999997</v>
      </c>
      <c r="K1383" s="38">
        <v>61000</v>
      </c>
      <c r="L1383" s="38">
        <v>-129.80000000000001</v>
      </c>
      <c r="M1383" s="47">
        <f t="shared" si="992"/>
        <v>578430.80999999866</v>
      </c>
      <c r="N1383" s="46">
        <v>5000000</v>
      </c>
      <c r="O1383" s="48">
        <f t="shared" si="993"/>
        <v>1047.9599999993516</v>
      </c>
      <c r="P1383" s="38">
        <f>281387.34+950729.47</f>
        <v>1232116.81</v>
      </c>
      <c r="Q1383" s="38">
        <v>-1232100</v>
      </c>
      <c r="R1383" s="38">
        <v>-10</v>
      </c>
      <c r="S1383" s="55">
        <f t="shared" si="994"/>
        <v>1054.7699999993201</v>
      </c>
      <c r="T1383" s="48"/>
      <c r="U1383" s="49">
        <f t="shared" si="995"/>
        <v>84.399999999487775</v>
      </c>
      <c r="V1383" s="38"/>
      <c r="W1383" s="38"/>
      <c r="X1383" s="38"/>
      <c r="Y1383" s="51">
        <f t="shared" si="996"/>
        <v>84.399999999487775</v>
      </c>
      <c r="Z1383" s="52"/>
      <c r="AA1383" s="53">
        <f t="shared" si="997"/>
        <v>-7.6977357821306214E-10</v>
      </c>
      <c r="AB1383" s="38"/>
      <c r="AC1383" s="38"/>
      <c r="AD1383" s="38"/>
      <c r="AE1383" s="54">
        <f t="shared" si="998"/>
        <v>-7.6977357821306214E-10</v>
      </c>
      <c r="AF1383" s="53"/>
      <c r="AG1383" s="53">
        <f t="shared" si="999"/>
        <v>854.62000000076364</v>
      </c>
      <c r="AH1383" s="38">
        <v>61975.7</v>
      </c>
      <c r="AI1383" s="38">
        <v>-61000</v>
      </c>
      <c r="AJ1383" s="38"/>
      <c r="AK1383" s="54">
        <f t="shared" si="1000"/>
        <v>1830.3200000007637</v>
      </c>
      <c r="AL1383" s="53"/>
      <c r="AM1383" s="53">
        <f t="shared" si="951"/>
        <v>281.55999999999949</v>
      </c>
      <c r="AN1383" s="38"/>
      <c r="AO1383" s="38"/>
      <c r="AP1383" s="38"/>
      <c r="AQ1383" s="54">
        <f t="shared" si="966"/>
        <v>281.55999999999949</v>
      </c>
      <c r="AR1383" s="53"/>
      <c r="AS1383" s="29">
        <f t="shared" si="930"/>
        <v>-1706603.3900000004</v>
      </c>
      <c r="AT1383" s="29">
        <f t="shared" si="931"/>
        <v>1799756.04</v>
      </c>
      <c r="AU1383" s="29">
        <f t="shared" si="932"/>
        <v>0</v>
      </c>
      <c r="AV1383" s="29">
        <f t="shared" si="933"/>
        <v>-3248860.3</v>
      </c>
      <c r="AW1383" s="29"/>
      <c r="AX1383" s="29">
        <f t="shared" si="934"/>
        <v>-3155707.6500000004</v>
      </c>
      <c r="AY1383" s="29">
        <f t="shared" si="1001"/>
        <v>9300000</v>
      </c>
      <c r="AZ1383" s="29">
        <f t="shared" si="1002"/>
        <v>6144292.3499999996</v>
      </c>
    </row>
    <row r="1384" spans="2:52" x14ac:dyDescent="0.3">
      <c r="B1384" s="99">
        <f t="shared" si="1004"/>
        <v>46101</v>
      </c>
      <c r="C1384" s="44">
        <f t="shared" si="989"/>
        <v>-3737389.5099999979</v>
      </c>
      <c r="D1384" s="38">
        <v>111993.45</v>
      </c>
      <c r="E1384" s="38">
        <v>320000</v>
      </c>
      <c r="F1384" s="38">
        <v>-981871.33</v>
      </c>
      <c r="G1384" s="45">
        <f t="shared" si="990"/>
        <v>-4287267.3899999978</v>
      </c>
      <c r="H1384" s="44">
        <v>4300000</v>
      </c>
      <c r="I1384" s="46">
        <f t="shared" si="991"/>
        <v>578430.80999999866</v>
      </c>
      <c r="J1384" s="38"/>
      <c r="K1384" s="38">
        <v>-320000</v>
      </c>
      <c r="L1384" s="38">
        <v>-224654.81000000006</v>
      </c>
      <c r="M1384" s="47">
        <f t="shared" si="992"/>
        <v>33775.999999998603</v>
      </c>
      <c r="N1384" s="46">
        <v>5000000</v>
      </c>
      <c r="O1384" s="48">
        <f t="shared" si="993"/>
        <v>1054.7699999993201</v>
      </c>
      <c r="P1384" s="38"/>
      <c r="Q1384" s="38"/>
      <c r="R1384" s="38">
        <v>-480</v>
      </c>
      <c r="S1384" s="55">
        <f t="shared" si="994"/>
        <v>574.76999999932013</v>
      </c>
      <c r="T1384" s="48"/>
      <c r="U1384" s="49">
        <f t="shared" si="995"/>
        <v>84.399999999487775</v>
      </c>
      <c r="V1384" s="38"/>
      <c r="W1384" s="38"/>
      <c r="X1384" s="38"/>
      <c r="Y1384" s="51">
        <f t="shared" si="996"/>
        <v>84.399999999487775</v>
      </c>
      <c r="Z1384" s="52"/>
      <c r="AA1384" s="53">
        <f t="shared" si="997"/>
        <v>-7.6977357821306214E-10</v>
      </c>
      <c r="AB1384" s="38"/>
      <c r="AC1384" s="38"/>
      <c r="AD1384" s="38"/>
      <c r="AE1384" s="54">
        <f t="shared" si="998"/>
        <v>-7.6977357821306214E-10</v>
      </c>
      <c r="AF1384" s="53"/>
      <c r="AG1384" s="53">
        <f t="shared" si="999"/>
        <v>1830.3200000007637</v>
      </c>
      <c r="AH1384" s="38"/>
      <c r="AI1384" s="38"/>
      <c r="AJ1384" s="38">
        <v>-0.14000000000000001</v>
      </c>
      <c r="AK1384" s="54">
        <f t="shared" si="1000"/>
        <v>1830.1800000007636</v>
      </c>
      <c r="AL1384" s="53"/>
      <c r="AM1384" s="53">
        <f t="shared" si="951"/>
        <v>281.55999999999949</v>
      </c>
      <c r="AN1384" s="38"/>
      <c r="AO1384" s="38"/>
      <c r="AP1384" s="38"/>
      <c r="AQ1384" s="54">
        <f t="shared" si="966"/>
        <v>281.55999999999949</v>
      </c>
      <c r="AR1384" s="53"/>
      <c r="AS1384" s="29">
        <f t="shared" si="930"/>
        <v>-3155707.6500000004</v>
      </c>
      <c r="AT1384" s="29">
        <f t="shared" si="931"/>
        <v>111993.45</v>
      </c>
      <c r="AU1384" s="29">
        <f t="shared" si="932"/>
        <v>0</v>
      </c>
      <c r="AV1384" s="29">
        <f t="shared" si="933"/>
        <v>-1207006.28</v>
      </c>
      <c r="AW1384" s="29"/>
      <c r="AX1384" s="29">
        <f t="shared" si="934"/>
        <v>-4250720.4800000004</v>
      </c>
      <c r="AY1384" s="29">
        <f t="shared" si="1001"/>
        <v>9300000</v>
      </c>
      <c r="AZ1384" s="29">
        <f t="shared" si="1002"/>
        <v>5049279.5199999996</v>
      </c>
    </row>
    <row r="1385" spans="2:52" x14ac:dyDescent="0.3">
      <c r="B1385" s="99">
        <f>B1384+3</f>
        <v>46104</v>
      </c>
      <c r="C1385" s="44">
        <f t="shared" si="989"/>
        <v>-4287267.3899999978</v>
      </c>
      <c r="D1385" s="38"/>
      <c r="E1385" s="38"/>
      <c r="F1385" s="38">
        <v>-519</v>
      </c>
      <c r="G1385" s="45">
        <f t="shared" si="990"/>
        <v>-4287786.3899999978</v>
      </c>
      <c r="H1385" s="44">
        <v>4300000</v>
      </c>
      <c r="I1385" s="46">
        <f t="shared" si="991"/>
        <v>33775.999999998603</v>
      </c>
      <c r="J1385" s="38"/>
      <c r="K1385" s="38"/>
      <c r="L1385" s="38">
        <v>-22316.53</v>
      </c>
      <c r="M1385" s="47">
        <f t="shared" si="992"/>
        <v>11459.469999998604</v>
      </c>
      <c r="N1385" s="46">
        <v>5000000</v>
      </c>
      <c r="O1385" s="48">
        <f t="shared" si="993"/>
        <v>574.76999999932013</v>
      </c>
      <c r="P1385" s="38"/>
      <c r="Q1385" s="38"/>
      <c r="R1385" s="38"/>
      <c r="S1385" s="55">
        <f t="shared" si="994"/>
        <v>574.76999999932013</v>
      </c>
      <c r="T1385" s="48"/>
      <c r="U1385" s="49">
        <f t="shared" si="995"/>
        <v>84.399999999487775</v>
      </c>
      <c r="V1385" s="38"/>
      <c r="W1385" s="38"/>
      <c r="X1385" s="38"/>
      <c r="Y1385" s="51">
        <f t="shared" si="996"/>
        <v>84.399999999487775</v>
      </c>
      <c r="Z1385" s="52"/>
      <c r="AA1385" s="53">
        <f t="shared" si="997"/>
        <v>-7.6977357821306214E-10</v>
      </c>
      <c r="AB1385" s="38"/>
      <c r="AC1385" s="38"/>
      <c r="AD1385" s="38"/>
      <c r="AE1385" s="54">
        <f t="shared" si="998"/>
        <v>-7.6977357821306214E-10</v>
      </c>
      <c r="AF1385" s="53"/>
      <c r="AG1385" s="53">
        <f t="shared" si="999"/>
        <v>1830.1800000007636</v>
      </c>
      <c r="AH1385" s="38"/>
      <c r="AI1385" s="38"/>
      <c r="AJ1385" s="38"/>
      <c r="AK1385" s="54">
        <f t="shared" si="1000"/>
        <v>1830.1800000007636</v>
      </c>
      <c r="AL1385" s="53"/>
      <c r="AM1385" s="53">
        <f t="shared" si="951"/>
        <v>281.55999999999949</v>
      </c>
      <c r="AN1385" s="38"/>
      <c r="AO1385" s="38"/>
      <c r="AP1385" s="38"/>
      <c r="AQ1385" s="54">
        <f t="shared" si="966"/>
        <v>281.55999999999949</v>
      </c>
      <c r="AR1385" s="53"/>
      <c r="AS1385" s="29">
        <f t="shared" si="930"/>
        <v>-4250720.4800000004</v>
      </c>
      <c r="AT1385" s="29">
        <f t="shared" si="931"/>
        <v>0</v>
      </c>
      <c r="AU1385" s="29">
        <f t="shared" si="932"/>
        <v>0</v>
      </c>
      <c r="AV1385" s="29">
        <f t="shared" si="933"/>
        <v>-22835.53</v>
      </c>
      <c r="AW1385" s="29"/>
      <c r="AX1385" s="29">
        <f t="shared" si="934"/>
        <v>-4273556.0100000007</v>
      </c>
      <c r="AY1385" s="29">
        <f t="shared" si="1001"/>
        <v>9300000</v>
      </c>
      <c r="AZ1385" s="29">
        <f t="shared" si="1002"/>
        <v>5026443.9899999993</v>
      </c>
    </row>
    <row r="1386" spans="2:52" x14ac:dyDescent="0.3">
      <c r="B1386" s="99">
        <f t="shared" ref="B1386:B1389" si="1005">B1385+1</f>
        <v>46105</v>
      </c>
      <c r="C1386" s="44">
        <f t="shared" si="989"/>
        <v>-4287786.3899999978</v>
      </c>
      <c r="D1386" s="38">
        <v>653551.79</v>
      </c>
      <c r="E1386" s="38"/>
      <c r="F1386" s="38">
        <v>-0.21</v>
      </c>
      <c r="G1386" s="45">
        <f t="shared" si="990"/>
        <v>-3634234.8099999977</v>
      </c>
      <c r="H1386" s="44">
        <v>4300000</v>
      </c>
      <c r="I1386" s="46">
        <f t="shared" si="991"/>
        <v>11459.469999998604</v>
      </c>
      <c r="J1386" s="38"/>
      <c r="K1386" s="38">
        <f>229000+31000</f>
        <v>260000</v>
      </c>
      <c r="L1386" s="38">
        <f>-259-59-400</f>
        <v>-718</v>
      </c>
      <c r="M1386" s="47">
        <f t="shared" si="992"/>
        <v>270741.46999999858</v>
      </c>
      <c r="N1386" s="46">
        <v>5000000</v>
      </c>
      <c r="O1386" s="48">
        <f t="shared" si="993"/>
        <v>574.76999999932013</v>
      </c>
      <c r="P1386" s="38">
        <v>229440.92</v>
      </c>
      <c r="Q1386" s="38">
        <v>-229000</v>
      </c>
      <c r="R1386" s="38">
        <v>-10</v>
      </c>
      <c r="S1386" s="55">
        <f t="shared" si="994"/>
        <v>1005.6899999993329</v>
      </c>
      <c r="T1386" s="48"/>
      <c r="U1386" s="49">
        <f t="shared" si="995"/>
        <v>84.399999999487775</v>
      </c>
      <c r="V1386" s="38"/>
      <c r="W1386" s="38"/>
      <c r="X1386" s="38"/>
      <c r="Y1386" s="51">
        <f t="shared" si="996"/>
        <v>84.399999999487775</v>
      </c>
      <c r="Z1386" s="52"/>
      <c r="AA1386" s="53">
        <f t="shared" si="997"/>
        <v>-7.6977357821306214E-10</v>
      </c>
      <c r="AB1386" s="38"/>
      <c r="AC1386" s="38"/>
      <c r="AD1386" s="38"/>
      <c r="AE1386" s="54">
        <f t="shared" si="998"/>
        <v>-7.6977357821306214E-10</v>
      </c>
      <c r="AF1386" s="53"/>
      <c r="AG1386" s="53">
        <f t="shared" si="999"/>
        <v>1830.1800000007636</v>
      </c>
      <c r="AH1386" s="38">
        <v>30187.79</v>
      </c>
      <c r="AI1386" s="38">
        <v>-31000</v>
      </c>
      <c r="AJ1386" s="38"/>
      <c r="AK1386" s="54">
        <f t="shared" si="1000"/>
        <v>1017.9700000007651</v>
      </c>
      <c r="AL1386" s="53"/>
      <c r="AM1386" s="53">
        <f t="shared" si="951"/>
        <v>281.55999999999949</v>
      </c>
      <c r="AN1386" s="38"/>
      <c r="AO1386" s="38"/>
      <c r="AP1386" s="38"/>
      <c r="AQ1386" s="54">
        <f t="shared" si="966"/>
        <v>281.55999999999949</v>
      </c>
      <c r="AR1386" s="53"/>
      <c r="AS1386" s="29">
        <f t="shared" si="930"/>
        <v>-4273556.0100000007</v>
      </c>
      <c r="AT1386" s="29">
        <f t="shared" si="931"/>
        <v>913180.50000000012</v>
      </c>
      <c r="AU1386" s="29">
        <f t="shared" si="932"/>
        <v>0</v>
      </c>
      <c r="AV1386" s="29">
        <f t="shared" si="933"/>
        <v>-728.21</v>
      </c>
      <c r="AW1386" s="29"/>
      <c r="AX1386" s="29">
        <f t="shared" si="934"/>
        <v>-3361103.72</v>
      </c>
      <c r="AY1386" s="29">
        <f t="shared" si="1001"/>
        <v>9300000</v>
      </c>
      <c r="AZ1386" s="29">
        <f t="shared" si="1002"/>
        <v>5938896.2799999993</v>
      </c>
    </row>
    <row r="1387" spans="2:52" x14ac:dyDescent="0.3">
      <c r="B1387" s="99">
        <f t="shared" si="1005"/>
        <v>46106</v>
      </c>
      <c r="C1387" s="44">
        <f t="shared" si="989"/>
        <v>-3634234.8099999977</v>
      </c>
      <c r="D1387" s="38">
        <f>236379.21+21153.79+30068.6+232429.26</f>
        <v>520030.86</v>
      </c>
      <c r="E1387" s="38">
        <v>1438000</v>
      </c>
      <c r="F1387" s="38">
        <f>-116148.58-17407.43</f>
        <v>-133556.01</v>
      </c>
      <c r="G1387" s="45">
        <f t="shared" si="990"/>
        <v>-1809759.9599999979</v>
      </c>
      <c r="H1387" s="44">
        <v>4300000</v>
      </c>
      <c r="I1387" s="46">
        <f t="shared" si="991"/>
        <v>270741.46999999858</v>
      </c>
      <c r="J1387" s="38">
        <v>10242.790000000001</v>
      </c>
      <c r="K1387" s="38"/>
      <c r="L1387" s="38">
        <v>-134657.54</v>
      </c>
      <c r="M1387" s="47">
        <f t="shared" si="992"/>
        <v>146326.71999999855</v>
      </c>
      <c r="N1387" s="46">
        <v>5000000</v>
      </c>
      <c r="O1387" s="48">
        <f t="shared" si="993"/>
        <v>1005.6899999993329</v>
      </c>
      <c r="P1387" s="38">
        <f>643989.53+419954.02+87689.66+292321.34</f>
        <v>1443954.55</v>
      </c>
      <c r="Q1387" s="38">
        <v>-1438000</v>
      </c>
      <c r="R1387" s="38">
        <f>-149.2-6226.07</f>
        <v>-6375.2699999999995</v>
      </c>
      <c r="S1387" s="55">
        <f t="shared" si="994"/>
        <v>584.96999999929267</v>
      </c>
      <c r="T1387" s="48"/>
      <c r="U1387" s="49">
        <f t="shared" si="995"/>
        <v>84.399999999487775</v>
      </c>
      <c r="V1387" s="38"/>
      <c r="W1387" s="38"/>
      <c r="X1387" s="38"/>
      <c r="Y1387" s="51">
        <f t="shared" si="996"/>
        <v>84.399999999487775</v>
      </c>
      <c r="Z1387" s="52"/>
      <c r="AA1387" s="53">
        <f t="shared" si="997"/>
        <v>-7.6977357821306214E-10</v>
      </c>
      <c r="AB1387" s="38"/>
      <c r="AC1387" s="38"/>
      <c r="AD1387" s="38"/>
      <c r="AE1387" s="54">
        <f t="shared" si="998"/>
        <v>-7.6977357821306214E-10</v>
      </c>
      <c r="AF1387" s="53"/>
      <c r="AG1387" s="53">
        <f t="shared" si="999"/>
        <v>1017.9700000007651</v>
      </c>
      <c r="AH1387" s="38"/>
      <c r="AI1387" s="38"/>
      <c r="AJ1387" s="38">
        <v>-9.9</v>
      </c>
      <c r="AK1387" s="54">
        <f t="shared" si="1000"/>
        <v>1008.0700000007652</v>
      </c>
      <c r="AL1387" s="53"/>
      <c r="AM1387" s="53">
        <f t="shared" si="951"/>
        <v>281.55999999999949</v>
      </c>
      <c r="AN1387" s="38"/>
      <c r="AO1387" s="38"/>
      <c r="AP1387" s="38"/>
      <c r="AQ1387" s="54">
        <f t="shared" si="966"/>
        <v>281.55999999999949</v>
      </c>
      <c r="AR1387" s="53"/>
      <c r="AS1387" s="29">
        <f t="shared" si="930"/>
        <v>-3361103.72</v>
      </c>
      <c r="AT1387" s="29">
        <f t="shared" si="931"/>
        <v>1974228.2000000002</v>
      </c>
      <c r="AU1387" s="29">
        <f t="shared" si="932"/>
        <v>0</v>
      </c>
      <c r="AV1387" s="29">
        <f t="shared" si="933"/>
        <v>-274598.72000000009</v>
      </c>
      <c r="AW1387" s="29"/>
      <c r="AX1387" s="29">
        <f t="shared" si="934"/>
        <v>-1661474.2400000005</v>
      </c>
      <c r="AY1387" s="29">
        <f t="shared" si="1001"/>
        <v>9300000</v>
      </c>
      <c r="AZ1387" s="29">
        <f t="shared" si="1002"/>
        <v>7638525.7599999998</v>
      </c>
    </row>
    <row r="1388" spans="2:52" x14ac:dyDescent="0.3">
      <c r="B1388" s="99">
        <f t="shared" si="1005"/>
        <v>46107</v>
      </c>
      <c r="C1388" s="44">
        <f t="shared" si="989"/>
        <v>-1809759.9599999979</v>
      </c>
      <c r="D1388" s="38">
        <v>298421.15000000002</v>
      </c>
      <c r="E1388" s="38"/>
      <c r="F1388" s="38">
        <v>-389617.64</v>
      </c>
      <c r="G1388" s="45">
        <f t="shared" si="990"/>
        <v>-1900956.4499999979</v>
      </c>
      <c r="H1388" s="44">
        <v>4300000</v>
      </c>
      <c r="I1388" s="46">
        <f t="shared" si="991"/>
        <v>146326.71999999855</v>
      </c>
      <c r="J1388" s="38"/>
      <c r="K1388" s="38">
        <v>331000</v>
      </c>
      <c r="L1388" s="38">
        <v>-96952.12</v>
      </c>
      <c r="M1388" s="47">
        <f t="shared" si="992"/>
        <v>380374.59999999858</v>
      </c>
      <c r="N1388" s="46">
        <v>5000000</v>
      </c>
      <c r="O1388" s="48">
        <f t="shared" si="993"/>
        <v>584.96999999929267</v>
      </c>
      <c r="P1388" s="38">
        <v>331158.67</v>
      </c>
      <c r="Q1388" s="38">
        <v>-331000</v>
      </c>
      <c r="R1388" s="38">
        <v>-10</v>
      </c>
      <c r="S1388" s="55">
        <f t="shared" si="994"/>
        <v>733.63999999925727</v>
      </c>
      <c r="T1388" s="48"/>
      <c r="U1388" s="49">
        <f t="shared" si="995"/>
        <v>84.399999999487775</v>
      </c>
      <c r="V1388" s="38"/>
      <c r="W1388" s="38"/>
      <c r="X1388" s="38"/>
      <c r="Y1388" s="51">
        <f t="shared" si="996"/>
        <v>84.399999999487775</v>
      </c>
      <c r="Z1388" s="52"/>
      <c r="AA1388" s="53">
        <f t="shared" si="997"/>
        <v>-7.6977357821306214E-10</v>
      </c>
      <c r="AB1388" s="38"/>
      <c r="AC1388" s="38"/>
      <c r="AD1388" s="38"/>
      <c r="AE1388" s="54">
        <f t="shared" si="998"/>
        <v>-7.6977357821306214E-10</v>
      </c>
      <c r="AF1388" s="53"/>
      <c r="AG1388" s="53">
        <f t="shared" si="999"/>
        <v>1008.0700000007652</v>
      </c>
      <c r="AH1388" s="38"/>
      <c r="AI1388" s="38"/>
      <c r="AJ1388" s="38"/>
      <c r="AK1388" s="54">
        <f t="shared" si="1000"/>
        <v>1008.0700000007652</v>
      </c>
      <c r="AL1388" s="53"/>
      <c r="AM1388" s="53">
        <f t="shared" si="951"/>
        <v>281.55999999999949</v>
      </c>
      <c r="AN1388" s="38"/>
      <c r="AO1388" s="38"/>
      <c r="AP1388" s="38"/>
      <c r="AQ1388" s="54">
        <f t="shared" si="966"/>
        <v>281.55999999999949</v>
      </c>
      <c r="AR1388" s="53"/>
      <c r="AS1388" s="29">
        <f t="shared" si="930"/>
        <v>-1661474.2400000005</v>
      </c>
      <c r="AT1388" s="29">
        <f t="shared" si="931"/>
        <v>629579.82000000007</v>
      </c>
      <c r="AU1388" s="29">
        <f t="shared" si="932"/>
        <v>0</v>
      </c>
      <c r="AV1388" s="29">
        <f t="shared" si="933"/>
        <v>-486579.76</v>
      </c>
      <c r="AW1388" s="29"/>
      <c r="AX1388" s="29">
        <f t="shared" si="934"/>
        <v>-1518474.1800000004</v>
      </c>
      <c r="AY1388" s="29">
        <f t="shared" si="1001"/>
        <v>9300000</v>
      </c>
      <c r="AZ1388" s="29">
        <f t="shared" si="1002"/>
        <v>7781525.8199999994</v>
      </c>
    </row>
    <row r="1389" spans="2:52" x14ac:dyDescent="0.3">
      <c r="B1389" s="99">
        <f t="shared" si="1005"/>
        <v>46108</v>
      </c>
      <c r="C1389" s="44">
        <f t="shared" si="989"/>
        <v>-1900956.4499999979</v>
      </c>
      <c r="D1389" s="38">
        <v>1251574.3999999999</v>
      </c>
      <c r="E1389" s="38">
        <v>780000</v>
      </c>
      <c r="F1389" s="38">
        <f>-838-424.8-406</f>
        <v>-1668.8</v>
      </c>
      <c r="G1389" s="45">
        <f t="shared" si="990"/>
        <v>128949.15000000205</v>
      </c>
      <c r="H1389" s="44">
        <v>4300000</v>
      </c>
      <c r="I1389" s="46">
        <f t="shared" si="991"/>
        <v>380374.59999999858</v>
      </c>
      <c r="J1389" s="38"/>
      <c r="K1389" s="38"/>
      <c r="L1389" s="38">
        <v>-290516.5</v>
      </c>
      <c r="M1389" s="47">
        <f t="shared" si="992"/>
        <v>89858.09999999858</v>
      </c>
      <c r="N1389" s="46">
        <v>5000000</v>
      </c>
      <c r="O1389" s="48">
        <f t="shared" si="993"/>
        <v>733.63999999925727</v>
      </c>
      <c r="P1389" s="38">
        <v>781587.88</v>
      </c>
      <c r="Q1389" s="38">
        <v>-780000</v>
      </c>
      <c r="R1389" s="38">
        <v>-10</v>
      </c>
      <c r="S1389" s="55">
        <f t="shared" si="994"/>
        <v>2311.5199999993201</v>
      </c>
      <c r="T1389" s="48"/>
      <c r="U1389" s="49">
        <f t="shared" si="995"/>
        <v>84.399999999487775</v>
      </c>
      <c r="V1389" s="38"/>
      <c r="W1389" s="38"/>
      <c r="X1389" s="38"/>
      <c r="Y1389" s="51">
        <f t="shared" si="996"/>
        <v>84.399999999487775</v>
      </c>
      <c r="Z1389" s="52"/>
      <c r="AA1389" s="53">
        <f t="shared" si="997"/>
        <v>-7.6977357821306214E-10</v>
      </c>
      <c r="AB1389" s="38"/>
      <c r="AC1389" s="38"/>
      <c r="AD1389" s="38"/>
      <c r="AE1389" s="54">
        <f t="shared" si="998"/>
        <v>-7.6977357821306214E-10</v>
      </c>
      <c r="AF1389" s="53"/>
      <c r="AG1389" s="53">
        <f t="shared" si="999"/>
        <v>1008.0700000007652</v>
      </c>
      <c r="AH1389" s="38"/>
      <c r="AI1389" s="38"/>
      <c r="AJ1389" s="38">
        <v>-150</v>
      </c>
      <c r="AK1389" s="54">
        <f t="shared" si="1000"/>
        <v>858.07000000076516</v>
      </c>
      <c r="AL1389" s="53"/>
      <c r="AM1389" s="53">
        <f t="shared" si="951"/>
        <v>281.55999999999949</v>
      </c>
      <c r="AN1389" s="38"/>
      <c r="AO1389" s="38"/>
      <c r="AP1389" s="38"/>
      <c r="AQ1389" s="54">
        <f t="shared" si="966"/>
        <v>281.55999999999949</v>
      </c>
      <c r="AR1389" s="53"/>
      <c r="AS1389" s="29">
        <f t="shared" si="930"/>
        <v>-1518474.1800000004</v>
      </c>
      <c r="AT1389" s="29">
        <f t="shared" si="931"/>
        <v>2033162.2799999998</v>
      </c>
      <c r="AU1389" s="29">
        <f t="shared" si="932"/>
        <v>0</v>
      </c>
      <c r="AV1389" s="29">
        <f t="shared" si="933"/>
        <v>-292345.3</v>
      </c>
      <c r="AW1389" s="29"/>
      <c r="AX1389" s="29">
        <f t="shared" si="934"/>
        <v>222342.79999999946</v>
      </c>
      <c r="AY1389" s="29">
        <f t="shared" si="1001"/>
        <v>9300000</v>
      </c>
      <c r="AZ1389" s="29">
        <f t="shared" si="1002"/>
        <v>9522342.7999999989</v>
      </c>
    </row>
    <row r="1390" spans="2:52" x14ac:dyDescent="0.3">
      <c r="B1390" s="99">
        <f>B1389+3</f>
        <v>46111</v>
      </c>
      <c r="C1390" s="44">
        <f t="shared" si="989"/>
        <v>128949.15000000205</v>
      </c>
      <c r="D1390" s="38">
        <v>336831.28</v>
      </c>
      <c r="E1390" s="38">
        <v>26000</v>
      </c>
      <c r="F1390" s="38">
        <v>-49.2</v>
      </c>
      <c r="G1390" s="45">
        <f t="shared" si="990"/>
        <v>491731.23000000208</v>
      </c>
      <c r="H1390" s="44">
        <v>4300000</v>
      </c>
      <c r="I1390" s="46">
        <f t="shared" si="991"/>
        <v>89858.09999999858</v>
      </c>
      <c r="J1390" s="38">
        <v>324119.93999999994</v>
      </c>
      <c r="K1390" s="38">
        <v>1594000</v>
      </c>
      <c r="L1390" s="38"/>
      <c r="M1390" s="47">
        <f t="shared" si="992"/>
        <v>2007978.0399999986</v>
      </c>
      <c r="N1390" s="46">
        <v>5000000</v>
      </c>
      <c r="O1390" s="48">
        <f t="shared" si="993"/>
        <v>2311.5199999993201</v>
      </c>
      <c r="P1390" s="38">
        <v>24438.54</v>
      </c>
      <c r="Q1390" s="38">
        <v>-26000</v>
      </c>
      <c r="R1390" s="38">
        <v>-10</v>
      </c>
      <c r="S1390" s="55">
        <f t="shared" si="994"/>
        <v>740.05999999932101</v>
      </c>
      <c r="T1390" s="48"/>
      <c r="U1390" s="49">
        <f t="shared" si="995"/>
        <v>84.399999999487775</v>
      </c>
      <c r="V1390" s="38"/>
      <c r="W1390" s="38"/>
      <c r="X1390" s="38"/>
      <c r="Y1390" s="51">
        <f t="shared" si="996"/>
        <v>84.399999999487775</v>
      </c>
      <c r="Z1390" s="52"/>
      <c r="AA1390" s="53">
        <f t="shared" si="997"/>
        <v>-7.6977357821306214E-10</v>
      </c>
      <c r="AB1390" s="38"/>
      <c r="AC1390" s="38"/>
      <c r="AD1390" s="38"/>
      <c r="AE1390" s="54">
        <f t="shared" si="998"/>
        <v>-7.6977357821306214E-10</v>
      </c>
      <c r="AF1390" s="53"/>
      <c r="AG1390" s="53">
        <f t="shared" si="999"/>
        <v>858.07000000076516</v>
      </c>
      <c r="AH1390" s="38">
        <f>226460.3+1594000</f>
        <v>1820460.3</v>
      </c>
      <c r="AI1390" s="38">
        <v>-1594000</v>
      </c>
      <c r="AJ1390" s="38"/>
      <c r="AK1390" s="54">
        <f t="shared" si="1000"/>
        <v>227318.37000000081</v>
      </c>
      <c r="AL1390" s="53"/>
      <c r="AM1390" s="53">
        <f t="shared" si="951"/>
        <v>281.55999999999949</v>
      </c>
      <c r="AN1390" s="38"/>
      <c r="AO1390" s="38"/>
      <c r="AP1390" s="38"/>
      <c r="AQ1390" s="54">
        <f t="shared" si="966"/>
        <v>281.55999999999949</v>
      </c>
      <c r="AR1390" s="53"/>
      <c r="AS1390" s="29">
        <f t="shared" ref="AS1390:AS1453" si="1006">SUM(C1390,I1390,O1390,U1390,AA1390,AG1390,AM1390)</f>
        <v>222342.79999999946</v>
      </c>
      <c r="AT1390" s="29">
        <f t="shared" ref="AT1390:AT1453" si="1007">SUM(D1390,J1390,P1390,V1390,AB1390,AH1390,AN1390)</f>
        <v>2505850.06</v>
      </c>
      <c r="AU1390" s="29">
        <f t="shared" ref="AU1390:AU1453" si="1008">SUM(E1390,K1390,Q1390,W1390,AC1390,AI1390,AO1390)</f>
        <v>0</v>
      </c>
      <c r="AV1390" s="29">
        <f t="shared" ref="AV1390:AV1453" si="1009">SUM(F1390,L1390,R1390,X1390,AD1390,AJ1390,AP1390)</f>
        <v>-59.2</v>
      </c>
      <c r="AW1390" s="29"/>
      <c r="AX1390" s="29">
        <f t="shared" ref="AX1390:AX1453" si="1010">SUM(G1390,M1390,S1390,Y1390,AE1390,AK1390,AQ1390)</f>
        <v>2728133.6599999988</v>
      </c>
      <c r="AY1390" s="29">
        <f t="shared" si="1001"/>
        <v>9300000</v>
      </c>
      <c r="AZ1390" s="29">
        <f t="shared" si="1002"/>
        <v>12028133.659999998</v>
      </c>
    </row>
    <row r="1391" spans="2:52" x14ac:dyDescent="0.3">
      <c r="B1391" s="99">
        <f t="shared" ref="B1391:B1394" si="1011">B1390+1</f>
        <v>46112</v>
      </c>
      <c r="C1391" s="44">
        <f t="shared" si="989"/>
        <v>491731.23000000208</v>
      </c>
      <c r="D1391" s="38">
        <v>256796.06</v>
      </c>
      <c r="E1391" s="38"/>
      <c r="F1391" s="38">
        <f>-23022.73+2.09</f>
        <v>-23020.639999999999</v>
      </c>
      <c r="G1391" s="45">
        <f t="shared" si="990"/>
        <v>725506.65000000212</v>
      </c>
      <c r="H1391" s="44">
        <v>4300000</v>
      </c>
      <c r="I1391" s="46">
        <f t="shared" si="991"/>
        <v>2007978.0399999986</v>
      </c>
      <c r="J1391" s="38"/>
      <c r="K1391" s="38">
        <f>1453000+227000+80000+5000</f>
        <v>1765000</v>
      </c>
      <c r="L1391" s="38">
        <v>1.76</v>
      </c>
      <c r="M1391" s="47">
        <f t="shared" si="992"/>
        <v>3772979.7999999984</v>
      </c>
      <c r="N1391" s="46">
        <v>5000000</v>
      </c>
      <c r="O1391" s="48">
        <f t="shared" si="993"/>
        <v>740.05999999932101</v>
      </c>
      <c r="P1391" s="38">
        <v>79968.13</v>
      </c>
      <c r="Q1391" s="38">
        <f>1453000-80000-1453000</f>
        <v>-80000</v>
      </c>
      <c r="R1391" s="38">
        <v>-20</v>
      </c>
      <c r="S1391" s="55">
        <f t="shared" si="994"/>
        <v>688.18999999933294</v>
      </c>
      <c r="T1391" s="48"/>
      <c r="U1391" s="49">
        <f t="shared" si="995"/>
        <v>84.399999999487775</v>
      </c>
      <c r="V1391" s="38">
        <f>1403785.87+50010.87</f>
        <v>1453796.7400000002</v>
      </c>
      <c r="W1391" s="38">
        <v>-1453000</v>
      </c>
      <c r="X1391" s="38">
        <v>-1.7</v>
      </c>
      <c r="Y1391" s="51">
        <f t="shared" si="996"/>
        <v>879.43999999966468</v>
      </c>
      <c r="Z1391" s="52"/>
      <c r="AA1391" s="53">
        <f t="shared" si="997"/>
        <v>-7.6977357821306214E-10</v>
      </c>
      <c r="AB1391" s="38"/>
      <c r="AC1391" s="38"/>
      <c r="AD1391" s="38"/>
      <c r="AE1391" s="54">
        <f t="shared" si="998"/>
        <v>-7.6977357821306214E-10</v>
      </c>
      <c r="AF1391" s="53"/>
      <c r="AG1391" s="53">
        <f t="shared" si="999"/>
        <v>227318.37000000081</v>
      </c>
      <c r="AH1391" s="38">
        <v>5031.29</v>
      </c>
      <c r="AI1391" s="38">
        <f>-5000-227000</f>
        <v>-232000</v>
      </c>
      <c r="AJ1391" s="38">
        <f>-99-9.9+0.06</f>
        <v>-108.84</v>
      </c>
      <c r="AK1391" s="54">
        <f t="shared" si="1000"/>
        <v>240.8200000008184</v>
      </c>
      <c r="AL1391" s="53"/>
      <c r="AM1391" s="53">
        <f t="shared" si="951"/>
        <v>281.55999999999949</v>
      </c>
      <c r="AN1391" s="38"/>
      <c r="AO1391" s="38"/>
      <c r="AP1391" s="38">
        <v>0.48</v>
      </c>
      <c r="AQ1391" s="54">
        <f t="shared" si="966"/>
        <v>282.03999999999951</v>
      </c>
      <c r="AR1391" s="53"/>
      <c r="AS1391" s="29">
        <f t="shared" si="1006"/>
        <v>2728133.6599999988</v>
      </c>
      <c r="AT1391" s="29">
        <f t="shared" si="1007"/>
        <v>1795592.2200000002</v>
      </c>
      <c r="AU1391" s="29">
        <f t="shared" si="1008"/>
        <v>0</v>
      </c>
      <c r="AV1391" s="29">
        <f t="shared" si="1009"/>
        <v>-23148.940000000002</v>
      </c>
      <c r="AW1391" s="29"/>
      <c r="AX1391" s="29">
        <f t="shared" si="1010"/>
        <v>4500576.9399999995</v>
      </c>
      <c r="AY1391" s="29">
        <f t="shared" si="1001"/>
        <v>9300000</v>
      </c>
      <c r="AZ1391" s="29">
        <f t="shared" si="1002"/>
        <v>13800576.939999999</v>
      </c>
    </row>
    <row r="1392" spans="2:52" x14ac:dyDescent="0.3">
      <c r="B1392" s="99">
        <f t="shared" si="1011"/>
        <v>46113</v>
      </c>
      <c r="C1392" s="44">
        <f t="shared" si="989"/>
        <v>725506.65000000212</v>
      </c>
      <c r="D1392" s="38">
        <v>31245.75</v>
      </c>
      <c r="E1392" s="38"/>
      <c r="F1392" s="38">
        <f>-125-1858.45</f>
        <v>-1983.45</v>
      </c>
      <c r="G1392" s="45">
        <f t="shared" si="990"/>
        <v>754768.95000000217</v>
      </c>
      <c r="H1392" s="44">
        <v>4300000</v>
      </c>
      <c r="I1392" s="46">
        <f t="shared" si="991"/>
        <v>3772979.7999999984</v>
      </c>
      <c r="J1392" s="38">
        <f>8866.16+8036.9+117338.59+4793.08</f>
        <v>139034.72999999998</v>
      </c>
      <c r="K1392" s="38">
        <f>367000</f>
        <v>367000</v>
      </c>
      <c r="L1392" s="38">
        <v>-347278.17</v>
      </c>
      <c r="M1392" s="47">
        <f t="shared" si="992"/>
        <v>3931736.3599999985</v>
      </c>
      <c r="N1392" s="46">
        <v>5000000</v>
      </c>
      <c r="O1392" s="48">
        <f t="shared" si="993"/>
        <v>688.18999999933294</v>
      </c>
      <c r="P1392" s="38">
        <v>366826.04</v>
      </c>
      <c r="Q1392" s="38">
        <v>-367000</v>
      </c>
      <c r="R1392" s="38">
        <v>-260</v>
      </c>
      <c r="S1392" s="55">
        <f t="shared" si="994"/>
        <v>254.22999999928288</v>
      </c>
      <c r="T1392" s="48"/>
      <c r="U1392" s="49">
        <f t="shared" si="995"/>
        <v>879.43999999966468</v>
      </c>
      <c r="V1392" s="38">
        <v>13677.7</v>
      </c>
      <c r="W1392" s="38"/>
      <c r="X1392" s="38"/>
      <c r="Y1392" s="51">
        <f t="shared" si="996"/>
        <v>14557.139999999665</v>
      </c>
      <c r="Z1392" s="52"/>
      <c r="AA1392" s="53">
        <f t="shared" si="997"/>
        <v>-7.6977357821306214E-10</v>
      </c>
      <c r="AB1392" s="38"/>
      <c r="AC1392" s="38"/>
      <c r="AD1392" s="38"/>
      <c r="AE1392" s="54">
        <f t="shared" si="998"/>
        <v>-7.6977357821306214E-10</v>
      </c>
      <c r="AF1392" s="53"/>
      <c r="AG1392" s="53">
        <f t="shared" si="999"/>
        <v>240.8200000008184</v>
      </c>
      <c r="AH1392" s="38"/>
      <c r="AI1392" s="38"/>
      <c r="AJ1392" s="38">
        <v>-19.8</v>
      </c>
      <c r="AK1392" s="54">
        <f t="shared" si="1000"/>
        <v>221.02000000081838</v>
      </c>
      <c r="AL1392" s="53"/>
      <c r="AM1392" s="53">
        <f t="shared" si="951"/>
        <v>282.03999999999951</v>
      </c>
      <c r="AN1392" s="38"/>
      <c r="AO1392" s="38"/>
      <c r="AP1392" s="38"/>
      <c r="AQ1392" s="54">
        <f t="shared" si="966"/>
        <v>282.03999999999951</v>
      </c>
      <c r="AR1392" s="53"/>
      <c r="AS1392" s="29">
        <f t="shared" si="1006"/>
        <v>4500576.9399999995</v>
      </c>
      <c r="AT1392" s="29">
        <f t="shared" si="1007"/>
        <v>550784.22</v>
      </c>
      <c r="AU1392" s="29">
        <f t="shared" si="1008"/>
        <v>0</v>
      </c>
      <c r="AV1392" s="29">
        <f t="shared" si="1009"/>
        <v>-349541.42</v>
      </c>
      <c r="AW1392" s="29"/>
      <c r="AX1392" s="29">
        <f t="shared" si="1010"/>
        <v>4701819.7399999993</v>
      </c>
      <c r="AY1392" s="29">
        <f t="shared" si="1001"/>
        <v>9300000</v>
      </c>
      <c r="AZ1392" s="29">
        <f t="shared" si="1002"/>
        <v>14001819.739999998</v>
      </c>
    </row>
    <row r="1393" spans="2:52" x14ac:dyDescent="0.3">
      <c r="B1393" s="99">
        <f t="shared" si="1011"/>
        <v>46114</v>
      </c>
      <c r="C1393" s="44">
        <f t="shared" si="989"/>
        <v>754768.95000000217</v>
      </c>
      <c r="D1393" s="38"/>
      <c r="E1393" s="38">
        <v>-650000</v>
      </c>
      <c r="F1393" s="38">
        <v>-112550.45</v>
      </c>
      <c r="G1393" s="45">
        <f t="shared" si="990"/>
        <v>-7781.4999999978318</v>
      </c>
      <c r="H1393" s="44">
        <v>4300000</v>
      </c>
      <c r="I1393" s="46">
        <f t="shared" si="991"/>
        <v>3931736.3599999985</v>
      </c>
      <c r="J1393" s="38"/>
      <c r="K1393" s="38">
        <f>35000+61000+650000</f>
        <v>746000</v>
      </c>
      <c r="L1393" s="38">
        <v>-4974362.5199999996</v>
      </c>
      <c r="M1393" s="47">
        <f t="shared" si="992"/>
        <v>-296626.16000000108</v>
      </c>
      <c r="N1393" s="46">
        <v>5000000</v>
      </c>
      <c r="O1393" s="48">
        <f t="shared" si="993"/>
        <v>254.22999999928288</v>
      </c>
      <c r="P1393" s="38">
        <f>46415.84+123.31</f>
        <v>46539.149999999994</v>
      </c>
      <c r="Q1393" s="38">
        <f>14500-61000</f>
        <v>-46500</v>
      </c>
      <c r="R1393" s="38">
        <v>-10</v>
      </c>
      <c r="S1393" s="55">
        <f t="shared" si="994"/>
        <v>283.37999999927706</v>
      </c>
      <c r="T1393" s="48"/>
      <c r="U1393" s="49">
        <f t="shared" si="995"/>
        <v>14557.139999999665</v>
      </c>
      <c r="V1393" s="38"/>
      <c r="W1393" s="38">
        <v>-14500</v>
      </c>
      <c r="X1393" s="38">
        <v>-57.14</v>
      </c>
      <c r="Y1393" s="51">
        <f t="shared" si="996"/>
        <v>-3.3527669529576087E-10</v>
      </c>
      <c r="Z1393" s="52"/>
      <c r="AA1393" s="53">
        <f t="shared" si="997"/>
        <v>-7.6977357821306214E-10</v>
      </c>
      <c r="AB1393" s="38"/>
      <c r="AC1393" s="38"/>
      <c r="AD1393" s="38"/>
      <c r="AE1393" s="54">
        <f t="shared" si="998"/>
        <v>-7.6977357821306214E-10</v>
      </c>
      <c r="AF1393" s="53"/>
      <c r="AG1393" s="53">
        <f t="shared" si="999"/>
        <v>221.02000000081838</v>
      </c>
      <c r="AH1393" s="38">
        <v>35084.29</v>
      </c>
      <c r="AI1393" s="38">
        <v>-35000</v>
      </c>
      <c r="AJ1393" s="38"/>
      <c r="AK1393" s="54">
        <f t="shared" si="1000"/>
        <v>305.31000000081985</v>
      </c>
      <c r="AL1393" s="53"/>
      <c r="AM1393" s="53">
        <f t="shared" si="951"/>
        <v>282.03999999999951</v>
      </c>
      <c r="AN1393" s="38"/>
      <c r="AO1393" s="38"/>
      <c r="AP1393" s="38"/>
      <c r="AQ1393" s="54">
        <f t="shared" si="966"/>
        <v>282.03999999999951</v>
      </c>
      <c r="AR1393" s="53"/>
      <c r="AS1393" s="29">
        <f t="shared" si="1006"/>
        <v>4701819.7399999993</v>
      </c>
      <c r="AT1393" s="29">
        <f t="shared" si="1007"/>
        <v>81623.44</v>
      </c>
      <c r="AU1393" s="29">
        <f t="shared" si="1008"/>
        <v>0</v>
      </c>
      <c r="AV1393" s="29">
        <f t="shared" si="1009"/>
        <v>-5086980.1099999994</v>
      </c>
      <c r="AW1393" s="29"/>
      <c r="AX1393" s="29">
        <f t="shared" si="1010"/>
        <v>-303536.93</v>
      </c>
      <c r="AY1393" s="29">
        <f t="shared" si="1001"/>
        <v>9300000</v>
      </c>
      <c r="AZ1393" s="29">
        <f t="shared" si="1002"/>
        <v>8996463.0700000003</v>
      </c>
    </row>
    <row r="1394" spans="2:52" x14ac:dyDescent="0.3">
      <c r="B1394" s="99">
        <f t="shared" si="1011"/>
        <v>46115</v>
      </c>
      <c r="C1394" s="44">
        <f t="shared" si="989"/>
        <v>-7781.4999999978318</v>
      </c>
      <c r="D1394" s="38"/>
      <c r="E1394" s="38"/>
      <c r="F1394" s="38"/>
      <c r="G1394" s="45">
        <f t="shared" si="990"/>
        <v>-7781.4999999978318</v>
      </c>
      <c r="H1394" s="44">
        <v>4300000</v>
      </c>
      <c r="I1394" s="46">
        <f t="shared" si="991"/>
        <v>-296626.16000000108</v>
      </c>
      <c r="J1394" s="38"/>
      <c r="K1394" s="38"/>
      <c r="L1394" s="38"/>
      <c r="M1394" s="47">
        <f t="shared" si="992"/>
        <v>-296626.16000000108</v>
      </c>
      <c r="N1394" s="46">
        <v>5000000</v>
      </c>
      <c r="O1394" s="48">
        <f t="shared" si="993"/>
        <v>283.37999999927706</v>
      </c>
      <c r="P1394" s="38"/>
      <c r="Q1394" s="38"/>
      <c r="R1394" s="38"/>
      <c r="S1394" s="55">
        <f t="shared" si="994"/>
        <v>283.37999999927706</v>
      </c>
      <c r="T1394" s="48"/>
      <c r="U1394" s="49">
        <f t="shared" si="995"/>
        <v>-3.3527669529576087E-10</v>
      </c>
      <c r="V1394" s="38"/>
      <c r="W1394" s="38"/>
      <c r="X1394" s="38"/>
      <c r="Y1394" s="51">
        <f t="shared" si="996"/>
        <v>-3.3527669529576087E-10</v>
      </c>
      <c r="Z1394" s="52"/>
      <c r="AA1394" s="53">
        <f t="shared" si="997"/>
        <v>-7.6977357821306214E-10</v>
      </c>
      <c r="AB1394" s="38"/>
      <c r="AC1394" s="38"/>
      <c r="AD1394" s="38"/>
      <c r="AE1394" s="54">
        <f t="shared" si="998"/>
        <v>-7.6977357821306214E-10</v>
      </c>
      <c r="AF1394" s="53"/>
      <c r="AG1394" s="53">
        <f t="shared" si="999"/>
        <v>305.31000000081985</v>
      </c>
      <c r="AH1394" s="38"/>
      <c r="AI1394" s="38"/>
      <c r="AJ1394" s="38"/>
      <c r="AK1394" s="54">
        <f t="shared" si="1000"/>
        <v>305.31000000081985</v>
      </c>
      <c r="AL1394" s="53"/>
      <c r="AM1394" s="53">
        <f t="shared" si="951"/>
        <v>282.03999999999951</v>
      </c>
      <c r="AN1394" s="38"/>
      <c r="AO1394" s="38"/>
      <c r="AP1394" s="38"/>
      <c r="AQ1394" s="54">
        <f t="shared" si="966"/>
        <v>282.03999999999951</v>
      </c>
      <c r="AR1394" s="53"/>
      <c r="AS1394" s="29">
        <f t="shared" si="1006"/>
        <v>-303536.93</v>
      </c>
      <c r="AT1394" s="29">
        <f t="shared" si="1007"/>
        <v>0</v>
      </c>
      <c r="AU1394" s="29">
        <f t="shared" si="1008"/>
        <v>0</v>
      </c>
      <c r="AV1394" s="29">
        <f t="shared" si="1009"/>
        <v>0</v>
      </c>
      <c r="AW1394" s="29"/>
      <c r="AX1394" s="29">
        <f t="shared" si="1010"/>
        <v>-303536.93</v>
      </c>
      <c r="AY1394" s="29">
        <f t="shared" si="1001"/>
        <v>9300000</v>
      </c>
      <c r="AZ1394" s="29">
        <f t="shared" si="1002"/>
        <v>8996463.0700000003</v>
      </c>
    </row>
    <row r="1395" spans="2:52" x14ac:dyDescent="0.3">
      <c r="B1395" s="99">
        <f>B1394+3</f>
        <v>46118</v>
      </c>
      <c r="C1395" s="44">
        <f t="shared" si="989"/>
        <v>-7781.4999999978318</v>
      </c>
      <c r="D1395" s="38">
        <f>127108.55+159892.75+49414.15+2032.05+146345.06+154179.72+2691.31+42950.47</f>
        <v>684614.06</v>
      </c>
      <c r="E1395" s="38">
        <f>50000-650000</f>
        <v>-600000</v>
      </c>
      <c r="F1395" s="38">
        <f>-1600-24691.55-1034784.54-17401.86</f>
        <v>-1078477.9500000002</v>
      </c>
      <c r="G1395" s="45">
        <f t="shared" si="990"/>
        <v>-1001645.3899999979</v>
      </c>
      <c r="H1395" s="44">
        <v>4300000</v>
      </c>
      <c r="I1395" s="46">
        <f t="shared" si="991"/>
        <v>-296626.16000000108</v>
      </c>
      <c r="J1395" s="38">
        <f>5843.46+275919.91</f>
        <v>281763.37</v>
      </c>
      <c r="K1395" s="38">
        <f>650000+42000+519000-50000</f>
        <v>1161000</v>
      </c>
      <c r="L1395" s="38">
        <f>-157844.74-400000</f>
        <v>-557844.74</v>
      </c>
      <c r="M1395" s="47">
        <f t="shared" si="992"/>
        <v>588292.46999999904</v>
      </c>
      <c r="N1395" s="46">
        <v>5000000</v>
      </c>
      <c r="O1395" s="48">
        <f t="shared" si="993"/>
        <v>283.37999999927706</v>
      </c>
      <c r="P1395" s="38">
        <f>41786.71+238216.91+281387.34</f>
        <v>561390.96</v>
      </c>
      <c r="Q1395" s="38">
        <f>-519000-42000-100</f>
        <v>-561100</v>
      </c>
      <c r="R1395" s="38">
        <f>-76.84-20</f>
        <v>-96.84</v>
      </c>
      <c r="S1395" s="55">
        <f t="shared" si="994"/>
        <v>477.49999999926888</v>
      </c>
      <c r="T1395" s="48"/>
      <c r="U1395" s="49">
        <f t="shared" si="995"/>
        <v>-3.3527669529576087E-10</v>
      </c>
      <c r="V1395" s="38"/>
      <c r="W1395" s="38">
        <v>100</v>
      </c>
      <c r="X1395" s="38">
        <f>-13.46-1.7</f>
        <v>-15.16</v>
      </c>
      <c r="Y1395" s="51">
        <f t="shared" si="996"/>
        <v>84.839999999664727</v>
      </c>
      <c r="Z1395" s="52"/>
      <c r="AA1395" s="53">
        <f t="shared" si="997"/>
        <v>-7.6977357821306214E-10</v>
      </c>
      <c r="AB1395" s="38"/>
      <c r="AC1395" s="38"/>
      <c r="AD1395" s="38"/>
      <c r="AE1395" s="54">
        <f t="shared" si="998"/>
        <v>-7.6977357821306214E-10</v>
      </c>
      <c r="AF1395" s="53"/>
      <c r="AG1395" s="53">
        <f t="shared" si="999"/>
        <v>305.31000000081985</v>
      </c>
      <c r="AH1395" s="38"/>
      <c r="AI1395" s="38"/>
      <c r="AJ1395" s="38">
        <v>-9.9</v>
      </c>
      <c r="AK1395" s="54">
        <f t="shared" si="1000"/>
        <v>295.41000000081988</v>
      </c>
      <c r="AL1395" s="53"/>
      <c r="AM1395" s="53">
        <f t="shared" si="951"/>
        <v>282.03999999999951</v>
      </c>
      <c r="AN1395" s="38"/>
      <c r="AO1395" s="38"/>
      <c r="AP1395" s="38"/>
      <c r="AQ1395" s="54">
        <f t="shared" si="966"/>
        <v>282.03999999999951</v>
      </c>
      <c r="AR1395" s="53"/>
      <c r="AS1395" s="29">
        <f t="shared" si="1006"/>
        <v>-303536.93</v>
      </c>
      <c r="AT1395" s="29">
        <f t="shared" si="1007"/>
        <v>1527768.3900000001</v>
      </c>
      <c r="AU1395" s="29">
        <f t="shared" si="1008"/>
        <v>0</v>
      </c>
      <c r="AV1395" s="29">
        <f t="shared" si="1009"/>
        <v>-1636444.59</v>
      </c>
      <c r="AW1395" s="29"/>
      <c r="AX1395" s="29">
        <f t="shared" si="1010"/>
        <v>-412213.12999999989</v>
      </c>
      <c r="AY1395" s="29">
        <f t="shared" si="1001"/>
        <v>9300000</v>
      </c>
      <c r="AZ1395" s="29">
        <f t="shared" si="1002"/>
        <v>8887786.870000001</v>
      </c>
    </row>
    <row r="1396" spans="2:52" x14ac:dyDescent="0.3">
      <c r="B1396" s="99">
        <f t="shared" ref="B1396:B1399" si="1012">B1395+1</f>
        <v>46119</v>
      </c>
      <c r="C1396" s="44">
        <f t="shared" si="989"/>
        <v>-1001645.3899999979</v>
      </c>
      <c r="D1396" s="38"/>
      <c r="E1396" s="38">
        <v>1010000</v>
      </c>
      <c r="F1396" s="38">
        <f>-0.21-711.36</f>
        <v>-711.57</v>
      </c>
      <c r="G1396" s="45">
        <f t="shared" si="990"/>
        <v>7643.0400000020818</v>
      </c>
      <c r="H1396" s="44">
        <v>4300000</v>
      </c>
      <c r="I1396" s="46">
        <f t="shared" si="991"/>
        <v>588292.46999999904</v>
      </c>
      <c r="J1396" s="38">
        <v>15500</v>
      </c>
      <c r="K1396" s="38">
        <v>-1010000</v>
      </c>
      <c r="L1396" s="38">
        <f>-980.25-1188-12760-62.56-711.36-740.88-711.36-711.36-62.56-1492.21-15000-1098.52-1559.36-11657.74-1499</f>
        <v>-50235.159999999996</v>
      </c>
      <c r="M1396" s="47">
        <f t="shared" si="992"/>
        <v>-456442.69000000093</v>
      </c>
      <c r="N1396" s="46">
        <v>5000000</v>
      </c>
      <c r="O1396" s="48">
        <f t="shared" si="993"/>
        <v>477.49999999926888</v>
      </c>
      <c r="P1396" s="38"/>
      <c r="Q1396" s="38"/>
      <c r="R1396" s="38"/>
      <c r="S1396" s="55">
        <f t="shared" si="994"/>
        <v>477.49999999926888</v>
      </c>
      <c r="T1396" s="48"/>
      <c r="U1396" s="49">
        <f t="shared" si="995"/>
        <v>84.839999999664727</v>
      </c>
      <c r="V1396" s="38"/>
      <c r="W1396" s="38"/>
      <c r="X1396" s="38"/>
      <c r="Y1396" s="51">
        <f t="shared" si="996"/>
        <v>84.839999999664727</v>
      </c>
      <c r="Z1396" s="52"/>
      <c r="AA1396" s="53">
        <f t="shared" si="997"/>
        <v>-7.6977357821306214E-10</v>
      </c>
      <c r="AB1396" s="38"/>
      <c r="AC1396" s="38"/>
      <c r="AD1396" s="38"/>
      <c r="AE1396" s="54">
        <f t="shared" si="998"/>
        <v>-7.6977357821306214E-10</v>
      </c>
      <c r="AF1396" s="53"/>
      <c r="AG1396" s="53">
        <f t="shared" si="999"/>
        <v>295.41000000081988</v>
      </c>
      <c r="AH1396" s="38"/>
      <c r="AI1396" s="38"/>
      <c r="AJ1396" s="38"/>
      <c r="AK1396" s="54">
        <f t="shared" si="1000"/>
        <v>295.41000000081988</v>
      </c>
      <c r="AL1396" s="53"/>
      <c r="AM1396" s="53">
        <f t="shared" si="951"/>
        <v>282.03999999999951</v>
      </c>
      <c r="AN1396" s="38"/>
      <c r="AO1396" s="38"/>
      <c r="AP1396" s="38"/>
      <c r="AQ1396" s="54">
        <f t="shared" si="966"/>
        <v>282.03999999999951</v>
      </c>
      <c r="AR1396" s="53"/>
      <c r="AS1396" s="29">
        <f t="shared" si="1006"/>
        <v>-412213.12999999989</v>
      </c>
      <c r="AT1396" s="29">
        <f t="shared" si="1007"/>
        <v>15500</v>
      </c>
      <c r="AU1396" s="29">
        <f t="shared" si="1008"/>
        <v>0</v>
      </c>
      <c r="AV1396" s="29">
        <f t="shared" si="1009"/>
        <v>-50946.729999999996</v>
      </c>
      <c r="AW1396" s="29"/>
      <c r="AX1396" s="29">
        <f t="shared" si="1010"/>
        <v>-447659.85999999987</v>
      </c>
      <c r="AY1396" s="29">
        <f t="shared" si="1001"/>
        <v>9300000</v>
      </c>
      <c r="AZ1396" s="29">
        <f t="shared" si="1002"/>
        <v>8852340.1400000006</v>
      </c>
    </row>
    <row r="1397" spans="2:52" x14ac:dyDescent="0.3">
      <c r="B1397" s="99">
        <f t="shared" si="1012"/>
        <v>46120</v>
      </c>
      <c r="C1397" s="44">
        <f t="shared" si="989"/>
        <v>7643.0400000020818</v>
      </c>
      <c r="D1397" s="38"/>
      <c r="E1397" s="38"/>
      <c r="F1397" s="38">
        <v>-0.21</v>
      </c>
      <c r="G1397" s="45">
        <f t="shared" si="990"/>
        <v>7642.8300000020818</v>
      </c>
      <c r="H1397" s="44">
        <v>4300000</v>
      </c>
      <c r="I1397" s="46">
        <f t="shared" si="991"/>
        <v>-456442.69000000093</v>
      </c>
      <c r="J1397" s="38">
        <v>4356.1899999999996</v>
      </c>
      <c r="K1397" s="38">
        <f>229000</f>
        <v>229000</v>
      </c>
      <c r="L1397" s="38">
        <v>-287505.83</v>
      </c>
      <c r="M1397" s="47">
        <f t="shared" si="992"/>
        <v>-510592.33000000095</v>
      </c>
      <c r="N1397" s="46">
        <v>5000000</v>
      </c>
      <c r="O1397" s="48">
        <f t="shared" si="993"/>
        <v>477.49999999926888</v>
      </c>
      <c r="P1397" s="38">
        <v>229440.92</v>
      </c>
      <c r="Q1397" s="38">
        <v>-229000</v>
      </c>
      <c r="R1397" s="38">
        <v>-751.88</v>
      </c>
      <c r="S1397" s="55">
        <f t="shared" si="994"/>
        <v>166.53999999928521</v>
      </c>
      <c r="T1397" s="48"/>
      <c r="U1397" s="49">
        <f t="shared" si="995"/>
        <v>84.839999999664727</v>
      </c>
      <c r="V1397" s="38"/>
      <c r="W1397" s="38"/>
      <c r="X1397" s="38"/>
      <c r="Y1397" s="51">
        <f t="shared" si="996"/>
        <v>84.839999999664727</v>
      </c>
      <c r="Z1397" s="52"/>
      <c r="AA1397" s="53">
        <f t="shared" si="997"/>
        <v>-7.6977357821306214E-10</v>
      </c>
      <c r="AB1397" s="38"/>
      <c r="AC1397" s="38"/>
      <c r="AD1397" s="38"/>
      <c r="AE1397" s="54">
        <f t="shared" si="998"/>
        <v>-7.6977357821306214E-10</v>
      </c>
      <c r="AF1397" s="53"/>
      <c r="AG1397" s="53">
        <f t="shared" si="999"/>
        <v>295.41000000081988</v>
      </c>
      <c r="AH1397" s="38"/>
      <c r="AI1397" s="38"/>
      <c r="AJ1397" s="38"/>
      <c r="AK1397" s="54">
        <f t="shared" si="1000"/>
        <v>295.41000000081988</v>
      </c>
      <c r="AL1397" s="53"/>
      <c r="AM1397" s="53">
        <f t="shared" ref="AM1397:AM1460" si="1013">AQ1396</f>
        <v>282.03999999999951</v>
      </c>
      <c r="AN1397" s="38"/>
      <c r="AO1397" s="38"/>
      <c r="AP1397" s="38"/>
      <c r="AQ1397" s="54">
        <f t="shared" si="966"/>
        <v>282.03999999999951</v>
      </c>
      <c r="AR1397" s="53"/>
      <c r="AS1397" s="29">
        <f t="shared" si="1006"/>
        <v>-447659.85999999987</v>
      </c>
      <c r="AT1397" s="29">
        <f t="shared" si="1007"/>
        <v>233797.11000000002</v>
      </c>
      <c r="AU1397" s="29">
        <f t="shared" si="1008"/>
        <v>0</v>
      </c>
      <c r="AV1397" s="29">
        <f t="shared" si="1009"/>
        <v>-288257.92000000004</v>
      </c>
      <c r="AW1397" s="29"/>
      <c r="AX1397" s="29">
        <f t="shared" si="1010"/>
        <v>-502120.66999999987</v>
      </c>
      <c r="AY1397" s="29">
        <f t="shared" si="1001"/>
        <v>9300000</v>
      </c>
      <c r="AZ1397" s="29">
        <f t="shared" si="1002"/>
        <v>8797879.3300000001</v>
      </c>
    </row>
    <row r="1398" spans="2:52" x14ac:dyDescent="0.3">
      <c r="B1398" s="99">
        <f t="shared" si="1012"/>
        <v>46121</v>
      </c>
      <c r="C1398" s="44">
        <f t="shared" si="989"/>
        <v>7642.8300000020818</v>
      </c>
      <c r="D1398" s="38">
        <f>410.07</f>
        <v>410.07</v>
      </c>
      <c r="E1398" s="38"/>
      <c r="F1398" s="38">
        <f>-574-49.15</f>
        <v>-623.15</v>
      </c>
      <c r="G1398" s="45">
        <f t="shared" si="990"/>
        <v>7429.7500000020818</v>
      </c>
      <c r="H1398" s="44">
        <v>4300000</v>
      </c>
      <c r="I1398" s="46">
        <f t="shared" si="991"/>
        <v>-510592.33000000095</v>
      </c>
      <c r="J1398" s="38"/>
      <c r="K1398" s="38"/>
      <c r="L1398" s="38">
        <v>-157583.85</v>
      </c>
      <c r="M1398" s="47">
        <f t="shared" si="992"/>
        <v>-668176.18000000098</v>
      </c>
      <c r="N1398" s="46">
        <v>5000000</v>
      </c>
      <c r="O1398" s="48">
        <f t="shared" si="993"/>
        <v>166.53999999928521</v>
      </c>
      <c r="P1398" s="38"/>
      <c r="Q1398" s="38"/>
      <c r="R1398" s="38"/>
      <c r="S1398" s="55">
        <f t="shared" si="994"/>
        <v>166.53999999928521</v>
      </c>
      <c r="T1398" s="48"/>
      <c r="U1398" s="49">
        <f t="shared" si="995"/>
        <v>84.839999999664727</v>
      </c>
      <c r="V1398" s="38"/>
      <c r="W1398" s="38"/>
      <c r="X1398" s="38"/>
      <c r="Y1398" s="51">
        <f t="shared" si="996"/>
        <v>84.839999999664727</v>
      </c>
      <c r="Z1398" s="52"/>
      <c r="AA1398" s="53">
        <f t="shared" si="997"/>
        <v>-7.6977357821306214E-10</v>
      </c>
      <c r="AB1398" s="38"/>
      <c r="AC1398" s="38"/>
      <c r="AD1398" s="38"/>
      <c r="AE1398" s="54">
        <f t="shared" si="998"/>
        <v>-7.6977357821306214E-10</v>
      </c>
      <c r="AF1398" s="53"/>
      <c r="AG1398" s="53">
        <f t="shared" si="999"/>
        <v>295.41000000081988</v>
      </c>
      <c r="AH1398" s="38"/>
      <c r="AI1398" s="38"/>
      <c r="AJ1398" s="38"/>
      <c r="AK1398" s="54">
        <f t="shared" si="1000"/>
        <v>295.41000000081988</v>
      </c>
      <c r="AL1398" s="53"/>
      <c r="AM1398" s="53">
        <f t="shared" si="1013"/>
        <v>282.03999999999951</v>
      </c>
      <c r="AN1398" s="38"/>
      <c r="AO1398" s="38"/>
      <c r="AP1398" s="38"/>
      <c r="AQ1398" s="54">
        <f t="shared" si="966"/>
        <v>282.03999999999951</v>
      </c>
      <c r="AR1398" s="53"/>
      <c r="AS1398" s="29">
        <f t="shared" si="1006"/>
        <v>-502120.66999999987</v>
      </c>
      <c r="AT1398" s="29">
        <f t="shared" si="1007"/>
        <v>410.07</v>
      </c>
      <c r="AU1398" s="29">
        <f t="shared" si="1008"/>
        <v>0</v>
      </c>
      <c r="AV1398" s="29">
        <f t="shared" si="1009"/>
        <v>-158207</v>
      </c>
      <c r="AW1398" s="29"/>
      <c r="AX1398" s="29">
        <f t="shared" si="1010"/>
        <v>-659917.59999999986</v>
      </c>
      <c r="AY1398" s="29">
        <f t="shared" si="1001"/>
        <v>9300000</v>
      </c>
      <c r="AZ1398" s="29">
        <f t="shared" si="1002"/>
        <v>8640082.4000000004</v>
      </c>
    </row>
    <row r="1399" spans="2:52" x14ac:dyDescent="0.3">
      <c r="B1399" s="99">
        <f t="shared" si="1012"/>
        <v>46122</v>
      </c>
      <c r="C1399" s="44">
        <f t="shared" si="989"/>
        <v>7429.7500000020818</v>
      </c>
      <c r="D1399" s="38"/>
      <c r="E1399" s="38">
        <v>210000</v>
      </c>
      <c r="F1399" s="38">
        <v>-195373.79</v>
      </c>
      <c r="G1399" s="45">
        <f t="shared" si="990"/>
        <v>22055.960000002087</v>
      </c>
      <c r="H1399" s="44">
        <v>4300000</v>
      </c>
      <c r="I1399" s="46">
        <f t="shared" si="991"/>
        <v>-668176.18000000098</v>
      </c>
      <c r="J1399" s="38"/>
      <c r="K1399" s="38">
        <v>-210000</v>
      </c>
      <c r="L1399" s="38">
        <v>-285701.55</v>
      </c>
      <c r="M1399" s="47">
        <f t="shared" si="992"/>
        <v>-1163877.7300000009</v>
      </c>
      <c r="N1399" s="46">
        <v>5000000</v>
      </c>
      <c r="O1399" s="48">
        <f t="shared" si="993"/>
        <v>166.53999999928521</v>
      </c>
      <c r="P1399" s="38"/>
      <c r="Q1399" s="38"/>
      <c r="R1399" s="38"/>
      <c r="S1399" s="55">
        <f t="shared" si="994"/>
        <v>166.53999999928521</v>
      </c>
      <c r="T1399" s="48"/>
      <c r="U1399" s="49">
        <f t="shared" si="995"/>
        <v>84.839999999664727</v>
      </c>
      <c r="V1399" s="38"/>
      <c r="W1399" s="38"/>
      <c r="X1399" s="38"/>
      <c r="Y1399" s="51">
        <f t="shared" si="996"/>
        <v>84.839999999664727</v>
      </c>
      <c r="Z1399" s="52"/>
      <c r="AA1399" s="53">
        <f t="shared" si="997"/>
        <v>-7.6977357821306214E-10</v>
      </c>
      <c r="AB1399" s="38"/>
      <c r="AC1399" s="38"/>
      <c r="AD1399" s="38"/>
      <c r="AE1399" s="54">
        <f t="shared" si="998"/>
        <v>-7.6977357821306214E-10</v>
      </c>
      <c r="AF1399" s="53"/>
      <c r="AG1399" s="53">
        <f t="shared" si="999"/>
        <v>295.41000000081988</v>
      </c>
      <c r="AH1399" s="38"/>
      <c r="AI1399" s="38"/>
      <c r="AJ1399" s="38"/>
      <c r="AK1399" s="54">
        <f t="shared" si="1000"/>
        <v>295.41000000081988</v>
      </c>
      <c r="AL1399" s="53"/>
      <c r="AM1399" s="53">
        <f t="shared" si="1013"/>
        <v>282.03999999999951</v>
      </c>
      <c r="AN1399" s="38"/>
      <c r="AO1399" s="38"/>
      <c r="AP1399" s="38"/>
      <c r="AQ1399" s="54">
        <f t="shared" si="966"/>
        <v>282.03999999999951</v>
      </c>
      <c r="AR1399" s="53"/>
      <c r="AS1399" s="29">
        <f t="shared" si="1006"/>
        <v>-659917.59999999986</v>
      </c>
      <c r="AT1399" s="29">
        <f t="shared" si="1007"/>
        <v>0</v>
      </c>
      <c r="AU1399" s="29">
        <f t="shared" si="1008"/>
        <v>0</v>
      </c>
      <c r="AV1399" s="29">
        <f t="shared" si="1009"/>
        <v>-481075.33999999997</v>
      </c>
      <c r="AW1399" s="29"/>
      <c r="AX1399" s="29">
        <f t="shared" si="1010"/>
        <v>-1140992.9399999997</v>
      </c>
      <c r="AY1399" s="29">
        <f t="shared" si="1001"/>
        <v>9300000</v>
      </c>
      <c r="AZ1399" s="29">
        <f t="shared" si="1002"/>
        <v>8159007.0600000005</v>
      </c>
    </row>
    <row r="1400" spans="2:52" x14ac:dyDescent="0.3">
      <c r="B1400" s="99">
        <f>B1399+3</f>
        <v>46125</v>
      </c>
      <c r="C1400" s="44">
        <f t="shared" si="989"/>
        <v>22055.960000002087</v>
      </c>
      <c r="D1400" s="38">
        <v>96564.24</v>
      </c>
      <c r="E1400" s="38"/>
      <c r="F1400" s="38">
        <f>-7675.75-13126.22-50544.69</f>
        <v>-71346.66</v>
      </c>
      <c r="G1400" s="45">
        <f t="shared" si="990"/>
        <v>47273.540000002089</v>
      </c>
      <c r="H1400" s="44">
        <v>4300000</v>
      </c>
      <c r="I1400" s="46">
        <f t="shared" si="991"/>
        <v>-1163877.7300000009</v>
      </c>
      <c r="J1400" s="38"/>
      <c r="K1400" s="38">
        <v>157000</v>
      </c>
      <c r="L1400" s="38">
        <v>-126288.5</v>
      </c>
      <c r="M1400" s="47">
        <f t="shared" si="992"/>
        <v>-1133166.2300000009</v>
      </c>
      <c r="N1400" s="46">
        <v>5000000</v>
      </c>
      <c r="O1400" s="48">
        <f t="shared" si="993"/>
        <v>166.53999999928521</v>
      </c>
      <c r="P1400" s="38">
        <v>157278.74</v>
      </c>
      <c r="Q1400" s="38">
        <v>-157000</v>
      </c>
      <c r="R1400" s="38">
        <v>-10</v>
      </c>
      <c r="S1400" s="55">
        <f t="shared" si="994"/>
        <v>435.27999999927124</v>
      </c>
      <c r="T1400" s="48"/>
      <c r="U1400" s="49">
        <f t="shared" si="995"/>
        <v>84.839999999664727</v>
      </c>
      <c r="V1400" s="38"/>
      <c r="W1400" s="38"/>
      <c r="X1400" s="38"/>
      <c r="Y1400" s="51">
        <f t="shared" si="996"/>
        <v>84.839999999664727</v>
      </c>
      <c r="Z1400" s="52"/>
      <c r="AA1400" s="53">
        <f t="shared" si="997"/>
        <v>-7.6977357821306214E-10</v>
      </c>
      <c r="AB1400" s="38"/>
      <c r="AC1400" s="38"/>
      <c r="AD1400" s="38"/>
      <c r="AE1400" s="54">
        <f t="shared" si="998"/>
        <v>-7.6977357821306214E-10</v>
      </c>
      <c r="AF1400" s="53"/>
      <c r="AG1400" s="53">
        <f t="shared" si="999"/>
        <v>295.41000000081988</v>
      </c>
      <c r="AH1400" s="38"/>
      <c r="AI1400" s="38"/>
      <c r="AJ1400" s="38"/>
      <c r="AK1400" s="54">
        <f t="shared" si="1000"/>
        <v>295.41000000081988</v>
      </c>
      <c r="AL1400" s="53"/>
      <c r="AM1400" s="53">
        <f t="shared" si="1013"/>
        <v>282.03999999999951</v>
      </c>
      <c r="AN1400" s="38"/>
      <c r="AO1400" s="38"/>
      <c r="AP1400" s="38"/>
      <c r="AQ1400" s="54">
        <f t="shared" si="966"/>
        <v>282.03999999999951</v>
      </c>
      <c r="AR1400" s="53"/>
      <c r="AS1400" s="29">
        <f t="shared" si="1006"/>
        <v>-1140992.9399999997</v>
      </c>
      <c r="AT1400" s="29">
        <f t="shared" si="1007"/>
        <v>253842.97999999998</v>
      </c>
      <c r="AU1400" s="29">
        <f t="shared" si="1008"/>
        <v>0</v>
      </c>
      <c r="AV1400" s="29">
        <f t="shared" si="1009"/>
        <v>-197645.16</v>
      </c>
      <c r="AW1400" s="29"/>
      <c r="AX1400" s="29">
        <f t="shared" si="1010"/>
        <v>-1084795.1199999996</v>
      </c>
      <c r="AY1400" s="29">
        <f t="shared" si="1001"/>
        <v>9300000</v>
      </c>
      <c r="AZ1400" s="29">
        <f t="shared" si="1002"/>
        <v>8215204.8800000008</v>
      </c>
    </row>
    <row r="1401" spans="2:52" x14ac:dyDescent="0.3">
      <c r="B1401" s="99">
        <f t="shared" ref="B1401:B1404" si="1014">B1400+1</f>
        <v>46126</v>
      </c>
      <c r="C1401" s="44">
        <f t="shared" si="989"/>
        <v>47273.540000002089</v>
      </c>
      <c r="D1401" s="38">
        <v>45048</v>
      </c>
      <c r="E1401" s="38"/>
      <c r="F1401" s="38"/>
      <c r="G1401" s="45">
        <f t="shared" si="990"/>
        <v>92321.540000002089</v>
      </c>
      <c r="H1401" s="44">
        <v>4300000</v>
      </c>
      <c r="I1401" s="46">
        <f t="shared" si="991"/>
        <v>-1133166.2300000009</v>
      </c>
      <c r="J1401" s="38"/>
      <c r="K1401" s="38"/>
      <c r="L1401" s="38">
        <v>-53805.24</v>
      </c>
      <c r="M1401" s="47">
        <f t="shared" si="992"/>
        <v>-1186971.4700000009</v>
      </c>
      <c r="N1401" s="46">
        <v>5000000</v>
      </c>
      <c r="O1401" s="48">
        <f t="shared" si="993"/>
        <v>435.27999999927124</v>
      </c>
      <c r="P1401" s="38"/>
      <c r="Q1401" s="38"/>
      <c r="R1401" s="38"/>
      <c r="S1401" s="55">
        <f t="shared" si="994"/>
        <v>435.27999999927124</v>
      </c>
      <c r="T1401" s="48"/>
      <c r="U1401" s="49">
        <f t="shared" si="995"/>
        <v>84.839999999664727</v>
      </c>
      <c r="V1401" s="38"/>
      <c r="W1401" s="38"/>
      <c r="X1401" s="38"/>
      <c r="Y1401" s="51">
        <f t="shared" si="996"/>
        <v>84.839999999664727</v>
      </c>
      <c r="Z1401" s="52"/>
      <c r="AA1401" s="53">
        <f t="shared" si="997"/>
        <v>-7.6977357821306214E-10</v>
      </c>
      <c r="AB1401" s="38"/>
      <c r="AC1401" s="38"/>
      <c r="AD1401" s="38"/>
      <c r="AE1401" s="54">
        <f t="shared" si="998"/>
        <v>-7.6977357821306214E-10</v>
      </c>
      <c r="AF1401" s="53"/>
      <c r="AG1401" s="53">
        <f t="shared" si="999"/>
        <v>295.41000000081988</v>
      </c>
      <c r="AH1401" s="38">
        <v>18221.63</v>
      </c>
      <c r="AI1401" s="38"/>
      <c r="AJ1401" s="38"/>
      <c r="AK1401" s="54">
        <f t="shared" si="1000"/>
        <v>18517.040000000819</v>
      </c>
      <c r="AL1401" s="53"/>
      <c r="AM1401" s="53">
        <f t="shared" si="1013"/>
        <v>282.03999999999951</v>
      </c>
      <c r="AN1401" s="38"/>
      <c r="AO1401" s="38"/>
      <c r="AP1401" s="38"/>
      <c r="AQ1401" s="54">
        <f t="shared" si="966"/>
        <v>282.03999999999951</v>
      </c>
      <c r="AR1401" s="53"/>
      <c r="AS1401" s="29">
        <f t="shared" si="1006"/>
        <v>-1084795.1199999996</v>
      </c>
      <c r="AT1401" s="29">
        <f t="shared" si="1007"/>
        <v>63269.630000000005</v>
      </c>
      <c r="AU1401" s="29">
        <f t="shared" si="1008"/>
        <v>0</v>
      </c>
      <c r="AV1401" s="29">
        <f t="shared" si="1009"/>
        <v>-53805.24</v>
      </c>
      <c r="AW1401" s="29"/>
      <c r="AX1401" s="29">
        <f t="shared" si="1010"/>
        <v>-1075330.7299999997</v>
      </c>
      <c r="AY1401" s="29">
        <f t="shared" si="1001"/>
        <v>9300000</v>
      </c>
      <c r="AZ1401" s="29">
        <f t="shared" si="1002"/>
        <v>8224669.2700000005</v>
      </c>
    </row>
    <row r="1402" spans="2:52" x14ac:dyDescent="0.3">
      <c r="B1402" s="99">
        <f t="shared" si="1014"/>
        <v>46127</v>
      </c>
      <c r="C1402" s="44">
        <f t="shared" si="989"/>
        <v>92321.540000002089</v>
      </c>
      <c r="D1402" s="38">
        <v>49527.08</v>
      </c>
      <c r="E1402" s="38"/>
      <c r="F1402" s="38">
        <v>-42749.279999999999</v>
      </c>
      <c r="G1402" s="45">
        <f t="shared" si="990"/>
        <v>99099.340000002092</v>
      </c>
      <c r="H1402" s="44">
        <v>4300000</v>
      </c>
      <c r="I1402" s="46">
        <f t="shared" si="991"/>
        <v>-1186971.4700000009</v>
      </c>
      <c r="J1402" s="38">
        <v>2661073.71</v>
      </c>
      <c r="K1402" s="38">
        <v>18000</v>
      </c>
      <c r="L1402" s="38">
        <v>-234826.42</v>
      </c>
      <c r="M1402" s="47">
        <f t="shared" si="992"/>
        <v>1257275.8199999991</v>
      </c>
      <c r="N1402" s="46">
        <v>5000000</v>
      </c>
      <c r="O1402" s="48">
        <f t="shared" si="993"/>
        <v>435.27999999927124</v>
      </c>
      <c r="P1402" s="38"/>
      <c r="Q1402" s="38"/>
      <c r="R1402" s="38">
        <v>-76.84</v>
      </c>
      <c r="S1402" s="55">
        <f t="shared" si="994"/>
        <v>358.43999999927121</v>
      </c>
      <c r="T1402" s="48"/>
      <c r="U1402" s="49">
        <f t="shared" si="995"/>
        <v>84.839999999664727</v>
      </c>
      <c r="V1402" s="38"/>
      <c r="W1402" s="38"/>
      <c r="X1402" s="38"/>
      <c r="Y1402" s="51">
        <f t="shared" si="996"/>
        <v>84.839999999664727</v>
      </c>
      <c r="Z1402" s="52"/>
      <c r="AA1402" s="53">
        <f t="shared" si="997"/>
        <v>-7.6977357821306214E-10</v>
      </c>
      <c r="AB1402" s="38"/>
      <c r="AC1402" s="38"/>
      <c r="AD1402" s="38"/>
      <c r="AE1402" s="54">
        <f t="shared" si="998"/>
        <v>-7.6977357821306214E-10</v>
      </c>
      <c r="AF1402" s="53"/>
      <c r="AG1402" s="53">
        <f t="shared" si="999"/>
        <v>18517.040000000819</v>
      </c>
      <c r="AH1402" s="38"/>
      <c r="AI1402" s="38">
        <v>-18000</v>
      </c>
      <c r="AJ1402" s="38"/>
      <c r="AK1402" s="54">
        <f t="shared" si="1000"/>
        <v>517.04000000081942</v>
      </c>
      <c r="AL1402" s="53"/>
      <c r="AM1402" s="53">
        <f t="shared" si="1013"/>
        <v>282.03999999999951</v>
      </c>
      <c r="AN1402" s="38"/>
      <c r="AO1402" s="38"/>
      <c r="AP1402" s="38"/>
      <c r="AQ1402" s="54">
        <f t="shared" si="966"/>
        <v>282.03999999999951</v>
      </c>
      <c r="AR1402" s="53"/>
      <c r="AS1402" s="29">
        <f t="shared" si="1006"/>
        <v>-1075330.7299999997</v>
      </c>
      <c r="AT1402" s="29">
        <f t="shared" si="1007"/>
        <v>2710600.79</v>
      </c>
      <c r="AU1402" s="29">
        <f t="shared" si="1008"/>
        <v>0</v>
      </c>
      <c r="AV1402" s="29">
        <f t="shared" si="1009"/>
        <v>-277652.54000000004</v>
      </c>
      <c r="AW1402" s="29"/>
      <c r="AX1402" s="29">
        <f t="shared" si="1010"/>
        <v>1357617.5200000003</v>
      </c>
      <c r="AY1402" s="29">
        <f t="shared" si="1001"/>
        <v>9300000</v>
      </c>
      <c r="AZ1402" s="29">
        <f t="shared" si="1002"/>
        <v>10657617.52</v>
      </c>
    </row>
    <row r="1403" spans="2:52" x14ac:dyDescent="0.3">
      <c r="B1403" s="99">
        <f t="shared" si="1014"/>
        <v>46128</v>
      </c>
      <c r="C1403" s="44">
        <f t="shared" si="989"/>
        <v>99099.340000002092</v>
      </c>
      <c r="D1403" s="38">
        <f>34177.53+35256.18</f>
        <v>69433.709999999992</v>
      </c>
      <c r="E1403" s="38"/>
      <c r="F1403" s="38">
        <f>-16237.77-6.48-3428.3</f>
        <v>-19672.55</v>
      </c>
      <c r="G1403" s="45">
        <f t="shared" si="990"/>
        <v>148860.5000000021</v>
      </c>
      <c r="H1403" s="44">
        <v>4300000</v>
      </c>
      <c r="I1403" s="46">
        <f t="shared" si="991"/>
        <v>1257275.8199999991</v>
      </c>
      <c r="J1403" s="38">
        <f>426931+58199.09+29241.85</f>
        <v>514371.93999999994</v>
      </c>
      <c r="K1403" s="38">
        <v>839000</v>
      </c>
      <c r="L1403" s="38">
        <v>-1051614.8500000001</v>
      </c>
      <c r="M1403" s="47">
        <f t="shared" si="992"/>
        <v>1559032.9099999988</v>
      </c>
      <c r="N1403" s="46">
        <v>5000000</v>
      </c>
      <c r="O1403" s="48">
        <f t="shared" si="993"/>
        <v>358.43999999927121</v>
      </c>
      <c r="P1403" s="38">
        <f>414046.42+420743.36+33+4835.2</f>
        <v>839657.98</v>
      </c>
      <c r="Q1403" s="38">
        <v>-839000</v>
      </c>
      <c r="R1403" s="38">
        <v>-10</v>
      </c>
      <c r="S1403" s="55">
        <f t="shared" si="994"/>
        <v>1006.419999999227</v>
      </c>
      <c r="T1403" s="48"/>
      <c r="U1403" s="49">
        <f t="shared" si="995"/>
        <v>84.839999999664727</v>
      </c>
      <c r="V1403" s="38"/>
      <c r="W1403" s="38"/>
      <c r="X1403" s="38"/>
      <c r="Y1403" s="51">
        <f t="shared" si="996"/>
        <v>84.839999999664727</v>
      </c>
      <c r="Z1403" s="52"/>
      <c r="AA1403" s="53">
        <f t="shared" si="997"/>
        <v>-7.6977357821306214E-10</v>
      </c>
      <c r="AB1403" s="38"/>
      <c r="AC1403" s="38"/>
      <c r="AD1403" s="38"/>
      <c r="AE1403" s="54">
        <f t="shared" si="998"/>
        <v>-7.6977357821306214E-10</v>
      </c>
      <c r="AF1403" s="53"/>
      <c r="AG1403" s="53">
        <f t="shared" si="999"/>
        <v>517.04000000081942</v>
      </c>
      <c r="AH1403" s="38"/>
      <c r="AI1403" s="38"/>
      <c r="AJ1403" s="38">
        <v>-9.9</v>
      </c>
      <c r="AK1403" s="54">
        <f t="shared" si="1000"/>
        <v>507.14000000081944</v>
      </c>
      <c r="AL1403" s="53"/>
      <c r="AM1403" s="53">
        <f t="shared" si="1013"/>
        <v>282.03999999999951</v>
      </c>
      <c r="AN1403" s="38"/>
      <c r="AO1403" s="38"/>
      <c r="AP1403" s="38"/>
      <c r="AQ1403" s="54">
        <f t="shared" si="966"/>
        <v>282.03999999999951</v>
      </c>
      <c r="AR1403" s="53"/>
      <c r="AS1403" s="29">
        <f t="shared" si="1006"/>
        <v>1357617.5200000003</v>
      </c>
      <c r="AT1403" s="29">
        <f t="shared" si="1007"/>
        <v>1423463.63</v>
      </c>
      <c r="AU1403" s="29">
        <f t="shared" si="1008"/>
        <v>0</v>
      </c>
      <c r="AV1403" s="29">
        <f t="shared" si="1009"/>
        <v>-1071307.3</v>
      </c>
      <c r="AW1403" s="29"/>
      <c r="AX1403" s="29">
        <f t="shared" si="1010"/>
        <v>1709773.8499999999</v>
      </c>
      <c r="AY1403" s="29">
        <f t="shared" si="1001"/>
        <v>9300000</v>
      </c>
      <c r="AZ1403" s="29">
        <f t="shared" si="1002"/>
        <v>11009773.85</v>
      </c>
    </row>
    <row r="1404" spans="2:52" x14ac:dyDescent="0.3">
      <c r="B1404" s="99">
        <f t="shared" si="1014"/>
        <v>46129</v>
      </c>
      <c r="C1404" s="44">
        <f t="shared" si="989"/>
        <v>148860.5000000021</v>
      </c>
      <c r="D1404" s="38"/>
      <c r="E1404" s="38"/>
      <c r="F1404" s="38"/>
      <c r="G1404" s="45">
        <f t="shared" si="990"/>
        <v>148860.5000000021</v>
      </c>
      <c r="H1404" s="44">
        <v>4300000</v>
      </c>
      <c r="I1404" s="46">
        <f t="shared" si="991"/>
        <v>1559032.9099999988</v>
      </c>
      <c r="J1404" s="38"/>
      <c r="K1404" s="38"/>
      <c r="L1404" s="38">
        <v>-135534.91</v>
      </c>
      <c r="M1404" s="47">
        <f t="shared" si="992"/>
        <v>1423497.9999999988</v>
      </c>
      <c r="N1404" s="46">
        <v>5000000</v>
      </c>
      <c r="O1404" s="48">
        <f t="shared" si="993"/>
        <v>1006.419999999227</v>
      </c>
      <c r="P1404" s="38"/>
      <c r="Q1404" s="38"/>
      <c r="R1404" s="38"/>
      <c r="S1404" s="55">
        <f t="shared" si="994"/>
        <v>1006.419999999227</v>
      </c>
      <c r="T1404" s="48"/>
      <c r="U1404" s="49">
        <f t="shared" si="995"/>
        <v>84.839999999664727</v>
      </c>
      <c r="V1404" s="38"/>
      <c r="W1404" s="38"/>
      <c r="X1404" s="38"/>
      <c r="Y1404" s="51">
        <f t="shared" si="996"/>
        <v>84.839999999664727</v>
      </c>
      <c r="Z1404" s="52"/>
      <c r="AA1404" s="53">
        <f t="shared" si="997"/>
        <v>-7.6977357821306214E-10</v>
      </c>
      <c r="AB1404" s="38"/>
      <c r="AC1404" s="38"/>
      <c r="AD1404" s="38"/>
      <c r="AE1404" s="54">
        <f t="shared" si="998"/>
        <v>-7.6977357821306214E-10</v>
      </c>
      <c r="AF1404" s="53"/>
      <c r="AG1404" s="53">
        <f t="shared" si="999"/>
        <v>507.14000000081944</v>
      </c>
      <c r="AH1404" s="38"/>
      <c r="AI1404" s="38"/>
      <c r="AJ1404" s="38"/>
      <c r="AK1404" s="54">
        <f t="shared" si="1000"/>
        <v>507.14000000081944</v>
      </c>
      <c r="AL1404" s="53"/>
      <c r="AM1404" s="53">
        <f t="shared" si="1013"/>
        <v>282.03999999999951</v>
      </c>
      <c r="AN1404" s="38"/>
      <c r="AO1404" s="38"/>
      <c r="AP1404" s="38"/>
      <c r="AQ1404" s="54">
        <f t="shared" si="966"/>
        <v>282.03999999999951</v>
      </c>
      <c r="AR1404" s="53"/>
      <c r="AS1404" s="29">
        <f t="shared" si="1006"/>
        <v>1709773.8499999999</v>
      </c>
      <c r="AT1404" s="29">
        <f t="shared" si="1007"/>
        <v>0</v>
      </c>
      <c r="AU1404" s="29">
        <f t="shared" si="1008"/>
        <v>0</v>
      </c>
      <c r="AV1404" s="29">
        <f t="shared" si="1009"/>
        <v>-135534.91</v>
      </c>
      <c r="AW1404" s="29"/>
      <c r="AX1404" s="29">
        <f t="shared" si="1010"/>
        <v>1574238.94</v>
      </c>
      <c r="AY1404" s="29">
        <f t="shared" si="1001"/>
        <v>9300000</v>
      </c>
      <c r="AZ1404" s="29">
        <f t="shared" si="1002"/>
        <v>10874238.939999999</v>
      </c>
    </row>
    <row r="1405" spans="2:52" x14ac:dyDescent="0.3">
      <c r="B1405" s="99">
        <f>B1404+3</f>
        <v>46132</v>
      </c>
      <c r="C1405" s="44">
        <f t="shared" ref="C1405:C1468" si="1015">G1404</f>
        <v>148860.5000000021</v>
      </c>
      <c r="D1405" s="38">
        <f>25384.55</f>
        <v>25384.55</v>
      </c>
      <c r="E1405" s="38">
        <v>780000</v>
      </c>
      <c r="F1405" s="38">
        <v>-946076.85</v>
      </c>
      <c r="G1405" s="45">
        <f t="shared" ref="G1405:G1468" si="1016">SUM(C1405:F1405)</f>
        <v>8168.2000000021653</v>
      </c>
      <c r="H1405" s="44">
        <v>4300000</v>
      </c>
      <c r="I1405" s="46">
        <f t="shared" ref="I1405:I1468" si="1017">M1404</f>
        <v>1423497.9999999988</v>
      </c>
      <c r="J1405" s="38"/>
      <c r="K1405" s="38">
        <v>-780000</v>
      </c>
      <c r="L1405" s="38">
        <v>-3583251.3</v>
      </c>
      <c r="M1405" s="47">
        <f t="shared" ref="M1405:M1468" si="1018">SUM(I1405:L1405)</f>
        <v>-2939753.3000000007</v>
      </c>
      <c r="N1405" s="46">
        <v>5000000</v>
      </c>
      <c r="O1405" s="48">
        <f t="shared" ref="O1405:O1468" si="1019">S1404</f>
        <v>1006.419999999227</v>
      </c>
      <c r="P1405" s="38"/>
      <c r="Q1405" s="38"/>
      <c r="R1405" s="38">
        <v>-480</v>
      </c>
      <c r="S1405" s="55">
        <f t="shared" ref="S1405:S1468" si="1020">SUM(O1405:R1405)</f>
        <v>526.419999999227</v>
      </c>
      <c r="T1405" s="48"/>
      <c r="U1405" s="49">
        <f t="shared" ref="U1405:U1468" si="1021">Y1404</f>
        <v>84.839999999664727</v>
      </c>
      <c r="V1405" s="38"/>
      <c r="W1405" s="38"/>
      <c r="X1405" s="38"/>
      <c r="Y1405" s="51">
        <f t="shared" ref="Y1405:Y1468" si="1022">SUM(U1405:X1405)</f>
        <v>84.839999999664727</v>
      </c>
      <c r="Z1405" s="52"/>
      <c r="AA1405" s="53">
        <f t="shared" ref="AA1405:AA1468" si="1023">AE1404</f>
        <v>-7.6977357821306214E-10</v>
      </c>
      <c r="AB1405" s="38"/>
      <c r="AC1405" s="38"/>
      <c r="AD1405" s="38"/>
      <c r="AE1405" s="54">
        <f t="shared" ref="AE1405:AE1468" si="1024">SUM(AA1405:AD1405)</f>
        <v>-7.6977357821306214E-10</v>
      </c>
      <c r="AF1405" s="53"/>
      <c r="AG1405" s="53">
        <f t="shared" ref="AG1405:AG1468" si="1025">AK1404</f>
        <v>507.14000000081944</v>
      </c>
      <c r="AH1405" s="38"/>
      <c r="AI1405" s="38"/>
      <c r="AJ1405" s="38"/>
      <c r="AK1405" s="54">
        <f t="shared" ref="AK1405:AK1468" si="1026">SUM(AG1405:AJ1405)</f>
        <v>507.14000000081944</v>
      </c>
      <c r="AL1405" s="53"/>
      <c r="AM1405" s="53">
        <f t="shared" si="1013"/>
        <v>282.03999999999951</v>
      </c>
      <c r="AN1405" s="38"/>
      <c r="AO1405" s="38"/>
      <c r="AP1405" s="38"/>
      <c r="AQ1405" s="54">
        <f t="shared" si="966"/>
        <v>282.03999999999951</v>
      </c>
      <c r="AR1405" s="53"/>
      <c r="AS1405" s="29">
        <f t="shared" si="1006"/>
        <v>1574238.94</v>
      </c>
      <c r="AT1405" s="29">
        <f t="shared" si="1007"/>
        <v>25384.55</v>
      </c>
      <c r="AU1405" s="29">
        <f t="shared" si="1008"/>
        <v>0</v>
      </c>
      <c r="AV1405" s="29">
        <f t="shared" si="1009"/>
        <v>-4529808.1499999994</v>
      </c>
      <c r="AW1405" s="29"/>
      <c r="AX1405" s="29">
        <f t="shared" si="1010"/>
        <v>-2930184.66</v>
      </c>
      <c r="AY1405" s="29">
        <f t="shared" ref="AY1405:AY1468" si="1027">SUM(H1405,N1405,T1405,Z1405,AF1405,AL1405)</f>
        <v>9300000</v>
      </c>
      <c r="AZ1405" s="29">
        <f t="shared" ref="AZ1405:AZ1468" si="1028">AX1405+AY1405</f>
        <v>6369815.3399999999</v>
      </c>
    </row>
    <row r="1406" spans="2:52" x14ac:dyDescent="0.3">
      <c r="B1406" s="99">
        <f t="shared" ref="B1406:B1409" si="1029">B1405+1</f>
        <v>46133</v>
      </c>
      <c r="C1406" s="44">
        <f t="shared" si="1015"/>
        <v>8168.2000000021653</v>
      </c>
      <c r="D1406" s="38"/>
      <c r="E1406" s="38"/>
      <c r="F1406" s="38"/>
      <c r="G1406" s="45">
        <f t="shared" si="1016"/>
        <v>8168.2000000021653</v>
      </c>
      <c r="H1406" s="44">
        <v>4300000</v>
      </c>
      <c r="I1406" s="46">
        <f t="shared" si="1017"/>
        <v>-2939753.3000000007</v>
      </c>
      <c r="J1406" s="38"/>
      <c r="K1406" s="38"/>
      <c r="L1406" s="38"/>
      <c r="M1406" s="47">
        <f t="shared" si="1018"/>
        <v>-2939753.3000000007</v>
      </c>
      <c r="N1406" s="46">
        <v>5000000</v>
      </c>
      <c r="O1406" s="48">
        <f t="shared" si="1019"/>
        <v>526.419999999227</v>
      </c>
      <c r="P1406" s="38"/>
      <c r="Q1406" s="38"/>
      <c r="R1406" s="38"/>
      <c r="S1406" s="55">
        <f t="shared" si="1020"/>
        <v>526.419999999227</v>
      </c>
      <c r="T1406" s="48"/>
      <c r="U1406" s="49">
        <f t="shared" si="1021"/>
        <v>84.839999999664727</v>
      </c>
      <c r="V1406" s="38"/>
      <c r="W1406" s="38"/>
      <c r="X1406" s="38"/>
      <c r="Y1406" s="51">
        <f t="shared" si="1022"/>
        <v>84.839999999664727</v>
      </c>
      <c r="Z1406" s="52"/>
      <c r="AA1406" s="53">
        <f t="shared" si="1023"/>
        <v>-7.6977357821306214E-10</v>
      </c>
      <c r="AB1406" s="38"/>
      <c r="AC1406" s="38"/>
      <c r="AD1406" s="38"/>
      <c r="AE1406" s="54">
        <f t="shared" si="1024"/>
        <v>-7.6977357821306214E-10</v>
      </c>
      <c r="AF1406" s="53"/>
      <c r="AG1406" s="53">
        <f t="shared" si="1025"/>
        <v>507.14000000081944</v>
      </c>
      <c r="AH1406" s="38"/>
      <c r="AI1406" s="38"/>
      <c r="AJ1406" s="38"/>
      <c r="AK1406" s="54">
        <f t="shared" si="1026"/>
        <v>507.14000000081944</v>
      </c>
      <c r="AL1406" s="53"/>
      <c r="AM1406" s="53">
        <f t="shared" si="1013"/>
        <v>282.03999999999951</v>
      </c>
      <c r="AN1406" s="38"/>
      <c r="AO1406" s="38"/>
      <c r="AP1406" s="38"/>
      <c r="AQ1406" s="54">
        <f t="shared" si="966"/>
        <v>282.03999999999951</v>
      </c>
      <c r="AR1406" s="53"/>
      <c r="AS1406" s="29">
        <f t="shared" si="1006"/>
        <v>-2930184.66</v>
      </c>
      <c r="AT1406" s="29">
        <f t="shared" si="1007"/>
        <v>0</v>
      </c>
      <c r="AU1406" s="29">
        <f t="shared" si="1008"/>
        <v>0</v>
      </c>
      <c r="AV1406" s="29">
        <f t="shared" si="1009"/>
        <v>0</v>
      </c>
      <c r="AW1406" s="29"/>
      <c r="AX1406" s="29">
        <f t="shared" si="1010"/>
        <v>-2930184.66</v>
      </c>
      <c r="AY1406" s="29">
        <f t="shared" si="1027"/>
        <v>9300000</v>
      </c>
      <c r="AZ1406" s="29">
        <f t="shared" si="1028"/>
        <v>6369815.3399999999</v>
      </c>
    </row>
    <row r="1407" spans="2:52" x14ac:dyDescent="0.3">
      <c r="B1407" s="99">
        <f t="shared" si="1029"/>
        <v>46134</v>
      </c>
      <c r="C1407" s="44">
        <f t="shared" si="1015"/>
        <v>8168.2000000021653</v>
      </c>
      <c r="D1407" s="38">
        <v>194572.75</v>
      </c>
      <c r="E1407" s="38">
        <v>-160000</v>
      </c>
      <c r="F1407" s="38"/>
      <c r="G1407" s="45">
        <f t="shared" si="1016"/>
        <v>42740.950000002165</v>
      </c>
      <c r="H1407" s="44">
        <v>4300000</v>
      </c>
      <c r="I1407" s="46">
        <f t="shared" si="1017"/>
        <v>-2939753.3000000007</v>
      </c>
      <c r="J1407" s="38"/>
      <c r="K1407" s="38">
        <v>160000</v>
      </c>
      <c r="L1407" s="38">
        <v>-142133.75</v>
      </c>
      <c r="M1407" s="47">
        <f t="shared" si="1018"/>
        <v>-2921887.0500000007</v>
      </c>
      <c r="N1407" s="46">
        <v>5000000</v>
      </c>
      <c r="O1407" s="48">
        <f t="shared" si="1019"/>
        <v>526.419999999227</v>
      </c>
      <c r="P1407" s="38"/>
      <c r="Q1407" s="38"/>
      <c r="R1407" s="38"/>
      <c r="S1407" s="55">
        <f t="shared" si="1020"/>
        <v>526.419999999227</v>
      </c>
      <c r="T1407" s="48"/>
      <c r="U1407" s="49">
        <f t="shared" si="1021"/>
        <v>84.839999999664727</v>
      </c>
      <c r="V1407" s="38"/>
      <c r="W1407" s="38"/>
      <c r="X1407" s="38"/>
      <c r="Y1407" s="51">
        <f t="shared" si="1022"/>
        <v>84.839999999664727</v>
      </c>
      <c r="Z1407" s="52"/>
      <c r="AA1407" s="53">
        <f t="shared" si="1023"/>
        <v>-7.6977357821306214E-10</v>
      </c>
      <c r="AB1407" s="38"/>
      <c r="AC1407" s="38"/>
      <c r="AD1407" s="38"/>
      <c r="AE1407" s="54">
        <f t="shared" si="1024"/>
        <v>-7.6977357821306214E-10</v>
      </c>
      <c r="AF1407" s="53"/>
      <c r="AG1407" s="53">
        <f t="shared" si="1025"/>
        <v>507.14000000081944</v>
      </c>
      <c r="AH1407" s="38"/>
      <c r="AI1407" s="38"/>
      <c r="AJ1407" s="38"/>
      <c r="AK1407" s="54">
        <f t="shared" si="1026"/>
        <v>507.14000000081944</v>
      </c>
      <c r="AL1407" s="53"/>
      <c r="AM1407" s="53">
        <f t="shared" si="1013"/>
        <v>282.03999999999951</v>
      </c>
      <c r="AN1407" s="38"/>
      <c r="AO1407" s="38"/>
      <c r="AP1407" s="38"/>
      <c r="AQ1407" s="54">
        <f t="shared" si="966"/>
        <v>282.03999999999951</v>
      </c>
      <c r="AR1407" s="53"/>
      <c r="AS1407" s="29">
        <f t="shared" si="1006"/>
        <v>-2930184.66</v>
      </c>
      <c r="AT1407" s="29">
        <f t="shared" si="1007"/>
        <v>194572.75</v>
      </c>
      <c r="AU1407" s="29">
        <f t="shared" si="1008"/>
        <v>0</v>
      </c>
      <c r="AV1407" s="29">
        <f t="shared" si="1009"/>
        <v>-142133.75</v>
      </c>
      <c r="AW1407" s="29"/>
      <c r="AX1407" s="29">
        <f t="shared" si="1010"/>
        <v>-2877745.66</v>
      </c>
      <c r="AY1407" s="29">
        <f t="shared" si="1027"/>
        <v>9300000</v>
      </c>
      <c r="AZ1407" s="29">
        <f t="shared" si="1028"/>
        <v>6422254.3399999999</v>
      </c>
    </row>
    <row r="1408" spans="2:52" x14ac:dyDescent="0.3">
      <c r="B1408" s="99">
        <f t="shared" si="1029"/>
        <v>46135</v>
      </c>
      <c r="C1408" s="44">
        <f t="shared" si="1015"/>
        <v>42740.950000002165</v>
      </c>
      <c r="D1408" s="38">
        <v>356479.94</v>
      </c>
      <c r="E1408" s="38"/>
      <c r="F1408" s="38"/>
      <c r="G1408" s="45">
        <f t="shared" si="1016"/>
        <v>399220.89000000217</v>
      </c>
      <c r="H1408" s="44">
        <v>4300000</v>
      </c>
      <c r="I1408" s="46">
        <f t="shared" si="1017"/>
        <v>-2921887.0500000007</v>
      </c>
      <c r="J1408" s="38"/>
      <c r="K1408" s="38"/>
      <c r="L1408" s="38">
        <v>-10247.780000000001</v>
      </c>
      <c r="M1408" s="47">
        <f t="shared" si="1018"/>
        <v>-2932134.8300000005</v>
      </c>
      <c r="N1408" s="46">
        <v>5000000</v>
      </c>
      <c r="O1408" s="48">
        <f t="shared" si="1019"/>
        <v>526.419999999227</v>
      </c>
      <c r="P1408" s="38"/>
      <c r="Q1408" s="38"/>
      <c r="R1408" s="38"/>
      <c r="S1408" s="55">
        <f t="shared" si="1020"/>
        <v>526.419999999227</v>
      </c>
      <c r="T1408" s="48"/>
      <c r="U1408" s="49">
        <f t="shared" si="1021"/>
        <v>84.839999999664727</v>
      </c>
      <c r="V1408" s="38"/>
      <c r="W1408" s="38"/>
      <c r="X1408" s="38"/>
      <c r="Y1408" s="51">
        <f t="shared" si="1022"/>
        <v>84.839999999664727</v>
      </c>
      <c r="Z1408" s="52"/>
      <c r="AA1408" s="53">
        <f t="shared" si="1023"/>
        <v>-7.6977357821306214E-10</v>
      </c>
      <c r="AB1408" s="38"/>
      <c r="AC1408" s="38"/>
      <c r="AD1408" s="38"/>
      <c r="AE1408" s="54">
        <f t="shared" si="1024"/>
        <v>-7.6977357821306214E-10</v>
      </c>
      <c r="AF1408" s="53"/>
      <c r="AG1408" s="53">
        <f t="shared" si="1025"/>
        <v>507.14000000081944</v>
      </c>
      <c r="AH1408" s="38"/>
      <c r="AI1408" s="38"/>
      <c r="AJ1408" s="38"/>
      <c r="AK1408" s="54">
        <f t="shared" si="1026"/>
        <v>507.14000000081944</v>
      </c>
      <c r="AL1408" s="53"/>
      <c r="AM1408" s="53">
        <f t="shared" si="1013"/>
        <v>282.03999999999951</v>
      </c>
      <c r="AN1408" s="38"/>
      <c r="AO1408" s="38"/>
      <c r="AP1408" s="38"/>
      <c r="AQ1408" s="54">
        <f t="shared" si="966"/>
        <v>282.03999999999951</v>
      </c>
      <c r="AR1408" s="53"/>
      <c r="AS1408" s="29">
        <f t="shared" si="1006"/>
        <v>-2877745.66</v>
      </c>
      <c r="AT1408" s="29">
        <f t="shared" si="1007"/>
        <v>356479.94</v>
      </c>
      <c r="AU1408" s="29">
        <f t="shared" si="1008"/>
        <v>0</v>
      </c>
      <c r="AV1408" s="29">
        <f t="shared" si="1009"/>
        <v>-10247.780000000001</v>
      </c>
      <c r="AW1408" s="29"/>
      <c r="AX1408" s="29">
        <f t="shared" si="1010"/>
        <v>-2531513.5</v>
      </c>
      <c r="AY1408" s="29">
        <f t="shared" si="1027"/>
        <v>9300000</v>
      </c>
      <c r="AZ1408" s="29">
        <f t="shared" si="1028"/>
        <v>6768486.5</v>
      </c>
    </row>
    <row r="1409" spans="2:52" x14ac:dyDescent="0.3">
      <c r="B1409" s="99">
        <f t="shared" si="1029"/>
        <v>46136</v>
      </c>
      <c r="C1409" s="44">
        <f t="shared" si="1015"/>
        <v>399220.89000000217</v>
      </c>
      <c r="D1409" s="38">
        <v>41672.699999999997</v>
      </c>
      <c r="E1409" s="38"/>
      <c r="F1409" s="38"/>
      <c r="G1409" s="45">
        <f t="shared" si="1016"/>
        <v>440893.59000000218</v>
      </c>
      <c r="H1409" s="44">
        <v>4300000</v>
      </c>
      <c r="I1409" s="46">
        <f t="shared" si="1017"/>
        <v>-2932134.8300000005</v>
      </c>
      <c r="J1409" s="38">
        <v>275919.90999999997</v>
      </c>
      <c r="K1409" s="38"/>
      <c r="L1409" s="38">
        <v>-164967.38</v>
      </c>
      <c r="M1409" s="47">
        <f t="shared" si="1018"/>
        <v>-2821182.3000000003</v>
      </c>
      <c r="N1409" s="46">
        <v>5000000</v>
      </c>
      <c r="O1409" s="48">
        <f t="shared" si="1019"/>
        <v>526.419999999227</v>
      </c>
      <c r="P1409" s="38">
        <f>87689.66+115131.6</f>
        <v>202821.26</v>
      </c>
      <c r="Q1409" s="38"/>
      <c r="R1409" s="38"/>
      <c r="S1409" s="55">
        <f t="shared" si="1020"/>
        <v>203347.67999999924</v>
      </c>
      <c r="T1409" s="48"/>
      <c r="U1409" s="49">
        <f t="shared" si="1021"/>
        <v>84.839999999664727</v>
      </c>
      <c r="V1409" s="38"/>
      <c r="W1409" s="38"/>
      <c r="X1409" s="38"/>
      <c r="Y1409" s="51">
        <f t="shared" si="1022"/>
        <v>84.839999999664727</v>
      </c>
      <c r="Z1409" s="52"/>
      <c r="AA1409" s="53">
        <f t="shared" si="1023"/>
        <v>-7.6977357821306214E-10</v>
      </c>
      <c r="AB1409" s="38"/>
      <c r="AC1409" s="38"/>
      <c r="AD1409" s="38"/>
      <c r="AE1409" s="54">
        <f t="shared" si="1024"/>
        <v>-7.6977357821306214E-10</v>
      </c>
      <c r="AF1409" s="53"/>
      <c r="AG1409" s="53">
        <f t="shared" si="1025"/>
        <v>507.14000000081944</v>
      </c>
      <c r="AH1409" s="38"/>
      <c r="AI1409" s="38"/>
      <c r="AJ1409" s="38"/>
      <c r="AK1409" s="54">
        <f t="shared" si="1026"/>
        <v>507.14000000081944</v>
      </c>
      <c r="AL1409" s="53"/>
      <c r="AM1409" s="53">
        <f t="shared" si="1013"/>
        <v>282.03999999999951</v>
      </c>
      <c r="AN1409" s="38"/>
      <c r="AO1409" s="38"/>
      <c r="AP1409" s="38"/>
      <c r="AQ1409" s="54">
        <f t="shared" ref="AQ1409:AQ1472" si="1030">SUM(AL1409:AP1409)</f>
        <v>282.03999999999951</v>
      </c>
      <c r="AR1409" s="53"/>
      <c r="AS1409" s="29">
        <f t="shared" si="1006"/>
        <v>-2531513.5</v>
      </c>
      <c r="AT1409" s="29">
        <f t="shared" si="1007"/>
        <v>520413.87</v>
      </c>
      <c r="AU1409" s="29">
        <f t="shared" si="1008"/>
        <v>0</v>
      </c>
      <c r="AV1409" s="29">
        <f t="shared" si="1009"/>
        <v>-164967.38</v>
      </c>
      <c r="AW1409" s="29"/>
      <c r="AX1409" s="29">
        <f t="shared" si="1010"/>
        <v>-2176067.0099999993</v>
      </c>
      <c r="AY1409" s="29">
        <f t="shared" si="1027"/>
        <v>9300000</v>
      </c>
      <c r="AZ1409" s="29">
        <f t="shared" si="1028"/>
        <v>7123932.9900000002</v>
      </c>
    </row>
    <row r="1410" spans="2:52" x14ac:dyDescent="0.3">
      <c r="B1410" s="99">
        <f>B1409+3</f>
        <v>46139</v>
      </c>
      <c r="C1410" s="44">
        <f t="shared" si="1015"/>
        <v>440893.59000000218</v>
      </c>
      <c r="D1410" s="38">
        <v>848005.3</v>
      </c>
      <c r="E1410" s="38"/>
      <c r="F1410" s="38">
        <v>-87052.14</v>
      </c>
      <c r="G1410" s="45">
        <f t="shared" si="1016"/>
        <v>1201846.7500000023</v>
      </c>
      <c r="H1410" s="44">
        <v>4300000</v>
      </c>
      <c r="I1410" s="46">
        <f t="shared" si="1017"/>
        <v>-2821182.3000000003</v>
      </c>
      <c r="J1410" s="38">
        <v>21566.63</v>
      </c>
      <c r="K1410" s="38">
        <v>1416000</v>
      </c>
      <c r="L1410" s="38">
        <v>-332729.61</v>
      </c>
      <c r="M1410" s="47">
        <f t="shared" si="1018"/>
        <v>-1716345.2800000003</v>
      </c>
      <c r="N1410" s="46">
        <v>5000000</v>
      </c>
      <c r="O1410" s="48">
        <f t="shared" si="1019"/>
        <v>203347.67999999924</v>
      </c>
      <c r="P1410" s="38">
        <f>554139.47+292321.34+151543.66+215339.88</f>
        <v>1213344.3500000001</v>
      </c>
      <c r="Q1410" s="38">
        <v>-1416000</v>
      </c>
      <c r="R1410" s="38">
        <v>-149.19999999999999</v>
      </c>
      <c r="S1410" s="55">
        <f t="shared" si="1020"/>
        <v>542.8299999993294</v>
      </c>
      <c r="T1410" s="48"/>
      <c r="U1410" s="49">
        <f t="shared" si="1021"/>
        <v>84.839999999664727</v>
      </c>
      <c r="V1410" s="38"/>
      <c r="W1410" s="38"/>
      <c r="X1410" s="38">
        <v>-66.2</v>
      </c>
      <c r="Y1410" s="51">
        <f t="shared" si="1022"/>
        <v>18.639999999664724</v>
      </c>
      <c r="Z1410" s="52"/>
      <c r="AA1410" s="53">
        <f t="shared" si="1023"/>
        <v>-7.6977357821306214E-10</v>
      </c>
      <c r="AB1410" s="38"/>
      <c r="AC1410" s="38"/>
      <c r="AD1410" s="38"/>
      <c r="AE1410" s="54">
        <f t="shared" si="1024"/>
        <v>-7.6977357821306214E-10</v>
      </c>
      <c r="AF1410" s="53"/>
      <c r="AG1410" s="53">
        <f t="shared" si="1025"/>
        <v>507.14000000081944</v>
      </c>
      <c r="AH1410" s="38">
        <v>23388.31</v>
      </c>
      <c r="AI1410" s="38"/>
      <c r="AJ1410" s="38"/>
      <c r="AK1410" s="54">
        <f t="shared" si="1026"/>
        <v>23895.450000000819</v>
      </c>
      <c r="AL1410" s="53"/>
      <c r="AM1410" s="53">
        <f t="shared" si="1013"/>
        <v>282.03999999999951</v>
      </c>
      <c r="AN1410" s="38"/>
      <c r="AO1410" s="38"/>
      <c r="AP1410" s="38"/>
      <c r="AQ1410" s="54">
        <f t="shared" si="1030"/>
        <v>282.03999999999951</v>
      </c>
      <c r="AR1410" s="53"/>
      <c r="AS1410" s="29">
        <f t="shared" si="1006"/>
        <v>-2176067.0099999993</v>
      </c>
      <c r="AT1410" s="29">
        <f t="shared" si="1007"/>
        <v>2106304.5900000003</v>
      </c>
      <c r="AU1410" s="29">
        <f t="shared" si="1008"/>
        <v>0</v>
      </c>
      <c r="AV1410" s="29">
        <f t="shared" si="1009"/>
        <v>-419997.15</v>
      </c>
      <c r="AW1410" s="29"/>
      <c r="AX1410" s="29">
        <f t="shared" si="1010"/>
        <v>-489759.5699999989</v>
      </c>
      <c r="AY1410" s="29">
        <f t="shared" si="1027"/>
        <v>9300000</v>
      </c>
      <c r="AZ1410" s="29">
        <f t="shared" si="1028"/>
        <v>8810240.4300000016</v>
      </c>
    </row>
    <row r="1411" spans="2:52" x14ac:dyDescent="0.3">
      <c r="B1411" s="99">
        <f t="shared" ref="B1411:B1414" si="1031">B1410+1</f>
        <v>46140</v>
      </c>
      <c r="C1411" s="44">
        <f t="shared" si="1015"/>
        <v>1201846.7500000023</v>
      </c>
      <c r="D1411" s="38"/>
      <c r="E1411" s="38"/>
      <c r="F1411" s="38"/>
      <c r="G1411" s="45">
        <f t="shared" si="1016"/>
        <v>1201846.7500000023</v>
      </c>
      <c r="H1411" s="44">
        <v>4300000</v>
      </c>
      <c r="I1411" s="46">
        <f t="shared" si="1017"/>
        <v>-1716345.2800000003</v>
      </c>
      <c r="J1411" s="38"/>
      <c r="K1411" s="38">
        <f>2425328.56</f>
        <v>2425328.56</v>
      </c>
      <c r="L1411" s="38">
        <v>-1574176.3</v>
      </c>
      <c r="M1411" s="47">
        <f t="shared" si="1018"/>
        <v>-865193.02000000025</v>
      </c>
      <c r="N1411" s="46">
        <v>5000000</v>
      </c>
      <c r="O1411" s="48">
        <f t="shared" si="1019"/>
        <v>542.8299999993294</v>
      </c>
      <c r="P1411" s="38">
        <v>131385.73000000001</v>
      </c>
      <c r="Q1411" s="38">
        <f>2295400-2425328.56</f>
        <v>-129928.56000000006</v>
      </c>
      <c r="R1411" s="38">
        <v>-220</v>
      </c>
      <c r="S1411" s="55">
        <f t="shared" si="1020"/>
        <v>1779.9999999992724</v>
      </c>
      <c r="T1411" s="48"/>
      <c r="U1411" s="49">
        <f t="shared" si="1021"/>
        <v>18.639999999664724</v>
      </c>
      <c r="V1411" s="38">
        <v>2295525.7999999998</v>
      </c>
      <c r="W1411" s="38">
        <v>-2295400</v>
      </c>
      <c r="X1411" s="38">
        <v>-1.7</v>
      </c>
      <c r="Y1411" s="51">
        <f t="shared" si="1022"/>
        <v>142.73999999947847</v>
      </c>
      <c r="Z1411" s="52"/>
      <c r="AA1411" s="53">
        <f t="shared" si="1023"/>
        <v>-7.6977357821306214E-10</v>
      </c>
      <c r="AB1411" s="38"/>
      <c r="AC1411" s="38"/>
      <c r="AD1411" s="38"/>
      <c r="AE1411" s="54">
        <f t="shared" si="1024"/>
        <v>-7.6977357821306214E-10</v>
      </c>
      <c r="AF1411" s="53"/>
      <c r="AG1411" s="53">
        <f t="shared" si="1025"/>
        <v>23895.450000000819</v>
      </c>
      <c r="AH1411" s="38">
        <v>44275.43</v>
      </c>
      <c r="AI1411" s="38"/>
      <c r="AJ1411" s="38"/>
      <c r="AK1411" s="54">
        <f t="shared" si="1026"/>
        <v>68170.88000000082</v>
      </c>
      <c r="AL1411" s="53"/>
      <c r="AM1411" s="53">
        <f t="shared" si="1013"/>
        <v>282.03999999999951</v>
      </c>
      <c r="AN1411" s="38"/>
      <c r="AO1411" s="38"/>
      <c r="AP1411" s="38"/>
      <c r="AQ1411" s="54">
        <f t="shared" si="1030"/>
        <v>282.03999999999951</v>
      </c>
      <c r="AR1411" s="53"/>
      <c r="AS1411" s="29">
        <f t="shared" si="1006"/>
        <v>-489759.5699999989</v>
      </c>
      <c r="AT1411" s="29">
        <f t="shared" si="1007"/>
        <v>2471186.96</v>
      </c>
      <c r="AU1411" s="29">
        <f t="shared" si="1008"/>
        <v>0</v>
      </c>
      <c r="AV1411" s="29">
        <f t="shared" si="1009"/>
        <v>-1574398</v>
      </c>
      <c r="AW1411" s="29"/>
      <c r="AX1411" s="29">
        <f t="shared" si="1010"/>
        <v>407029.39000000089</v>
      </c>
      <c r="AY1411" s="29">
        <f t="shared" si="1027"/>
        <v>9300000</v>
      </c>
      <c r="AZ1411" s="29">
        <f t="shared" si="1028"/>
        <v>9707029.3900000006</v>
      </c>
    </row>
    <row r="1412" spans="2:52" x14ac:dyDescent="0.3">
      <c r="B1412" s="99">
        <f t="shared" si="1031"/>
        <v>46141</v>
      </c>
      <c r="C1412" s="44">
        <f t="shared" si="1015"/>
        <v>1201846.7500000023</v>
      </c>
      <c r="D1412" s="38">
        <v>500746.61</v>
      </c>
      <c r="E1412" s="38"/>
      <c r="F1412" s="38"/>
      <c r="G1412" s="45">
        <f t="shared" si="1016"/>
        <v>1702593.3600000022</v>
      </c>
      <c r="H1412" s="44">
        <v>4300000</v>
      </c>
      <c r="I1412" s="46">
        <f t="shared" si="1017"/>
        <v>-865193.02000000025</v>
      </c>
      <c r="J1412" s="38">
        <v>10332.6</v>
      </c>
      <c r="K1412" s="38">
        <f>386000+1722000</f>
        <v>2108000</v>
      </c>
      <c r="L1412" s="38"/>
      <c r="M1412" s="47">
        <f t="shared" si="1018"/>
        <v>1253139.5799999996</v>
      </c>
      <c r="N1412" s="46">
        <v>5000000</v>
      </c>
      <c r="O1412" s="48">
        <f t="shared" si="1019"/>
        <v>1779.9999999992724</v>
      </c>
      <c r="P1412" s="38">
        <f>53820+331158.67</f>
        <v>384978.67</v>
      </c>
      <c r="Q1412" s="38">
        <f>-386000</f>
        <v>-386000</v>
      </c>
      <c r="R1412" s="38">
        <v>-10</v>
      </c>
      <c r="S1412" s="55">
        <f t="shared" si="1020"/>
        <v>748.669999999227</v>
      </c>
      <c r="T1412" s="48"/>
      <c r="U1412" s="49">
        <f t="shared" si="1021"/>
        <v>142.73999999947847</v>
      </c>
      <c r="V1412" s="38"/>
      <c r="W1412" s="38"/>
      <c r="X1412" s="38"/>
      <c r="Y1412" s="51">
        <f t="shared" si="1022"/>
        <v>142.73999999947847</v>
      </c>
      <c r="Z1412" s="52"/>
      <c r="AA1412" s="53">
        <f t="shared" si="1023"/>
        <v>-7.6977357821306214E-10</v>
      </c>
      <c r="AB1412" s="38"/>
      <c r="AC1412" s="38"/>
      <c r="AD1412" s="38"/>
      <c r="AE1412" s="54">
        <f t="shared" si="1024"/>
        <v>-7.6977357821306214E-10</v>
      </c>
      <c r="AF1412" s="53"/>
      <c r="AG1412" s="53">
        <f t="shared" si="1025"/>
        <v>68170.88000000082</v>
      </c>
      <c r="AH1412" s="38">
        <f>1122409.23+284511.68+247244.39</f>
        <v>1654165.2999999998</v>
      </c>
      <c r="AI1412" s="38">
        <v>-1722000</v>
      </c>
      <c r="AJ1412" s="38">
        <v>-99</v>
      </c>
      <c r="AK1412" s="54">
        <f t="shared" si="1026"/>
        <v>237.1800000006333</v>
      </c>
      <c r="AL1412" s="53"/>
      <c r="AM1412" s="53">
        <f t="shared" si="1013"/>
        <v>282.03999999999951</v>
      </c>
      <c r="AN1412" s="38"/>
      <c r="AO1412" s="38"/>
      <c r="AP1412" s="38"/>
      <c r="AQ1412" s="54">
        <f t="shared" si="1030"/>
        <v>282.03999999999951</v>
      </c>
      <c r="AR1412" s="53"/>
      <c r="AS1412" s="29">
        <f t="shared" si="1006"/>
        <v>407029.39000000089</v>
      </c>
      <c r="AT1412" s="29">
        <f t="shared" si="1007"/>
        <v>2550223.1799999997</v>
      </c>
      <c r="AU1412" s="29">
        <f t="shared" si="1008"/>
        <v>0</v>
      </c>
      <c r="AV1412" s="29">
        <f t="shared" si="1009"/>
        <v>-109</v>
      </c>
      <c r="AW1412" s="29"/>
      <c r="AX1412" s="29">
        <f t="shared" si="1010"/>
        <v>2957143.5700000003</v>
      </c>
      <c r="AY1412" s="29">
        <f t="shared" si="1027"/>
        <v>9300000</v>
      </c>
      <c r="AZ1412" s="29">
        <f t="shared" si="1028"/>
        <v>12257143.57</v>
      </c>
    </row>
    <row r="1413" spans="2:52" x14ac:dyDescent="0.3">
      <c r="B1413" s="99">
        <f t="shared" si="1031"/>
        <v>46142</v>
      </c>
      <c r="C1413" s="44">
        <f t="shared" si="1015"/>
        <v>1702593.3600000022</v>
      </c>
      <c r="D1413" s="38">
        <v>323090.15999999997</v>
      </c>
      <c r="E1413" s="38">
        <v>18.329999999999998</v>
      </c>
      <c r="F1413" s="38">
        <v>-40731.14</v>
      </c>
      <c r="G1413" s="45">
        <f t="shared" si="1016"/>
        <v>1984970.7100000023</v>
      </c>
      <c r="H1413" s="44">
        <v>4300000</v>
      </c>
      <c r="I1413" s="46">
        <f t="shared" si="1017"/>
        <v>1253139.5799999996</v>
      </c>
      <c r="J1413" s="38">
        <v>2433083.5299999998</v>
      </c>
      <c r="K1413" s="38">
        <v>33006.53</v>
      </c>
      <c r="L1413" s="38">
        <v>-66482.41</v>
      </c>
      <c r="M1413" s="47">
        <f t="shared" si="1018"/>
        <v>3652747.2299999991</v>
      </c>
      <c r="N1413" s="46">
        <v>5000000</v>
      </c>
      <c r="O1413" s="48">
        <f t="shared" si="1019"/>
        <v>748.669999999227</v>
      </c>
      <c r="P1413" s="38"/>
      <c r="Q1413" s="38"/>
      <c r="R1413" s="38">
        <v>-10</v>
      </c>
      <c r="S1413" s="55">
        <f t="shared" si="1020"/>
        <v>738.669999999227</v>
      </c>
      <c r="T1413" s="48"/>
      <c r="U1413" s="49">
        <f t="shared" si="1021"/>
        <v>142.73999999947847</v>
      </c>
      <c r="V1413" s="38"/>
      <c r="W1413" s="38"/>
      <c r="X1413" s="38"/>
      <c r="Y1413" s="51">
        <f t="shared" si="1022"/>
        <v>142.73999999947847</v>
      </c>
      <c r="Z1413" s="52"/>
      <c r="AA1413" s="53">
        <f t="shared" si="1023"/>
        <v>-7.6977357821306214E-10</v>
      </c>
      <c r="AB1413" s="38"/>
      <c r="AC1413" s="38"/>
      <c r="AD1413" s="38"/>
      <c r="AE1413" s="54">
        <f t="shared" si="1024"/>
        <v>-7.6977357821306214E-10</v>
      </c>
      <c r="AF1413" s="53"/>
      <c r="AG1413" s="53">
        <f t="shared" si="1025"/>
        <v>237.1800000006333</v>
      </c>
      <c r="AH1413" s="38">
        <v>33413.599999999999</v>
      </c>
      <c r="AI1413" s="38">
        <v>-32999.94</v>
      </c>
      <c r="AJ1413" s="38">
        <v>-9.9</v>
      </c>
      <c r="AK1413" s="54">
        <f t="shared" si="1026"/>
        <v>640.94000000062954</v>
      </c>
      <c r="AL1413" s="53"/>
      <c r="AM1413" s="53">
        <f t="shared" si="1013"/>
        <v>282.03999999999951</v>
      </c>
      <c r="AN1413" s="38"/>
      <c r="AO1413" s="38">
        <v>0.46</v>
      </c>
      <c r="AP1413" s="38"/>
      <c r="AQ1413" s="54">
        <f t="shared" si="1030"/>
        <v>282.49999999999949</v>
      </c>
      <c r="AR1413" s="53"/>
      <c r="AS1413" s="29">
        <f t="shared" si="1006"/>
        <v>2957143.5700000003</v>
      </c>
      <c r="AT1413" s="29">
        <f t="shared" si="1007"/>
        <v>2789587.29</v>
      </c>
      <c r="AU1413" s="29">
        <f t="shared" si="1008"/>
        <v>25.379999999998255</v>
      </c>
      <c r="AV1413" s="29">
        <f t="shared" si="1009"/>
        <v>-107233.45</v>
      </c>
      <c r="AW1413" s="29"/>
      <c r="AX1413" s="29">
        <f t="shared" si="1010"/>
        <v>5639522.7899999991</v>
      </c>
      <c r="AY1413" s="29">
        <f t="shared" si="1027"/>
        <v>9300000</v>
      </c>
      <c r="AZ1413" s="29">
        <f t="shared" si="1028"/>
        <v>14939522.789999999</v>
      </c>
    </row>
    <row r="1414" spans="2:52" x14ac:dyDescent="0.3">
      <c r="B1414" s="99">
        <f t="shared" si="1031"/>
        <v>46143</v>
      </c>
      <c r="C1414" s="44">
        <f t="shared" si="1015"/>
        <v>1984970.7100000023</v>
      </c>
      <c r="D1414" s="38"/>
      <c r="E1414" s="38"/>
      <c r="F1414" s="38"/>
      <c r="G1414" s="45">
        <f t="shared" si="1016"/>
        <v>1984970.7100000023</v>
      </c>
      <c r="H1414" s="44">
        <v>4300000</v>
      </c>
      <c r="I1414" s="46">
        <f t="shared" si="1017"/>
        <v>3652747.2299999991</v>
      </c>
      <c r="J1414" s="38"/>
      <c r="K1414" s="38"/>
      <c r="L1414" s="38"/>
      <c r="M1414" s="47">
        <f t="shared" si="1018"/>
        <v>3652747.2299999991</v>
      </c>
      <c r="N1414" s="46">
        <v>5000000</v>
      </c>
      <c r="O1414" s="48">
        <f t="shared" si="1019"/>
        <v>738.669999999227</v>
      </c>
      <c r="P1414" s="38"/>
      <c r="Q1414" s="38"/>
      <c r="R1414" s="38"/>
      <c r="S1414" s="55">
        <f t="shared" si="1020"/>
        <v>738.669999999227</v>
      </c>
      <c r="T1414" s="48"/>
      <c r="U1414" s="49">
        <f t="shared" si="1021"/>
        <v>142.73999999947847</v>
      </c>
      <c r="V1414" s="38"/>
      <c r="W1414" s="38"/>
      <c r="X1414" s="38"/>
      <c r="Y1414" s="51">
        <f t="shared" si="1022"/>
        <v>142.73999999947847</v>
      </c>
      <c r="Z1414" s="52"/>
      <c r="AA1414" s="53">
        <f t="shared" si="1023"/>
        <v>-7.6977357821306214E-10</v>
      </c>
      <c r="AB1414" s="38"/>
      <c r="AC1414" s="38"/>
      <c r="AD1414" s="38"/>
      <c r="AE1414" s="54">
        <f t="shared" si="1024"/>
        <v>-7.6977357821306214E-10</v>
      </c>
      <c r="AF1414" s="53"/>
      <c r="AG1414" s="53">
        <f t="shared" si="1025"/>
        <v>640.94000000062954</v>
      </c>
      <c r="AH1414" s="38"/>
      <c r="AI1414" s="38"/>
      <c r="AJ1414" s="38"/>
      <c r="AK1414" s="54">
        <f t="shared" si="1026"/>
        <v>640.94000000062954</v>
      </c>
      <c r="AL1414" s="53"/>
      <c r="AM1414" s="53">
        <f t="shared" si="1013"/>
        <v>282.49999999999949</v>
      </c>
      <c r="AN1414" s="38"/>
      <c r="AO1414" s="38"/>
      <c r="AP1414" s="38"/>
      <c r="AQ1414" s="54">
        <f t="shared" si="1030"/>
        <v>282.49999999999949</v>
      </c>
      <c r="AR1414" s="53"/>
      <c r="AS1414" s="29">
        <f t="shared" si="1006"/>
        <v>5639522.7899999991</v>
      </c>
      <c r="AT1414" s="29">
        <f t="shared" si="1007"/>
        <v>0</v>
      </c>
      <c r="AU1414" s="29">
        <f t="shared" si="1008"/>
        <v>0</v>
      </c>
      <c r="AV1414" s="29">
        <f t="shared" si="1009"/>
        <v>0</v>
      </c>
      <c r="AW1414" s="29"/>
      <c r="AX1414" s="29">
        <f t="shared" si="1010"/>
        <v>5639522.7899999991</v>
      </c>
      <c r="AY1414" s="29">
        <f t="shared" si="1027"/>
        <v>9300000</v>
      </c>
      <c r="AZ1414" s="29">
        <f t="shared" si="1028"/>
        <v>14939522.789999999</v>
      </c>
    </row>
    <row r="1415" spans="2:52" x14ac:dyDescent="0.3">
      <c r="B1415" s="99">
        <f>B1414+3</f>
        <v>46146</v>
      </c>
      <c r="C1415" s="44">
        <f t="shared" si="1015"/>
        <v>1984970.7100000023</v>
      </c>
      <c r="D1415" s="38">
        <v>49646.65</v>
      </c>
      <c r="E1415" s="38"/>
      <c r="F1415" s="38">
        <v>-24758.959999999999</v>
      </c>
      <c r="G1415" s="45">
        <f t="shared" si="1016"/>
        <v>2009858.4000000022</v>
      </c>
      <c r="H1415" s="44">
        <v>4300000</v>
      </c>
      <c r="I1415" s="46">
        <f t="shared" si="1017"/>
        <v>3652747.2299999991</v>
      </c>
      <c r="J1415" s="38"/>
      <c r="K1415" s="38"/>
      <c r="L1415" s="38">
        <v>-217797.88</v>
      </c>
      <c r="M1415" s="47">
        <f t="shared" si="1018"/>
        <v>3434949.3499999992</v>
      </c>
      <c r="N1415" s="46">
        <v>5000000</v>
      </c>
      <c r="O1415" s="48">
        <f t="shared" si="1019"/>
        <v>738.669999999227</v>
      </c>
      <c r="P1415" s="38">
        <v>41786.71</v>
      </c>
      <c r="Q1415" s="38"/>
      <c r="R1415" s="38">
        <f>-1210.82</f>
        <v>-1210.82</v>
      </c>
      <c r="S1415" s="55">
        <f t="shared" si="1020"/>
        <v>41314.559999999226</v>
      </c>
      <c r="T1415" s="48"/>
      <c r="U1415" s="49">
        <f t="shared" si="1021"/>
        <v>142.73999999947847</v>
      </c>
      <c r="V1415" s="38"/>
      <c r="W1415" s="38"/>
      <c r="X1415" s="38"/>
      <c r="Y1415" s="51">
        <f t="shared" si="1022"/>
        <v>142.73999999947847</v>
      </c>
      <c r="Z1415" s="52"/>
      <c r="AA1415" s="53">
        <f t="shared" si="1023"/>
        <v>-7.6977357821306214E-10</v>
      </c>
      <c r="AB1415" s="38"/>
      <c r="AC1415" s="38"/>
      <c r="AD1415" s="38"/>
      <c r="AE1415" s="54">
        <f t="shared" si="1024"/>
        <v>-7.6977357821306214E-10</v>
      </c>
      <c r="AF1415" s="53"/>
      <c r="AG1415" s="53">
        <f t="shared" si="1025"/>
        <v>640.94000000062954</v>
      </c>
      <c r="AH1415" s="38">
        <v>38823.870000000003</v>
      </c>
      <c r="AI1415" s="38"/>
      <c r="AJ1415" s="38">
        <v>-9.9</v>
      </c>
      <c r="AK1415" s="54">
        <f t="shared" si="1026"/>
        <v>39454.910000000629</v>
      </c>
      <c r="AL1415" s="53"/>
      <c r="AM1415" s="53">
        <f t="shared" si="1013"/>
        <v>282.49999999999949</v>
      </c>
      <c r="AN1415" s="38"/>
      <c r="AO1415" s="38"/>
      <c r="AP1415" s="38"/>
      <c r="AQ1415" s="54">
        <f t="shared" si="1030"/>
        <v>282.49999999999949</v>
      </c>
      <c r="AR1415" s="53"/>
      <c r="AS1415" s="29">
        <f t="shared" si="1006"/>
        <v>5639522.7899999991</v>
      </c>
      <c r="AT1415" s="29">
        <f t="shared" si="1007"/>
        <v>130257.23000000001</v>
      </c>
      <c r="AU1415" s="29">
        <f t="shared" si="1008"/>
        <v>0</v>
      </c>
      <c r="AV1415" s="29">
        <f t="shared" si="1009"/>
        <v>-243777.56</v>
      </c>
      <c r="AW1415" s="29"/>
      <c r="AX1415" s="29">
        <f t="shared" si="1010"/>
        <v>5526002.4600000009</v>
      </c>
      <c r="AY1415" s="29">
        <f t="shared" si="1027"/>
        <v>9300000</v>
      </c>
      <c r="AZ1415" s="29">
        <f t="shared" si="1028"/>
        <v>14826002.460000001</v>
      </c>
    </row>
    <row r="1416" spans="2:52" x14ac:dyDescent="0.3">
      <c r="B1416" s="99">
        <f t="shared" ref="B1416:B1419" si="1032">B1415+1</f>
        <v>46147</v>
      </c>
      <c r="C1416" s="44">
        <f t="shared" si="1015"/>
        <v>2009858.4000000022</v>
      </c>
      <c r="D1416" s="38"/>
      <c r="E1416" s="38">
        <v>-1900000</v>
      </c>
      <c r="F1416" s="38">
        <v>-63140.99</v>
      </c>
      <c r="G1416" s="45">
        <f t="shared" si="1016"/>
        <v>46717.410000002237</v>
      </c>
      <c r="H1416" s="44">
        <v>4300000</v>
      </c>
      <c r="I1416" s="46">
        <f t="shared" si="1017"/>
        <v>3434949.3499999992</v>
      </c>
      <c r="J1416" s="38">
        <f>9457.16+115103.5+2365.15</f>
        <v>126925.81</v>
      </c>
      <c r="K1416" s="38">
        <f>1000000+39000+40000+900000</f>
        <v>1979000</v>
      </c>
      <c r="L1416" s="38">
        <v>-5981613.8099999996</v>
      </c>
      <c r="M1416" s="47">
        <f t="shared" si="1018"/>
        <v>-440738.65000000037</v>
      </c>
      <c r="N1416" s="46">
        <v>5000000</v>
      </c>
      <c r="O1416" s="48">
        <f t="shared" si="1019"/>
        <v>41314.559999999226</v>
      </c>
      <c r="P1416" s="38">
        <v>647.66</v>
      </c>
      <c r="Q1416" s="38">
        <v>-40000</v>
      </c>
      <c r="R1416" s="38">
        <v>-1736.74</v>
      </c>
      <c r="S1416" s="55">
        <f t="shared" si="1020"/>
        <v>225.4799999992299</v>
      </c>
      <c r="T1416" s="48"/>
      <c r="U1416" s="49">
        <f t="shared" si="1021"/>
        <v>142.73999999947847</v>
      </c>
      <c r="V1416" s="38"/>
      <c r="W1416" s="38"/>
      <c r="X1416" s="38">
        <v>-73</v>
      </c>
      <c r="Y1416" s="51">
        <f t="shared" si="1022"/>
        <v>69.739999999478471</v>
      </c>
      <c r="Z1416" s="52"/>
      <c r="AA1416" s="53">
        <f t="shared" si="1023"/>
        <v>-7.6977357821306214E-10</v>
      </c>
      <c r="AB1416" s="38"/>
      <c r="AC1416" s="38"/>
      <c r="AD1416" s="38"/>
      <c r="AE1416" s="54">
        <f t="shared" si="1024"/>
        <v>-7.6977357821306214E-10</v>
      </c>
      <c r="AF1416" s="53"/>
      <c r="AG1416" s="53">
        <f t="shared" si="1025"/>
        <v>39454.910000000629</v>
      </c>
      <c r="AH1416" s="38"/>
      <c r="AI1416" s="38">
        <v>-39000</v>
      </c>
      <c r="AJ1416" s="38"/>
      <c r="AK1416" s="54">
        <f t="shared" si="1026"/>
        <v>454.91000000062922</v>
      </c>
      <c r="AL1416" s="53"/>
      <c r="AM1416" s="53">
        <f t="shared" si="1013"/>
        <v>282.49999999999949</v>
      </c>
      <c r="AN1416" s="38"/>
      <c r="AO1416" s="38"/>
      <c r="AP1416" s="38"/>
      <c r="AQ1416" s="54">
        <f t="shared" si="1030"/>
        <v>282.49999999999949</v>
      </c>
      <c r="AR1416" s="53"/>
      <c r="AS1416" s="29">
        <f t="shared" si="1006"/>
        <v>5526002.4600000009</v>
      </c>
      <c r="AT1416" s="29">
        <f t="shared" si="1007"/>
        <v>127573.47</v>
      </c>
      <c r="AU1416" s="29">
        <f t="shared" si="1008"/>
        <v>0</v>
      </c>
      <c r="AV1416" s="29">
        <f t="shared" si="1009"/>
        <v>-6046564.54</v>
      </c>
      <c r="AW1416" s="29"/>
      <c r="AX1416" s="29">
        <f t="shared" si="1010"/>
        <v>-392988.60999999958</v>
      </c>
      <c r="AY1416" s="29">
        <f t="shared" si="1027"/>
        <v>9300000</v>
      </c>
      <c r="AZ1416" s="29">
        <f t="shared" si="1028"/>
        <v>8907011.3900000006</v>
      </c>
    </row>
    <row r="1417" spans="2:52" x14ac:dyDescent="0.3">
      <c r="B1417" s="99">
        <f t="shared" si="1032"/>
        <v>46148</v>
      </c>
      <c r="C1417" s="44">
        <f t="shared" si="1015"/>
        <v>46717.410000002237</v>
      </c>
      <c r="D1417" s="38"/>
      <c r="E1417" s="38"/>
      <c r="F1417" s="38"/>
      <c r="G1417" s="45">
        <f t="shared" si="1016"/>
        <v>46717.410000002237</v>
      </c>
      <c r="H1417" s="44">
        <v>4300000</v>
      </c>
      <c r="I1417" s="46">
        <f t="shared" si="1017"/>
        <v>-440738.65000000037</v>
      </c>
      <c r="J1417" s="38"/>
      <c r="K1417" s="38">
        <v>950000</v>
      </c>
      <c r="L1417" s="38">
        <v>-255281.77</v>
      </c>
      <c r="M1417" s="47">
        <f t="shared" si="1018"/>
        <v>253979.57999999964</v>
      </c>
      <c r="N1417" s="46">
        <v>5000000</v>
      </c>
      <c r="O1417" s="48">
        <f t="shared" si="1019"/>
        <v>225.4799999992299</v>
      </c>
      <c r="P1417" s="38">
        <f>24438.54+950729.47</f>
        <v>975168.01</v>
      </c>
      <c r="Q1417" s="38">
        <v>-950000</v>
      </c>
      <c r="R1417" s="38">
        <v>-10</v>
      </c>
      <c r="S1417" s="55">
        <f t="shared" si="1020"/>
        <v>25383.489999999292</v>
      </c>
      <c r="T1417" s="48"/>
      <c r="U1417" s="49">
        <f t="shared" si="1021"/>
        <v>69.739999999478471</v>
      </c>
      <c r="V1417" s="38"/>
      <c r="W1417" s="38"/>
      <c r="X1417" s="38"/>
      <c r="Y1417" s="51">
        <f t="shared" si="1022"/>
        <v>69.739999999478471</v>
      </c>
      <c r="Z1417" s="52"/>
      <c r="AA1417" s="53">
        <f t="shared" si="1023"/>
        <v>-7.6977357821306214E-10</v>
      </c>
      <c r="AB1417" s="38"/>
      <c r="AC1417" s="38"/>
      <c r="AD1417" s="38"/>
      <c r="AE1417" s="54">
        <f t="shared" si="1024"/>
        <v>-7.6977357821306214E-10</v>
      </c>
      <c r="AF1417" s="53"/>
      <c r="AG1417" s="53">
        <f t="shared" si="1025"/>
        <v>454.91000000062922</v>
      </c>
      <c r="AH1417" s="38"/>
      <c r="AI1417" s="38"/>
      <c r="AJ1417" s="38">
        <v>-9.9</v>
      </c>
      <c r="AK1417" s="54">
        <f t="shared" si="1026"/>
        <v>445.01000000062925</v>
      </c>
      <c r="AL1417" s="53"/>
      <c r="AM1417" s="53">
        <f t="shared" si="1013"/>
        <v>282.49999999999949</v>
      </c>
      <c r="AN1417" s="38"/>
      <c r="AO1417" s="38"/>
      <c r="AP1417" s="38"/>
      <c r="AQ1417" s="54">
        <f t="shared" si="1030"/>
        <v>282.49999999999949</v>
      </c>
      <c r="AR1417" s="53"/>
      <c r="AS1417" s="29">
        <f t="shared" si="1006"/>
        <v>-392988.60999999958</v>
      </c>
      <c r="AT1417" s="29">
        <f t="shared" si="1007"/>
        <v>975168.01</v>
      </c>
      <c r="AU1417" s="29">
        <f t="shared" si="1008"/>
        <v>0</v>
      </c>
      <c r="AV1417" s="29">
        <f t="shared" si="1009"/>
        <v>-255301.66999999998</v>
      </c>
      <c r="AW1417" s="29"/>
      <c r="AX1417" s="29">
        <f t="shared" si="1010"/>
        <v>326877.73000000051</v>
      </c>
      <c r="AY1417" s="29">
        <f t="shared" si="1027"/>
        <v>9300000</v>
      </c>
      <c r="AZ1417" s="29">
        <f t="shared" si="1028"/>
        <v>9626877.7300000004</v>
      </c>
    </row>
    <row r="1418" spans="2:52" x14ac:dyDescent="0.3">
      <c r="B1418" s="99">
        <f t="shared" si="1032"/>
        <v>46149</v>
      </c>
      <c r="C1418" s="44">
        <f t="shared" si="1015"/>
        <v>46717.410000002237</v>
      </c>
      <c r="D1418" s="38">
        <v>49414.15</v>
      </c>
      <c r="E1418" s="38"/>
      <c r="F1418" s="38">
        <f>-0.21-49.15-17227.42</f>
        <v>-17276.78</v>
      </c>
      <c r="G1418" s="45">
        <f t="shared" si="1016"/>
        <v>78854.78000000224</v>
      </c>
      <c r="H1418" s="44">
        <v>4300000</v>
      </c>
      <c r="I1418" s="46">
        <f t="shared" si="1017"/>
        <v>253979.57999999964</v>
      </c>
      <c r="J1418" s="38">
        <v>100</v>
      </c>
      <c r="K1418" s="38">
        <v>25000</v>
      </c>
      <c r="L1418" s="38">
        <v>-251839.81</v>
      </c>
      <c r="M1418" s="47">
        <f t="shared" si="1018"/>
        <v>27239.769999999611</v>
      </c>
      <c r="N1418" s="46">
        <v>5000000</v>
      </c>
      <c r="O1418" s="48">
        <f t="shared" si="1019"/>
        <v>25383.489999999292</v>
      </c>
      <c r="P1418" s="38"/>
      <c r="Q1418" s="38">
        <v>-25000</v>
      </c>
      <c r="R1418" s="38">
        <v>-10</v>
      </c>
      <c r="S1418" s="55">
        <f t="shared" si="1020"/>
        <v>373.48999999929219</v>
      </c>
      <c r="T1418" s="48"/>
      <c r="U1418" s="49">
        <f t="shared" si="1021"/>
        <v>69.739999999478471</v>
      </c>
      <c r="V1418" s="38"/>
      <c r="W1418" s="38"/>
      <c r="X1418" s="38"/>
      <c r="Y1418" s="51">
        <f t="shared" si="1022"/>
        <v>69.739999999478471</v>
      </c>
      <c r="Z1418" s="52"/>
      <c r="AA1418" s="53">
        <f t="shared" si="1023"/>
        <v>-7.6977357821306214E-10</v>
      </c>
      <c r="AB1418" s="38"/>
      <c r="AC1418" s="38"/>
      <c r="AD1418" s="38"/>
      <c r="AE1418" s="54">
        <f t="shared" si="1024"/>
        <v>-7.6977357821306214E-10</v>
      </c>
      <c r="AF1418" s="53"/>
      <c r="AG1418" s="53">
        <f t="shared" si="1025"/>
        <v>445.01000000062925</v>
      </c>
      <c r="AH1418" s="38"/>
      <c r="AI1418" s="38"/>
      <c r="AJ1418" s="38"/>
      <c r="AK1418" s="54">
        <f t="shared" si="1026"/>
        <v>445.01000000062925</v>
      </c>
      <c r="AL1418" s="53"/>
      <c r="AM1418" s="53">
        <f t="shared" si="1013"/>
        <v>282.49999999999949</v>
      </c>
      <c r="AN1418" s="38"/>
      <c r="AO1418" s="38"/>
      <c r="AP1418" s="38"/>
      <c r="AQ1418" s="54">
        <f t="shared" si="1030"/>
        <v>282.49999999999949</v>
      </c>
      <c r="AR1418" s="53"/>
      <c r="AS1418" s="29">
        <f t="shared" si="1006"/>
        <v>326877.73000000051</v>
      </c>
      <c r="AT1418" s="29">
        <f t="shared" si="1007"/>
        <v>49514.15</v>
      </c>
      <c r="AU1418" s="29">
        <f t="shared" si="1008"/>
        <v>0</v>
      </c>
      <c r="AV1418" s="29">
        <f t="shared" si="1009"/>
        <v>-269126.58999999997</v>
      </c>
      <c r="AW1418" s="29"/>
      <c r="AX1418" s="29">
        <f t="shared" si="1010"/>
        <v>107265.29000000049</v>
      </c>
      <c r="AY1418" s="29">
        <f t="shared" si="1027"/>
        <v>9300000</v>
      </c>
      <c r="AZ1418" s="29">
        <f t="shared" si="1028"/>
        <v>9407265.290000001</v>
      </c>
    </row>
    <row r="1419" spans="2:52" x14ac:dyDescent="0.3">
      <c r="B1419" s="99">
        <f t="shared" si="1032"/>
        <v>46150</v>
      </c>
      <c r="C1419" s="44">
        <f t="shared" si="1015"/>
        <v>78854.78000000224</v>
      </c>
      <c r="D1419" s="38">
        <v>26805.53</v>
      </c>
      <c r="E1419" s="38"/>
      <c r="F1419" s="38">
        <f>-250-17280.66</f>
        <v>-17530.66</v>
      </c>
      <c r="G1419" s="45">
        <f t="shared" si="1016"/>
        <v>88129.650000002235</v>
      </c>
      <c r="H1419" s="44">
        <v>4300000</v>
      </c>
      <c r="I1419" s="46">
        <f t="shared" si="1017"/>
        <v>27239.769999999611</v>
      </c>
      <c r="J1419" s="38">
        <v>42412.7</v>
      </c>
      <c r="K1419" s="38"/>
      <c r="L1419" s="38">
        <v>-17144.64</v>
      </c>
      <c r="M1419" s="47">
        <f t="shared" si="1018"/>
        <v>52507.829999999609</v>
      </c>
      <c r="N1419" s="46">
        <v>5000000</v>
      </c>
      <c r="O1419" s="48">
        <f t="shared" si="1019"/>
        <v>373.48999999929219</v>
      </c>
      <c r="P1419" s="38"/>
      <c r="Q1419" s="38"/>
      <c r="R1419" s="38">
        <v>-10</v>
      </c>
      <c r="S1419" s="55">
        <f t="shared" si="1020"/>
        <v>363.48999999929219</v>
      </c>
      <c r="T1419" s="48"/>
      <c r="U1419" s="49">
        <f t="shared" si="1021"/>
        <v>69.739999999478471</v>
      </c>
      <c r="V1419" s="38"/>
      <c r="W1419" s="38"/>
      <c r="X1419" s="38"/>
      <c r="Y1419" s="51">
        <f t="shared" si="1022"/>
        <v>69.739999999478471</v>
      </c>
      <c r="Z1419" s="52"/>
      <c r="AA1419" s="53">
        <f t="shared" si="1023"/>
        <v>-7.6977357821306214E-10</v>
      </c>
      <c r="AB1419" s="38"/>
      <c r="AC1419" s="38"/>
      <c r="AD1419" s="38"/>
      <c r="AE1419" s="54">
        <f t="shared" si="1024"/>
        <v>-7.6977357821306214E-10</v>
      </c>
      <c r="AF1419" s="53"/>
      <c r="AG1419" s="53">
        <f t="shared" si="1025"/>
        <v>445.01000000062925</v>
      </c>
      <c r="AH1419" s="38"/>
      <c r="AI1419" s="38"/>
      <c r="AJ1419" s="38"/>
      <c r="AK1419" s="54">
        <f t="shared" si="1026"/>
        <v>445.01000000062925</v>
      </c>
      <c r="AL1419" s="53"/>
      <c r="AM1419" s="53">
        <f t="shared" si="1013"/>
        <v>282.49999999999949</v>
      </c>
      <c r="AN1419" s="38"/>
      <c r="AO1419" s="38"/>
      <c r="AP1419" s="38"/>
      <c r="AQ1419" s="54">
        <f t="shared" si="1030"/>
        <v>282.49999999999949</v>
      </c>
      <c r="AR1419" s="53"/>
      <c r="AS1419" s="29">
        <f t="shared" si="1006"/>
        <v>107265.29000000049</v>
      </c>
      <c r="AT1419" s="29">
        <f t="shared" si="1007"/>
        <v>69218.23</v>
      </c>
      <c r="AU1419" s="29">
        <f t="shared" si="1008"/>
        <v>0</v>
      </c>
      <c r="AV1419" s="29">
        <f t="shared" si="1009"/>
        <v>-34685.300000000003</v>
      </c>
      <c r="AW1419" s="29"/>
      <c r="AX1419" s="29">
        <f t="shared" si="1010"/>
        <v>141798.22000000047</v>
      </c>
      <c r="AY1419" s="29">
        <f t="shared" si="1027"/>
        <v>9300000</v>
      </c>
      <c r="AZ1419" s="29">
        <f t="shared" si="1028"/>
        <v>9441798.2200000007</v>
      </c>
    </row>
    <row r="1420" spans="2:52" x14ac:dyDescent="0.3">
      <c r="B1420" s="99">
        <f>B1419+3</f>
        <v>46153</v>
      </c>
      <c r="C1420" s="44">
        <f t="shared" si="1015"/>
        <v>88129.650000002235</v>
      </c>
      <c r="D1420" s="38">
        <v>80602.89</v>
      </c>
      <c r="E1420" s="38"/>
      <c r="F1420" s="38"/>
      <c r="G1420" s="45">
        <f t="shared" si="1016"/>
        <v>168732.54000000225</v>
      </c>
      <c r="H1420" s="44">
        <v>4300000</v>
      </c>
      <c r="I1420" s="46">
        <f t="shared" si="1017"/>
        <v>52507.829999999609</v>
      </c>
      <c r="J1420" s="38"/>
      <c r="K1420" s="38"/>
      <c r="L1420" s="38">
        <v>-336083.33</v>
      </c>
      <c r="M1420" s="47">
        <f t="shared" si="1018"/>
        <v>-283575.50000000041</v>
      </c>
      <c r="N1420" s="46">
        <v>5000000</v>
      </c>
      <c r="O1420" s="48">
        <f t="shared" si="1019"/>
        <v>363.48999999929219</v>
      </c>
      <c r="P1420" s="38"/>
      <c r="Q1420" s="38"/>
      <c r="R1420" s="38"/>
      <c r="S1420" s="55">
        <f t="shared" si="1020"/>
        <v>363.48999999929219</v>
      </c>
      <c r="T1420" s="48"/>
      <c r="U1420" s="49">
        <f t="shared" si="1021"/>
        <v>69.739999999478471</v>
      </c>
      <c r="V1420" s="38"/>
      <c r="W1420" s="38"/>
      <c r="X1420" s="38"/>
      <c r="Y1420" s="51">
        <f t="shared" si="1022"/>
        <v>69.739999999478471</v>
      </c>
      <c r="Z1420" s="52"/>
      <c r="AA1420" s="53">
        <f t="shared" si="1023"/>
        <v>-7.6977357821306214E-10</v>
      </c>
      <c r="AB1420" s="38"/>
      <c r="AC1420" s="38"/>
      <c r="AD1420" s="38"/>
      <c r="AE1420" s="54">
        <f t="shared" si="1024"/>
        <v>-7.6977357821306214E-10</v>
      </c>
      <c r="AF1420" s="53"/>
      <c r="AG1420" s="53">
        <f t="shared" si="1025"/>
        <v>445.01000000062925</v>
      </c>
      <c r="AH1420" s="38"/>
      <c r="AI1420" s="38"/>
      <c r="AJ1420" s="38"/>
      <c r="AK1420" s="54">
        <f t="shared" si="1026"/>
        <v>445.01000000062925</v>
      </c>
      <c r="AL1420" s="53"/>
      <c r="AM1420" s="53">
        <f t="shared" si="1013"/>
        <v>282.49999999999949</v>
      </c>
      <c r="AN1420" s="38"/>
      <c r="AO1420" s="38"/>
      <c r="AP1420" s="38"/>
      <c r="AQ1420" s="54">
        <f t="shared" si="1030"/>
        <v>282.49999999999949</v>
      </c>
      <c r="AR1420" s="53"/>
      <c r="AS1420" s="29">
        <f t="shared" si="1006"/>
        <v>141798.22000000047</v>
      </c>
      <c r="AT1420" s="29">
        <f t="shared" si="1007"/>
        <v>80602.89</v>
      </c>
      <c r="AU1420" s="29">
        <f t="shared" si="1008"/>
        <v>0</v>
      </c>
      <c r="AV1420" s="29">
        <f t="shared" si="1009"/>
        <v>-336083.33</v>
      </c>
      <c r="AW1420" s="29"/>
      <c r="AX1420" s="29">
        <f t="shared" si="1010"/>
        <v>-113682.21999999952</v>
      </c>
      <c r="AY1420" s="29">
        <f t="shared" si="1027"/>
        <v>9300000</v>
      </c>
      <c r="AZ1420" s="29">
        <f t="shared" si="1028"/>
        <v>9186317.7800000012</v>
      </c>
    </row>
    <row r="1421" spans="2:52" x14ac:dyDescent="0.3">
      <c r="B1421" s="99">
        <f t="shared" ref="B1421:B1424" si="1033">B1420+1</f>
        <v>46154</v>
      </c>
      <c r="C1421" s="44">
        <f t="shared" si="1015"/>
        <v>168732.54000000225</v>
      </c>
      <c r="D1421" s="38"/>
      <c r="E1421" s="38"/>
      <c r="F1421" s="38">
        <v>-25259.56</v>
      </c>
      <c r="G1421" s="45">
        <f t="shared" si="1016"/>
        <v>143472.98000000225</v>
      </c>
      <c r="H1421" s="44">
        <v>4300000</v>
      </c>
      <c r="I1421" s="46">
        <f t="shared" si="1017"/>
        <v>-283575.50000000041</v>
      </c>
      <c r="J1421" s="38">
        <v>4256.21</v>
      </c>
      <c r="K1421" s="38"/>
      <c r="L1421" s="38">
        <f>-938.4-2500-938.4-555.2</f>
        <v>-4932</v>
      </c>
      <c r="M1421" s="47">
        <f t="shared" si="1018"/>
        <v>-284251.29000000039</v>
      </c>
      <c r="N1421" s="46">
        <v>5000000</v>
      </c>
      <c r="O1421" s="48">
        <f t="shared" si="1019"/>
        <v>363.48999999929219</v>
      </c>
      <c r="P1421" s="38"/>
      <c r="Q1421" s="38"/>
      <c r="R1421" s="38">
        <v>-261.10000000000002</v>
      </c>
      <c r="S1421" s="55">
        <f t="shared" si="1020"/>
        <v>102.38999999929217</v>
      </c>
      <c r="T1421" s="48"/>
      <c r="U1421" s="49">
        <f t="shared" si="1021"/>
        <v>69.739999999478471</v>
      </c>
      <c r="V1421" s="38"/>
      <c r="W1421" s="38"/>
      <c r="X1421" s="38"/>
      <c r="Y1421" s="51">
        <f t="shared" si="1022"/>
        <v>69.739999999478471</v>
      </c>
      <c r="Z1421" s="52"/>
      <c r="AA1421" s="53">
        <f t="shared" si="1023"/>
        <v>-7.6977357821306214E-10</v>
      </c>
      <c r="AB1421" s="38"/>
      <c r="AC1421" s="38"/>
      <c r="AD1421" s="38"/>
      <c r="AE1421" s="54">
        <f t="shared" si="1024"/>
        <v>-7.6977357821306214E-10</v>
      </c>
      <c r="AF1421" s="53"/>
      <c r="AG1421" s="53">
        <f t="shared" si="1025"/>
        <v>445.01000000062925</v>
      </c>
      <c r="AH1421" s="38"/>
      <c r="AI1421" s="38"/>
      <c r="AJ1421" s="38"/>
      <c r="AK1421" s="54">
        <f t="shared" si="1026"/>
        <v>445.01000000062925</v>
      </c>
      <c r="AL1421" s="53"/>
      <c r="AM1421" s="53">
        <f t="shared" si="1013"/>
        <v>282.49999999999949</v>
      </c>
      <c r="AN1421" s="38"/>
      <c r="AO1421" s="38"/>
      <c r="AP1421" s="38"/>
      <c r="AQ1421" s="54">
        <f t="shared" si="1030"/>
        <v>282.49999999999949</v>
      </c>
      <c r="AR1421" s="53"/>
      <c r="AS1421" s="29">
        <f t="shared" si="1006"/>
        <v>-113682.21999999952</v>
      </c>
      <c r="AT1421" s="29">
        <f t="shared" si="1007"/>
        <v>4256.21</v>
      </c>
      <c r="AU1421" s="29">
        <f t="shared" si="1008"/>
        <v>0</v>
      </c>
      <c r="AV1421" s="29">
        <f t="shared" si="1009"/>
        <v>-30452.66</v>
      </c>
      <c r="AW1421" s="29"/>
      <c r="AX1421" s="29">
        <f t="shared" si="1010"/>
        <v>-139878.66999999952</v>
      </c>
      <c r="AY1421" s="29">
        <f t="shared" si="1027"/>
        <v>9300000</v>
      </c>
      <c r="AZ1421" s="29">
        <f t="shared" si="1028"/>
        <v>9160121.3300000001</v>
      </c>
    </row>
    <row r="1422" spans="2:52" x14ac:dyDescent="0.3">
      <c r="B1422" s="99">
        <f t="shared" si="1033"/>
        <v>46155</v>
      </c>
      <c r="C1422" s="44">
        <f t="shared" si="1015"/>
        <v>143472.98000000225</v>
      </c>
      <c r="D1422" s="38">
        <f>166208.11+118453.31</f>
        <v>284661.42</v>
      </c>
      <c r="E1422" s="38"/>
      <c r="F1422" s="38">
        <v>-3318.58</v>
      </c>
      <c r="G1422" s="45">
        <f t="shared" si="1016"/>
        <v>424815.82000000222</v>
      </c>
      <c r="H1422" s="44">
        <v>4300000</v>
      </c>
      <c r="I1422" s="46">
        <f t="shared" si="1017"/>
        <v>-284251.29000000039</v>
      </c>
      <c r="J1422" s="38"/>
      <c r="K1422" s="38">
        <f>274104</f>
        <v>274104</v>
      </c>
      <c r="L1422" s="38">
        <f>-202831.71+25443.62</f>
        <v>-177388.09</v>
      </c>
      <c r="M1422" s="47">
        <f t="shared" si="1018"/>
        <v>-187535.38000000038</v>
      </c>
      <c r="N1422" s="46">
        <v>5000000</v>
      </c>
      <c r="O1422" s="48">
        <f t="shared" si="1019"/>
        <v>102.38999999929217</v>
      </c>
      <c r="P1422" s="38">
        <f>45561.54+73752.09+155688.83</f>
        <v>275002.45999999996</v>
      </c>
      <c r="Q1422" s="38">
        <v>-274104</v>
      </c>
      <c r="R1422" s="38">
        <v>-24.03</v>
      </c>
      <c r="S1422" s="55">
        <f t="shared" si="1020"/>
        <v>976.81999999927825</v>
      </c>
      <c r="T1422" s="48"/>
      <c r="U1422" s="49">
        <f t="shared" si="1021"/>
        <v>69.739999999478471</v>
      </c>
      <c r="V1422" s="38"/>
      <c r="W1422" s="38"/>
      <c r="X1422" s="38"/>
      <c r="Y1422" s="51">
        <f t="shared" si="1022"/>
        <v>69.739999999478471</v>
      </c>
      <c r="Z1422" s="52"/>
      <c r="AA1422" s="53">
        <f t="shared" si="1023"/>
        <v>-7.6977357821306214E-10</v>
      </c>
      <c r="AB1422" s="38"/>
      <c r="AC1422" s="38"/>
      <c r="AD1422" s="38"/>
      <c r="AE1422" s="54">
        <f t="shared" si="1024"/>
        <v>-7.6977357821306214E-10</v>
      </c>
      <c r="AF1422" s="53"/>
      <c r="AG1422" s="53">
        <f t="shared" si="1025"/>
        <v>445.01000000062925</v>
      </c>
      <c r="AH1422" s="38"/>
      <c r="AI1422" s="38"/>
      <c r="AJ1422" s="38"/>
      <c r="AK1422" s="54">
        <f t="shared" si="1026"/>
        <v>445.01000000062925</v>
      </c>
      <c r="AL1422" s="53"/>
      <c r="AM1422" s="53">
        <f t="shared" si="1013"/>
        <v>282.49999999999949</v>
      </c>
      <c r="AN1422" s="38"/>
      <c r="AO1422" s="38"/>
      <c r="AP1422" s="38"/>
      <c r="AQ1422" s="54">
        <f t="shared" si="1030"/>
        <v>282.49999999999949</v>
      </c>
      <c r="AR1422" s="53"/>
      <c r="AS1422" s="29">
        <f t="shared" si="1006"/>
        <v>-139878.66999999952</v>
      </c>
      <c r="AT1422" s="29">
        <f t="shared" si="1007"/>
        <v>559663.87999999989</v>
      </c>
      <c r="AU1422" s="29">
        <f t="shared" si="1008"/>
        <v>0</v>
      </c>
      <c r="AV1422" s="29">
        <f t="shared" si="1009"/>
        <v>-180730.69999999998</v>
      </c>
      <c r="AW1422" s="29"/>
      <c r="AX1422" s="29">
        <f t="shared" si="1010"/>
        <v>239054.51000000045</v>
      </c>
      <c r="AY1422" s="29">
        <f t="shared" si="1027"/>
        <v>9300000</v>
      </c>
      <c r="AZ1422" s="29">
        <f t="shared" si="1028"/>
        <v>9539054.5099999998</v>
      </c>
    </row>
    <row r="1423" spans="2:52" x14ac:dyDescent="0.3">
      <c r="B1423" s="99">
        <f t="shared" si="1033"/>
        <v>46156</v>
      </c>
      <c r="C1423" s="44">
        <f t="shared" si="1015"/>
        <v>424815.82000000222</v>
      </c>
      <c r="D1423" s="38"/>
      <c r="E1423" s="38">
        <v>-346000</v>
      </c>
      <c r="F1423" s="38"/>
      <c r="G1423" s="45">
        <f t="shared" si="1016"/>
        <v>78815.820000002219</v>
      </c>
      <c r="H1423" s="44">
        <v>4300000</v>
      </c>
      <c r="I1423" s="46">
        <f t="shared" si="1017"/>
        <v>-187535.38000000038</v>
      </c>
      <c r="J1423" s="38"/>
      <c r="K1423" s="38">
        <v>346000</v>
      </c>
      <c r="L1423" s="38">
        <v>-140546.65</v>
      </c>
      <c r="M1423" s="47">
        <f t="shared" si="1018"/>
        <v>17917.969999999623</v>
      </c>
      <c r="N1423" s="46">
        <v>5000000</v>
      </c>
      <c r="O1423" s="48">
        <f t="shared" si="1019"/>
        <v>976.81999999927825</v>
      </c>
      <c r="P1423" s="38"/>
      <c r="Q1423" s="38"/>
      <c r="R1423" s="38"/>
      <c r="S1423" s="55">
        <f t="shared" si="1020"/>
        <v>976.81999999927825</v>
      </c>
      <c r="T1423" s="48"/>
      <c r="U1423" s="49">
        <f t="shared" si="1021"/>
        <v>69.739999999478471</v>
      </c>
      <c r="V1423" s="38"/>
      <c r="W1423" s="38"/>
      <c r="X1423" s="38"/>
      <c r="Y1423" s="51">
        <f t="shared" si="1022"/>
        <v>69.739999999478471</v>
      </c>
      <c r="Z1423" s="52"/>
      <c r="AA1423" s="53">
        <f t="shared" si="1023"/>
        <v>-7.6977357821306214E-10</v>
      </c>
      <c r="AB1423" s="38"/>
      <c r="AC1423" s="38"/>
      <c r="AD1423" s="38"/>
      <c r="AE1423" s="54">
        <f t="shared" si="1024"/>
        <v>-7.6977357821306214E-10</v>
      </c>
      <c r="AF1423" s="53"/>
      <c r="AG1423" s="53">
        <f t="shared" si="1025"/>
        <v>445.01000000062925</v>
      </c>
      <c r="AH1423" s="38"/>
      <c r="AI1423" s="38"/>
      <c r="AJ1423" s="38"/>
      <c r="AK1423" s="54">
        <f t="shared" si="1026"/>
        <v>445.01000000062925</v>
      </c>
      <c r="AL1423" s="53"/>
      <c r="AM1423" s="53">
        <f t="shared" si="1013"/>
        <v>282.49999999999949</v>
      </c>
      <c r="AN1423" s="38"/>
      <c r="AO1423" s="38"/>
      <c r="AP1423" s="38"/>
      <c r="AQ1423" s="54">
        <f t="shared" si="1030"/>
        <v>282.49999999999949</v>
      </c>
      <c r="AR1423" s="53"/>
      <c r="AS1423" s="29">
        <f t="shared" si="1006"/>
        <v>239054.51000000045</v>
      </c>
      <c r="AT1423" s="29">
        <f t="shared" si="1007"/>
        <v>0</v>
      </c>
      <c r="AU1423" s="29">
        <f t="shared" si="1008"/>
        <v>0</v>
      </c>
      <c r="AV1423" s="29">
        <f t="shared" si="1009"/>
        <v>-140546.65</v>
      </c>
      <c r="AW1423" s="29"/>
      <c r="AX1423" s="29">
        <f t="shared" si="1010"/>
        <v>98507.860000000466</v>
      </c>
      <c r="AY1423" s="29">
        <f t="shared" si="1027"/>
        <v>9300000</v>
      </c>
      <c r="AZ1423" s="29">
        <f t="shared" si="1028"/>
        <v>9398507.8600000013</v>
      </c>
    </row>
    <row r="1424" spans="2:52" x14ac:dyDescent="0.3">
      <c r="B1424" s="99">
        <f t="shared" si="1033"/>
        <v>46157</v>
      </c>
      <c r="C1424" s="44">
        <f t="shared" si="1015"/>
        <v>78815.820000002219</v>
      </c>
      <c r="D1424" s="38">
        <v>35256.18</v>
      </c>
      <c r="E1424" s="38"/>
      <c r="F1424" s="38">
        <f>-13900.45-14185.84-117.85</f>
        <v>-28204.14</v>
      </c>
      <c r="G1424" s="45">
        <f t="shared" si="1016"/>
        <v>85867.860000002212</v>
      </c>
      <c r="H1424" s="44">
        <v>4300000</v>
      </c>
      <c r="I1424" s="46">
        <f t="shared" si="1017"/>
        <v>17917.969999999623</v>
      </c>
      <c r="J1424" s="38"/>
      <c r="K1424" s="38">
        <v>238100</v>
      </c>
      <c r="L1424" s="38">
        <v>-103603.13</v>
      </c>
      <c r="M1424" s="47">
        <f t="shared" si="1018"/>
        <v>152414.83999999962</v>
      </c>
      <c r="N1424" s="46">
        <v>5000000</v>
      </c>
      <c r="O1424" s="48">
        <f t="shared" si="1019"/>
        <v>976.81999999927825</v>
      </c>
      <c r="P1424" s="38">
        <v>238216.91</v>
      </c>
      <c r="Q1424" s="38">
        <v>-238100</v>
      </c>
      <c r="R1424" s="38"/>
      <c r="S1424" s="55">
        <f t="shared" si="1020"/>
        <v>1093.7299999992829</v>
      </c>
      <c r="T1424" s="48"/>
      <c r="U1424" s="49">
        <f t="shared" si="1021"/>
        <v>69.739999999478471</v>
      </c>
      <c r="V1424" s="38"/>
      <c r="W1424" s="38"/>
      <c r="X1424" s="38"/>
      <c r="Y1424" s="51">
        <f t="shared" si="1022"/>
        <v>69.739999999478471</v>
      </c>
      <c r="Z1424" s="52"/>
      <c r="AA1424" s="53">
        <f t="shared" si="1023"/>
        <v>-7.6977357821306214E-10</v>
      </c>
      <c r="AB1424" s="38"/>
      <c r="AC1424" s="38"/>
      <c r="AD1424" s="38"/>
      <c r="AE1424" s="54">
        <f t="shared" si="1024"/>
        <v>-7.6977357821306214E-10</v>
      </c>
      <c r="AF1424" s="53"/>
      <c r="AG1424" s="53">
        <f t="shared" si="1025"/>
        <v>445.01000000062925</v>
      </c>
      <c r="AH1424" s="38"/>
      <c r="AI1424" s="38"/>
      <c r="AJ1424" s="38"/>
      <c r="AK1424" s="54">
        <f t="shared" si="1026"/>
        <v>445.01000000062925</v>
      </c>
      <c r="AL1424" s="53"/>
      <c r="AM1424" s="53">
        <f t="shared" si="1013"/>
        <v>282.49999999999949</v>
      </c>
      <c r="AN1424" s="38"/>
      <c r="AO1424" s="38"/>
      <c r="AP1424" s="38"/>
      <c r="AQ1424" s="54">
        <f t="shared" si="1030"/>
        <v>282.49999999999949</v>
      </c>
      <c r="AR1424" s="53"/>
      <c r="AS1424" s="29">
        <f t="shared" si="1006"/>
        <v>98507.860000000466</v>
      </c>
      <c r="AT1424" s="29">
        <f t="shared" si="1007"/>
        <v>273473.09000000003</v>
      </c>
      <c r="AU1424" s="29">
        <f t="shared" si="1008"/>
        <v>0</v>
      </c>
      <c r="AV1424" s="29">
        <f t="shared" si="1009"/>
        <v>-131807.27000000002</v>
      </c>
      <c r="AW1424" s="29"/>
      <c r="AX1424" s="29">
        <f t="shared" si="1010"/>
        <v>240173.68000000043</v>
      </c>
      <c r="AY1424" s="29">
        <f t="shared" si="1027"/>
        <v>9300000</v>
      </c>
      <c r="AZ1424" s="29">
        <f t="shared" si="1028"/>
        <v>9540173.6799999997</v>
      </c>
    </row>
    <row r="1425" spans="2:52" x14ac:dyDescent="0.3">
      <c r="B1425" s="99">
        <f>B1424+3</f>
        <v>46160</v>
      </c>
      <c r="C1425" s="44">
        <f t="shared" si="1015"/>
        <v>85867.860000002212</v>
      </c>
      <c r="D1425" s="38">
        <f>80389.34+34177.53</f>
        <v>114566.87</v>
      </c>
      <c r="E1425" s="38">
        <v>-15000</v>
      </c>
      <c r="F1425" s="38">
        <v>-0.21</v>
      </c>
      <c r="G1425" s="45">
        <f t="shared" si="1016"/>
        <v>185434.5200000022</v>
      </c>
      <c r="H1425" s="44">
        <v>4300000</v>
      </c>
      <c r="I1425" s="46">
        <f t="shared" si="1017"/>
        <v>152414.83999999962</v>
      </c>
      <c r="J1425" s="38"/>
      <c r="K1425" s="38">
        <v>15000</v>
      </c>
      <c r="L1425" s="38">
        <v>-162097.43</v>
      </c>
      <c r="M1425" s="47">
        <f t="shared" si="1018"/>
        <v>5317.4099999996251</v>
      </c>
      <c r="N1425" s="46">
        <v>5000000</v>
      </c>
      <c r="O1425" s="48">
        <f t="shared" si="1019"/>
        <v>1093.7299999992829</v>
      </c>
      <c r="P1425" s="38"/>
      <c r="Q1425" s="38"/>
      <c r="R1425" s="38">
        <v>-10</v>
      </c>
      <c r="S1425" s="55">
        <f t="shared" si="1020"/>
        <v>1083.7299999992829</v>
      </c>
      <c r="T1425" s="48"/>
      <c r="U1425" s="49">
        <f t="shared" si="1021"/>
        <v>69.739999999478471</v>
      </c>
      <c r="V1425" s="38"/>
      <c r="W1425" s="38"/>
      <c r="X1425" s="38"/>
      <c r="Y1425" s="51">
        <f t="shared" si="1022"/>
        <v>69.739999999478471</v>
      </c>
      <c r="Z1425" s="52"/>
      <c r="AA1425" s="53">
        <f t="shared" si="1023"/>
        <v>-7.6977357821306214E-10</v>
      </c>
      <c r="AB1425" s="38"/>
      <c r="AC1425" s="38"/>
      <c r="AD1425" s="38"/>
      <c r="AE1425" s="54">
        <f t="shared" si="1024"/>
        <v>-7.6977357821306214E-10</v>
      </c>
      <c r="AF1425" s="53"/>
      <c r="AG1425" s="53">
        <f t="shared" si="1025"/>
        <v>445.01000000062925</v>
      </c>
      <c r="AH1425" s="38"/>
      <c r="AI1425" s="38"/>
      <c r="AJ1425" s="38"/>
      <c r="AK1425" s="54">
        <f t="shared" si="1026"/>
        <v>445.01000000062925</v>
      </c>
      <c r="AL1425" s="53"/>
      <c r="AM1425" s="53">
        <f t="shared" si="1013"/>
        <v>282.49999999999949</v>
      </c>
      <c r="AN1425" s="38"/>
      <c r="AO1425" s="38"/>
      <c r="AP1425" s="38"/>
      <c r="AQ1425" s="54">
        <f t="shared" si="1030"/>
        <v>282.49999999999949</v>
      </c>
      <c r="AR1425" s="53"/>
      <c r="AS1425" s="29">
        <f t="shared" si="1006"/>
        <v>240173.68000000043</v>
      </c>
      <c r="AT1425" s="29">
        <f t="shared" si="1007"/>
        <v>114566.87</v>
      </c>
      <c r="AU1425" s="29">
        <f t="shared" si="1008"/>
        <v>0</v>
      </c>
      <c r="AV1425" s="29">
        <f t="shared" si="1009"/>
        <v>-162107.63999999998</v>
      </c>
      <c r="AW1425" s="29"/>
      <c r="AX1425" s="29">
        <f t="shared" si="1010"/>
        <v>192632.91000000044</v>
      </c>
      <c r="AY1425" s="29">
        <f t="shared" si="1027"/>
        <v>9300000</v>
      </c>
      <c r="AZ1425" s="29">
        <f t="shared" si="1028"/>
        <v>9492632.9100000001</v>
      </c>
    </row>
    <row r="1426" spans="2:52" x14ac:dyDescent="0.3">
      <c r="B1426" s="99">
        <f t="shared" ref="B1426:B1429" si="1034">B1425+1</f>
        <v>46161</v>
      </c>
      <c r="C1426" s="44">
        <f t="shared" si="1015"/>
        <v>185434.5200000022</v>
      </c>
      <c r="D1426" s="38"/>
      <c r="E1426" s="38">
        <v>-150000</v>
      </c>
      <c r="F1426" s="38">
        <f>-15881.69-6.48</f>
        <v>-15888.17</v>
      </c>
      <c r="G1426" s="45">
        <f t="shared" si="1016"/>
        <v>19546.350000002203</v>
      </c>
      <c r="H1426" s="44">
        <v>4300000</v>
      </c>
      <c r="I1426" s="46">
        <f t="shared" si="1017"/>
        <v>5317.4099999996251</v>
      </c>
      <c r="J1426" s="38"/>
      <c r="K1426" s="38">
        <f>150000+637000</f>
        <v>787000</v>
      </c>
      <c r="L1426" s="38">
        <v>-952242.62</v>
      </c>
      <c r="M1426" s="47">
        <f t="shared" si="1018"/>
        <v>-159925.21000000031</v>
      </c>
      <c r="N1426" s="46">
        <v>5000000</v>
      </c>
      <c r="O1426" s="48">
        <f t="shared" si="1019"/>
        <v>1083.7299999992829</v>
      </c>
      <c r="P1426" s="38">
        <f>418181.59+218282.06</f>
        <v>636463.65</v>
      </c>
      <c r="Q1426" s="38">
        <v>-637000</v>
      </c>
      <c r="R1426" s="38">
        <v>-10</v>
      </c>
      <c r="S1426" s="55">
        <f t="shared" si="1020"/>
        <v>537.37999999930616</v>
      </c>
      <c r="T1426" s="48"/>
      <c r="U1426" s="49">
        <f t="shared" si="1021"/>
        <v>69.739999999478471</v>
      </c>
      <c r="V1426" s="38"/>
      <c r="W1426" s="38"/>
      <c r="X1426" s="38"/>
      <c r="Y1426" s="51">
        <f t="shared" si="1022"/>
        <v>69.739999999478471</v>
      </c>
      <c r="Z1426" s="52"/>
      <c r="AA1426" s="53">
        <f t="shared" si="1023"/>
        <v>-7.6977357821306214E-10</v>
      </c>
      <c r="AB1426" s="38"/>
      <c r="AC1426" s="38"/>
      <c r="AD1426" s="38"/>
      <c r="AE1426" s="54">
        <f t="shared" si="1024"/>
        <v>-7.6977357821306214E-10</v>
      </c>
      <c r="AF1426" s="53"/>
      <c r="AG1426" s="53">
        <f t="shared" si="1025"/>
        <v>445.01000000062925</v>
      </c>
      <c r="AH1426" s="38"/>
      <c r="AI1426" s="38"/>
      <c r="AJ1426" s="38"/>
      <c r="AK1426" s="54">
        <f t="shared" si="1026"/>
        <v>445.01000000062925</v>
      </c>
      <c r="AL1426" s="53"/>
      <c r="AM1426" s="53">
        <f t="shared" si="1013"/>
        <v>282.49999999999949</v>
      </c>
      <c r="AN1426" s="38"/>
      <c r="AO1426" s="38"/>
      <c r="AP1426" s="38"/>
      <c r="AQ1426" s="54">
        <f t="shared" si="1030"/>
        <v>282.49999999999949</v>
      </c>
      <c r="AR1426" s="53"/>
      <c r="AS1426" s="29">
        <f t="shared" si="1006"/>
        <v>192632.91000000044</v>
      </c>
      <c r="AT1426" s="29">
        <f t="shared" si="1007"/>
        <v>636463.65</v>
      </c>
      <c r="AU1426" s="29">
        <f t="shared" si="1008"/>
        <v>0</v>
      </c>
      <c r="AV1426" s="29">
        <f t="shared" si="1009"/>
        <v>-968140.79</v>
      </c>
      <c r="AW1426" s="29"/>
      <c r="AX1426" s="29">
        <f t="shared" si="1010"/>
        <v>-139044.22999999949</v>
      </c>
      <c r="AY1426" s="29">
        <f t="shared" si="1027"/>
        <v>9300000</v>
      </c>
      <c r="AZ1426" s="29">
        <f t="shared" si="1028"/>
        <v>9160955.7700000014</v>
      </c>
    </row>
    <row r="1427" spans="2:52" x14ac:dyDescent="0.3">
      <c r="B1427" s="99">
        <f t="shared" si="1034"/>
        <v>46162</v>
      </c>
      <c r="C1427" s="44">
        <f t="shared" si="1015"/>
        <v>19546.350000002203</v>
      </c>
      <c r="D1427" s="38">
        <f>38890.88+50911.14</f>
        <v>89802.01999999999</v>
      </c>
      <c r="E1427" s="38">
        <v>812000</v>
      </c>
      <c r="F1427" s="38">
        <f>-0.2-920551.7</f>
        <v>-920551.89999999991</v>
      </c>
      <c r="G1427" s="45">
        <f t="shared" si="1016"/>
        <v>796.47000000230037</v>
      </c>
      <c r="H1427" s="44">
        <v>4300000</v>
      </c>
      <c r="I1427" s="46">
        <f t="shared" si="1017"/>
        <v>-159925.21000000031</v>
      </c>
      <c r="J1427" s="38"/>
      <c r="K1427" s="38">
        <v>-812000</v>
      </c>
      <c r="L1427" s="38">
        <v>-3732570.06</v>
      </c>
      <c r="M1427" s="47">
        <f t="shared" si="1018"/>
        <v>-4704495.2700000005</v>
      </c>
      <c r="N1427" s="46">
        <v>5000000</v>
      </c>
      <c r="O1427" s="48">
        <f t="shared" si="1019"/>
        <v>537.37999999930616</v>
      </c>
      <c r="P1427" s="38"/>
      <c r="Q1427" s="38"/>
      <c r="R1427" s="38"/>
      <c r="S1427" s="55">
        <f t="shared" si="1020"/>
        <v>537.37999999930616</v>
      </c>
      <c r="T1427" s="48"/>
      <c r="U1427" s="49">
        <f t="shared" si="1021"/>
        <v>69.739999999478471</v>
      </c>
      <c r="V1427" s="38"/>
      <c r="W1427" s="38"/>
      <c r="X1427" s="38"/>
      <c r="Y1427" s="51">
        <f t="shared" si="1022"/>
        <v>69.739999999478471</v>
      </c>
      <c r="Z1427" s="52"/>
      <c r="AA1427" s="53">
        <f t="shared" si="1023"/>
        <v>-7.6977357821306214E-10</v>
      </c>
      <c r="AB1427" s="38"/>
      <c r="AC1427" s="38"/>
      <c r="AD1427" s="38"/>
      <c r="AE1427" s="54">
        <f t="shared" si="1024"/>
        <v>-7.6977357821306214E-10</v>
      </c>
      <c r="AF1427" s="53"/>
      <c r="AG1427" s="53">
        <f t="shared" si="1025"/>
        <v>445.01000000062925</v>
      </c>
      <c r="AH1427" s="38"/>
      <c r="AI1427" s="38"/>
      <c r="AJ1427" s="38"/>
      <c r="AK1427" s="54">
        <f t="shared" si="1026"/>
        <v>445.01000000062925</v>
      </c>
      <c r="AL1427" s="53"/>
      <c r="AM1427" s="53">
        <f t="shared" si="1013"/>
        <v>282.49999999999949</v>
      </c>
      <c r="AN1427" s="38"/>
      <c r="AO1427" s="38"/>
      <c r="AP1427" s="38"/>
      <c r="AQ1427" s="54">
        <f t="shared" si="1030"/>
        <v>282.49999999999949</v>
      </c>
      <c r="AR1427" s="53"/>
      <c r="AS1427" s="29">
        <f t="shared" si="1006"/>
        <v>-139044.22999999949</v>
      </c>
      <c r="AT1427" s="29">
        <f t="shared" si="1007"/>
        <v>89802.01999999999</v>
      </c>
      <c r="AU1427" s="29">
        <f t="shared" si="1008"/>
        <v>0</v>
      </c>
      <c r="AV1427" s="29">
        <f t="shared" si="1009"/>
        <v>-4653121.96</v>
      </c>
      <c r="AW1427" s="29"/>
      <c r="AX1427" s="29">
        <f t="shared" si="1010"/>
        <v>-4702364.17</v>
      </c>
      <c r="AY1427" s="29">
        <f t="shared" si="1027"/>
        <v>9300000</v>
      </c>
      <c r="AZ1427" s="29">
        <f t="shared" si="1028"/>
        <v>4597635.83</v>
      </c>
    </row>
    <row r="1428" spans="2:52" x14ac:dyDescent="0.3">
      <c r="B1428" s="99">
        <f t="shared" si="1034"/>
        <v>46163</v>
      </c>
      <c r="C1428" s="44">
        <f t="shared" si="1015"/>
        <v>796.47000000230037</v>
      </c>
      <c r="D1428" s="38">
        <v>129371.57</v>
      </c>
      <c r="E1428" s="38"/>
      <c r="F1428" s="38">
        <v>-0.2</v>
      </c>
      <c r="G1428" s="45">
        <f t="shared" si="1016"/>
        <v>130167.84000000231</v>
      </c>
      <c r="H1428" s="44">
        <v>4300000</v>
      </c>
      <c r="I1428" s="46">
        <f t="shared" si="1017"/>
        <v>-4704495.2700000005</v>
      </c>
      <c r="J1428" s="38"/>
      <c r="K1428" s="38"/>
      <c r="L1428" s="38">
        <f>-329.28-141.6-587.5-2087.43</f>
        <v>-3145.81</v>
      </c>
      <c r="M1428" s="47">
        <f t="shared" si="1018"/>
        <v>-4707641.08</v>
      </c>
      <c r="N1428" s="46">
        <v>5000000</v>
      </c>
      <c r="O1428" s="48">
        <f t="shared" si="1019"/>
        <v>537.37999999930616</v>
      </c>
      <c r="P1428" s="38"/>
      <c r="Q1428" s="38"/>
      <c r="R1428" s="38"/>
      <c r="S1428" s="55">
        <f t="shared" si="1020"/>
        <v>537.37999999930616</v>
      </c>
      <c r="T1428" s="48"/>
      <c r="U1428" s="49">
        <f t="shared" si="1021"/>
        <v>69.739999999478471</v>
      </c>
      <c r="V1428" s="38"/>
      <c r="W1428" s="38"/>
      <c r="X1428" s="38"/>
      <c r="Y1428" s="51">
        <f t="shared" si="1022"/>
        <v>69.739999999478471</v>
      </c>
      <c r="Z1428" s="52"/>
      <c r="AA1428" s="53">
        <f t="shared" si="1023"/>
        <v>-7.6977357821306214E-10</v>
      </c>
      <c r="AB1428" s="38"/>
      <c r="AC1428" s="38"/>
      <c r="AD1428" s="38"/>
      <c r="AE1428" s="54">
        <f t="shared" si="1024"/>
        <v>-7.6977357821306214E-10</v>
      </c>
      <c r="AF1428" s="53"/>
      <c r="AG1428" s="53">
        <f t="shared" si="1025"/>
        <v>445.01000000062925</v>
      </c>
      <c r="AH1428" s="38"/>
      <c r="AI1428" s="38"/>
      <c r="AJ1428" s="38"/>
      <c r="AK1428" s="54">
        <f t="shared" si="1026"/>
        <v>445.01000000062925</v>
      </c>
      <c r="AL1428" s="53"/>
      <c r="AM1428" s="53">
        <f t="shared" si="1013"/>
        <v>282.49999999999949</v>
      </c>
      <c r="AN1428" s="38"/>
      <c r="AO1428" s="38"/>
      <c r="AP1428" s="38"/>
      <c r="AQ1428" s="54">
        <f t="shared" si="1030"/>
        <v>282.49999999999949</v>
      </c>
      <c r="AR1428" s="53"/>
      <c r="AS1428" s="29">
        <f t="shared" si="1006"/>
        <v>-4702364.17</v>
      </c>
      <c r="AT1428" s="29">
        <f t="shared" si="1007"/>
        <v>129371.57</v>
      </c>
      <c r="AU1428" s="29">
        <f t="shared" si="1008"/>
        <v>0</v>
      </c>
      <c r="AV1428" s="29">
        <f t="shared" si="1009"/>
        <v>-3146.0099999999998</v>
      </c>
      <c r="AW1428" s="29"/>
      <c r="AX1428" s="29">
        <f t="shared" si="1010"/>
        <v>-4576138.6099999994</v>
      </c>
      <c r="AY1428" s="29">
        <f t="shared" si="1027"/>
        <v>9300000</v>
      </c>
      <c r="AZ1428" s="29">
        <f t="shared" si="1028"/>
        <v>4723861.3900000006</v>
      </c>
    </row>
    <row r="1429" spans="2:52" x14ac:dyDescent="0.3">
      <c r="B1429" s="99">
        <f t="shared" si="1034"/>
        <v>46164</v>
      </c>
      <c r="C1429" s="44">
        <f t="shared" si="1015"/>
        <v>130167.84000000231</v>
      </c>
      <c r="D1429" s="38"/>
      <c r="E1429" s="38"/>
      <c r="F1429" s="38"/>
      <c r="G1429" s="45">
        <f t="shared" si="1016"/>
        <v>130167.84000000231</v>
      </c>
      <c r="H1429" s="44">
        <v>4300000</v>
      </c>
      <c r="I1429" s="46">
        <f t="shared" si="1017"/>
        <v>-4707641.08</v>
      </c>
      <c r="J1429" s="38">
        <v>275919.90999999997</v>
      </c>
      <c r="K1429" s="38">
        <v>88000</v>
      </c>
      <c r="L1429" s="38">
        <v>-78106.41</v>
      </c>
      <c r="M1429" s="47">
        <f t="shared" si="1018"/>
        <v>-4421827.58</v>
      </c>
      <c r="N1429" s="46">
        <v>5000000</v>
      </c>
      <c r="O1429" s="48">
        <f t="shared" si="1019"/>
        <v>537.37999999930616</v>
      </c>
      <c r="P1429" s="38">
        <v>87689.66</v>
      </c>
      <c r="Q1429" s="38">
        <v>-88000</v>
      </c>
      <c r="R1429" s="38">
        <v>-10</v>
      </c>
      <c r="S1429" s="55">
        <f t="shared" si="1020"/>
        <v>217.03999999930966</v>
      </c>
      <c r="T1429" s="48"/>
      <c r="U1429" s="49">
        <f t="shared" si="1021"/>
        <v>69.739999999478471</v>
      </c>
      <c r="V1429" s="38"/>
      <c r="W1429" s="38"/>
      <c r="X1429" s="38"/>
      <c r="Y1429" s="51">
        <f t="shared" si="1022"/>
        <v>69.739999999478471</v>
      </c>
      <c r="Z1429" s="52"/>
      <c r="AA1429" s="53">
        <f t="shared" si="1023"/>
        <v>-7.6977357821306214E-10</v>
      </c>
      <c r="AB1429" s="38"/>
      <c r="AC1429" s="38"/>
      <c r="AD1429" s="38"/>
      <c r="AE1429" s="54">
        <f t="shared" si="1024"/>
        <v>-7.6977357821306214E-10</v>
      </c>
      <c r="AF1429" s="53"/>
      <c r="AG1429" s="53">
        <f t="shared" si="1025"/>
        <v>445.01000000062925</v>
      </c>
      <c r="AH1429" s="38"/>
      <c r="AI1429" s="38"/>
      <c r="AJ1429" s="38"/>
      <c r="AK1429" s="54">
        <f t="shared" si="1026"/>
        <v>445.01000000062925</v>
      </c>
      <c r="AL1429" s="53"/>
      <c r="AM1429" s="53">
        <f t="shared" si="1013"/>
        <v>282.49999999999949</v>
      </c>
      <c r="AN1429" s="38"/>
      <c r="AO1429" s="38"/>
      <c r="AP1429" s="38"/>
      <c r="AQ1429" s="54">
        <f t="shared" si="1030"/>
        <v>282.49999999999949</v>
      </c>
      <c r="AR1429" s="53"/>
      <c r="AS1429" s="29">
        <f t="shared" si="1006"/>
        <v>-4576138.6099999994</v>
      </c>
      <c r="AT1429" s="29">
        <f t="shared" si="1007"/>
        <v>363609.56999999995</v>
      </c>
      <c r="AU1429" s="29">
        <f t="shared" si="1008"/>
        <v>0</v>
      </c>
      <c r="AV1429" s="29">
        <f t="shared" si="1009"/>
        <v>-78116.41</v>
      </c>
      <c r="AW1429" s="29"/>
      <c r="AX1429" s="29">
        <f t="shared" si="1010"/>
        <v>-4290645.4499999993</v>
      </c>
      <c r="AY1429" s="29">
        <f t="shared" si="1027"/>
        <v>9300000</v>
      </c>
      <c r="AZ1429" s="29">
        <f t="shared" si="1028"/>
        <v>5009354.5500000007</v>
      </c>
    </row>
    <row r="1430" spans="2:52" x14ac:dyDescent="0.3">
      <c r="B1430" s="99">
        <f>B1429+3</f>
        <v>46167</v>
      </c>
      <c r="C1430" s="44">
        <f t="shared" si="1015"/>
        <v>130167.84000000231</v>
      </c>
      <c r="D1430" s="38">
        <f>80766.17</f>
        <v>80766.17</v>
      </c>
      <c r="E1430" s="38">
        <v>-260000</v>
      </c>
      <c r="F1430" s="38">
        <v>-2102007.4</v>
      </c>
      <c r="G1430" s="45">
        <f t="shared" si="1016"/>
        <v>-2151073.3899999978</v>
      </c>
      <c r="H1430" s="44">
        <v>4300000</v>
      </c>
      <c r="I1430" s="46">
        <f t="shared" si="1017"/>
        <v>-4421827.58</v>
      </c>
      <c r="J1430" s="38"/>
      <c r="K1430" s="38">
        <f>1334400+260000-1000</f>
        <v>1593400</v>
      </c>
      <c r="L1430" s="38">
        <v>-2163539.5499999998</v>
      </c>
      <c r="M1430" s="47">
        <f t="shared" si="1018"/>
        <v>-4991967.13</v>
      </c>
      <c r="N1430" s="46">
        <v>5000000</v>
      </c>
      <c r="O1430" s="48">
        <f t="shared" si="1019"/>
        <v>217.03999999930966</v>
      </c>
      <c r="P1430" s="38">
        <f>79968.13+16792.65+115131.6+171786.63+950729.47</f>
        <v>1334408.48</v>
      </c>
      <c r="Q1430" s="38">
        <f>-1334400+1000</f>
        <v>-1333400</v>
      </c>
      <c r="R1430" s="38">
        <f>-10-159.2</f>
        <v>-169.2</v>
      </c>
      <c r="S1430" s="55">
        <f t="shared" si="1020"/>
        <v>1056.3199999993201</v>
      </c>
      <c r="T1430" s="48"/>
      <c r="U1430" s="49">
        <f t="shared" si="1021"/>
        <v>69.739999999478471</v>
      </c>
      <c r="V1430" s="38"/>
      <c r="W1430" s="38"/>
      <c r="X1430" s="38"/>
      <c r="Y1430" s="51">
        <f t="shared" si="1022"/>
        <v>69.739999999478471</v>
      </c>
      <c r="Z1430" s="52"/>
      <c r="AA1430" s="53">
        <f t="shared" si="1023"/>
        <v>-7.6977357821306214E-10</v>
      </c>
      <c r="AB1430" s="38"/>
      <c r="AC1430" s="38"/>
      <c r="AD1430" s="38"/>
      <c r="AE1430" s="54">
        <f t="shared" si="1024"/>
        <v>-7.6977357821306214E-10</v>
      </c>
      <c r="AF1430" s="53"/>
      <c r="AG1430" s="53">
        <f t="shared" si="1025"/>
        <v>445.01000000062925</v>
      </c>
      <c r="AH1430" s="38"/>
      <c r="AI1430" s="38"/>
      <c r="AJ1430" s="38"/>
      <c r="AK1430" s="54">
        <f t="shared" si="1026"/>
        <v>445.01000000062925</v>
      </c>
      <c r="AL1430" s="53"/>
      <c r="AM1430" s="53">
        <f t="shared" si="1013"/>
        <v>282.49999999999949</v>
      </c>
      <c r="AN1430" s="38"/>
      <c r="AO1430" s="38"/>
      <c r="AP1430" s="38"/>
      <c r="AQ1430" s="54">
        <f t="shared" si="1030"/>
        <v>282.49999999999949</v>
      </c>
      <c r="AR1430" s="53"/>
      <c r="AS1430" s="29">
        <f t="shared" si="1006"/>
        <v>-4290645.4499999993</v>
      </c>
      <c r="AT1430" s="29">
        <f t="shared" si="1007"/>
        <v>1415174.65</v>
      </c>
      <c r="AU1430" s="29">
        <f t="shared" si="1008"/>
        <v>0</v>
      </c>
      <c r="AV1430" s="29">
        <f t="shared" si="1009"/>
        <v>-4265716.1499999994</v>
      </c>
      <c r="AW1430" s="29"/>
      <c r="AX1430" s="29">
        <f t="shared" si="1010"/>
        <v>-7141186.9499999993</v>
      </c>
      <c r="AY1430" s="29">
        <f t="shared" si="1027"/>
        <v>9300000</v>
      </c>
      <c r="AZ1430" s="29">
        <f t="shared" si="1028"/>
        <v>2158813.0500000007</v>
      </c>
    </row>
    <row r="1431" spans="2:52" x14ac:dyDescent="0.3">
      <c r="B1431" s="99">
        <f t="shared" ref="B1431:B1434" si="1035">B1430+1</f>
        <v>46168</v>
      </c>
      <c r="C1431" s="44">
        <f t="shared" si="1015"/>
        <v>-2151073.3899999978</v>
      </c>
      <c r="D1431" s="38">
        <v>668245.51</v>
      </c>
      <c r="E1431" s="38">
        <v>-500000</v>
      </c>
      <c r="F1431" s="38">
        <v>-26197.5</v>
      </c>
      <c r="G1431" s="45">
        <f t="shared" si="1016"/>
        <v>-2009025.3799999978</v>
      </c>
      <c r="H1431" s="44">
        <v>4300000</v>
      </c>
      <c r="I1431" s="46">
        <f t="shared" si="1017"/>
        <v>-4991967.13</v>
      </c>
      <c r="J1431" s="38"/>
      <c r="K1431" s="38">
        <v>564000</v>
      </c>
      <c r="L1431" s="38">
        <v>-543096.5</v>
      </c>
      <c r="M1431" s="47">
        <f t="shared" si="1018"/>
        <v>-4971063.63</v>
      </c>
      <c r="N1431" s="46">
        <v>5000000</v>
      </c>
      <c r="O1431" s="48">
        <f t="shared" si="1019"/>
        <v>1056.3199999993201</v>
      </c>
      <c r="P1431" s="38"/>
      <c r="Q1431" s="38"/>
      <c r="R1431" s="38">
        <v>-261.10000000000002</v>
      </c>
      <c r="S1431" s="55">
        <f t="shared" si="1020"/>
        <v>795.21999999932007</v>
      </c>
      <c r="T1431" s="48"/>
      <c r="U1431" s="49">
        <f t="shared" si="1021"/>
        <v>69.739999999478471</v>
      </c>
      <c r="V1431" s="38"/>
      <c r="W1431" s="38"/>
      <c r="X1431" s="38"/>
      <c r="Y1431" s="51">
        <f t="shared" si="1022"/>
        <v>69.739999999478471</v>
      </c>
      <c r="Z1431" s="52"/>
      <c r="AA1431" s="53">
        <f t="shared" si="1023"/>
        <v>-7.6977357821306214E-10</v>
      </c>
      <c r="AB1431" s="38"/>
      <c r="AC1431" s="38"/>
      <c r="AD1431" s="38"/>
      <c r="AE1431" s="54">
        <f t="shared" si="1024"/>
        <v>-7.6977357821306214E-10</v>
      </c>
      <c r="AF1431" s="53"/>
      <c r="AG1431" s="53">
        <f t="shared" si="1025"/>
        <v>445.01000000062925</v>
      </c>
      <c r="AH1431" s="38">
        <f>17106.43+20677.03+25829.4</f>
        <v>63612.86</v>
      </c>
      <c r="AI1431" s="38">
        <v>-64000</v>
      </c>
      <c r="AJ1431" s="38"/>
      <c r="AK1431" s="54">
        <f t="shared" si="1026"/>
        <v>57.870000000628352</v>
      </c>
      <c r="AL1431" s="53"/>
      <c r="AM1431" s="53">
        <f t="shared" si="1013"/>
        <v>282.49999999999949</v>
      </c>
      <c r="AN1431" s="38"/>
      <c r="AO1431" s="38"/>
      <c r="AP1431" s="38"/>
      <c r="AQ1431" s="54">
        <f t="shared" si="1030"/>
        <v>282.49999999999949</v>
      </c>
      <c r="AR1431" s="53"/>
      <c r="AS1431" s="29">
        <f t="shared" si="1006"/>
        <v>-7141186.9499999993</v>
      </c>
      <c r="AT1431" s="29">
        <f t="shared" si="1007"/>
        <v>731858.37</v>
      </c>
      <c r="AU1431" s="29">
        <f t="shared" si="1008"/>
        <v>0</v>
      </c>
      <c r="AV1431" s="29">
        <f t="shared" si="1009"/>
        <v>-569555.1</v>
      </c>
      <c r="AW1431" s="29"/>
      <c r="AX1431" s="29">
        <f t="shared" si="1010"/>
        <v>-6978883.6799999988</v>
      </c>
      <c r="AY1431" s="29">
        <f t="shared" si="1027"/>
        <v>9300000</v>
      </c>
      <c r="AZ1431" s="29">
        <f t="shared" si="1028"/>
        <v>2321116.3200000012</v>
      </c>
    </row>
    <row r="1432" spans="2:52" x14ac:dyDescent="0.3">
      <c r="B1432" s="99">
        <f t="shared" si="1035"/>
        <v>46169</v>
      </c>
      <c r="C1432" s="44">
        <f t="shared" si="1015"/>
        <v>-2009025.3799999978</v>
      </c>
      <c r="D1432" s="38">
        <v>100442.1</v>
      </c>
      <c r="E1432" s="38">
        <v>500000</v>
      </c>
      <c r="F1432" s="38">
        <v>-2093</v>
      </c>
      <c r="G1432" s="45">
        <f t="shared" si="1016"/>
        <v>-1410676.2799999977</v>
      </c>
      <c r="H1432" s="44">
        <v>4300000</v>
      </c>
      <c r="I1432" s="46">
        <f t="shared" si="1017"/>
        <v>-4971063.63</v>
      </c>
      <c r="J1432" s="38">
        <f>236+236+10332.6</f>
        <v>10804.6</v>
      </c>
      <c r="K1432" s="38">
        <f>58126+562000-500000</f>
        <v>120126</v>
      </c>
      <c r="L1432" s="38">
        <v>-110335.33</v>
      </c>
      <c r="M1432" s="47">
        <f t="shared" si="1018"/>
        <v>-4950468.3600000003</v>
      </c>
      <c r="N1432" s="46">
        <v>5000000</v>
      </c>
      <c r="O1432" s="48">
        <f t="shared" si="1019"/>
        <v>795.21999999932007</v>
      </c>
      <c r="P1432" s="38">
        <f>4511.13+53820+193798.11</f>
        <v>252129.24</v>
      </c>
      <c r="Q1432" s="38">
        <f>561896-562000-58126</f>
        <v>-58230</v>
      </c>
      <c r="R1432" s="38">
        <v>-20</v>
      </c>
      <c r="S1432" s="55">
        <f t="shared" si="1020"/>
        <v>194674.45999999932</v>
      </c>
      <c r="T1432" s="48"/>
      <c r="U1432" s="49">
        <f t="shared" si="1021"/>
        <v>69.739999999478471</v>
      </c>
      <c r="V1432" s="38">
        <v>561934.27</v>
      </c>
      <c r="W1432" s="38">
        <f>-561896</f>
        <v>-561896</v>
      </c>
      <c r="X1432" s="38">
        <v>-1.7</v>
      </c>
      <c r="Y1432" s="51">
        <f t="shared" si="1022"/>
        <v>106.30999999954365</v>
      </c>
      <c r="Z1432" s="52"/>
      <c r="AA1432" s="53">
        <f t="shared" si="1023"/>
        <v>-7.6977357821306214E-10</v>
      </c>
      <c r="AB1432" s="38"/>
      <c r="AC1432" s="38"/>
      <c r="AD1432" s="38"/>
      <c r="AE1432" s="54">
        <f t="shared" si="1024"/>
        <v>-7.6977357821306214E-10</v>
      </c>
      <c r="AF1432" s="53"/>
      <c r="AG1432" s="53">
        <f t="shared" si="1025"/>
        <v>57.870000000628352</v>
      </c>
      <c r="AH1432" s="38"/>
      <c r="AI1432" s="38"/>
      <c r="AJ1432" s="38">
        <v>-9.9</v>
      </c>
      <c r="AK1432" s="54">
        <f t="shared" si="1026"/>
        <v>47.970000000628353</v>
      </c>
      <c r="AL1432" s="53"/>
      <c r="AM1432" s="53">
        <f t="shared" si="1013"/>
        <v>282.49999999999949</v>
      </c>
      <c r="AN1432" s="38"/>
      <c r="AO1432" s="38"/>
      <c r="AP1432" s="38"/>
      <c r="AQ1432" s="54">
        <f t="shared" si="1030"/>
        <v>282.49999999999949</v>
      </c>
      <c r="AR1432" s="53"/>
      <c r="AS1432" s="29">
        <f t="shared" si="1006"/>
        <v>-6978883.6799999988</v>
      </c>
      <c r="AT1432" s="29">
        <f t="shared" si="1007"/>
        <v>925310.21</v>
      </c>
      <c r="AU1432" s="29">
        <f t="shared" si="1008"/>
        <v>0</v>
      </c>
      <c r="AV1432" s="29">
        <f t="shared" si="1009"/>
        <v>-112459.93</v>
      </c>
      <c r="AW1432" s="29"/>
      <c r="AX1432" s="29">
        <f t="shared" si="1010"/>
        <v>-6166033.3999999994</v>
      </c>
      <c r="AY1432" s="29">
        <f t="shared" si="1027"/>
        <v>9300000</v>
      </c>
      <c r="AZ1432" s="29">
        <f t="shared" si="1028"/>
        <v>3133966.6000000006</v>
      </c>
    </row>
    <row r="1433" spans="2:52" x14ac:dyDescent="0.3">
      <c r="B1433" s="99">
        <f t="shared" si="1035"/>
        <v>46170</v>
      </c>
      <c r="C1433" s="44">
        <f t="shared" si="1015"/>
        <v>-1410676.2799999977</v>
      </c>
      <c r="D1433" s="38">
        <v>575070.65</v>
      </c>
      <c r="E1433" s="38">
        <v>1459000</v>
      </c>
      <c r="F1433" s="38">
        <v>-0.2</v>
      </c>
      <c r="G1433" s="45">
        <f t="shared" si="1016"/>
        <v>623394.17000000237</v>
      </c>
      <c r="H1433" s="44">
        <v>4300000</v>
      </c>
      <c r="I1433" s="46">
        <f t="shared" si="1017"/>
        <v>-4950468.3600000003</v>
      </c>
      <c r="J1433" s="38"/>
      <c r="K1433" s="38">
        <f>568000+42000</f>
        <v>610000</v>
      </c>
      <c r="L1433" s="38"/>
      <c r="M1433" s="47">
        <f t="shared" si="1018"/>
        <v>-4340468.3600000003</v>
      </c>
      <c r="N1433" s="46">
        <v>5000000</v>
      </c>
      <c r="O1433" s="48">
        <f t="shared" si="1019"/>
        <v>194674.45999999932</v>
      </c>
      <c r="P1433" s="38">
        <f>41786.71+292321.34</f>
        <v>334108.05000000005</v>
      </c>
      <c r="Q1433" s="38">
        <f>81700-568000-42000</f>
        <v>-528300</v>
      </c>
      <c r="R1433" s="38">
        <v>-20</v>
      </c>
      <c r="S1433" s="55">
        <f t="shared" si="1020"/>
        <v>462.50999999931082</v>
      </c>
      <c r="T1433" s="48"/>
      <c r="U1433" s="49">
        <f t="shared" si="1021"/>
        <v>106.30999999954365</v>
      </c>
      <c r="V1433" s="38">
        <v>81724.58</v>
      </c>
      <c r="W1433" s="38">
        <v>-81700</v>
      </c>
      <c r="X1433" s="38">
        <v>-1.7</v>
      </c>
      <c r="Y1433" s="51">
        <f t="shared" si="1022"/>
        <v>129.18999999954832</v>
      </c>
      <c r="Z1433" s="52"/>
      <c r="AA1433" s="53">
        <f t="shared" si="1023"/>
        <v>-7.6977357821306214E-10</v>
      </c>
      <c r="AB1433" s="38"/>
      <c r="AC1433" s="38"/>
      <c r="AD1433" s="38"/>
      <c r="AE1433" s="54">
        <f t="shared" si="1024"/>
        <v>-7.6977357821306214E-10</v>
      </c>
      <c r="AF1433" s="53"/>
      <c r="AG1433" s="53">
        <f t="shared" si="1025"/>
        <v>47.970000000628353</v>
      </c>
      <c r="AH1433" s="38">
        <f>189740.54+217346.05+1052709.17</f>
        <v>1459795.7599999998</v>
      </c>
      <c r="AI1433" s="38">
        <v>-1459000</v>
      </c>
      <c r="AJ1433" s="38"/>
      <c r="AK1433" s="54">
        <f t="shared" si="1026"/>
        <v>843.73000000044703</v>
      </c>
      <c r="AL1433" s="53"/>
      <c r="AM1433" s="53">
        <f t="shared" si="1013"/>
        <v>282.49999999999949</v>
      </c>
      <c r="AN1433" s="38"/>
      <c r="AO1433" s="38"/>
      <c r="AP1433" s="38"/>
      <c r="AQ1433" s="54">
        <f t="shared" si="1030"/>
        <v>282.49999999999949</v>
      </c>
      <c r="AR1433" s="53"/>
      <c r="AS1433" s="29">
        <f t="shared" si="1006"/>
        <v>-6166033.3999999994</v>
      </c>
      <c r="AT1433" s="29">
        <f t="shared" si="1007"/>
        <v>2450699.04</v>
      </c>
      <c r="AU1433" s="29">
        <f t="shared" si="1008"/>
        <v>0</v>
      </c>
      <c r="AV1433" s="29">
        <f t="shared" si="1009"/>
        <v>-21.9</v>
      </c>
      <c r="AW1433" s="29"/>
      <c r="AX1433" s="29">
        <f t="shared" si="1010"/>
        <v>-3715356.26</v>
      </c>
      <c r="AY1433" s="29">
        <f t="shared" si="1027"/>
        <v>9300000</v>
      </c>
      <c r="AZ1433" s="29">
        <f t="shared" si="1028"/>
        <v>5584643.7400000002</v>
      </c>
    </row>
    <row r="1434" spans="2:52" x14ac:dyDescent="0.3">
      <c r="B1434" s="99">
        <f t="shared" si="1035"/>
        <v>46171</v>
      </c>
      <c r="C1434" s="44">
        <f t="shared" si="1015"/>
        <v>623394.17000000237</v>
      </c>
      <c r="D1434" s="38">
        <v>359813.85</v>
      </c>
      <c r="E1434" s="38">
        <v>-900000</v>
      </c>
      <c r="F1434" s="38">
        <f>-23389.98+0.12</f>
        <v>-23389.86</v>
      </c>
      <c r="G1434" s="45">
        <f t="shared" si="1016"/>
        <v>59818.160000002346</v>
      </c>
      <c r="H1434" s="44">
        <v>4300000</v>
      </c>
      <c r="I1434" s="46">
        <f t="shared" si="1017"/>
        <v>-4340468.3600000003</v>
      </c>
      <c r="J1434" s="38">
        <f>14887.6+32417.74+22876.15+30388.44+205391.47+28811.39+8866.16+6246.65+119347.43+327223.85+8465.73+24127.32+27124.41+1924.02</f>
        <v>858098.36</v>
      </c>
      <c r="K1434" s="38">
        <v>1103000</v>
      </c>
      <c r="L1434" s="38">
        <v>1.4</v>
      </c>
      <c r="M1434" s="47">
        <f t="shared" si="1018"/>
        <v>-2379368.6000000006</v>
      </c>
      <c r="N1434" s="46">
        <v>5000000</v>
      </c>
      <c r="O1434" s="48">
        <f t="shared" si="1019"/>
        <v>462.50999999931082</v>
      </c>
      <c r="P1434" s="38">
        <f>24438.54+28263.12</f>
        <v>52701.66</v>
      </c>
      <c r="Q1434" s="38">
        <f>150300-203000</f>
        <v>-52700</v>
      </c>
      <c r="R1434" s="38"/>
      <c r="S1434" s="55">
        <f t="shared" si="1020"/>
        <v>464.16999999931431</v>
      </c>
      <c r="T1434" s="48"/>
      <c r="U1434" s="49">
        <f t="shared" si="1021"/>
        <v>129.18999999954832</v>
      </c>
      <c r="V1434" s="38">
        <v>150293.54</v>
      </c>
      <c r="W1434" s="38">
        <v>-150300</v>
      </c>
      <c r="X1434" s="38">
        <v>-1.7</v>
      </c>
      <c r="Y1434" s="51">
        <f t="shared" si="1022"/>
        <v>121.02999999954481</v>
      </c>
      <c r="Z1434" s="52"/>
      <c r="AA1434" s="53">
        <f t="shared" si="1023"/>
        <v>-7.6977357821306214E-10</v>
      </c>
      <c r="AB1434" s="38"/>
      <c r="AC1434" s="38"/>
      <c r="AD1434" s="38"/>
      <c r="AE1434" s="54">
        <f t="shared" si="1024"/>
        <v>-7.6977357821306214E-10</v>
      </c>
      <c r="AF1434" s="53"/>
      <c r="AG1434" s="53">
        <f t="shared" si="1025"/>
        <v>843.73000000044703</v>
      </c>
      <c r="AH1434" s="38"/>
      <c r="AI1434" s="38"/>
      <c r="AJ1434" s="38">
        <f>-9.9-99+0.04</f>
        <v>-108.86</v>
      </c>
      <c r="AK1434" s="54">
        <f t="shared" si="1026"/>
        <v>734.87000000044702</v>
      </c>
      <c r="AL1434" s="53"/>
      <c r="AM1434" s="53">
        <f t="shared" si="1013"/>
        <v>282.49999999999949</v>
      </c>
      <c r="AN1434" s="38"/>
      <c r="AO1434" s="38"/>
      <c r="AP1434" s="38">
        <v>0.17</v>
      </c>
      <c r="AQ1434" s="54">
        <f t="shared" si="1030"/>
        <v>282.6699999999995</v>
      </c>
      <c r="AR1434" s="53"/>
      <c r="AS1434" s="29">
        <f t="shared" si="1006"/>
        <v>-3715356.26</v>
      </c>
      <c r="AT1434" s="29">
        <f t="shared" si="1007"/>
        <v>1420907.41</v>
      </c>
      <c r="AU1434" s="29">
        <f t="shared" si="1008"/>
        <v>0</v>
      </c>
      <c r="AV1434" s="29">
        <f t="shared" si="1009"/>
        <v>-23498.850000000002</v>
      </c>
      <c r="AW1434" s="29"/>
      <c r="AX1434" s="29">
        <f t="shared" si="1010"/>
        <v>-2317947.6999999997</v>
      </c>
      <c r="AY1434" s="29">
        <f t="shared" si="1027"/>
        <v>9300000</v>
      </c>
      <c r="AZ1434" s="29">
        <f t="shared" si="1028"/>
        <v>6982052.3000000007</v>
      </c>
    </row>
    <row r="1435" spans="2:52" x14ac:dyDescent="0.3">
      <c r="B1435" s="99">
        <f>B1434+3</f>
        <v>46174</v>
      </c>
      <c r="C1435" s="44">
        <f t="shared" si="1015"/>
        <v>59818.160000002346</v>
      </c>
      <c r="D1435" s="38">
        <f>50249.74+49646.65</f>
        <v>99896.39</v>
      </c>
      <c r="E1435" s="38"/>
      <c r="F1435" s="38"/>
      <c r="G1435" s="45">
        <f t="shared" si="1016"/>
        <v>159714.55000000235</v>
      </c>
      <c r="H1435" s="44">
        <v>4300000</v>
      </c>
      <c r="I1435" s="46">
        <f t="shared" si="1017"/>
        <v>-2379368.6000000006</v>
      </c>
      <c r="J1435" s="38">
        <f>352093.45+127073.93+28880.43</f>
        <v>508047.81</v>
      </c>
      <c r="K1435" s="38">
        <f>336000+72000</f>
        <v>408000</v>
      </c>
      <c r="L1435" s="38">
        <f>-101662.18-34418.15</f>
        <v>-136080.32999999999</v>
      </c>
      <c r="M1435" s="47">
        <f t="shared" si="1018"/>
        <v>-1599401.1200000006</v>
      </c>
      <c r="N1435" s="46">
        <v>5000000</v>
      </c>
      <c r="O1435" s="48">
        <f t="shared" si="1019"/>
        <v>464.16999999931431</v>
      </c>
      <c r="P1435" s="38">
        <f>4881.75+331158.67</f>
        <v>336040.42</v>
      </c>
      <c r="Q1435" s="38">
        <v>-336000</v>
      </c>
      <c r="R1435" s="38">
        <v>-10</v>
      </c>
      <c r="S1435" s="55">
        <f t="shared" si="1020"/>
        <v>494.58999999926891</v>
      </c>
      <c r="T1435" s="48"/>
      <c r="U1435" s="49">
        <f t="shared" si="1021"/>
        <v>121.02999999954481</v>
      </c>
      <c r="V1435" s="38"/>
      <c r="W1435" s="38"/>
      <c r="X1435" s="38"/>
      <c r="Y1435" s="51">
        <f t="shared" si="1022"/>
        <v>121.02999999954481</v>
      </c>
      <c r="Z1435" s="52"/>
      <c r="AA1435" s="53">
        <f t="shared" si="1023"/>
        <v>-7.6977357821306214E-10</v>
      </c>
      <c r="AB1435" s="38"/>
      <c r="AC1435" s="38"/>
      <c r="AD1435" s="38"/>
      <c r="AE1435" s="54">
        <f t="shared" si="1024"/>
        <v>-7.6977357821306214E-10</v>
      </c>
      <c r="AF1435" s="53"/>
      <c r="AG1435" s="53">
        <f t="shared" si="1025"/>
        <v>734.87000000044702</v>
      </c>
      <c r="AH1435" s="38">
        <f>33413.6+38823.87</f>
        <v>72237.47</v>
      </c>
      <c r="AI1435" s="38">
        <v>-72000</v>
      </c>
      <c r="AJ1435" s="38"/>
      <c r="AK1435" s="54">
        <f t="shared" si="1026"/>
        <v>972.34000000044762</v>
      </c>
      <c r="AL1435" s="53"/>
      <c r="AM1435" s="53">
        <f t="shared" si="1013"/>
        <v>282.6699999999995</v>
      </c>
      <c r="AN1435" s="38"/>
      <c r="AO1435" s="38"/>
      <c r="AP1435" s="38"/>
      <c r="AQ1435" s="54">
        <f t="shared" si="1030"/>
        <v>282.6699999999995</v>
      </c>
      <c r="AR1435" s="53"/>
      <c r="AS1435" s="29">
        <f t="shared" si="1006"/>
        <v>-2317947.6999999997</v>
      </c>
      <c r="AT1435" s="29">
        <f t="shared" si="1007"/>
        <v>1016222.0899999999</v>
      </c>
      <c r="AU1435" s="29">
        <f t="shared" si="1008"/>
        <v>0</v>
      </c>
      <c r="AV1435" s="29">
        <f t="shared" si="1009"/>
        <v>-136090.32999999999</v>
      </c>
      <c r="AW1435" s="29"/>
      <c r="AX1435" s="29">
        <f t="shared" si="1010"/>
        <v>-1437815.9399999997</v>
      </c>
      <c r="AY1435" s="29">
        <f t="shared" si="1027"/>
        <v>9300000</v>
      </c>
      <c r="AZ1435" s="29">
        <f t="shared" si="1028"/>
        <v>7862184.0600000005</v>
      </c>
    </row>
    <row r="1436" spans="2:52" x14ac:dyDescent="0.3">
      <c r="B1436" s="99">
        <f t="shared" ref="B1436:B1437" si="1036">B1435+1</f>
        <v>46175</v>
      </c>
      <c r="C1436" s="44">
        <f t="shared" si="1015"/>
        <v>159714.55000000235</v>
      </c>
      <c r="D1436" s="38"/>
      <c r="E1436" s="38"/>
      <c r="F1436" s="38">
        <v>-13173.02</v>
      </c>
      <c r="G1436" s="45">
        <f t="shared" si="1016"/>
        <v>146541.53000000236</v>
      </c>
      <c r="H1436" s="44">
        <v>4300000</v>
      </c>
      <c r="I1436" s="46">
        <f t="shared" si="1017"/>
        <v>-1599401.1200000006</v>
      </c>
      <c r="J1436" s="38"/>
      <c r="K1436" s="38"/>
      <c r="L1436" s="38">
        <v>-118273.56</v>
      </c>
      <c r="M1436" s="47">
        <f t="shared" si="1018"/>
        <v>-1717674.6800000006</v>
      </c>
      <c r="N1436" s="46">
        <v>5000000</v>
      </c>
      <c r="O1436" s="48">
        <f t="shared" si="1019"/>
        <v>494.58999999926891</v>
      </c>
      <c r="P1436" s="38"/>
      <c r="Q1436" s="38"/>
      <c r="R1436" s="38">
        <v>-10</v>
      </c>
      <c r="S1436" s="55">
        <f t="shared" si="1020"/>
        <v>484.58999999926891</v>
      </c>
      <c r="T1436" s="48"/>
      <c r="U1436" s="49">
        <f t="shared" si="1021"/>
        <v>121.02999999954481</v>
      </c>
      <c r="V1436" s="38"/>
      <c r="W1436" s="38"/>
      <c r="X1436" s="38">
        <v>-73</v>
      </c>
      <c r="Y1436" s="51">
        <f t="shared" si="1022"/>
        <v>48.029999999544813</v>
      </c>
      <c r="Z1436" s="52"/>
      <c r="AA1436" s="53">
        <f t="shared" si="1023"/>
        <v>-7.6977357821306214E-10</v>
      </c>
      <c r="AB1436" s="38"/>
      <c r="AC1436" s="38"/>
      <c r="AD1436" s="38"/>
      <c r="AE1436" s="54">
        <f t="shared" si="1024"/>
        <v>-7.6977357821306214E-10</v>
      </c>
      <c r="AF1436" s="53"/>
      <c r="AG1436" s="53">
        <f t="shared" si="1025"/>
        <v>972.34000000044762</v>
      </c>
      <c r="AH1436" s="38"/>
      <c r="AI1436" s="38"/>
      <c r="AJ1436" s="38">
        <v>-9.9</v>
      </c>
      <c r="AK1436" s="54">
        <f t="shared" si="1026"/>
        <v>962.44000000044764</v>
      </c>
      <c r="AL1436" s="53"/>
      <c r="AM1436" s="53">
        <f t="shared" si="1013"/>
        <v>282.6699999999995</v>
      </c>
      <c r="AN1436" s="38"/>
      <c r="AO1436" s="38"/>
      <c r="AP1436" s="38"/>
      <c r="AQ1436" s="54">
        <f t="shared" si="1030"/>
        <v>282.6699999999995</v>
      </c>
      <c r="AR1436" s="53"/>
      <c r="AS1436" s="29">
        <f t="shared" si="1006"/>
        <v>-1437815.9399999997</v>
      </c>
      <c r="AT1436" s="29">
        <f t="shared" si="1007"/>
        <v>0</v>
      </c>
      <c r="AU1436" s="29">
        <f t="shared" si="1008"/>
        <v>0</v>
      </c>
      <c r="AV1436" s="29">
        <f t="shared" si="1009"/>
        <v>-131539.47999999998</v>
      </c>
      <c r="AW1436" s="29"/>
      <c r="AX1436" s="29">
        <f t="shared" si="1010"/>
        <v>-1569355.42</v>
      </c>
      <c r="AY1436" s="29">
        <f t="shared" si="1027"/>
        <v>9300000</v>
      </c>
      <c r="AZ1436" s="29">
        <f t="shared" si="1028"/>
        <v>7730644.5800000001</v>
      </c>
    </row>
    <row r="1437" spans="2:52" x14ac:dyDescent="0.3">
      <c r="B1437" s="99">
        <f t="shared" si="1036"/>
        <v>46176</v>
      </c>
      <c r="C1437" s="44">
        <f t="shared" si="1015"/>
        <v>146541.53000000236</v>
      </c>
      <c r="D1437" s="38">
        <f>14189.48+33813.06+65611.18+31245.75</f>
        <v>144859.46999999997</v>
      </c>
      <c r="E1437" s="38">
        <v>-1550000</v>
      </c>
      <c r="F1437" s="38">
        <f>-59763.92-21.6-17386.44-0.3+1.35</f>
        <v>-77170.909999999989</v>
      </c>
      <c r="G1437" s="45">
        <f t="shared" si="1016"/>
        <v>-1335769.9099999976</v>
      </c>
      <c r="H1437" s="44">
        <v>4300000</v>
      </c>
      <c r="I1437" s="46">
        <f t="shared" si="1017"/>
        <v>-1717674.6800000006</v>
      </c>
      <c r="J1437" s="38"/>
      <c r="K1437" s="38">
        <f>1000000+126069+550000</f>
        <v>1676069</v>
      </c>
      <c r="L1437" s="38">
        <v>-4880916.97</v>
      </c>
      <c r="M1437" s="47">
        <f t="shared" si="1018"/>
        <v>-4922522.6500000004</v>
      </c>
      <c r="N1437" s="46">
        <v>5000000</v>
      </c>
      <c r="O1437" s="48">
        <f t="shared" si="1019"/>
        <v>484.58999999926891</v>
      </c>
      <c r="P1437" s="38">
        <f>9000+122385.72</f>
        <v>131385.72</v>
      </c>
      <c r="Q1437" s="38">
        <v>-126069</v>
      </c>
      <c r="R1437" s="38">
        <f>-1506.07-1167.84-316-1811.2-10</f>
        <v>-4811.1099999999997</v>
      </c>
      <c r="S1437" s="55">
        <f t="shared" si="1020"/>
        <v>990.1999999992704</v>
      </c>
      <c r="T1437" s="48"/>
      <c r="U1437" s="49">
        <f t="shared" si="1021"/>
        <v>48.029999999544813</v>
      </c>
      <c r="V1437" s="38"/>
      <c r="W1437" s="38"/>
      <c r="X1437" s="38"/>
      <c r="Y1437" s="51">
        <f t="shared" si="1022"/>
        <v>48.029999999544813</v>
      </c>
      <c r="Z1437" s="52"/>
      <c r="AA1437" s="53">
        <f t="shared" si="1023"/>
        <v>-7.6977357821306214E-10</v>
      </c>
      <c r="AB1437" s="38"/>
      <c r="AC1437" s="38"/>
      <c r="AD1437" s="38"/>
      <c r="AE1437" s="54">
        <f t="shared" si="1024"/>
        <v>-7.6977357821306214E-10</v>
      </c>
      <c r="AF1437" s="53"/>
      <c r="AG1437" s="53">
        <f t="shared" si="1025"/>
        <v>962.44000000044764</v>
      </c>
      <c r="AH1437" s="38"/>
      <c r="AI1437" s="38"/>
      <c r="AJ1437" s="38"/>
      <c r="AK1437" s="54">
        <f t="shared" si="1026"/>
        <v>962.44000000044764</v>
      </c>
      <c r="AL1437" s="53"/>
      <c r="AM1437" s="53">
        <f t="shared" si="1013"/>
        <v>282.6699999999995</v>
      </c>
      <c r="AN1437" s="38"/>
      <c r="AO1437" s="38"/>
      <c r="AP1437" s="38"/>
      <c r="AQ1437" s="54">
        <f t="shared" si="1030"/>
        <v>282.6699999999995</v>
      </c>
      <c r="AR1437" s="53"/>
      <c r="AS1437" s="29">
        <f t="shared" si="1006"/>
        <v>-1569355.42</v>
      </c>
      <c r="AT1437" s="29">
        <f t="shared" si="1007"/>
        <v>276245.18999999994</v>
      </c>
      <c r="AU1437" s="29">
        <f t="shared" si="1008"/>
        <v>0</v>
      </c>
      <c r="AV1437" s="29">
        <f t="shared" si="1009"/>
        <v>-4962898.99</v>
      </c>
      <c r="AW1437" s="29"/>
      <c r="AX1437" s="29">
        <f t="shared" si="1010"/>
        <v>-6256009.2199999997</v>
      </c>
      <c r="AY1437" s="29">
        <f t="shared" si="1027"/>
        <v>9300000</v>
      </c>
      <c r="AZ1437" s="29">
        <f t="shared" si="1028"/>
        <v>3043990.7800000003</v>
      </c>
    </row>
    <row r="1438" spans="2:52" x14ac:dyDescent="0.3">
      <c r="B1438" s="99">
        <f t="shared" ref="B1438:B1439" si="1037">B1437+1</f>
        <v>46177</v>
      </c>
      <c r="C1438" s="44">
        <f t="shared" si="1015"/>
        <v>-1335769.9099999976</v>
      </c>
      <c r="D1438" s="38"/>
      <c r="E1438" s="38"/>
      <c r="F1438" s="38"/>
      <c r="G1438" s="45">
        <f t="shared" si="1016"/>
        <v>-1335769.9099999976</v>
      </c>
      <c r="H1438" s="44">
        <v>4300000</v>
      </c>
      <c r="I1438" s="46">
        <f t="shared" si="1017"/>
        <v>-4922522.6500000004</v>
      </c>
      <c r="J1438" s="38"/>
      <c r="K1438" s="38"/>
      <c r="L1438" s="38"/>
      <c r="M1438" s="47">
        <f t="shared" si="1018"/>
        <v>-4922522.6500000004</v>
      </c>
      <c r="N1438" s="46">
        <v>5000000</v>
      </c>
      <c r="O1438" s="48">
        <f t="shared" si="1019"/>
        <v>990.1999999992704</v>
      </c>
      <c r="P1438" s="38"/>
      <c r="Q1438" s="38"/>
      <c r="R1438" s="38"/>
      <c r="S1438" s="55">
        <f t="shared" si="1020"/>
        <v>990.1999999992704</v>
      </c>
      <c r="T1438" s="48"/>
      <c r="U1438" s="49">
        <f t="shared" si="1021"/>
        <v>48.029999999544813</v>
      </c>
      <c r="V1438" s="38"/>
      <c r="W1438" s="38"/>
      <c r="X1438" s="38"/>
      <c r="Y1438" s="51">
        <f t="shared" si="1022"/>
        <v>48.029999999544813</v>
      </c>
      <c r="Z1438" s="52"/>
      <c r="AA1438" s="53">
        <f t="shared" si="1023"/>
        <v>-7.6977357821306214E-10</v>
      </c>
      <c r="AB1438" s="38"/>
      <c r="AC1438" s="38"/>
      <c r="AD1438" s="38"/>
      <c r="AE1438" s="54">
        <f t="shared" si="1024"/>
        <v>-7.6977357821306214E-10</v>
      </c>
      <c r="AF1438" s="53"/>
      <c r="AG1438" s="53">
        <f t="shared" si="1025"/>
        <v>962.44000000044764</v>
      </c>
      <c r="AH1438" s="38"/>
      <c r="AI1438" s="38"/>
      <c r="AJ1438" s="38"/>
      <c r="AK1438" s="54">
        <f t="shared" si="1026"/>
        <v>962.44000000044764</v>
      </c>
      <c r="AL1438" s="53"/>
      <c r="AM1438" s="53">
        <f t="shared" si="1013"/>
        <v>282.6699999999995</v>
      </c>
      <c r="AN1438" s="38"/>
      <c r="AO1438" s="38"/>
      <c r="AP1438" s="38"/>
      <c r="AQ1438" s="54">
        <f t="shared" si="1030"/>
        <v>282.6699999999995</v>
      </c>
      <c r="AR1438" s="53"/>
      <c r="AS1438" s="29">
        <f t="shared" si="1006"/>
        <v>-6256009.2199999997</v>
      </c>
      <c r="AT1438" s="29">
        <f t="shared" si="1007"/>
        <v>0</v>
      </c>
      <c r="AU1438" s="29">
        <f t="shared" si="1008"/>
        <v>0</v>
      </c>
      <c r="AV1438" s="29">
        <f t="shared" si="1009"/>
        <v>0</v>
      </c>
      <c r="AW1438" s="29"/>
      <c r="AX1438" s="29">
        <f t="shared" si="1010"/>
        <v>-6256009.2199999997</v>
      </c>
      <c r="AY1438" s="29">
        <f t="shared" si="1027"/>
        <v>9300000</v>
      </c>
      <c r="AZ1438" s="29">
        <f t="shared" si="1028"/>
        <v>3043990.7800000003</v>
      </c>
    </row>
    <row r="1439" spans="2:52" x14ac:dyDescent="0.3">
      <c r="B1439" s="99">
        <f t="shared" si="1037"/>
        <v>46178</v>
      </c>
      <c r="C1439" s="44">
        <f t="shared" si="1015"/>
        <v>-1335769.9099999976</v>
      </c>
      <c r="D1439" s="38"/>
      <c r="E1439" s="38">
        <v>-1850000</v>
      </c>
      <c r="F1439" s="38">
        <f>-1800-125-0.3</f>
        <v>-1925.3</v>
      </c>
      <c r="G1439" s="45">
        <f t="shared" si="1016"/>
        <v>-3187695.2099999972</v>
      </c>
      <c r="H1439" s="44">
        <v>4300000</v>
      </c>
      <c r="I1439" s="46">
        <f t="shared" si="1017"/>
        <v>-4922522.6500000004</v>
      </c>
      <c r="J1439" s="38"/>
      <c r="K1439" s="38">
        <v>1850000</v>
      </c>
      <c r="L1439" s="38">
        <v>-1888461.43</v>
      </c>
      <c r="M1439" s="47">
        <f t="shared" si="1018"/>
        <v>-4960984.08</v>
      </c>
      <c r="N1439" s="46">
        <v>5000000</v>
      </c>
      <c r="O1439" s="48">
        <f t="shared" si="1019"/>
        <v>990.1999999992704</v>
      </c>
      <c r="P1439" s="38"/>
      <c r="Q1439" s="38"/>
      <c r="R1439" s="38"/>
      <c r="S1439" s="55">
        <f t="shared" si="1020"/>
        <v>990.1999999992704</v>
      </c>
      <c r="T1439" s="48"/>
      <c r="U1439" s="49">
        <f t="shared" si="1021"/>
        <v>48.029999999544813</v>
      </c>
      <c r="V1439" s="38"/>
      <c r="W1439" s="38"/>
      <c r="X1439" s="38"/>
      <c r="Y1439" s="51">
        <f t="shared" si="1022"/>
        <v>48.029999999544813</v>
      </c>
      <c r="Z1439" s="52"/>
      <c r="AA1439" s="53">
        <f t="shared" si="1023"/>
        <v>-7.6977357821306214E-10</v>
      </c>
      <c r="AB1439" s="38"/>
      <c r="AC1439" s="38"/>
      <c r="AD1439" s="38"/>
      <c r="AE1439" s="54">
        <f t="shared" si="1024"/>
        <v>-7.6977357821306214E-10</v>
      </c>
      <c r="AF1439" s="53"/>
      <c r="AG1439" s="53">
        <f t="shared" si="1025"/>
        <v>962.44000000044764</v>
      </c>
      <c r="AH1439" s="38"/>
      <c r="AI1439" s="38"/>
      <c r="AJ1439" s="38"/>
      <c r="AK1439" s="54">
        <f t="shared" si="1026"/>
        <v>962.44000000044764</v>
      </c>
      <c r="AL1439" s="53"/>
      <c r="AM1439" s="53">
        <f t="shared" si="1013"/>
        <v>282.6699999999995</v>
      </c>
      <c r="AN1439" s="38"/>
      <c r="AO1439" s="38"/>
      <c r="AP1439" s="38"/>
      <c r="AQ1439" s="54">
        <f t="shared" si="1030"/>
        <v>282.6699999999995</v>
      </c>
      <c r="AR1439" s="53"/>
      <c r="AS1439" s="29">
        <f t="shared" si="1006"/>
        <v>-6256009.2199999997</v>
      </c>
      <c r="AT1439" s="29">
        <f t="shared" si="1007"/>
        <v>0</v>
      </c>
      <c r="AU1439" s="29">
        <f t="shared" si="1008"/>
        <v>0</v>
      </c>
      <c r="AV1439" s="29">
        <f t="shared" si="1009"/>
        <v>-1890386.73</v>
      </c>
      <c r="AW1439" s="29"/>
      <c r="AX1439" s="29">
        <f t="shared" si="1010"/>
        <v>-8146395.9499999993</v>
      </c>
      <c r="AY1439" s="29">
        <f t="shared" si="1027"/>
        <v>9300000</v>
      </c>
      <c r="AZ1439" s="29">
        <f t="shared" si="1028"/>
        <v>1153604.0500000007</v>
      </c>
    </row>
    <row r="1440" spans="2:52" x14ac:dyDescent="0.3">
      <c r="B1440" s="99">
        <f>B1439+3</f>
        <v>46181</v>
      </c>
      <c r="C1440" s="44">
        <f t="shared" si="1015"/>
        <v>-3187695.2099999972</v>
      </c>
      <c r="D1440" s="38">
        <v>324311.23</v>
      </c>
      <c r="E1440" s="38"/>
      <c r="F1440" s="38">
        <v>-0.2</v>
      </c>
      <c r="G1440" s="45">
        <f t="shared" si="1016"/>
        <v>-2863384.1799999974</v>
      </c>
      <c r="H1440" s="44">
        <v>4300000</v>
      </c>
      <c r="I1440" s="46">
        <f t="shared" si="1017"/>
        <v>-4960984.08</v>
      </c>
      <c r="J1440" s="38">
        <f>51046.38+32539.08+67462.01+43003.08</f>
        <v>194050.55</v>
      </c>
      <c r="K1440" s="38"/>
      <c r="L1440" s="38">
        <v>-155074.51999999999</v>
      </c>
      <c r="M1440" s="47">
        <f t="shared" si="1018"/>
        <v>-4922008.05</v>
      </c>
      <c r="N1440" s="46">
        <v>5000000</v>
      </c>
      <c r="O1440" s="48">
        <f t="shared" si="1019"/>
        <v>990.1999999992704</v>
      </c>
      <c r="P1440" s="38">
        <v>238216.91</v>
      </c>
      <c r="Q1440" s="38"/>
      <c r="R1440" s="38"/>
      <c r="S1440" s="55">
        <f t="shared" si="1020"/>
        <v>239207.10999999929</v>
      </c>
      <c r="T1440" s="48"/>
      <c r="U1440" s="49">
        <f t="shared" si="1021"/>
        <v>48.029999999544813</v>
      </c>
      <c r="V1440" s="38"/>
      <c r="W1440" s="38"/>
      <c r="X1440" s="38"/>
      <c r="Y1440" s="51">
        <f t="shared" si="1022"/>
        <v>48.029999999544813</v>
      </c>
      <c r="Z1440" s="52"/>
      <c r="AA1440" s="53">
        <f t="shared" si="1023"/>
        <v>-7.6977357821306214E-10</v>
      </c>
      <c r="AB1440" s="38"/>
      <c r="AC1440" s="38"/>
      <c r="AD1440" s="38"/>
      <c r="AE1440" s="54">
        <f t="shared" si="1024"/>
        <v>-7.6977357821306214E-10</v>
      </c>
      <c r="AF1440" s="53"/>
      <c r="AG1440" s="53">
        <f t="shared" si="1025"/>
        <v>962.44000000044764</v>
      </c>
      <c r="AH1440" s="38"/>
      <c r="AI1440" s="38"/>
      <c r="AJ1440" s="38"/>
      <c r="AK1440" s="54">
        <f t="shared" si="1026"/>
        <v>962.44000000044764</v>
      </c>
      <c r="AL1440" s="53"/>
      <c r="AM1440" s="53">
        <f t="shared" si="1013"/>
        <v>282.6699999999995</v>
      </c>
      <c r="AN1440" s="38"/>
      <c r="AO1440" s="38"/>
      <c r="AP1440" s="38"/>
      <c r="AQ1440" s="54">
        <f t="shared" si="1030"/>
        <v>282.6699999999995</v>
      </c>
      <c r="AR1440" s="53"/>
      <c r="AS1440" s="29">
        <f t="shared" si="1006"/>
        <v>-8146395.9499999993</v>
      </c>
      <c r="AT1440" s="29">
        <f t="shared" si="1007"/>
        <v>756578.69</v>
      </c>
      <c r="AU1440" s="29">
        <f t="shared" si="1008"/>
        <v>0</v>
      </c>
      <c r="AV1440" s="29">
        <f t="shared" si="1009"/>
        <v>-155074.72</v>
      </c>
      <c r="AW1440" s="29"/>
      <c r="AX1440" s="29">
        <f t="shared" si="1010"/>
        <v>-7544891.9799999986</v>
      </c>
      <c r="AY1440" s="29">
        <f t="shared" si="1027"/>
        <v>9300000</v>
      </c>
      <c r="AZ1440" s="29">
        <f t="shared" si="1028"/>
        <v>1755108.0200000014</v>
      </c>
    </row>
    <row r="1441" spans="2:52" x14ac:dyDescent="0.3">
      <c r="B1441" s="99">
        <f t="shared" ref="B1441" si="1038">B1440+1</f>
        <v>46182</v>
      </c>
      <c r="C1441" s="44">
        <f t="shared" si="1015"/>
        <v>-2863384.1799999974</v>
      </c>
      <c r="D1441" s="38"/>
      <c r="E1441" s="38"/>
      <c r="F1441" s="38">
        <f>-5637.67-49.15-4926.59</f>
        <v>-10613.41</v>
      </c>
      <c r="G1441" s="45">
        <f t="shared" si="1016"/>
        <v>-2873997.5899999975</v>
      </c>
      <c r="H1441" s="44">
        <v>4300000</v>
      </c>
      <c r="I1441" s="46">
        <f t="shared" si="1017"/>
        <v>-4922008.05</v>
      </c>
      <c r="J1441" s="38">
        <v>4256.1899999999996</v>
      </c>
      <c r="K1441" s="38">
        <v>238207</v>
      </c>
      <c r="L1441" s="38">
        <v>-82630.38</v>
      </c>
      <c r="M1441" s="47">
        <f t="shared" si="1018"/>
        <v>-4762175.2399999993</v>
      </c>
      <c r="N1441" s="46">
        <v>5000000</v>
      </c>
      <c r="O1441" s="48">
        <f t="shared" si="1019"/>
        <v>239207.10999999929</v>
      </c>
      <c r="P1441" s="38"/>
      <c r="Q1441" s="38">
        <v>-238207</v>
      </c>
      <c r="R1441" s="38"/>
      <c r="S1441" s="55">
        <f t="shared" si="1020"/>
        <v>1000.1099999992875</v>
      </c>
      <c r="T1441" s="48"/>
      <c r="U1441" s="49">
        <f t="shared" si="1021"/>
        <v>48.029999999544813</v>
      </c>
      <c r="V1441" s="38"/>
      <c r="W1441" s="38"/>
      <c r="X1441" s="38"/>
      <c r="Y1441" s="51">
        <f t="shared" si="1022"/>
        <v>48.029999999544813</v>
      </c>
      <c r="Z1441" s="52"/>
      <c r="AA1441" s="53">
        <f t="shared" si="1023"/>
        <v>-7.6977357821306214E-10</v>
      </c>
      <c r="AB1441" s="38"/>
      <c r="AC1441" s="38"/>
      <c r="AD1441" s="38"/>
      <c r="AE1441" s="54">
        <f t="shared" si="1024"/>
        <v>-7.6977357821306214E-10</v>
      </c>
      <c r="AF1441" s="53"/>
      <c r="AG1441" s="53">
        <f t="shared" si="1025"/>
        <v>962.44000000044764</v>
      </c>
      <c r="AH1441" s="38"/>
      <c r="AI1441" s="38"/>
      <c r="AJ1441" s="38"/>
      <c r="AK1441" s="54">
        <f t="shared" si="1026"/>
        <v>962.44000000044764</v>
      </c>
      <c r="AL1441" s="53"/>
      <c r="AM1441" s="53">
        <f t="shared" si="1013"/>
        <v>282.6699999999995</v>
      </c>
      <c r="AN1441" s="38"/>
      <c r="AO1441" s="38"/>
      <c r="AP1441" s="38"/>
      <c r="AQ1441" s="54">
        <f t="shared" si="1030"/>
        <v>282.6699999999995</v>
      </c>
      <c r="AR1441" s="53"/>
      <c r="AS1441" s="29">
        <f t="shared" si="1006"/>
        <v>-7544891.9799999986</v>
      </c>
      <c r="AT1441" s="29">
        <f t="shared" si="1007"/>
        <v>4256.1899999999996</v>
      </c>
      <c r="AU1441" s="29">
        <f t="shared" si="1008"/>
        <v>0</v>
      </c>
      <c r="AV1441" s="29">
        <f t="shared" si="1009"/>
        <v>-93243.790000000008</v>
      </c>
      <c r="AW1441" s="29"/>
      <c r="AX1441" s="29">
        <f t="shared" si="1010"/>
        <v>-7633879.5799999982</v>
      </c>
      <c r="AY1441" s="29">
        <f t="shared" si="1027"/>
        <v>9300000</v>
      </c>
      <c r="AZ1441" s="29">
        <f t="shared" si="1028"/>
        <v>1666120.4200000018</v>
      </c>
    </row>
    <row r="1442" spans="2:52" x14ac:dyDescent="0.3">
      <c r="B1442" s="99">
        <f t="shared" ref="B1442:B1444" si="1039">B1441+1</f>
        <v>46183</v>
      </c>
      <c r="C1442" s="44">
        <f t="shared" si="1015"/>
        <v>-2873997.5899999975</v>
      </c>
      <c r="D1442" s="38">
        <f>4764.2+8847.8+2116.95</f>
        <v>15728.95</v>
      </c>
      <c r="E1442" s="38"/>
      <c r="F1442" s="38">
        <v>-44.84</v>
      </c>
      <c r="G1442" s="45">
        <f t="shared" si="1016"/>
        <v>-2858313.4799999972</v>
      </c>
      <c r="H1442" s="44">
        <v>4300000</v>
      </c>
      <c r="I1442" s="46">
        <f t="shared" si="1017"/>
        <v>-4762175.2399999993</v>
      </c>
      <c r="J1442" s="38"/>
      <c r="K1442" s="38">
        <v>292000</v>
      </c>
      <c r="L1442" s="38">
        <v>-465007.66</v>
      </c>
      <c r="M1442" s="47">
        <f t="shared" si="1018"/>
        <v>-4935182.8999999994</v>
      </c>
      <c r="N1442" s="46">
        <v>5000000</v>
      </c>
      <c r="O1442" s="48">
        <f t="shared" si="1019"/>
        <v>1000.1099999992875</v>
      </c>
      <c r="P1442" s="38">
        <f>62077.6+8028.19+221412.73</f>
        <v>291518.52</v>
      </c>
      <c r="Q1442" s="38">
        <v>-292000</v>
      </c>
      <c r="R1442" s="38">
        <v>-20</v>
      </c>
      <c r="S1442" s="55">
        <f t="shared" si="1020"/>
        <v>498.62999999930616</v>
      </c>
      <c r="T1442" s="48"/>
      <c r="U1442" s="49">
        <f t="shared" si="1021"/>
        <v>48.029999999544813</v>
      </c>
      <c r="V1442" s="38"/>
      <c r="W1442" s="38"/>
      <c r="X1442" s="38"/>
      <c r="Y1442" s="51">
        <f t="shared" si="1022"/>
        <v>48.029999999544813</v>
      </c>
      <c r="Z1442" s="52"/>
      <c r="AA1442" s="53">
        <f t="shared" si="1023"/>
        <v>-7.6977357821306214E-10</v>
      </c>
      <c r="AB1442" s="38"/>
      <c r="AC1442" s="38"/>
      <c r="AD1442" s="38"/>
      <c r="AE1442" s="54">
        <f t="shared" si="1024"/>
        <v>-7.6977357821306214E-10</v>
      </c>
      <c r="AF1442" s="53"/>
      <c r="AG1442" s="53">
        <f t="shared" si="1025"/>
        <v>962.44000000044764</v>
      </c>
      <c r="AH1442" s="38"/>
      <c r="AI1442" s="38"/>
      <c r="AJ1442" s="38"/>
      <c r="AK1442" s="54">
        <f t="shared" si="1026"/>
        <v>962.44000000044764</v>
      </c>
      <c r="AL1442" s="53"/>
      <c r="AM1442" s="53">
        <f t="shared" si="1013"/>
        <v>282.6699999999995</v>
      </c>
      <c r="AN1442" s="38"/>
      <c r="AO1442" s="38"/>
      <c r="AP1442" s="38"/>
      <c r="AQ1442" s="54">
        <f t="shared" si="1030"/>
        <v>282.6699999999995</v>
      </c>
      <c r="AR1442" s="53"/>
      <c r="AS1442" s="29">
        <f t="shared" si="1006"/>
        <v>-7633879.5799999982</v>
      </c>
      <c r="AT1442" s="29">
        <f t="shared" si="1007"/>
        <v>307247.47000000003</v>
      </c>
      <c r="AU1442" s="29">
        <f t="shared" si="1008"/>
        <v>0</v>
      </c>
      <c r="AV1442" s="29">
        <f t="shared" si="1009"/>
        <v>-465072.5</v>
      </c>
      <c r="AW1442" s="29"/>
      <c r="AX1442" s="29">
        <f t="shared" si="1010"/>
        <v>-7791704.6099999994</v>
      </c>
      <c r="AY1442" s="29">
        <f t="shared" si="1027"/>
        <v>9300000</v>
      </c>
      <c r="AZ1442" s="29">
        <f t="shared" si="1028"/>
        <v>1508295.3900000006</v>
      </c>
    </row>
    <row r="1443" spans="2:52" x14ac:dyDescent="0.3">
      <c r="B1443" s="99">
        <f t="shared" si="1039"/>
        <v>46184</v>
      </c>
      <c r="C1443" s="44">
        <f t="shared" si="1015"/>
        <v>-2858313.4799999972</v>
      </c>
      <c r="D1443" s="38">
        <v>49414.15</v>
      </c>
      <c r="E1443" s="38"/>
      <c r="F1443" s="38">
        <f>-687.3</f>
        <v>-687.3</v>
      </c>
      <c r="G1443" s="45">
        <f t="shared" si="1016"/>
        <v>-2809586.6299999971</v>
      </c>
      <c r="H1443" s="44">
        <v>4300000</v>
      </c>
      <c r="I1443" s="46">
        <f t="shared" si="1017"/>
        <v>-4935182.8999999994</v>
      </c>
      <c r="J1443" s="38"/>
      <c r="K1443" s="38"/>
      <c r="L1443" s="38">
        <v>-16460.400000000001</v>
      </c>
      <c r="M1443" s="47">
        <f t="shared" si="1018"/>
        <v>-4951643.3</v>
      </c>
      <c r="N1443" s="46">
        <v>5000000</v>
      </c>
      <c r="O1443" s="48">
        <f t="shared" si="1019"/>
        <v>498.62999999930616</v>
      </c>
      <c r="P1443" s="38">
        <f>366836.96+281387.34</f>
        <v>648224.30000000005</v>
      </c>
      <c r="Q1443" s="38"/>
      <c r="R1443" s="38"/>
      <c r="S1443" s="55">
        <f t="shared" si="1020"/>
        <v>648722.92999999935</v>
      </c>
      <c r="T1443" s="48"/>
      <c r="U1443" s="49">
        <f t="shared" si="1021"/>
        <v>48.029999999544813</v>
      </c>
      <c r="V1443" s="38"/>
      <c r="W1443" s="38"/>
      <c r="X1443" s="38"/>
      <c r="Y1443" s="51">
        <f t="shared" si="1022"/>
        <v>48.029999999544813</v>
      </c>
      <c r="Z1443" s="52"/>
      <c r="AA1443" s="53">
        <f t="shared" si="1023"/>
        <v>-7.6977357821306214E-10</v>
      </c>
      <c r="AB1443" s="38"/>
      <c r="AC1443" s="38"/>
      <c r="AD1443" s="38"/>
      <c r="AE1443" s="54">
        <f t="shared" si="1024"/>
        <v>-7.6977357821306214E-10</v>
      </c>
      <c r="AF1443" s="53"/>
      <c r="AG1443" s="53">
        <f t="shared" si="1025"/>
        <v>962.44000000044764</v>
      </c>
      <c r="AH1443" s="38"/>
      <c r="AI1443" s="38"/>
      <c r="AJ1443" s="38"/>
      <c r="AK1443" s="54">
        <f t="shared" si="1026"/>
        <v>962.44000000044764</v>
      </c>
      <c r="AL1443" s="53"/>
      <c r="AM1443" s="53">
        <f t="shared" si="1013"/>
        <v>282.6699999999995</v>
      </c>
      <c r="AN1443" s="38"/>
      <c r="AO1443" s="38"/>
      <c r="AP1443" s="38"/>
      <c r="AQ1443" s="54">
        <f t="shared" si="1030"/>
        <v>282.6699999999995</v>
      </c>
      <c r="AR1443" s="53"/>
      <c r="AS1443" s="29">
        <f t="shared" si="1006"/>
        <v>-7791704.6099999994</v>
      </c>
      <c r="AT1443" s="29">
        <f t="shared" si="1007"/>
        <v>697638.45000000007</v>
      </c>
      <c r="AU1443" s="29">
        <f t="shared" si="1008"/>
        <v>0</v>
      </c>
      <c r="AV1443" s="29">
        <f t="shared" si="1009"/>
        <v>-17147.7</v>
      </c>
      <c r="AW1443" s="29"/>
      <c r="AX1443" s="29">
        <f t="shared" si="1010"/>
        <v>-7111213.8599999985</v>
      </c>
      <c r="AY1443" s="29">
        <f t="shared" si="1027"/>
        <v>9300000</v>
      </c>
      <c r="AZ1443" s="29">
        <f t="shared" si="1028"/>
        <v>2188786.1400000015</v>
      </c>
    </row>
    <row r="1444" spans="2:52" x14ac:dyDescent="0.3">
      <c r="B1444" s="99">
        <f t="shared" si="1039"/>
        <v>46185</v>
      </c>
      <c r="C1444" s="44">
        <f t="shared" si="1015"/>
        <v>-2809586.6299999971</v>
      </c>
      <c r="D1444" s="38">
        <v>123197.49</v>
      </c>
      <c r="E1444" s="38">
        <v>2700000</v>
      </c>
      <c r="F1444" s="38">
        <f>-5377.14-3233.33-0.99</f>
        <v>-8611.4600000000009</v>
      </c>
      <c r="G1444" s="45">
        <f t="shared" si="1016"/>
        <v>4999.4000000031283</v>
      </c>
      <c r="H1444" s="44">
        <v>4300000</v>
      </c>
      <c r="I1444" s="46">
        <f t="shared" si="1017"/>
        <v>-4951643.3</v>
      </c>
      <c r="J1444" s="38">
        <v>2270001.2400000002</v>
      </c>
      <c r="K1444" s="38">
        <f>-2700000+648000</f>
        <v>-2052000</v>
      </c>
      <c r="L1444" s="38">
        <f>-6681.77-18675.56-162.58-344-17245.48</f>
        <v>-43109.39</v>
      </c>
      <c r="M1444" s="47">
        <f t="shared" si="1018"/>
        <v>-4776751.4499999993</v>
      </c>
      <c r="N1444" s="46">
        <v>5000000</v>
      </c>
      <c r="O1444" s="48">
        <f t="shared" si="1019"/>
        <v>648722.92999999935</v>
      </c>
      <c r="P1444" s="38"/>
      <c r="Q1444" s="38">
        <v>-648000</v>
      </c>
      <c r="R1444" s="38">
        <v>-10</v>
      </c>
      <c r="S1444" s="55">
        <f t="shared" si="1020"/>
        <v>712.92999999935273</v>
      </c>
      <c r="T1444" s="48"/>
      <c r="U1444" s="49">
        <f t="shared" si="1021"/>
        <v>48.029999999544813</v>
      </c>
      <c r="V1444" s="38"/>
      <c r="W1444" s="38"/>
      <c r="X1444" s="38"/>
      <c r="Y1444" s="51">
        <f t="shared" si="1022"/>
        <v>48.029999999544813</v>
      </c>
      <c r="Z1444" s="52"/>
      <c r="AA1444" s="53">
        <f t="shared" si="1023"/>
        <v>-7.6977357821306214E-10</v>
      </c>
      <c r="AB1444" s="38"/>
      <c r="AC1444" s="38"/>
      <c r="AD1444" s="38"/>
      <c r="AE1444" s="54">
        <f t="shared" si="1024"/>
        <v>-7.6977357821306214E-10</v>
      </c>
      <c r="AF1444" s="53"/>
      <c r="AG1444" s="53">
        <f t="shared" si="1025"/>
        <v>962.44000000044764</v>
      </c>
      <c r="AH1444" s="38"/>
      <c r="AI1444" s="38"/>
      <c r="AJ1444" s="38"/>
      <c r="AK1444" s="54">
        <f t="shared" si="1026"/>
        <v>962.44000000044764</v>
      </c>
      <c r="AL1444" s="53"/>
      <c r="AM1444" s="53">
        <f t="shared" si="1013"/>
        <v>282.6699999999995</v>
      </c>
      <c r="AN1444" s="38"/>
      <c r="AO1444" s="38"/>
      <c r="AP1444" s="38"/>
      <c r="AQ1444" s="54">
        <f t="shared" si="1030"/>
        <v>282.6699999999995</v>
      </c>
      <c r="AR1444" s="53"/>
      <c r="AS1444" s="29">
        <f t="shared" si="1006"/>
        <v>-7111213.8599999985</v>
      </c>
      <c r="AT1444" s="29">
        <f t="shared" si="1007"/>
        <v>2393198.7300000004</v>
      </c>
      <c r="AU1444" s="29">
        <f t="shared" si="1008"/>
        <v>0</v>
      </c>
      <c r="AV1444" s="29">
        <f t="shared" si="1009"/>
        <v>-51730.85</v>
      </c>
      <c r="AW1444" s="29"/>
      <c r="AX1444" s="29">
        <f t="shared" si="1010"/>
        <v>-4769745.9799999977</v>
      </c>
      <c r="AY1444" s="29">
        <f t="shared" si="1027"/>
        <v>9300000</v>
      </c>
      <c r="AZ1444" s="29">
        <f t="shared" si="1028"/>
        <v>4530254.0200000023</v>
      </c>
    </row>
    <row r="1445" spans="2:52" x14ac:dyDescent="0.3">
      <c r="B1445" s="99">
        <f>B1444+3</f>
        <v>46188</v>
      </c>
      <c r="C1445" s="44">
        <f t="shared" si="1015"/>
        <v>4999.4000000031283</v>
      </c>
      <c r="D1445" s="38">
        <v>46917.56</v>
      </c>
      <c r="E1445" s="38">
        <v>-20000</v>
      </c>
      <c r="F1445" s="38">
        <v>-38162.22</v>
      </c>
      <c r="G1445" s="45">
        <f t="shared" si="1016"/>
        <v>-6245.2599999968734</v>
      </c>
      <c r="H1445" s="44">
        <v>4300000</v>
      </c>
      <c r="I1445" s="46">
        <f t="shared" si="1017"/>
        <v>-4776751.4499999993</v>
      </c>
      <c r="J1445" s="38"/>
      <c r="K1445" s="38">
        <v>20000</v>
      </c>
      <c r="L1445" s="38">
        <v>-239602.19</v>
      </c>
      <c r="M1445" s="47">
        <f t="shared" si="1018"/>
        <v>-4996353.6399999997</v>
      </c>
      <c r="N1445" s="46">
        <v>5000000</v>
      </c>
      <c r="O1445" s="48">
        <f t="shared" si="1019"/>
        <v>712.92999999935273</v>
      </c>
      <c r="P1445" s="38"/>
      <c r="Q1445" s="38"/>
      <c r="R1445" s="38"/>
      <c r="S1445" s="55">
        <f t="shared" si="1020"/>
        <v>712.92999999935273</v>
      </c>
      <c r="T1445" s="48"/>
      <c r="U1445" s="49">
        <f t="shared" si="1021"/>
        <v>48.029999999544813</v>
      </c>
      <c r="V1445" s="38"/>
      <c r="W1445" s="38"/>
      <c r="X1445" s="38"/>
      <c r="Y1445" s="51">
        <f t="shared" si="1022"/>
        <v>48.029999999544813</v>
      </c>
      <c r="Z1445" s="52"/>
      <c r="AA1445" s="53">
        <f t="shared" si="1023"/>
        <v>-7.6977357821306214E-10</v>
      </c>
      <c r="AB1445" s="38"/>
      <c r="AC1445" s="38"/>
      <c r="AD1445" s="38"/>
      <c r="AE1445" s="54">
        <f t="shared" si="1024"/>
        <v>-7.6977357821306214E-10</v>
      </c>
      <c r="AF1445" s="53"/>
      <c r="AG1445" s="53">
        <f t="shared" si="1025"/>
        <v>962.44000000044764</v>
      </c>
      <c r="AH1445" s="38"/>
      <c r="AI1445" s="38"/>
      <c r="AJ1445" s="38"/>
      <c r="AK1445" s="54">
        <f t="shared" si="1026"/>
        <v>962.44000000044764</v>
      </c>
      <c r="AL1445" s="53"/>
      <c r="AM1445" s="53">
        <f t="shared" si="1013"/>
        <v>282.6699999999995</v>
      </c>
      <c r="AN1445" s="38"/>
      <c r="AO1445" s="38"/>
      <c r="AP1445" s="38"/>
      <c r="AQ1445" s="54">
        <f t="shared" si="1030"/>
        <v>282.6699999999995</v>
      </c>
      <c r="AR1445" s="53"/>
      <c r="AS1445" s="29">
        <f t="shared" si="1006"/>
        <v>-4769745.9799999977</v>
      </c>
      <c r="AT1445" s="29">
        <f t="shared" si="1007"/>
        <v>46917.56</v>
      </c>
      <c r="AU1445" s="29">
        <f t="shared" si="1008"/>
        <v>0</v>
      </c>
      <c r="AV1445" s="29">
        <f t="shared" si="1009"/>
        <v>-277764.41000000003</v>
      </c>
      <c r="AW1445" s="29"/>
      <c r="AX1445" s="29">
        <f t="shared" si="1010"/>
        <v>-5000592.8299999982</v>
      </c>
      <c r="AY1445" s="29">
        <f t="shared" si="1027"/>
        <v>9300000</v>
      </c>
      <c r="AZ1445" s="29">
        <f t="shared" si="1028"/>
        <v>4299407.1700000018</v>
      </c>
    </row>
    <row r="1446" spans="2:52" x14ac:dyDescent="0.3">
      <c r="B1446" s="99">
        <f t="shared" ref="B1446:B1449" si="1040">B1445+1</f>
        <v>46189</v>
      </c>
      <c r="C1446" s="44">
        <f t="shared" si="1015"/>
        <v>-6245.2599999968734</v>
      </c>
      <c r="D1446" s="38">
        <f>146345.06+34177.53</f>
        <v>180522.59</v>
      </c>
      <c r="E1446" s="38">
        <v>-30000</v>
      </c>
      <c r="F1446" s="38">
        <f>-574</f>
        <v>-574</v>
      </c>
      <c r="G1446" s="45">
        <f t="shared" si="1016"/>
        <v>143703.33000000313</v>
      </c>
      <c r="H1446" s="44">
        <v>4300000</v>
      </c>
      <c r="I1446" s="46">
        <f t="shared" si="1017"/>
        <v>-4996353.6399999997</v>
      </c>
      <c r="J1446" s="38"/>
      <c r="K1446" s="38">
        <v>30000</v>
      </c>
      <c r="L1446" s="38">
        <v>-17183.18</v>
      </c>
      <c r="M1446" s="47">
        <f t="shared" si="1018"/>
        <v>-4983536.8199999994</v>
      </c>
      <c r="N1446" s="46">
        <v>5000000</v>
      </c>
      <c r="O1446" s="48">
        <f t="shared" si="1019"/>
        <v>712.92999999935273</v>
      </c>
      <c r="P1446" s="38"/>
      <c r="Q1446" s="38"/>
      <c r="R1446" s="38"/>
      <c r="S1446" s="55">
        <f t="shared" si="1020"/>
        <v>712.92999999935273</v>
      </c>
      <c r="T1446" s="48"/>
      <c r="U1446" s="49">
        <f t="shared" si="1021"/>
        <v>48.029999999544813</v>
      </c>
      <c r="V1446" s="38"/>
      <c r="W1446" s="38"/>
      <c r="X1446" s="38"/>
      <c r="Y1446" s="51">
        <f t="shared" si="1022"/>
        <v>48.029999999544813</v>
      </c>
      <c r="Z1446" s="52"/>
      <c r="AA1446" s="53">
        <f t="shared" si="1023"/>
        <v>-7.6977357821306214E-10</v>
      </c>
      <c r="AB1446" s="38"/>
      <c r="AC1446" s="38"/>
      <c r="AD1446" s="38"/>
      <c r="AE1446" s="54">
        <f t="shared" si="1024"/>
        <v>-7.6977357821306214E-10</v>
      </c>
      <c r="AF1446" s="53"/>
      <c r="AG1446" s="53">
        <f t="shared" si="1025"/>
        <v>962.44000000044764</v>
      </c>
      <c r="AH1446" s="38"/>
      <c r="AI1446" s="38"/>
      <c r="AJ1446" s="38"/>
      <c r="AK1446" s="54">
        <f t="shared" si="1026"/>
        <v>962.44000000044764</v>
      </c>
      <c r="AL1446" s="53"/>
      <c r="AM1446" s="53">
        <f t="shared" si="1013"/>
        <v>282.6699999999995</v>
      </c>
      <c r="AN1446" s="38"/>
      <c r="AO1446" s="38"/>
      <c r="AP1446" s="38"/>
      <c r="AQ1446" s="54">
        <f t="shared" si="1030"/>
        <v>282.6699999999995</v>
      </c>
      <c r="AR1446" s="53"/>
      <c r="AS1446" s="29">
        <f t="shared" si="1006"/>
        <v>-5000592.8299999982</v>
      </c>
      <c r="AT1446" s="29">
        <f t="shared" si="1007"/>
        <v>180522.59</v>
      </c>
      <c r="AU1446" s="29">
        <f t="shared" si="1008"/>
        <v>0</v>
      </c>
      <c r="AV1446" s="29">
        <f t="shared" si="1009"/>
        <v>-17757.18</v>
      </c>
      <c r="AW1446" s="29"/>
      <c r="AX1446" s="29">
        <f t="shared" si="1010"/>
        <v>-4837827.4199999981</v>
      </c>
      <c r="AY1446" s="29">
        <f t="shared" si="1027"/>
        <v>9300000</v>
      </c>
      <c r="AZ1446" s="29">
        <f t="shared" si="1028"/>
        <v>4462172.5800000019</v>
      </c>
    </row>
    <row r="1447" spans="2:52" x14ac:dyDescent="0.3">
      <c r="B1447" s="99">
        <f t="shared" si="1040"/>
        <v>46190</v>
      </c>
      <c r="C1447" s="44">
        <f t="shared" si="1015"/>
        <v>143703.33000000313</v>
      </c>
      <c r="D1447" s="38">
        <f>12404.08*3+12404.06</f>
        <v>49616.299999999996</v>
      </c>
      <c r="E1447" s="38">
        <f>500000-640000</f>
        <v>-140000</v>
      </c>
      <c r="F1447" s="38">
        <f>-15881.69-6.48-0.2-1443.13-1</f>
        <v>-17332.5</v>
      </c>
      <c r="G1447" s="45">
        <f t="shared" si="1016"/>
        <v>35987.130000003119</v>
      </c>
      <c r="H1447" s="44">
        <v>4300000</v>
      </c>
      <c r="I1447" s="46">
        <f t="shared" si="1017"/>
        <v>-4983536.8199999994</v>
      </c>
      <c r="J1447" s="38">
        <f>1583388.66+526201.67+119591.29</f>
        <v>2229181.62</v>
      </c>
      <c r="K1447" s="38">
        <f>366464+640000-500000</f>
        <v>506464</v>
      </c>
      <c r="L1447" s="38">
        <v>-995580.45</v>
      </c>
      <c r="M1447" s="47">
        <f t="shared" si="1018"/>
        <v>-3243471.6499999994</v>
      </c>
      <c r="N1447" s="46">
        <v>5000000</v>
      </c>
      <c r="O1447" s="48">
        <f t="shared" si="1019"/>
        <v>712.92999999935273</v>
      </c>
      <c r="P1447" s="38">
        <v>366751.84</v>
      </c>
      <c r="Q1447" s="38">
        <v>-366464</v>
      </c>
      <c r="R1447" s="38">
        <v>-10</v>
      </c>
      <c r="S1447" s="55">
        <f t="shared" si="1020"/>
        <v>990.76999999937834</v>
      </c>
      <c r="T1447" s="48"/>
      <c r="U1447" s="49">
        <f t="shared" si="1021"/>
        <v>48.029999999544813</v>
      </c>
      <c r="V1447" s="38"/>
      <c r="W1447" s="38"/>
      <c r="X1447" s="38"/>
      <c r="Y1447" s="51">
        <f t="shared" si="1022"/>
        <v>48.029999999544813</v>
      </c>
      <c r="Z1447" s="52"/>
      <c r="AA1447" s="53">
        <f t="shared" si="1023"/>
        <v>-7.6977357821306214E-10</v>
      </c>
      <c r="AB1447" s="38"/>
      <c r="AC1447" s="38"/>
      <c r="AD1447" s="38"/>
      <c r="AE1447" s="54">
        <f t="shared" si="1024"/>
        <v>-7.6977357821306214E-10</v>
      </c>
      <c r="AF1447" s="53"/>
      <c r="AG1447" s="53">
        <f t="shared" si="1025"/>
        <v>962.44000000044764</v>
      </c>
      <c r="AH1447" s="38"/>
      <c r="AI1447" s="38"/>
      <c r="AJ1447" s="38"/>
      <c r="AK1447" s="54">
        <f t="shared" si="1026"/>
        <v>962.44000000044764</v>
      </c>
      <c r="AL1447" s="53"/>
      <c r="AM1447" s="53">
        <f t="shared" si="1013"/>
        <v>282.6699999999995</v>
      </c>
      <c r="AN1447" s="38"/>
      <c r="AO1447" s="38"/>
      <c r="AP1447" s="38"/>
      <c r="AQ1447" s="54">
        <f t="shared" si="1030"/>
        <v>282.6699999999995</v>
      </c>
      <c r="AR1447" s="53"/>
      <c r="AS1447" s="29">
        <f t="shared" si="1006"/>
        <v>-4837827.4199999981</v>
      </c>
      <c r="AT1447" s="29">
        <f t="shared" si="1007"/>
        <v>2645549.7599999998</v>
      </c>
      <c r="AU1447" s="29">
        <f t="shared" si="1008"/>
        <v>0</v>
      </c>
      <c r="AV1447" s="29">
        <f t="shared" si="1009"/>
        <v>-1012922.95</v>
      </c>
      <c r="AW1447" s="29"/>
      <c r="AX1447" s="29">
        <f t="shared" si="1010"/>
        <v>-3205200.609999998</v>
      </c>
      <c r="AY1447" s="29">
        <f t="shared" si="1027"/>
        <v>9300000</v>
      </c>
      <c r="AZ1447" s="29">
        <f t="shared" si="1028"/>
        <v>6094799.3900000025</v>
      </c>
    </row>
    <row r="1448" spans="2:52" x14ac:dyDescent="0.3">
      <c r="B1448" s="99">
        <f t="shared" si="1040"/>
        <v>46191</v>
      </c>
      <c r="C1448" s="44">
        <f t="shared" si="1015"/>
        <v>35987.130000003119</v>
      </c>
      <c r="D1448" s="38"/>
      <c r="E1448" s="38">
        <v>-1560000</v>
      </c>
      <c r="F1448" s="38">
        <v>0.6</v>
      </c>
      <c r="G1448" s="45">
        <f t="shared" si="1016"/>
        <v>-1524012.2699999968</v>
      </c>
      <c r="H1448" s="44">
        <v>4300000</v>
      </c>
      <c r="I1448" s="46">
        <f t="shared" si="1017"/>
        <v>-3243471.6499999994</v>
      </c>
      <c r="J1448" s="38"/>
      <c r="K1448" s="38">
        <f>53800+1560000</f>
        <v>1613800</v>
      </c>
      <c r="L1448" s="38">
        <v>-3337448.17</v>
      </c>
      <c r="M1448" s="47">
        <f t="shared" si="1018"/>
        <v>-4967119.8199999994</v>
      </c>
      <c r="N1448" s="46">
        <v>5000000</v>
      </c>
      <c r="O1448" s="48">
        <f t="shared" si="1019"/>
        <v>990.76999999937834</v>
      </c>
      <c r="P1448" s="38">
        <v>53820</v>
      </c>
      <c r="Q1448" s="38">
        <v>-53800</v>
      </c>
      <c r="R1448" s="38">
        <v>-10</v>
      </c>
      <c r="S1448" s="55">
        <f t="shared" si="1020"/>
        <v>1000.7699999993783</v>
      </c>
      <c r="T1448" s="48"/>
      <c r="U1448" s="49">
        <f t="shared" si="1021"/>
        <v>48.029999999544813</v>
      </c>
      <c r="V1448" s="38"/>
      <c r="W1448" s="38"/>
      <c r="X1448" s="38"/>
      <c r="Y1448" s="51">
        <f t="shared" si="1022"/>
        <v>48.029999999544813</v>
      </c>
      <c r="Z1448" s="52"/>
      <c r="AA1448" s="53">
        <f t="shared" si="1023"/>
        <v>-7.6977357821306214E-10</v>
      </c>
      <c r="AB1448" s="38"/>
      <c r="AC1448" s="38"/>
      <c r="AD1448" s="38"/>
      <c r="AE1448" s="54">
        <f t="shared" si="1024"/>
        <v>-7.6977357821306214E-10</v>
      </c>
      <c r="AF1448" s="53"/>
      <c r="AG1448" s="53">
        <f t="shared" si="1025"/>
        <v>962.44000000044764</v>
      </c>
      <c r="AH1448" s="38"/>
      <c r="AI1448" s="38"/>
      <c r="AJ1448" s="38"/>
      <c r="AK1448" s="54">
        <f t="shared" si="1026"/>
        <v>962.44000000044764</v>
      </c>
      <c r="AL1448" s="53"/>
      <c r="AM1448" s="53">
        <f t="shared" si="1013"/>
        <v>282.6699999999995</v>
      </c>
      <c r="AN1448" s="38"/>
      <c r="AO1448" s="38"/>
      <c r="AP1448" s="38"/>
      <c r="AQ1448" s="54">
        <f t="shared" si="1030"/>
        <v>282.6699999999995</v>
      </c>
      <c r="AR1448" s="53"/>
      <c r="AS1448" s="29">
        <f t="shared" si="1006"/>
        <v>-3205200.609999998</v>
      </c>
      <c r="AT1448" s="29">
        <f t="shared" si="1007"/>
        <v>53820</v>
      </c>
      <c r="AU1448" s="29">
        <f t="shared" si="1008"/>
        <v>0</v>
      </c>
      <c r="AV1448" s="29">
        <f t="shared" si="1009"/>
        <v>-3337457.57</v>
      </c>
      <c r="AW1448" s="29"/>
      <c r="AX1448" s="29">
        <f t="shared" si="1010"/>
        <v>-6488838.1799999978</v>
      </c>
      <c r="AY1448" s="29">
        <f t="shared" si="1027"/>
        <v>9300000</v>
      </c>
      <c r="AZ1448" s="29">
        <f t="shared" si="1028"/>
        <v>2811161.8200000022</v>
      </c>
    </row>
    <row r="1449" spans="2:52" x14ac:dyDescent="0.3">
      <c r="B1449" s="99">
        <f t="shared" si="1040"/>
        <v>46192</v>
      </c>
      <c r="C1449" s="44">
        <f t="shared" si="1015"/>
        <v>-1524012.2699999968</v>
      </c>
      <c r="D1449" s="38">
        <v>35256.18</v>
      </c>
      <c r="E1449" s="38">
        <v>-1080000</v>
      </c>
      <c r="F1449" s="38">
        <v>-0.5</v>
      </c>
      <c r="G1449" s="45">
        <f t="shared" si="1016"/>
        <v>-2568756.5899999971</v>
      </c>
      <c r="H1449" s="44">
        <v>4300000</v>
      </c>
      <c r="I1449" s="46">
        <f t="shared" si="1017"/>
        <v>-4967119.8199999994</v>
      </c>
      <c r="J1449" s="38"/>
      <c r="K1449" s="38">
        <v>1080000</v>
      </c>
      <c r="L1449" s="38">
        <v>-1092533.3700000001</v>
      </c>
      <c r="M1449" s="47">
        <f t="shared" si="1018"/>
        <v>-4979653.1899999995</v>
      </c>
      <c r="N1449" s="46">
        <v>5000000</v>
      </c>
      <c r="O1449" s="48">
        <f t="shared" si="1019"/>
        <v>1000.7699999993783</v>
      </c>
      <c r="P1449" s="38"/>
      <c r="Q1449" s="38"/>
      <c r="R1449" s="38"/>
      <c r="S1449" s="55">
        <f t="shared" si="1020"/>
        <v>1000.7699999993783</v>
      </c>
      <c r="T1449" s="48"/>
      <c r="U1449" s="49">
        <f t="shared" si="1021"/>
        <v>48.029999999544813</v>
      </c>
      <c r="V1449" s="38"/>
      <c r="W1449" s="38"/>
      <c r="X1449" s="38"/>
      <c r="Y1449" s="51">
        <f t="shared" si="1022"/>
        <v>48.029999999544813</v>
      </c>
      <c r="Z1449" s="52"/>
      <c r="AA1449" s="53">
        <f t="shared" si="1023"/>
        <v>-7.6977357821306214E-10</v>
      </c>
      <c r="AB1449" s="38"/>
      <c r="AC1449" s="38"/>
      <c r="AD1449" s="38"/>
      <c r="AE1449" s="54">
        <f t="shared" si="1024"/>
        <v>-7.6977357821306214E-10</v>
      </c>
      <c r="AF1449" s="53"/>
      <c r="AG1449" s="53">
        <f t="shared" si="1025"/>
        <v>962.44000000044764</v>
      </c>
      <c r="AH1449" s="38"/>
      <c r="AI1449" s="38"/>
      <c r="AJ1449" s="38"/>
      <c r="AK1449" s="54">
        <f t="shared" si="1026"/>
        <v>962.44000000044764</v>
      </c>
      <c r="AL1449" s="53"/>
      <c r="AM1449" s="53">
        <f t="shared" si="1013"/>
        <v>282.6699999999995</v>
      </c>
      <c r="AN1449" s="38"/>
      <c r="AO1449" s="38"/>
      <c r="AP1449" s="38"/>
      <c r="AQ1449" s="54">
        <f t="shared" si="1030"/>
        <v>282.6699999999995</v>
      </c>
      <c r="AR1449" s="53"/>
      <c r="AS1449" s="29">
        <f t="shared" si="1006"/>
        <v>-6488838.1799999978</v>
      </c>
      <c r="AT1449" s="29">
        <f t="shared" si="1007"/>
        <v>35256.18</v>
      </c>
      <c r="AU1449" s="29">
        <f t="shared" si="1008"/>
        <v>0</v>
      </c>
      <c r="AV1449" s="29">
        <f t="shared" si="1009"/>
        <v>-1092533.8700000001</v>
      </c>
      <c r="AW1449" s="29"/>
      <c r="AX1449" s="29">
        <f t="shared" si="1010"/>
        <v>-7546115.8699999982</v>
      </c>
      <c r="AY1449" s="29">
        <f t="shared" si="1027"/>
        <v>9300000</v>
      </c>
      <c r="AZ1449" s="29">
        <f t="shared" si="1028"/>
        <v>1753884.1300000018</v>
      </c>
    </row>
    <row r="1450" spans="2:52" x14ac:dyDescent="0.3">
      <c r="B1450" s="99">
        <f>B1449+3</f>
        <v>46195</v>
      </c>
      <c r="C1450" s="44">
        <f t="shared" si="1015"/>
        <v>-2568756.5899999971</v>
      </c>
      <c r="D1450" s="38">
        <v>785.37</v>
      </c>
      <c r="E1450" s="38">
        <v>-280000</v>
      </c>
      <c r="F1450" s="38">
        <f>-5963.07-2.16-904295.26</f>
        <v>-910260.49</v>
      </c>
      <c r="G1450" s="45">
        <f t="shared" si="1016"/>
        <v>-3758231.7099999972</v>
      </c>
      <c r="H1450" s="44">
        <v>4300000</v>
      </c>
      <c r="I1450" s="46">
        <f t="shared" si="1017"/>
        <v>-4979653.1899999995</v>
      </c>
      <c r="J1450" s="38"/>
      <c r="K1450" s="38">
        <v>280000</v>
      </c>
      <c r="L1450" s="38">
        <v>-291301.09999999998</v>
      </c>
      <c r="M1450" s="47">
        <f t="shared" si="1018"/>
        <v>-4990954.2899999991</v>
      </c>
      <c r="N1450" s="46">
        <v>5000000</v>
      </c>
      <c r="O1450" s="48">
        <f t="shared" si="1019"/>
        <v>1000.7699999993783</v>
      </c>
      <c r="P1450" s="38"/>
      <c r="Q1450" s="38"/>
      <c r="R1450" s="38"/>
      <c r="S1450" s="55">
        <f t="shared" si="1020"/>
        <v>1000.7699999993783</v>
      </c>
      <c r="T1450" s="48"/>
      <c r="U1450" s="49">
        <f t="shared" si="1021"/>
        <v>48.029999999544813</v>
      </c>
      <c r="V1450" s="38"/>
      <c r="W1450" s="38"/>
      <c r="X1450" s="38"/>
      <c r="Y1450" s="51">
        <f t="shared" si="1022"/>
        <v>48.029999999544813</v>
      </c>
      <c r="Z1450" s="52"/>
      <c r="AA1450" s="53">
        <f t="shared" si="1023"/>
        <v>-7.6977357821306214E-10</v>
      </c>
      <c r="AB1450" s="38"/>
      <c r="AC1450" s="38"/>
      <c r="AD1450" s="38"/>
      <c r="AE1450" s="54">
        <f t="shared" si="1024"/>
        <v>-7.6977357821306214E-10</v>
      </c>
      <c r="AF1450" s="53"/>
      <c r="AG1450" s="53">
        <f t="shared" si="1025"/>
        <v>962.44000000044764</v>
      </c>
      <c r="AH1450" s="38"/>
      <c r="AI1450" s="38"/>
      <c r="AJ1450" s="38"/>
      <c r="AK1450" s="54">
        <f t="shared" si="1026"/>
        <v>962.44000000044764</v>
      </c>
      <c r="AL1450" s="53"/>
      <c r="AM1450" s="53">
        <f t="shared" si="1013"/>
        <v>282.6699999999995</v>
      </c>
      <c r="AN1450" s="38"/>
      <c r="AO1450" s="38"/>
      <c r="AP1450" s="38"/>
      <c r="AQ1450" s="54">
        <f t="shared" si="1030"/>
        <v>282.6699999999995</v>
      </c>
      <c r="AR1450" s="53"/>
      <c r="AS1450" s="29">
        <f t="shared" si="1006"/>
        <v>-7546115.8699999982</v>
      </c>
      <c r="AT1450" s="29">
        <f t="shared" si="1007"/>
        <v>785.37</v>
      </c>
      <c r="AU1450" s="29">
        <f t="shared" si="1008"/>
        <v>0</v>
      </c>
      <c r="AV1450" s="29">
        <f t="shared" si="1009"/>
        <v>-1201561.5899999999</v>
      </c>
      <c r="AW1450" s="29"/>
      <c r="AX1450" s="29">
        <f t="shared" si="1010"/>
        <v>-8746892.0899999961</v>
      </c>
      <c r="AY1450" s="29">
        <f t="shared" si="1027"/>
        <v>9300000</v>
      </c>
      <c r="AZ1450" s="29">
        <f t="shared" si="1028"/>
        <v>553107.91000000387</v>
      </c>
    </row>
    <row r="1451" spans="2:52" x14ac:dyDescent="0.3">
      <c r="B1451" s="99">
        <f t="shared" ref="B1451:B1454" si="1041">B1450+1</f>
        <v>46196</v>
      </c>
      <c r="C1451" s="44">
        <f t="shared" si="1015"/>
        <v>-3758231.7099999972</v>
      </c>
      <c r="D1451" s="38"/>
      <c r="E1451" s="38">
        <v>-160000</v>
      </c>
      <c r="F1451" s="38">
        <v>-1039.3699999999999</v>
      </c>
      <c r="G1451" s="45">
        <f t="shared" si="1016"/>
        <v>-3919271.0799999973</v>
      </c>
      <c r="H1451" s="44">
        <v>4300000</v>
      </c>
      <c r="I1451" s="46">
        <f t="shared" si="1017"/>
        <v>-4990954.2899999991</v>
      </c>
      <c r="J1451" s="38"/>
      <c r="K1451" s="38">
        <v>160000</v>
      </c>
      <c r="L1451" s="38">
        <v>-152015.38</v>
      </c>
      <c r="M1451" s="47">
        <f t="shared" si="1018"/>
        <v>-4982969.669999999</v>
      </c>
      <c r="N1451" s="46">
        <v>5000000</v>
      </c>
      <c r="O1451" s="48">
        <f t="shared" si="1019"/>
        <v>1000.7699999993783</v>
      </c>
      <c r="P1451" s="38"/>
      <c r="Q1451" s="38"/>
      <c r="R1451" s="38"/>
      <c r="S1451" s="55">
        <f t="shared" si="1020"/>
        <v>1000.7699999993783</v>
      </c>
      <c r="T1451" s="48"/>
      <c r="U1451" s="49">
        <f t="shared" si="1021"/>
        <v>48.029999999544813</v>
      </c>
      <c r="V1451" s="38"/>
      <c r="W1451" s="38"/>
      <c r="X1451" s="38"/>
      <c r="Y1451" s="51">
        <f t="shared" si="1022"/>
        <v>48.029999999544813</v>
      </c>
      <c r="Z1451" s="52"/>
      <c r="AA1451" s="53">
        <f t="shared" si="1023"/>
        <v>-7.6977357821306214E-10</v>
      </c>
      <c r="AB1451" s="38"/>
      <c r="AC1451" s="38"/>
      <c r="AD1451" s="38"/>
      <c r="AE1451" s="54">
        <f t="shared" si="1024"/>
        <v>-7.6977357821306214E-10</v>
      </c>
      <c r="AF1451" s="53"/>
      <c r="AG1451" s="53">
        <f t="shared" si="1025"/>
        <v>962.44000000044764</v>
      </c>
      <c r="AH1451" s="38"/>
      <c r="AI1451" s="38"/>
      <c r="AJ1451" s="38"/>
      <c r="AK1451" s="54">
        <f t="shared" si="1026"/>
        <v>962.44000000044764</v>
      </c>
      <c r="AL1451" s="53"/>
      <c r="AM1451" s="53">
        <f t="shared" si="1013"/>
        <v>282.6699999999995</v>
      </c>
      <c r="AN1451" s="38"/>
      <c r="AO1451" s="38"/>
      <c r="AP1451" s="38"/>
      <c r="AQ1451" s="54">
        <f t="shared" si="1030"/>
        <v>282.6699999999995</v>
      </c>
      <c r="AR1451" s="53"/>
      <c r="AS1451" s="29">
        <f t="shared" si="1006"/>
        <v>-8746892.0899999961</v>
      </c>
      <c r="AT1451" s="29">
        <f t="shared" si="1007"/>
        <v>0</v>
      </c>
      <c r="AU1451" s="29">
        <f t="shared" si="1008"/>
        <v>0</v>
      </c>
      <c r="AV1451" s="29">
        <f t="shared" si="1009"/>
        <v>-153054.75</v>
      </c>
      <c r="AW1451" s="29"/>
      <c r="AX1451" s="29">
        <f t="shared" si="1010"/>
        <v>-8899946.8399999961</v>
      </c>
      <c r="AY1451" s="29">
        <f t="shared" si="1027"/>
        <v>9300000</v>
      </c>
      <c r="AZ1451" s="29">
        <f t="shared" si="1028"/>
        <v>400053.16000000387</v>
      </c>
    </row>
    <row r="1452" spans="2:52" x14ac:dyDescent="0.3">
      <c r="B1452" s="99">
        <f t="shared" si="1041"/>
        <v>46197</v>
      </c>
      <c r="C1452" s="44">
        <f t="shared" si="1015"/>
        <v>-3919271.0799999973</v>
      </c>
      <c r="D1452" s="38"/>
      <c r="E1452" s="38"/>
      <c r="F1452" s="38"/>
      <c r="G1452" s="45">
        <f t="shared" si="1016"/>
        <v>-3919271.0799999973</v>
      </c>
      <c r="H1452" s="44">
        <v>4300000</v>
      </c>
      <c r="I1452" s="46">
        <f t="shared" si="1017"/>
        <v>-4982969.669999999</v>
      </c>
      <c r="J1452" s="38"/>
      <c r="K1452" s="38"/>
      <c r="L1452" s="38"/>
      <c r="M1452" s="47">
        <f t="shared" si="1018"/>
        <v>-4982969.669999999</v>
      </c>
      <c r="N1452" s="46">
        <v>5000000</v>
      </c>
      <c r="O1452" s="48">
        <f t="shared" si="1019"/>
        <v>1000.7699999993783</v>
      </c>
      <c r="P1452" s="38"/>
      <c r="Q1452" s="38"/>
      <c r="R1452" s="38"/>
      <c r="S1452" s="55">
        <f t="shared" si="1020"/>
        <v>1000.7699999993783</v>
      </c>
      <c r="T1452" s="48"/>
      <c r="U1452" s="49">
        <f t="shared" si="1021"/>
        <v>48.029999999544813</v>
      </c>
      <c r="V1452" s="38"/>
      <c r="W1452" s="38"/>
      <c r="X1452" s="38"/>
      <c r="Y1452" s="51">
        <f t="shared" si="1022"/>
        <v>48.029999999544813</v>
      </c>
      <c r="Z1452" s="52"/>
      <c r="AA1452" s="53">
        <f t="shared" si="1023"/>
        <v>-7.6977357821306214E-10</v>
      </c>
      <c r="AB1452" s="38"/>
      <c r="AC1452" s="38"/>
      <c r="AD1452" s="38"/>
      <c r="AE1452" s="54">
        <f t="shared" si="1024"/>
        <v>-7.6977357821306214E-10</v>
      </c>
      <c r="AF1452" s="53"/>
      <c r="AG1452" s="53">
        <f t="shared" si="1025"/>
        <v>962.44000000044764</v>
      </c>
      <c r="AH1452" s="38"/>
      <c r="AI1452" s="38"/>
      <c r="AJ1452" s="38"/>
      <c r="AK1452" s="54">
        <f t="shared" si="1026"/>
        <v>962.44000000044764</v>
      </c>
      <c r="AL1452" s="53"/>
      <c r="AM1452" s="53">
        <f t="shared" si="1013"/>
        <v>282.6699999999995</v>
      </c>
      <c r="AN1452" s="38"/>
      <c r="AO1452" s="38"/>
      <c r="AP1452" s="38"/>
      <c r="AQ1452" s="54">
        <f t="shared" si="1030"/>
        <v>282.6699999999995</v>
      </c>
      <c r="AR1452" s="53"/>
      <c r="AS1452" s="29">
        <f t="shared" si="1006"/>
        <v>-8899946.8399999961</v>
      </c>
      <c r="AT1452" s="29">
        <f t="shared" si="1007"/>
        <v>0</v>
      </c>
      <c r="AU1452" s="29">
        <f t="shared" si="1008"/>
        <v>0</v>
      </c>
      <c r="AV1452" s="29">
        <f t="shared" si="1009"/>
        <v>0</v>
      </c>
      <c r="AW1452" s="29"/>
      <c r="AX1452" s="29">
        <f t="shared" si="1010"/>
        <v>-8899946.8399999961</v>
      </c>
      <c r="AY1452" s="29">
        <f t="shared" si="1027"/>
        <v>9300000</v>
      </c>
      <c r="AZ1452" s="29">
        <f t="shared" si="1028"/>
        <v>400053.16000000387</v>
      </c>
    </row>
    <row r="1453" spans="2:52" x14ac:dyDescent="0.3">
      <c r="B1453" s="99">
        <f t="shared" si="1041"/>
        <v>46198</v>
      </c>
      <c r="C1453" s="44">
        <f t="shared" si="1015"/>
        <v>-3919271.0799999973</v>
      </c>
      <c r="D1453" s="38">
        <v>344153.26</v>
      </c>
      <c r="E1453" s="38"/>
      <c r="F1453" s="38">
        <f>-88671.98-0.4</f>
        <v>-88672.37999999999</v>
      </c>
      <c r="G1453" s="45">
        <f t="shared" si="1016"/>
        <v>-3663790.1999999974</v>
      </c>
      <c r="H1453" s="44">
        <v>4300000</v>
      </c>
      <c r="I1453" s="46">
        <f t="shared" si="1017"/>
        <v>-4982969.669999999</v>
      </c>
      <c r="J1453" s="38">
        <v>10332.6</v>
      </c>
      <c r="K1453" s="38">
        <v>3039100</v>
      </c>
      <c r="L1453" s="38">
        <v>-467958.54</v>
      </c>
      <c r="M1453" s="47">
        <f t="shared" si="1018"/>
        <v>-2401495.6099999994</v>
      </c>
      <c r="N1453" s="46">
        <v>5000000</v>
      </c>
      <c r="O1453" s="48">
        <f t="shared" si="1019"/>
        <v>1000.7699999993783</v>
      </c>
      <c r="P1453" s="38"/>
      <c r="Q1453" s="38">
        <f>3039300-3039100</f>
        <v>200</v>
      </c>
      <c r="R1453" s="38">
        <v>-169.2</v>
      </c>
      <c r="S1453" s="55">
        <f t="shared" si="1020"/>
        <v>1031.5699999993783</v>
      </c>
      <c r="T1453" s="48"/>
      <c r="U1453" s="49">
        <f t="shared" si="1021"/>
        <v>48.029999999544813</v>
      </c>
      <c r="V1453" s="38">
        <v>3039409.77</v>
      </c>
      <c r="W1453" s="38">
        <v>-3039300</v>
      </c>
      <c r="X1453" s="38">
        <v>-1.7</v>
      </c>
      <c r="Y1453" s="51">
        <f t="shared" si="1022"/>
        <v>156.09999999934809</v>
      </c>
      <c r="Z1453" s="52"/>
      <c r="AA1453" s="53">
        <f t="shared" si="1023"/>
        <v>-7.6977357821306214E-10</v>
      </c>
      <c r="AB1453" s="38"/>
      <c r="AC1453" s="38"/>
      <c r="AD1453" s="38"/>
      <c r="AE1453" s="54">
        <f t="shared" si="1024"/>
        <v>-7.6977357821306214E-10</v>
      </c>
      <c r="AF1453" s="53"/>
      <c r="AG1453" s="53">
        <f t="shared" si="1025"/>
        <v>962.44000000044764</v>
      </c>
      <c r="AH1453" s="38">
        <v>11010.01</v>
      </c>
      <c r="AI1453" s="38"/>
      <c r="AJ1453" s="38"/>
      <c r="AK1453" s="54">
        <f t="shared" si="1026"/>
        <v>11972.450000000448</v>
      </c>
      <c r="AL1453" s="53"/>
      <c r="AM1453" s="53">
        <f t="shared" si="1013"/>
        <v>282.6699999999995</v>
      </c>
      <c r="AN1453" s="38"/>
      <c r="AO1453" s="38"/>
      <c r="AP1453" s="38"/>
      <c r="AQ1453" s="54">
        <f t="shared" si="1030"/>
        <v>282.6699999999995</v>
      </c>
      <c r="AR1453" s="53"/>
      <c r="AS1453" s="29">
        <f t="shared" si="1006"/>
        <v>-8899946.8399999961</v>
      </c>
      <c r="AT1453" s="29">
        <f t="shared" si="1007"/>
        <v>3404905.6399999997</v>
      </c>
      <c r="AU1453" s="29">
        <f t="shared" si="1008"/>
        <v>0</v>
      </c>
      <c r="AV1453" s="29">
        <f t="shared" si="1009"/>
        <v>-556801.81999999983</v>
      </c>
      <c r="AW1453" s="29"/>
      <c r="AX1453" s="29">
        <f t="shared" si="1010"/>
        <v>-6051843.0199999986</v>
      </c>
      <c r="AY1453" s="29">
        <f t="shared" si="1027"/>
        <v>9300000</v>
      </c>
      <c r="AZ1453" s="29">
        <f t="shared" si="1028"/>
        <v>3248156.9800000014</v>
      </c>
    </row>
    <row r="1454" spans="2:52" x14ac:dyDescent="0.3">
      <c r="B1454" s="99">
        <f t="shared" si="1041"/>
        <v>46199</v>
      </c>
      <c r="C1454" s="44">
        <f t="shared" si="1015"/>
        <v>-3663790.1999999974</v>
      </c>
      <c r="D1454" s="38">
        <v>1685611.82</v>
      </c>
      <c r="E1454" s="38"/>
      <c r="F1454" s="38">
        <f>-39379.43-4.32-963.7-212.4-653.4</f>
        <v>-41213.25</v>
      </c>
      <c r="G1454" s="45">
        <f t="shared" si="1016"/>
        <v>-2019391.6299999973</v>
      </c>
      <c r="H1454" s="44">
        <v>4300000</v>
      </c>
      <c r="I1454" s="46">
        <f t="shared" si="1017"/>
        <v>-2401495.6099999994</v>
      </c>
      <c r="J1454" s="38">
        <f>113450.87+275919.91</f>
        <v>389370.77999999997</v>
      </c>
      <c r="K1454" s="38"/>
      <c r="L1454" s="38">
        <v>-820697.39</v>
      </c>
      <c r="M1454" s="47">
        <f t="shared" si="1018"/>
        <v>-2832822.2199999993</v>
      </c>
      <c r="N1454" s="46">
        <v>5000000</v>
      </c>
      <c r="O1454" s="48">
        <f t="shared" si="1019"/>
        <v>1031.5699999993783</v>
      </c>
      <c r="P1454" s="38"/>
      <c r="Q1454" s="38"/>
      <c r="R1454" s="38"/>
      <c r="S1454" s="55">
        <f t="shared" si="1020"/>
        <v>1031.5699999993783</v>
      </c>
      <c r="T1454" s="48"/>
      <c r="U1454" s="49">
        <f t="shared" si="1021"/>
        <v>156.09999999934809</v>
      </c>
      <c r="V1454" s="38"/>
      <c r="W1454" s="38"/>
      <c r="X1454" s="38"/>
      <c r="Y1454" s="51">
        <f t="shared" si="1022"/>
        <v>156.09999999934809</v>
      </c>
      <c r="Z1454" s="52"/>
      <c r="AA1454" s="53">
        <f t="shared" si="1023"/>
        <v>-7.6977357821306214E-10</v>
      </c>
      <c r="AB1454" s="38"/>
      <c r="AC1454" s="38"/>
      <c r="AD1454" s="38"/>
      <c r="AE1454" s="54">
        <f t="shared" si="1024"/>
        <v>-7.6977357821306214E-10</v>
      </c>
      <c r="AF1454" s="53"/>
      <c r="AG1454" s="53">
        <f t="shared" si="1025"/>
        <v>11972.450000000448</v>
      </c>
      <c r="AH1454" s="38"/>
      <c r="AI1454" s="38"/>
      <c r="AJ1454" s="38"/>
      <c r="AK1454" s="54">
        <f t="shared" si="1026"/>
        <v>11972.450000000448</v>
      </c>
      <c r="AL1454" s="53"/>
      <c r="AM1454" s="53">
        <f t="shared" si="1013"/>
        <v>282.6699999999995</v>
      </c>
      <c r="AN1454" s="38"/>
      <c r="AO1454" s="38"/>
      <c r="AP1454" s="38"/>
      <c r="AQ1454" s="54">
        <f t="shared" si="1030"/>
        <v>282.6699999999995</v>
      </c>
      <c r="AR1454" s="53"/>
      <c r="AS1454" s="29">
        <f t="shared" ref="AS1454:AV1467" si="1042">SUM(C1454,I1454,O1454,U1454,AA1454,AG1454,AM1454)</f>
        <v>-6051843.0199999986</v>
      </c>
      <c r="AT1454" s="29">
        <f t="shared" si="1042"/>
        <v>2074982.6</v>
      </c>
      <c r="AU1454" s="29">
        <f t="shared" si="1042"/>
        <v>0</v>
      </c>
      <c r="AV1454" s="29">
        <f t="shared" si="1042"/>
        <v>-861910.64</v>
      </c>
      <c r="AW1454" s="29"/>
      <c r="AX1454" s="29">
        <f t="shared" ref="AX1454:AX1467" si="1043">SUM(G1454,M1454,S1454,Y1454,AE1454,AK1454,AQ1454)</f>
        <v>-4838771.0599999987</v>
      </c>
      <c r="AY1454" s="29">
        <f t="shared" si="1027"/>
        <v>9300000</v>
      </c>
      <c r="AZ1454" s="29">
        <f t="shared" si="1028"/>
        <v>4461228.9400000013</v>
      </c>
    </row>
    <row r="1455" spans="2:52" x14ac:dyDescent="0.3">
      <c r="B1455" s="99">
        <f>B1454+3</f>
        <v>46202</v>
      </c>
      <c r="C1455" s="44">
        <f t="shared" si="1015"/>
        <v>-2019391.6299999973</v>
      </c>
      <c r="D1455" s="38">
        <f>6014.43+9522.83</f>
        <v>15537.26</v>
      </c>
      <c r="E1455" s="38">
        <f>1496000+600000</f>
        <v>2096000</v>
      </c>
      <c r="F1455" s="38"/>
      <c r="G1455" s="45">
        <f t="shared" si="1016"/>
        <v>92145.630000002682</v>
      </c>
      <c r="H1455" s="44">
        <v>4300000</v>
      </c>
      <c r="I1455" s="46">
        <f t="shared" si="1017"/>
        <v>-2832822.2199999993</v>
      </c>
      <c r="J1455" s="38"/>
      <c r="K1455" s="38">
        <f>1927000-600000</f>
        <v>1327000</v>
      </c>
      <c r="L1455" s="38">
        <f>-89039.99-15000</f>
        <v>-104039.99</v>
      </c>
      <c r="M1455" s="47">
        <f t="shared" si="1018"/>
        <v>-1609862.2099999993</v>
      </c>
      <c r="N1455" s="46">
        <v>5000000</v>
      </c>
      <c r="O1455" s="48">
        <f t="shared" si="1019"/>
        <v>1031.5699999993783</v>
      </c>
      <c r="P1455" s="38">
        <v>705033.93</v>
      </c>
      <c r="Q1455" s="38">
        <f>1263200-1927000</f>
        <v>-663800</v>
      </c>
      <c r="R1455" s="38">
        <v>-10</v>
      </c>
      <c r="S1455" s="55">
        <f t="shared" si="1020"/>
        <v>42255.499999999418</v>
      </c>
      <c r="T1455" s="48"/>
      <c r="U1455" s="49">
        <f t="shared" si="1021"/>
        <v>156.09999999934809</v>
      </c>
      <c r="V1455" s="38">
        <v>1263177.01</v>
      </c>
      <c r="W1455" s="38">
        <v>-1263200</v>
      </c>
      <c r="X1455" s="38">
        <v>-1.7</v>
      </c>
      <c r="Y1455" s="51">
        <f t="shared" si="1022"/>
        <v>131.40999999940396</v>
      </c>
      <c r="Z1455" s="52"/>
      <c r="AA1455" s="53">
        <f t="shared" si="1023"/>
        <v>-7.6977357821306214E-10</v>
      </c>
      <c r="AB1455" s="38"/>
      <c r="AC1455" s="38"/>
      <c r="AD1455" s="38"/>
      <c r="AE1455" s="54">
        <f t="shared" si="1024"/>
        <v>-7.6977357821306214E-10</v>
      </c>
      <c r="AF1455" s="53"/>
      <c r="AG1455" s="53">
        <f t="shared" si="1025"/>
        <v>11972.450000000448</v>
      </c>
      <c r="AH1455" s="38">
        <f>38823.87+178440.61+213937.12+1053399.77</f>
        <v>1484601.37</v>
      </c>
      <c r="AI1455" s="38">
        <v>-1496000</v>
      </c>
      <c r="AJ1455" s="38"/>
      <c r="AK1455" s="54">
        <f t="shared" si="1026"/>
        <v>573.82000000053085</v>
      </c>
      <c r="AL1455" s="53"/>
      <c r="AM1455" s="53">
        <f t="shared" si="1013"/>
        <v>282.6699999999995</v>
      </c>
      <c r="AN1455" s="38"/>
      <c r="AO1455" s="38"/>
      <c r="AP1455" s="38"/>
      <c r="AQ1455" s="54">
        <f t="shared" si="1030"/>
        <v>282.6699999999995</v>
      </c>
      <c r="AR1455" s="53"/>
      <c r="AS1455" s="29">
        <f t="shared" si="1042"/>
        <v>-4838771.0599999987</v>
      </c>
      <c r="AT1455" s="29">
        <f t="shared" si="1042"/>
        <v>3468349.5700000003</v>
      </c>
      <c r="AU1455" s="29">
        <f t="shared" si="1042"/>
        <v>0</v>
      </c>
      <c r="AV1455" s="29">
        <f t="shared" si="1042"/>
        <v>-104051.69</v>
      </c>
      <c r="AW1455" s="29"/>
      <c r="AX1455" s="29">
        <f t="shared" si="1043"/>
        <v>-1474473.1799999981</v>
      </c>
      <c r="AY1455" s="29">
        <f t="shared" si="1027"/>
        <v>9300000</v>
      </c>
      <c r="AZ1455" s="29">
        <f t="shared" si="1028"/>
        <v>7825526.8200000022</v>
      </c>
    </row>
    <row r="1456" spans="2:52" x14ac:dyDescent="0.3">
      <c r="B1456" s="99">
        <f t="shared" ref="B1456:B1459" si="1044">B1455+1</f>
        <v>46203</v>
      </c>
      <c r="C1456" s="44">
        <f t="shared" si="1015"/>
        <v>92145.630000002682</v>
      </c>
      <c r="D1456" s="38">
        <f>40077.29+60106.09+27231.52</f>
        <v>127414.90000000001</v>
      </c>
      <c r="E1456" s="38"/>
      <c r="F1456" s="38">
        <f>-31570-6.48-3076.14-5665.55-0.85</f>
        <v>-40319.020000000004</v>
      </c>
      <c r="G1456" s="45">
        <f t="shared" si="1016"/>
        <v>179241.51000000269</v>
      </c>
      <c r="H1456" s="44">
        <v>4300000</v>
      </c>
      <c r="I1456" s="46">
        <f t="shared" si="1017"/>
        <v>-1609862.2099999993</v>
      </c>
      <c r="J1456" s="38">
        <f>6246.65+8866.16+28811.39+22521.15+44165.31+36659.41+205391.47</f>
        <v>352661.54000000004</v>
      </c>
      <c r="K1456" s="38">
        <v>1110000</v>
      </c>
      <c r="L1456" s="38">
        <f>-1250-20600-1381775.57+10.41</f>
        <v>-1403615.1600000001</v>
      </c>
      <c r="M1456" s="47">
        <f t="shared" si="1018"/>
        <v>-1550815.8299999994</v>
      </c>
      <c r="N1456" s="46">
        <v>5000000</v>
      </c>
      <c r="O1456" s="48">
        <f t="shared" si="1019"/>
        <v>42255.499999999418</v>
      </c>
      <c r="P1456" s="38">
        <v>1099005.17</v>
      </c>
      <c r="Q1456" s="38">
        <v>-1110000</v>
      </c>
      <c r="R1456" s="38"/>
      <c r="S1456" s="55">
        <f t="shared" si="1020"/>
        <v>31260.66999999946</v>
      </c>
      <c r="T1456" s="48"/>
      <c r="U1456" s="49">
        <f t="shared" si="1021"/>
        <v>131.40999999940396</v>
      </c>
      <c r="V1456" s="38"/>
      <c r="W1456" s="38"/>
      <c r="X1456" s="38"/>
      <c r="Y1456" s="51">
        <f t="shared" si="1022"/>
        <v>131.40999999940396</v>
      </c>
      <c r="Z1456" s="52"/>
      <c r="AA1456" s="53">
        <f t="shared" si="1023"/>
        <v>-7.6977357821306214E-10</v>
      </c>
      <c r="AB1456" s="38"/>
      <c r="AC1456" s="38"/>
      <c r="AD1456" s="38"/>
      <c r="AE1456" s="54">
        <f t="shared" si="1024"/>
        <v>-7.6977357821306214E-10</v>
      </c>
      <c r="AF1456" s="53"/>
      <c r="AG1456" s="53">
        <f t="shared" si="1025"/>
        <v>573.82000000053085</v>
      </c>
      <c r="AH1456" s="38"/>
      <c r="AI1456" s="38"/>
      <c r="AJ1456" s="38">
        <f>-9.9+0.11</f>
        <v>-9.7900000000000009</v>
      </c>
      <c r="AK1456" s="54">
        <f t="shared" si="1026"/>
        <v>564.03000000053089</v>
      </c>
      <c r="AL1456" s="53"/>
      <c r="AM1456" s="53">
        <f t="shared" si="1013"/>
        <v>282.6699999999995</v>
      </c>
      <c r="AN1456" s="38"/>
      <c r="AO1456" s="38"/>
      <c r="AP1456" s="38"/>
      <c r="AQ1456" s="54">
        <f t="shared" si="1030"/>
        <v>282.6699999999995</v>
      </c>
      <c r="AR1456" s="53"/>
      <c r="AS1456" s="29">
        <f t="shared" si="1042"/>
        <v>-1474473.1799999981</v>
      </c>
      <c r="AT1456" s="29">
        <f t="shared" si="1042"/>
        <v>1579081.6099999999</v>
      </c>
      <c r="AU1456" s="29">
        <f t="shared" si="1042"/>
        <v>0</v>
      </c>
      <c r="AV1456" s="29">
        <f t="shared" si="1042"/>
        <v>-1443943.9700000002</v>
      </c>
      <c r="AW1456" s="29"/>
      <c r="AX1456" s="29">
        <f t="shared" si="1043"/>
        <v>-1339335.5399999979</v>
      </c>
      <c r="AY1456" s="29">
        <f t="shared" si="1027"/>
        <v>9300000</v>
      </c>
      <c r="AZ1456" s="29">
        <f t="shared" si="1028"/>
        <v>7960664.4600000018</v>
      </c>
    </row>
    <row r="1457" spans="2:55" x14ac:dyDescent="0.3">
      <c r="B1457" s="99">
        <f t="shared" si="1044"/>
        <v>46204</v>
      </c>
      <c r="C1457" s="44">
        <f t="shared" si="1015"/>
        <v>179241.51000000269</v>
      </c>
      <c r="D1457" s="38">
        <v>244319.39</v>
      </c>
      <c r="E1457" s="38"/>
      <c r="F1457" s="38"/>
      <c r="G1457" s="45">
        <f t="shared" si="1016"/>
        <v>423560.9000000027</v>
      </c>
      <c r="H1457" s="44">
        <v>4300000</v>
      </c>
      <c r="I1457" s="46">
        <f t="shared" si="1017"/>
        <v>-1550815.8299999994</v>
      </c>
      <c r="J1457" s="38"/>
      <c r="K1457" s="38">
        <v>31000</v>
      </c>
      <c r="L1457" s="38">
        <v>-55792.02</v>
      </c>
      <c r="M1457" s="47">
        <f t="shared" si="1018"/>
        <v>-1575607.8499999994</v>
      </c>
      <c r="N1457" s="46">
        <v>5000000</v>
      </c>
      <c r="O1457" s="48">
        <f t="shared" si="1019"/>
        <v>31260.66999999946</v>
      </c>
      <c r="P1457" s="38"/>
      <c r="Q1457" s="38">
        <v>-31000</v>
      </c>
      <c r="R1457" s="38">
        <v>-20</v>
      </c>
      <c r="S1457" s="55">
        <f t="shared" si="1020"/>
        <v>240.66999999945983</v>
      </c>
      <c r="T1457" s="48"/>
      <c r="U1457" s="49">
        <f t="shared" si="1021"/>
        <v>131.40999999940396</v>
      </c>
      <c r="V1457" s="38"/>
      <c r="W1457" s="38"/>
      <c r="X1457" s="38"/>
      <c r="Y1457" s="51">
        <f t="shared" si="1022"/>
        <v>131.40999999940396</v>
      </c>
      <c r="Z1457" s="52"/>
      <c r="AA1457" s="53">
        <f t="shared" si="1023"/>
        <v>-7.6977357821306214E-10</v>
      </c>
      <c r="AB1457" s="38"/>
      <c r="AC1457" s="38"/>
      <c r="AD1457" s="38"/>
      <c r="AE1457" s="54">
        <f t="shared" si="1024"/>
        <v>-7.6977357821306214E-10</v>
      </c>
      <c r="AF1457" s="53"/>
      <c r="AG1457" s="53">
        <f t="shared" si="1025"/>
        <v>564.03000000053089</v>
      </c>
      <c r="AH1457" s="38"/>
      <c r="AI1457" s="38"/>
      <c r="AJ1457" s="38">
        <v>-99</v>
      </c>
      <c r="AK1457" s="54">
        <f t="shared" si="1026"/>
        <v>465.03000000053089</v>
      </c>
      <c r="AL1457" s="53"/>
      <c r="AM1457" s="53">
        <f t="shared" si="1013"/>
        <v>282.6699999999995</v>
      </c>
      <c r="AN1457" s="38"/>
      <c r="AO1457" s="38"/>
      <c r="AP1457" s="38"/>
      <c r="AQ1457" s="54">
        <f t="shared" si="1030"/>
        <v>282.6699999999995</v>
      </c>
      <c r="AR1457" s="53"/>
      <c r="AS1457" s="29">
        <f t="shared" si="1042"/>
        <v>-1339335.5399999979</v>
      </c>
      <c r="AT1457" s="29">
        <f t="shared" si="1042"/>
        <v>244319.39</v>
      </c>
      <c r="AU1457" s="29">
        <f t="shared" si="1042"/>
        <v>0</v>
      </c>
      <c r="AV1457" s="29">
        <f t="shared" si="1042"/>
        <v>-55911.02</v>
      </c>
      <c r="AW1457" s="29"/>
      <c r="AX1457" s="29">
        <f t="shared" si="1043"/>
        <v>-1150927.1699999981</v>
      </c>
      <c r="AY1457" s="29">
        <f t="shared" si="1027"/>
        <v>9300000</v>
      </c>
      <c r="AZ1457" s="29">
        <f t="shared" si="1028"/>
        <v>8149072.8300000019</v>
      </c>
    </row>
    <row r="1458" spans="2:55" x14ac:dyDescent="0.3">
      <c r="B1458" s="99">
        <f t="shared" si="1044"/>
        <v>46205</v>
      </c>
      <c r="C1458" s="44">
        <f t="shared" si="1015"/>
        <v>423560.9000000027</v>
      </c>
      <c r="D1458" s="38"/>
      <c r="E1458" s="38"/>
      <c r="F1458" s="38">
        <v>-180</v>
      </c>
      <c r="G1458" s="45">
        <f t="shared" si="1016"/>
        <v>423380.9000000027</v>
      </c>
      <c r="H1458" s="44">
        <v>4300000</v>
      </c>
      <c r="I1458" s="46">
        <f t="shared" si="1017"/>
        <v>-1575607.8499999994</v>
      </c>
      <c r="J1458" s="38"/>
      <c r="K1458" s="38"/>
      <c r="L1458" s="38"/>
      <c r="M1458" s="47">
        <f t="shared" si="1018"/>
        <v>-1575607.8499999994</v>
      </c>
      <c r="N1458" s="46">
        <v>5000000</v>
      </c>
      <c r="O1458" s="48">
        <f t="shared" si="1019"/>
        <v>240.66999999945983</v>
      </c>
      <c r="P1458" s="38">
        <v>2399638.61</v>
      </c>
      <c r="Q1458" s="38"/>
      <c r="R1458" s="38"/>
      <c r="S1458" s="55">
        <f t="shared" si="1020"/>
        <v>2399879.2799999993</v>
      </c>
      <c r="T1458" s="48"/>
      <c r="U1458" s="49">
        <f t="shared" si="1021"/>
        <v>131.40999999940396</v>
      </c>
      <c r="V1458" s="38"/>
      <c r="W1458" s="38"/>
      <c r="X1458" s="38">
        <v>-73</v>
      </c>
      <c r="Y1458" s="51">
        <f t="shared" si="1022"/>
        <v>58.409999999403965</v>
      </c>
      <c r="Z1458" s="52"/>
      <c r="AA1458" s="53">
        <f t="shared" si="1023"/>
        <v>-7.6977357821306214E-10</v>
      </c>
      <c r="AB1458" s="38"/>
      <c r="AC1458" s="38"/>
      <c r="AD1458" s="38"/>
      <c r="AE1458" s="54">
        <f t="shared" si="1024"/>
        <v>-7.6977357821306214E-10</v>
      </c>
      <c r="AF1458" s="53"/>
      <c r="AG1458" s="53">
        <f t="shared" si="1025"/>
        <v>465.03000000053089</v>
      </c>
      <c r="AH1458" s="38">
        <v>35084.29</v>
      </c>
      <c r="AI1458" s="38"/>
      <c r="AJ1458" s="38"/>
      <c r="AK1458" s="54">
        <f t="shared" si="1026"/>
        <v>35549.320000000531</v>
      </c>
      <c r="AL1458" s="53"/>
      <c r="AM1458" s="53">
        <f t="shared" si="1013"/>
        <v>282.6699999999995</v>
      </c>
      <c r="AN1458" s="38"/>
      <c r="AO1458" s="38"/>
      <c r="AP1458" s="38"/>
      <c r="AQ1458" s="54">
        <f t="shared" si="1030"/>
        <v>282.6699999999995</v>
      </c>
      <c r="AR1458" s="53"/>
      <c r="AS1458" s="29">
        <f t="shared" si="1042"/>
        <v>-1150927.1699999981</v>
      </c>
      <c r="AT1458" s="29">
        <f t="shared" si="1042"/>
        <v>2434722.9</v>
      </c>
      <c r="AU1458" s="29">
        <f t="shared" si="1042"/>
        <v>0</v>
      </c>
      <c r="AV1458" s="29">
        <f t="shared" si="1042"/>
        <v>-253</v>
      </c>
      <c r="AW1458" s="29"/>
      <c r="AX1458" s="29">
        <f t="shared" si="1043"/>
        <v>1283542.7300000018</v>
      </c>
      <c r="AY1458" s="29">
        <f t="shared" si="1027"/>
        <v>9300000</v>
      </c>
      <c r="AZ1458" s="29">
        <f t="shared" si="1028"/>
        <v>10583542.730000002</v>
      </c>
    </row>
    <row r="1459" spans="2:55" x14ac:dyDescent="0.3">
      <c r="B1459" s="99">
        <f t="shared" si="1044"/>
        <v>46206</v>
      </c>
      <c r="C1459" s="44">
        <f t="shared" si="1015"/>
        <v>423380.9000000027</v>
      </c>
      <c r="D1459" s="38">
        <f>31245.75</f>
        <v>31245.75</v>
      </c>
      <c r="E1459" s="38"/>
      <c r="F1459" s="38">
        <f>-61842.92-180-21.6-60679.83</f>
        <v>-122724.35</v>
      </c>
      <c r="G1459" s="45">
        <f t="shared" si="1016"/>
        <v>331902.30000000272</v>
      </c>
      <c r="H1459" s="44">
        <v>4300000</v>
      </c>
      <c r="I1459" s="46">
        <f t="shared" si="1017"/>
        <v>-1575607.8499999994</v>
      </c>
      <c r="J1459" s="38"/>
      <c r="K1459" s="38">
        <f>2000000+35000+629000</f>
        <v>2664000</v>
      </c>
      <c r="L1459" s="38">
        <v>-4896835.79</v>
      </c>
      <c r="M1459" s="47">
        <f t="shared" si="1018"/>
        <v>-3808443.6399999997</v>
      </c>
      <c r="N1459" s="46">
        <v>5000000</v>
      </c>
      <c r="O1459" s="48">
        <f t="shared" si="1019"/>
        <v>2399879.2799999993</v>
      </c>
      <c r="P1459" s="38">
        <v>229440.92</v>
      </c>
      <c r="Q1459" s="38">
        <v>-2629000</v>
      </c>
      <c r="R1459" s="38">
        <v>-10</v>
      </c>
      <c r="S1459" s="55">
        <f t="shared" si="1020"/>
        <v>310.19999999925494</v>
      </c>
      <c r="T1459" s="48"/>
      <c r="U1459" s="49">
        <f t="shared" si="1021"/>
        <v>58.409999999403965</v>
      </c>
      <c r="V1459" s="38"/>
      <c r="W1459" s="38"/>
      <c r="X1459" s="38"/>
      <c r="Y1459" s="51">
        <f t="shared" si="1022"/>
        <v>58.409999999403965</v>
      </c>
      <c r="Z1459" s="52"/>
      <c r="AA1459" s="53">
        <f t="shared" si="1023"/>
        <v>-7.6977357821306214E-10</v>
      </c>
      <c r="AB1459" s="38"/>
      <c r="AC1459" s="38"/>
      <c r="AD1459" s="38"/>
      <c r="AE1459" s="54">
        <f t="shared" si="1024"/>
        <v>-7.6977357821306214E-10</v>
      </c>
      <c r="AF1459" s="53"/>
      <c r="AG1459" s="53">
        <f t="shared" si="1025"/>
        <v>35549.320000000531</v>
      </c>
      <c r="AH1459" s="38"/>
      <c r="AI1459" s="38">
        <v>-35000</v>
      </c>
      <c r="AJ1459" s="38"/>
      <c r="AK1459" s="54">
        <f t="shared" si="1026"/>
        <v>549.32000000053085</v>
      </c>
      <c r="AL1459" s="53"/>
      <c r="AM1459" s="53">
        <f t="shared" si="1013"/>
        <v>282.6699999999995</v>
      </c>
      <c r="AN1459" s="38"/>
      <c r="AO1459" s="38"/>
      <c r="AP1459" s="38"/>
      <c r="AQ1459" s="54">
        <f t="shared" si="1030"/>
        <v>282.6699999999995</v>
      </c>
      <c r="AR1459" s="53"/>
      <c r="AS1459" s="29">
        <f t="shared" si="1042"/>
        <v>1283542.7300000018</v>
      </c>
      <c r="AT1459" s="29">
        <f t="shared" si="1042"/>
        <v>260686.67</v>
      </c>
      <c r="AU1459" s="29">
        <f t="shared" si="1042"/>
        <v>0</v>
      </c>
      <c r="AV1459" s="29">
        <f t="shared" si="1042"/>
        <v>-5019570.1399999997</v>
      </c>
      <c r="AW1459" s="29"/>
      <c r="AX1459" s="29">
        <f t="shared" si="1043"/>
        <v>-3475340.7399999993</v>
      </c>
      <c r="AY1459" s="29">
        <f t="shared" si="1027"/>
        <v>9300000</v>
      </c>
      <c r="AZ1459" s="29">
        <f t="shared" si="1028"/>
        <v>5824659.2600000007</v>
      </c>
    </row>
    <row r="1460" spans="2:55" x14ac:dyDescent="0.3">
      <c r="B1460" s="99">
        <f>B1459+3</f>
        <v>46209</v>
      </c>
      <c r="C1460" s="44">
        <f t="shared" si="1015"/>
        <v>331902.30000000272</v>
      </c>
      <c r="D1460" s="38">
        <f>693259.41+123197.49+156697.7+34177.53+14790.48</f>
        <v>1022122.6100000001</v>
      </c>
      <c r="E1460" s="38">
        <v>-410000</v>
      </c>
      <c r="F1460" s="38">
        <f>-1700-125-17586.21</f>
        <v>-19411.21</v>
      </c>
      <c r="G1460" s="45">
        <f t="shared" si="1016"/>
        <v>924613.70000000298</v>
      </c>
      <c r="H1460" s="44">
        <v>4300000</v>
      </c>
      <c r="I1460" s="46">
        <f t="shared" si="1017"/>
        <v>-3808443.6399999997</v>
      </c>
      <c r="J1460" s="38"/>
      <c r="K1460" s="38">
        <v>410000</v>
      </c>
      <c r="L1460" s="38">
        <v>-1518951.36</v>
      </c>
      <c r="M1460" s="47">
        <f t="shared" si="1018"/>
        <v>-4917395</v>
      </c>
      <c r="N1460" s="46">
        <v>5000000</v>
      </c>
      <c r="O1460" s="48">
        <f t="shared" si="1019"/>
        <v>310.19999999925494</v>
      </c>
      <c r="P1460" s="38"/>
      <c r="Q1460" s="38"/>
      <c r="R1460" s="38"/>
      <c r="S1460" s="55">
        <f t="shared" si="1020"/>
        <v>310.19999999925494</v>
      </c>
      <c r="T1460" s="48"/>
      <c r="U1460" s="49">
        <f t="shared" si="1021"/>
        <v>58.409999999403965</v>
      </c>
      <c r="V1460" s="38"/>
      <c r="W1460" s="38"/>
      <c r="X1460" s="38"/>
      <c r="Y1460" s="51">
        <f t="shared" si="1022"/>
        <v>58.409999999403965</v>
      </c>
      <c r="Z1460" s="52"/>
      <c r="AA1460" s="53">
        <f t="shared" si="1023"/>
        <v>-7.6977357821306214E-10</v>
      </c>
      <c r="AB1460" s="38"/>
      <c r="AC1460" s="38"/>
      <c r="AD1460" s="38"/>
      <c r="AE1460" s="54">
        <f t="shared" si="1024"/>
        <v>-7.6977357821306214E-10</v>
      </c>
      <c r="AF1460" s="53"/>
      <c r="AG1460" s="53">
        <f t="shared" si="1025"/>
        <v>549.32000000053085</v>
      </c>
      <c r="AH1460" s="38"/>
      <c r="AI1460" s="38"/>
      <c r="AJ1460" s="38">
        <v>-9.9</v>
      </c>
      <c r="AK1460" s="54">
        <f t="shared" si="1026"/>
        <v>539.42000000053088</v>
      </c>
      <c r="AL1460" s="53"/>
      <c r="AM1460" s="53">
        <f t="shared" si="1013"/>
        <v>282.6699999999995</v>
      </c>
      <c r="AN1460" s="38"/>
      <c r="AO1460" s="38"/>
      <c r="AP1460" s="38"/>
      <c r="AQ1460" s="54">
        <f t="shared" si="1030"/>
        <v>282.6699999999995</v>
      </c>
      <c r="AR1460" s="53"/>
      <c r="AS1460" s="29">
        <f t="shared" si="1042"/>
        <v>-3475340.7399999993</v>
      </c>
      <c r="AT1460" s="29">
        <f t="shared" si="1042"/>
        <v>1022122.6100000001</v>
      </c>
      <c r="AU1460" s="29">
        <f t="shared" si="1042"/>
        <v>0</v>
      </c>
      <c r="AV1460" s="29">
        <f t="shared" si="1042"/>
        <v>-1538372.47</v>
      </c>
      <c r="AW1460" s="29"/>
      <c r="AX1460" s="29">
        <f t="shared" si="1043"/>
        <v>-3991590.5999999992</v>
      </c>
      <c r="AY1460" s="29">
        <f t="shared" si="1027"/>
        <v>9300000</v>
      </c>
      <c r="AZ1460" s="29">
        <f t="shared" si="1028"/>
        <v>5308409.4000000004</v>
      </c>
    </row>
    <row r="1461" spans="2:55" x14ac:dyDescent="0.3">
      <c r="B1461" s="99">
        <f t="shared" ref="B1461:B1464" si="1045">B1460+1</f>
        <v>46210</v>
      </c>
      <c r="C1461" s="44">
        <f t="shared" si="1015"/>
        <v>924613.70000000298</v>
      </c>
      <c r="D1461" s="38"/>
      <c r="E1461" s="38"/>
      <c r="F1461" s="38"/>
      <c r="G1461" s="45">
        <f t="shared" si="1016"/>
        <v>924613.70000000298</v>
      </c>
      <c r="H1461" s="44">
        <v>4300000</v>
      </c>
      <c r="I1461" s="46">
        <f t="shared" si="1017"/>
        <v>-4917395</v>
      </c>
      <c r="J1461" s="38">
        <f>28814.27+4256.19+126782.78+350760.64</f>
        <v>510613.88</v>
      </c>
      <c r="K1461" s="38"/>
      <c r="L1461" s="38">
        <v>-12480.13</v>
      </c>
      <c r="M1461" s="47">
        <f t="shared" si="1018"/>
        <v>-4419261.25</v>
      </c>
      <c r="N1461" s="46">
        <v>5000000</v>
      </c>
      <c r="O1461" s="48">
        <f t="shared" si="1019"/>
        <v>310.19999999925494</v>
      </c>
      <c r="P1461" s="38"/>
      <c r="Q1461" s="38"/>
      <c r="R1461" s="38"/>
      <c r="S1461" s="55">
        <f t="shared" si="1020"/>
        <v>310.19999999925494</v>
      </c>
      <c r="T1461" s="48"/>
      <c r="U1461" s="49">
        <f t="shared" si="1021"/>
        <v>58.409999999403965</v>
      </c>
      <c r="V1461" s="38"/>
      <c r="W1461" s="38"/>
      <c r="X1461" s="38"/>
      <c r="Y1461" s="51">
        <f t="shared" si="1022"/>
        <v>58.409999999403965</v>
      </c>
      <c r="Z1461" s="52"/>
      <c r="AA1461" s="53">
        <f t="shared" si="1023"/>
        <v>-7.6977357821306214E-10</v>
      </c>
      <c r="AB1461" s="38"/>
      <c r="AC1461" s="38"/>
      <c r="AD1461" s="38"/>
      <c r="AE1461" s="54">
        <f t="shared" si="1024"/>
        <v>-7.6977357821306214E-10</v>
      </c>
      <c r="AF1461" s="53"/>
      <c r="AG1461" s="53">
        <f t="shared" si="1025"/>
        <v>539.42000000053088</v>
      </c>
      <c r="AH1461" s="38"/>
      <c r="AI1461" s="38"/>
      <c r="AJ1461" s="38"/>
      <c r="AK1461" s="54">
        <f t="shared" si="1026"/>
        <v>539.42000000053088</v>
      </c>
      <c r="AL1461" s="53"/>
      <c r="AM1461" s="53">
        <f t="shared" ref="AM1461:AM1467" si="1046">AQ1460</f>
        <v>282.6699999999995</v>
      </c>
      <c r="AN1461" s="38"/>
      <c r="AO1461" s="38"/>
      <c r="AP1461" s="38"/>
      <c r="AQ1461" s="54">
        <f t="shared" si="1030"/>
        <v>282.6699999999995</v>
      </c>
      <c r="AR1461" s="53"/>
      <c r="AS1461" s="29">
        <f t="shared" si="1042"/>
        <v>-3991590.5999999992</v>
      </c>
      <c r="AT1461" s="29">
        <f t="shared" si="1042"/>
        <v>510613.88</v>
      </c>
      <c r="AU1461" s="29">
        <f t="shared" si="1042"/>
        <v>0</v>
      </c>
      <c r="AV1461" s="29">
        <f t="shared" si="1042"/>
        <v>-12480.13</v>
      </c>
      <c r="AW1461" s="29"/>
      <c r="AX1461" s="29">
        <f t="shared" si="1043"/>
        <v>-3493456.8499999992</v>
      </c>
      <c r="AY1461" s="29">
        <f t="shared" si="1027"/>
        <v>9300000</v>
      </c>
      <c r="AZ1461" s="29">
        <f t="shared" si="1028"/>
        <v>5806543.1500000004</v>
      </c>
    </row>
    <row r="1462" spans="2:55" x14ac:dyDescent="0.3">
      <c r="B1462" s="99">
        <f t="shared" si="1045"/>
        <v>46211</v>
      </c>
      <c r="C1462" s="44">
        <f t="shared" si="1015"/>
        <v>924613.70000000298</v>
      </c>
      <c r="D1462" s="38">
        <v>80766.179999999993</v>
      </c>
      <c r="E1462" s="38"/>
      <c r="F1462" s="38">
        <v>-6338.52</v>
      </c>
      <c r="G1462" s="45">
        <f t="shared" si="1016"/>
        <v>999041.3600000029</v>
      </c>
      <c r="H1462" s="44">
        <v>4300000</v>
      </c>
      <c r="I1462" s="46">
        <f t="shared" si="1017"/>
        <v>-4419261.25</v>
      </c>
      <c r="J1462" s="38">
        <f>2385.92+34993.44+89731.74</f>
        <v>127111.1</v>
      </c>
      <c r="K1462" s="38">
        <v>45000</v>
      </c>
      <c r="L1462" s="38">
        <v>-108180.72</v>
      </c>
      <c r="M1462" s="47">
        <f t="shared" si="1018"/>
        <v>-4355330.87</v>
      </c>
      <c r="N1462" s="46">
        <v>5000000</v>
      </c>
      <c r="O1462" s="48">
        <f t="shared" si="1019"/>
        <v>310.19999999925494</v>
      </c>
      <c r="P1462" s="38">
        <v>45561.54</v>
      </c>
      <c r="Q1462" s="38">
        <v>-45000</v>
      </c>
      <c r="R1462" s="38">
        <v>-10</v>
      </c>
      <c r="S1462" s="55">
        <f t="shared" si="1020"/>
        <v>861.73999999925582</v>
      </c>
      <c r="T1462" s="48"/>
      <c r="U1462" s="49">
        <f t="shared" si="1021"/>
        <v>58.409999999403965</v>
      </c>
      <c r="V1462" s="38"/>
      <c r="W1462" s="38"/>
      <c r="X1462" s="38"/>
      <c r="Y1462" s="51">
        <f t="shared" si="1022"/>
        <v>58.409999999403965</v>
      </c>
      <c r="Z1462" s="52"/>
      <c r="AA1462" s="53">
        <f t="shared" si="1023"/>
        <v>-7.6977357821306214E-10</v>
      </c>
      <c r="AB1462" s="38"/>
      <c r="AC1462" s="38"/>
      <c r="AD1462" s="38"/>
      <c r="AE1462" s="54">
        <f t="shared" si="1024"/>
        <v>-7.6977357821306214E-10</v>
      </c>
      <c r="AF1462" s="53"/>
      <c r="AG1462" s="53">
        <f t="shared" si="1025"/>
        <v>539.42000000053088</v>
      </c>
      <c r="AH1462" s="38"/>
      <c r="AI1462" s="38"/>
      <c r="AJ1462" s="38"/>
      <c r="AK1462" s="54">
        <f t="shared" si="1026"/>
        <v>539.42000000053088</v>
      </c>
      <c r="AL1462" s="53"/>
      <c r="AM1462" s="53">
        <f t="shared" si="1046"/>
        <v>282.6699999999995</v>
      </c>
      <c r="AN1462" s="38"/>
      <c r="AO1462" s="38"/>
      <c r="AP1462" s="38"/>
      <c r="AQ1462" s="54">
        <f t="shared" si="1030"/>
        <v>282.6699999999995</v>
      </c>
      <c r="AR1462" s="53"/>
      <c r="AS1462" s="29">
        <f t="shared" si="1042"/>
        <v>-3493456.8499999992</v>
      </c>
      <c r="AT1462" s="29">
        <f t="shared" si="1042"/>
        <v>253438.82</v>
      </c>
      <c r="AU1462" s="29">
        <f t="shared" si="1042"/>
        <v>0</v>
      </c>
      <c r="AV1462" s="29">
        <f t="shared" si="1042"/>
        <v>-114529.24</v>
      </c>
      <c r="AW1462" s="29"/>
      <c r="AX1462" s="29">
        <f t="shared" si="1043"/>
        <v>-3354547.2699999991</v>
      </c>
      <c r="AY1462" s="29">
        <f t="shared" si="1027"/>
        <v>9300000</v>
      </c>
      <c r="AZ1462" s="29">
        <f t="shared" si="1028"/>
        <v>5945452.7300000004</v>
      </c>
    </row>
    <row r="1463" spans="2:55" x14ac:dyDescent="0.3">
      <c r="B1463" s="99">
        <f t="shared" si="1045"/>
        <v>46212</v>
      </c>
      <c r="C1463" s="44">
        <f t="shared" si="1015"/>
        <v>999041.3600000029</v>
      </c>
      <c r="D1463" s="38"/>
      <c r="E1463" s="38"/>
      <c r="F1463" s="38">
        <v>-49.15</v>
      </c>
      <c r="G1463" s="45">
        <f t="shared" si="1016"/>
        <v>998992.21000000287</v>
      </c>
      <c r="H1463" s="44">
        <v>4300000</v>
      </c>
      <c r="I1463" s="46">
        <f t="shared" si="1017"/>
        <v>-4355330.87</v>
      </c>
      <c r="J1463" s="38"/>
      <c r="K1463" s="38"/>
      <c r="L1463" s="38">
        <v>-64240.04</v>
      </c>
      <c r="M1463" s="47">
        <f t="shared" si="1018"/>
        <v>-4419570.91</v>
      </c>
      <c r="N1463" s="46">
        <v>5000000</v>
      </c>
      <c r="O1463" s="48">
        <f t="shared" si="1019"/>
        <v>861.73999999925582</v>
      </c>
      <c r="P1463" s="38"/>
      <c r="Q1463" s="38"/>
      <c r="R1463" s="38"/>
      <c r="S1463" s="55">
        <f t="shared" si="1020"/>
        <v>861.73999999925582</v>
      </c>
      <c r="T1463" s="48"/>
      <c r="U1463" s="49">
        <f t="shared" si="1021"/>
        <v>58.409999999403965</v>
      </c>
      <c r="V1463" s="38"/>
      <c r="W1463" s="38"/>
      <c r="X1463" s="38"/>
      <c r="Y1463" s="51">
        <f t="shared" si="1022"/>
        <v>58.409999999403965</v>
      </c>
      <c r="Z1463" s="52"/>
      <c r="AA1463" s="53">
        <f t="shared" si="1023"/>
        <v>-7.6977357821306214E-10</v>
      </c>
      <c r="AB1463" s="38"/>
      <c r="AC1463" s="38"/>
      <c r="AD1463" s="38"/>
      <c r="AE1463" s="54">
        <f t="shared" si="1024"/>
        <v>-7.6977357821306214E-10</v>
      </c>
      <c r="AF1463" s="53"/>
      <c r="AG1463" s="53">
        <f t="shared" si="1025"/>
        <v>539.42000000053088</v>
      </c>
      <c r="AH1463" s="38"/>
      <c r="AI1463" s="38"/>
      <c r="AJ1463" s="38"/>
      <c r="AK1463" s="54">
        <f t="shared" si="1026"/>
        <v>539.42000000053088</v>
      </c>
      <c r="AL1463" s="53"/>
      <c r="AM1463" s="53">
        <f t="shared" si="1046"/>
        <v>282.6699999999995</v>
      </c>
      <c r="AN1463" s="38"/>
      <c r="AO1463" s="38"/>
      <c r="AP1463" s="38"/>
      <c r="AQ1463" s="54">
        <f t="shared" si="1030"/>
        <v>282.6699999999995</v>
      </c>
      <c r="AR1463" s="53"/>
      <c r="AS1463" s="29">
        <f t="shared" si="1042"/>
        <v>-3354547.2699999991</v>
      </c>
      <c r="AT1463" s="29">
        <f t="shared" si="1042"/>
        <v>0</v>
      </c>
      <c r="AU1463" s="29">
        <f t="shared" si="1042"/>
        <v>0</v>
      </c>
      <c r="AV1463" s="29">
        <f t="shared" si="1042"/>
        <v>-64289.19</v>
      </c>
      <c r="AW1463" s="29"/>
      <c r="AX1463" s="29">
        <f t="shared" si="1043"/>
        <v>-3418836.4599999995</v>
      </c>
      <c r="AY1463" s="29">
        <f t="shared" si="1027"/>
        <v>9300000</v>
      </c>
      <c r="AZ1463" s="29">
        <f t="shared" si="1028"/>
        <v>5881163.540000001</v>
      </c>
    </row>
    <row r="1464" spans="2:55" x14ac:dyDescent="0.3">
      <c r="B1464" s="99">
        <f t="shared" si="1045"/>
        <v>46213</v>
      </c>
      <c r="C1464" s="44">
        <f t="shared" si="1015"/>
        <v>998992.21000000287</v>
      </c>
      <c r="D1464" s="38"/>
      <c r="E1464" s="38"/>
      <c r="F1464" s="38">
        <v>-208490.28</v>
      </c>
      <c r="G1464" s="45">
        <f t="shared" si="1016"/>
        <v>790501.93000000285</v>
      </c>
      <c r="H1464" s="44">
        <v>4300000</v>
      </c>
      <c r="I1464" s="46">
        <f t="shared" si="1017"/>
        <v>-4419570.91</v>
      </c>
      <c r="J1464" s="38"/>
      <c r="K1464" s="38"/>
      <c r="L1464" s="38">
        <v>-462494.97</v>
      </c>
      <c r="M1464" s="47">
        <f t="shared" si="1018"/>
        <v>-4882065.88</v>
      </c>
      <c r="N1464" s="46">
        <v>5000000</v>
      </c>
      <c r="O1464" s="48">
        <f t="shared" si="1019"/>
        <v>861.73999999925582</v>
      </c>
      <c r="P1464" s="38">
        <v>419954.03</v>
      </c>
      <c r="Q1464" s="38"/>
      <c r="R1464" s="38"/>
      <c r="S1464" s="55">
        <f t="shared" si="1020"/>
        <v>420815.76999999926</v>
      </c>
      <c r="T1464" s="48"/>
      <c r="U1464" s="49">
        <f t="shared" si="1021"/>
        <v>58.409999999403965</v>
      </c>
      <c r="V1464" s="38"/>
      <c r="W1464" s="38"/>
      <c r="X1464" s="38"/>
      <c r="Y1464" s="51">
        <f t="shared" si="1022"/>
        <v>58.409999999403965</v>
      </c>
      <c r="Z1464" s="52"/>
      <c r="AA1464" s="53">
        <f t="shared" si="1023"/>
        <v>-7.6977357821306214E-10</v>
      </c>
      <c r="AB1464" s="38"/>
      <c r="AC1464" s="38"/>
      <c r="AD1464" s="38"/>
      <c r="AE1464" s="54">
        <f t="shared" si="1024"/>
        <v>-7.6977357821306214E-10</v>
      </c>
      <c r="AF1464" s="53"/>
      <c r="AG1464" s="53">
        <f t="shared" si="1025"/>
        <v>539.42000000053088</v>
      </c>
      <c r="AH1464" s="38"/>
      <c r="AI1464" s="38"/>
      <c r="AJ1464" s="38"/>
      <c r="AK1464" s="54">
        <f t="shared" si="1026"/>
        <v>539.42000000053088</v>
      </c>
      <c r="AL1464" s="53"/>
      <c r="AM1464" s="53">
        <f t="shared" si="1046"/>
        <v>282.6699999999995</v>
      </c>
      <c r="AN1464" s="38"/>
      <c r="AO1464" s="38"/>
      <c r="AP1464" s="38"/>
      <c r="AQ1464" s="54">
        <f t="shared" si="1030"/>
        <v>282.6699999999995</v>
      </c>
      <c r="AR1464" s="53"/>
      <c r="AS1464" s="29">
        <f t="shared" si="1042"/>
        <v>-3418836.4599999995</v>
      </c>
      <c r="AT1464" s="29">
        <f t="shared" si="1042"/>
        <v>419954.03</v>
      </c>
      <c r="AU1464" s="29">
        <f t="shared" si="1042"/>
        <v>0</v>
      </c>
      <c r="AV1464" s="29">
        <f t="shared" si="1042"/>
        <v>-670985.25</v>
      </c>
      <c r="AW1464" s="29"/>
      <c r="AX1464" s="29">
        <f t="shared" si="1043"/>
        <v>-3669867.6799999992</v>
      </c>
      <c r="AY1464" s="29">
        <f t="shared" si="1027"/>
        <v>9300000</v>
      </c>
      <c r="AZ1464" s="29">
        <f t="shared" si="1028"/>
        <v>5630132.3200000003</v>
      </c>
    </row>
    <row r="1465" spans="2:55" x14ac:dyDescent="0.3">
      <c r="B1465" s="99">
        <f>B1464+3</f>
        <v>46216</v>
      </c>
      <c r="C1465" s="44">
        <f t="shared" si="1015"/>
        <v>790501.93000000285</v>
      </c>
      <c r="D1465" s="38"/>
      <c r="E1465" s="38"/>
      <c r="F1465" s="38">
        <v>-69944.77</v>
      </c>
      <c r="G1465" s="45">
        <f t="shared" si="1016"/>
        <v>720557.16000000283</v>
      </c>
      <c r="H1465" s="44">
        <v>4300000</v>
      </c>
      <c r="I1465" s="46">
        <f t="shared" si="1017"/>
        <v>-4882065.88</v>
      </c>
      <c r="J1465" s="38"/>
      <c r="K1465" s="38">
        <v>455000</v>
      </c>
      <c r="L1465" s="38">
        <v>-100043.97</v>
      </c>
      <c r="M1465" s="47">
        <f t="shared" si="1018"/>
        <v>-4527109.8499999996</v>
      </c>
      <c r="N1465" s="46">
        <v>5000000</v>
      </c>
      <c r="O1465" s="48">
        <f t="shared" si="1019"/>
        <v>420815.76999999926</v>
      </c>
      <c r="P1465" s="38">
        <v>34334.589999999997</v>
      </c>
      <c r="Q1465" s="38">
        <v>-455000</v>
      </c>
      <c r="R1465" s="38">
        <v>-10</v>
      </c>
      <c r="S1465" s="55">
        <f t="shared" si="1020"/>
        <v>140.35999999928754</v>
      </c>
      <c r="T1465" s="48"/>
      <c r="U1465" s="49">
        <f t="shared" si="1021"/>
        <v>58.409999999403965</v>
      </c>
      <c r="V1465" s="38"/>
      <c r="W1465" s="38"/>
      <c r="X1465" s="38"/>
      <c r="Y1465" s="51">
        <f t="shared" si="1022"/>
        <v>58.409999999403965</v>
      </c>
      <c r="Z1465" s="52"/>
      <c r="AA1465" s="53">
        <f t="shared" si="1023"/>
        <v>-7.6977357821306214E-10</v>
      </c>
      <c r="AB1465" s="38"/>
      <c r="AC1465" s="38"/>
      <c r="AD1465" s="38"/>
      <c r="AE1465" s="54">
        <f t="shared" si="1024"/>
        <v>-7.6977357821306214E-10</v>
      </c>
      <c r="AF1465" s="53"/>
      <c r="AG1465" s="53">
        <f t="shared" si="1025"/>
        <v>539.42000000053088</v>
      </c>
      <c r="AH1465" s="38"/>
      <c r="AI1465" s="38"/>
      <c r="AJ1465" s="38"/>
      <c r="AK1465" s="54">
        <f t="shared" si="1026"/>
        <v>539.42000000053088</v>
      </c>
      <c r="AL1465" s="53"/>
      <c r="AM1465" s="53">
        <f t="shared" si="1046"/>
        <v>282.6699999999995</v>
      </c>
      <c r="AN1465" s="38"/>
      <c r="AO1465" s="38"/>
      <c r="AP1465" s="38"/>
      <c r="AQ1465" s="54">
        <f t="shared" si="1030"/>
        <v>282.6699999999995</v>
      </c>
      <c r="AR1465" s="53"/>
      <c r="AS1465" s="29">
        <f t="shared" si="1042"/>
        <v>-3669867.6799999992</v>
      </c>
      <c r="AT1465" s="29">
        <f t="shared" si="1042"/>
        <v>34334.589999999997</v>
      </c>
      <c r="AU1465" s="29">
        <f t="shared" si="1042"/>
        <v>0</v>
      </c>
      <c r="AV1465" s="29">
        <f t="shared" si="1042"/>
        <v>-169998.74</v>
      </c>
      <c r="AW1465" s="29"/>
      <c r="AX1465" s="29">
        <f t="shared" si="1043"/>
        <v>-3805531.8299999987</v>
      </c>
      <c r="AY1465" s="29">
        <f t="shared" si="1027"/>
        <v>9300000</v>
      </c>
      <c r="AZ1465" s="29">
        <f t="shared" si="1028"/>
        <v>5494468.1700000018</v>
      </c>
    </row>
    <row r="1466" spans="2:55" s="76" customFormat="1" x14ac:dyDescent="0.3">
      <c r="B1466" s="101">
        <f t="shared" ref="B1466:B1467" si="1047">B1465+1</f>
        <v>46217</v>
      </c>
      <c r="C1466" s="77">
        <f t="shared" si="1015"/>
        <v>720557.16000000283</v>
      </c>
      <c r="D1466" s="78"/>
      <c r="E1466" s="78"/>
      <c r="F1466" s="78"/>
      <c r="G1466" s="78">
        <f t="shared" si="1016"/>
        <v>720557.16000000283</v>
      </c>
      <c r="H1466" s="77">
        <v>4300000</v>
      </c>
      <c r="I1466" s="77">
        <f t="shared" si="1017"/>
        <v>-4527109.8499999996</v>
      </c>
      <c r="J1466" s="78"/>
      <c r="K1466" s="78"/>
      <c r="L1466" s="78">
        <v>-110766.55</v>
      </c>
      <c r="M1466" s="47">
        <f t="shared" si="1018"/>
        <v>-4637876.3999999994</v>
      </c>
      <c r="N1466" s="77">
        <v>5000000</v>
      </c>
      <c r="O1466" s="77">
        <f t="shared" si="1019"/>
        <v>140.35999999928754</v>
      </c>
      <c r="P1466" s="78">
        <v>281387.34000000003</v>
      </c>
      <c r="Q1466" s="78"/>
      <c r="R1466" s="78"/>
      <c r="S1466" s="78">
        <f t="shared" si="1020"/>
        <v>281527.69999999931</v>
      </c>
      <c r="T1466" s="77"/>
      <c r="U1466" s="77">
        <f t="shared" si="1021"/>
        <v>58.409999999403965</v>
      </c>
      <c r="V1466" s="78"/>
      <c r="W1466" s="78"/>
      <c r="X1466" s="78"/>
      <c r="Y1466" s="79">
        <f t="shared" si="1022"/>
        <v>58.409999999403965</v>
      </c>
      <c r="Z1466" s="80"/>
      <c r="AA1466" s="77">
        <f t="shared" si="1023"/>
        <v>-7.6977357821306214E-10</v>
      </c>
      <c r="AB1466" s="78"/>
      <c r="AC1466" s="78"/>
      <c r="AD1466" s="78"/>
      <c r="AE1466" s="78">
        <f t="shared" si="1024"/>
        <v>-7.6977357821306214E-10</v>
      </c>
      <c r="AF1466" s="77"/>
      <c r="AG1466" s="77">
        <f t="shared" si="1025"/>
        <v>539.42000000053088</v>
      </c>
      <c r="AH1466" s="78">
        <v>20552.03</v>
      </c>
      <c r="AI1466" s="78"/>
      <c r="AJ1466" s="78"/>
      <c r="AK1466" s="78">
        <f t="shared" si="1026"/>
        <v>21091.450000000528</v>
      </c>
      <c r="AL1466" s="77"/>
      <c r="AM1466" s="53">
        <f t="shared" si="1046"/>
        <v>282.6699999999995</v>
      </c>
      <c r="AN1466" s="78"/>
      <c r="AO1466" s="78"/>
      <c r="AP1466" s="78"/>
      <c r="AQ1466" s="54">
        <f t="shared" si="1030"/>
        <v>282.6699999999995</v>
      </c>
      <c r="AR1466" s="77"/>
      <c r="AS1466" s="77">
        <f t="shared" si="1042"/>
        <v>-3805531.8299999987</v>
      </c>
      <c r="AT1466" s="29">
        <f t="shared" si="1042"/>
        <v>301939.37</v>
      </c>
      <c r="AU1466" s="29">
        <f t="shared" si="1042"/>
        <v>0</v>
      </c>
      <c r="AV1466" s="29">
        <f t="shared" si="1042"/>
        <v>-110766.55</v>
      </c>
      <c r="AW1466" s="77"/>
      <c r="AX1466" s="29">
        <f t="shared" si="1043"/>
        <v>-3614359.0099999984</v>
      </c>
      <c r="AY1466" s="77">
        <f t="shared" si="1027"/>
        <v>9300000</v>
      </c>
      <c r="AZ1466" s="77">
        <f t="shared" si="1028"/>
        <v>5685640.9900000021</v>
      </c>
      <c r="BA1466" s="15"/>
      <c r="BB1466" s="15"/>
      <c r="BC1466" s="58"/>
    </row>
    <row r="1467" spans="2:55" s="76" customFormat="1" x14ac:dyDescent="0.3">
      <c r="B1467" s="101">
        <f t="shared" si="1047"/>
        <v>46218</v>
      </c>
      <c r="C1467" s="77">
        <f t="shared" si="1015"/>
        <v>720557.16000000283</v>
      </c>
      <c r="D1467" s="78">
        <f>80766.17+4956.69</f>
        <v>85722.86</v>
      </c>
      <c r="E1467" s="78"/>
      <c r="F1467" s="78">
        <v>-39371.94</v>
      </c>
      <c r="G1467" s="78">
        <f t="shared" si="1016"/>
        <v>766908.08000000287</v>
      </c>
      <c r="H1467" s="77">
        <v>4300000</v>
      </c>
      <c r="I1467" s="77">
        <f t="shared" si="1017"/>
        <v>-4637876.3999999994</v>
      </c>
      <c r="J1467" s="78"/>
      <c r="K1467" s="78">
        <v>1917000</v>
      </c>
      <c r="L1467" s="78">
        <v>-200637.14</v>
      </c>
      <c r="M1467" s="47">
        <f t="shared" si="1018"/>
        <v>-2921513.5399999996</v>
      </c>
      <c r="N1467" s="77">
        <v>5000000</v>
      </c>
      <c r="O1467" s="77">
        <f t="shared" si="1019"/>
        <v>281527.69999999931</v>
      </c>
      <c r="P1467" s="78">
        <f>79968.13+366835.57+238216.91+950729.47</f>
        <v>1635750.08</v>
      </c>
      <c r="Q1467" s="78">
        <v>-1917000</v>
      </c>
      <c r="R1467" s="78">
        <v>-10</v>
      </c>
      <c r="S1467" s="78">
        <f t="shared" si="1020"/>
        <v>267.77999999932945</v>
      </c>
      <c r="T1467" s="77"/>
      <c r="U1467" s="77">
        <f t="shared" si="1021"/>
        <v>58.409999999403965</v>
      </c>
      <c r="V1467" s="78"/>
      <c r="W1467" s="78"/>
      <c r="X1467" s="78"/>
      <c r="Y1467" s="79">
        <f t="shared" si="1022"/>
        <v>58.409999999403965</v>
      </c>
      <c r="Z1467" s="80"/>
      <c r="AA1467" s="77">
        <f t="shared" si="1023"/>
        <v>-7.6977357821306214E-10</v>
      </c>
      <c r="AB1467" s="78"/>
      <c r="AC1467" s="78"/>
      <c r="AD1467" s="78"/>
      <c r="AE1467" s="78">
        <f t="shared" si="1024"/>
        <v>-7.6977357821306214E-10</v>
      </c>
      <c r="AF1467" s="77"/>
      <c r="AG1467" s="77">
        <f t="shared" si="1025"/>
        <v>21091.450000000528</v>
      </c>
      <c r="AH1467" s="78"/>
      <c r="AI1467" s="78"/>
      <c r="AJ1467" s="78">
        <f>-910.72-1502.61</f>
        <v>-2413.33</v>
      </c>
      <c r="AK1467" s="78">
        <f t="shared" si="1026"/>
        <v>18678.120000000526</v>
      </c>
      <c r="AL1467" s="77"/>
      <c r="AM1467" s="53">
        <f t="shared" si="1046"/>
        <v>282.6699999999995</v>
      </c>
      <c r="AN1467" s="78"/>
      <c r="AO1467" s="78"/>
      <c r="AP1467" s="78"/>
      <c r="AQ1467" s="54">
        <f t="shared" si="1030"/>
        <v>282.6699999999995</v>
      </c>
      <c r="AR1467" s="77"/>
      <c r="AS1467" s="77">
        <f t="shared" si="1042"/>
        <v>-3614359.0099999984</v>
      </c>
      <c r="AT1467" s="29">
        <f t="shared" si="1042"/>
        <v>1721472.9400000002</v>
      </c>
      <c r="AU1467" s="29">
        <f t="shared" si="1042"/>
        <v>0</v>
      </c>
      <c r="AV1467" s="29">
        <f t="shared" si="1042"/>
        <v>-242432.41</v>
      </c>
      <c r="AW1467" s="77"/>
      <c r="AX1467" s="29">
        <f t="shared" si="1043"/>
        <v>-2135318.4799999986</v>
      </c>
      <c r="AY1467" s="77">
        <f t="shared" si="1027"/>
        <v>9300000</v>
      </c>
      <c r="AZ1467" s="77">
        <f t="shared" si="1028"/>
        <v>7164681.5200000014</v>
      </c>
      <c r="BA1467" s="15"/>
      <c r="BB1467" s="15"/>
      <c r="BC1467" s="58"/>
    </row>
    <row r="1468" spans="2:55" x14ac:dyDescent="0.3">
      <c r="B1468" s="99">
        <f t="shared" ref="B1467:B1469" si="1048">B1467+1</f>
        <v>46219</v>
      </c>
      <c r="C1468" s="44">
        <f t="shared" si="1015"/>
        <v>766908.08000000287</v>
      </c>
      <c r="D1468" s="38"/>
      <c r="E1468" s="38"/>
      <c r="F1468" s="38"/>
      <c r="G1468" s="45">
        <f t="shared" si="1016"/>
        <v>766908.08000000287</v>
      </c>
      <c r="H1468" s="44">
        <v>4300000</v>
      </c>
      <c r="I1468" s="46">
        <f t="shared" si="1017"/>
        <v>-2921513.5399999996</v>
      </c>
      <c r="J1468" s="38"/>
      <c r="K1468" s="38"/>
      <c r="L1468" s="38"/>
      <c r="M1468" s="47">
        <f t="shared" si="1018"/>
        <v>-2921513.5399999996</v>
      </c>
      <c r="N1468" s="46">
        <v>5000000</v>
      </c>
      <c r="O1468" s="48">
        <f t="shared" si="1019"/>
        <v>267.77999999932945</v>
      </c>
      <c r="P1468" s="38"/>
      <c r="Q1468" s="38"/>
      <c r="R1468" s="38"/>
      <c r="S1468" s="55">
        <f t="shared" si="1020"/>
        <v>267.77999999932945</v>
      </c>
      <c r="T1468" s="48"/>
      <c r="U1468" s="49">
        <f t="shared" si="1021"/>
        <v>58.409999999403965</v>
      </c>
      <c r="V1468" s="38"/>
      <c r="W1468" s="38"/>
      <c r="X1468" s="38"/>
      <c r="Y1468" s="51">
        <f t="shared" si="1022"/>
        <v>58.409999999403965</v>
      </c>
      <c r="Z1468" s="52"/>
      <c r="AA1468" s="53">
        <f t="shared" si="1023"/>
        <v>-7.6977357821306214E-10</v>
      </c>
      <c r="AB1468" s="38"/>
      <c r="AC1468" s="38"/>
      <c r="AD1468" s="38"/>
      <c r="AE1468" s="54">
        <f t="shared" si="1024"/>
        <v>-7.6977357821306214E-10</v>
      </c>
      <c r="AF1468" s="53"/>
      <c r="AG1468" s="53">
        <f t="shared" si="1025"/>
        <v>18678.120000000526</v>
      </c>
      <c r="AH1468" s="38"/>
      <c r="AI1468" s="38"/>
      <c r="AJ1468" s="38"/>
      <c r="AK1468" s="54">
        <f t="shared" si="1026"/>
        <v>18678.120000000526</v>
      </c>
      <c r="AL1468" s="53"/>
      <c r="AM1468" s="53">
        <f t="shared" ref="AM1467:AM1524" si="1049">AQ1467</f>
        <v>282.6699999999995</v>
      </c>
      <c r="AN1468" s="38"/>
      <c r="AO1468" s="38"/>
      <c r="AP1468" s="38"/>
      <c r="AQ1468" s="54">
        <f t="shared" si="1030"/>
        <v>282.6699999999995</v>
      </c>
      <c r="AR1468" s="53"/>
      <c r="AS1468" s="29">
        <f t="shared" ref="AS1467:AS1517" si="1050">SUM(C1468,I1468,O1468,U1468,AA1468,AG1468,AM1468)</f>
        <v>-2135318.4799999986</v>
      </c>
      <c r="AT1468" s="29">
        <f t="shared" ref="AT1467:AT1517" si="1051">SUM(D1468,J1468,P1468,V1468,AB1468,AH1468,AN1468)</f>
        <v>0</v>
      </c>
      <c r="AU1468" s="29">
        <f t="shared" ref="AU1467:AU1517" si="1052">SUM(E1468,K1468,Q1468,W1468,AC1468,AI1468,AO1468)</f>
        <v>0</v>
      </c>
      <c r="AV1468" s="29">
        <f t="shared" ref="AV1467:AV1517" si="1053">SUM(F1468,L1468,R1468,X1468,AD1468,AJ1468,AP1468)</f>
        <v>0</v>
      </c>
      <c r="AW1468" s="29"/>
      <c r="AX1468" s="29">
        <f t="shared" ref="AX1467:AX1517" si="1054">SUM(G1468,M1468,S1468,Y1468,AE1468,AK1468,AQ1468)</f>
        <v>-2135318.4799999986</v>
      </c>
      <c r="AY1468" s="29">
        <f t="shared" si="1027"/>
        <v>9300000</v>
      </c>
      <c r="AZ1468" s="29">
        <f t="shared" si="1028"/>
        <v>7164681.5200000014</v>
      </c>
    </row>
    <row r="1469" spans="2:55" x14ac:dyDescent="0.3">
      <c r="B1469" s="99">
        <f t="shared" si="1048"/>
        <v>46220</v>
      </c>
      <c r="C1469" s="44">
        <f t="shared" ref="C1469:C1514" si="1055">G1468</f>
        <v>766908.08000000287</v>
      </c>
      <c r="D1469" s="38"/>
      <c r="E1469" s="38"/>
      <c r="F1469" s="38"/>
      <c r="G1469" s="45">
        <f t="shared" ref="G1469:G1514" si="1056">SUM(C1469:F1469)</f>
        <v>766908.08000000287</v>
      </c>
      <c r="H1469" s="44">
        <v>4300000</v>
      </c>
      <c r="I1469" s="46">
        <f t="shared" ref="I1469:I1514" si="1057">M1468</f>
        <v>-2921513.5399999996</v>
      </c>
      <c r="J1469" s="38"/>
      <c r="K1469" s="38"/>
      <c r="L1469" s="38"/>
      <c r="M1469" s="47">
        <f t="shared" ref="M1469:M1514" si="1058">SUM(I1469:L1469)</f>
        <v>-2921513.5399999996</v>
      </c>
      <c r="N1469" s="46">
        <v>5000000</v>
      </c>
      <c r="O1469" s="48">
        <f t="shared" ref="O1469:O1514" si="1059">S1468</f>
        <v>267.77999999932945</v>
      </c>
      <c r="P1469" s="38"/>
      <c r="Q1469" s="38"/>
      <c r="R1469" s="38"/>
      <c r="S1469" s="55">
        <f t="shared" ref="S1469:S1514" si="1060">SUM(O1469:R1469)</f>
        <v>267.77999999932945</v>
      </c>
      <c r="T1469" s="48"/>
      <c r="U1469" s="49">
        <f t="shared" ref="U1469:U1514" si="1061">Y1468</f>
        <v>58.409999999403965</v>
      </c>
      <c r="V1469" s="38"/>
      <c r="W1469" s="38"/>
      <c r="X1469" s="38"/>
      <c r="Y1469" s="51">
        <f t="shared" ref="Y1469:Y1514" si="1062">SUM(U1469:X1469)</f>
        <v>58.409999999403965</v>
      </c>
      <c r="Z1469" s="52"/>
      <c r="AA1469" s="53">
        <f t="shared" ref="AA1469:AA1514" si="1063">AE1468</f>
        <v>-7.6977357821306214E-10</v>
      </c>
      <c r="AB1469" s="38"/>
      <c r="AC1469" s="38"/>
      <c r="AD1469" s="38"/>
      <c r="AE1469" s="54">
        <f t="shared" ref="AE1469:AE1514" si="1064">SUM(AA1469:AD1469)</f>
        <v>-7.6977357821306214E-10</v>
      </c>
      <c r="AF1469" s="53"/>
      <c r="AG1469" s="53">
        <f t="shared" ref="AG1469:AG1514" si="1065">AK1468</f>
        <v>18678.120000000526</v>
      </c>
      <c r="AH1469" s="38"/>
      <c r="AI1469" s="38"/>
      <c r="AJ1469" s="38"/>
      <c r="AK1469" s="54">
        <f t="shared" ref="AK1469:AK1514" si="1066">SUM(AG1469:AJ1469)</f>
        <v>18678.120000000526</v>
      </c>
      <c r="AL1469" s="53"/>
      <c r="AM1469" s="53">
        <f t="shared" si="1049"/>
        <v>282.6699999999995</v>
      </c>
      <c r="AN1469" s="38"/>
      <c r="AO1469" s="38"/>
      <c r="AP1469" s="38"/>
      <c r="AQ1469" s="54">
        <f t="shared" si="1030"/>
        <v>282.6699999999995</v>
      </c>
      <c r="AR1469" s="53"/>
      <c r="AS1469" s="29">
        <f t="shared" si="1050"/>
        <v>-2135318.4799999986</v>
      </c>
      <c r="AT1469" s="29">
        <f t="shared" si="1051"/>
        <v>0</v>
      </c>
      <c r="AU1469" s="29">
        <f t="shared" si="1052"/>
        <v>0</v>
      </c>
      <c r="AV1469" s="29">
        <f t="shared" si="1053"/>
        <v>0</v>
      </c>
      <c r="AW1469" s="29"/>
      <c r="AX1469" s="29">
        <f t="shared" si="1054"/>
        <v>-2135318.4799999986</v>
      </c>
      <c r="AY1469" s="29">
        <f t="shared" ref="AY1469:AY1514" si="1067">SUM(H1469,N1469,T1469,Z1469,AF1469,AL1469)</f>
        <v>9300000</v>
      </c>
      <c r="AZ1469" s="29">
        <f t="shared" ref="AZ1469:AZ1514" si="1068">AX1469+AY1469</f>
        <v>7164681.5200000014</v>
      </c>
    </row>
    <row r="1470" spans="2:55" x14ac:dyDescent="0.3">
      <c r="B1470" s="99">
        <f>B1469+3</f>
        <v>46223</v>
      </c>
      <c r="C1470" s="44">
        <f t="shared" si="1055"/>
        <v>766908.08000000287</v>
      </c>
      <c r="D1470" s="38"/>
      <c r="E1470" s="38"/>
      <c r="F1470" s="38"/>
      <c r="G1470" s="45">
        <f t="shared" si="1056"/>
        <v>766908.08000000287</v>
      </c>
      <c r="H1470" s="44">
        <v>4300000</v>
      </c>
      <c r="I1470" s="46">
        <f t="shared" si="1057"/>
        <v>-2921513.5399999996</v>
      </c>
      <c r="J1470" s="38"/>
      <c r="K1470" s="38"/>
      <c r="L1470" s="38"/>
      <c r="M1470" s="47">
        <f t="shared" si="1058"/>
        <v>-2921513.5399999996</v>
      </c>
      <c r="N1470" s="46">
        <v>5000000</v>
      </c>
      <c r="O1470" s="48">
        <f t="shared" si="1059"/>
        <v>267.77999999932945</v>
      </c>
      <c r="P1470" s="38"/>
      <c r="Q1470" s="38"/>
      <c r="R1470" s="38"/>
      <c r="S1470" s="55">
        <f t="shared" si="1060"/>
        <v>267.77999999932945</v>
      </c>
      <c r="T1470" s="48"/>
      <c r="U1470" s="49">
        <f t="shared" si="1061"/>
        <v>58.409999999403965</v>
      </c>
      <c r="V1470" s="38"/>
      <c r="W1470" s="38"/>
      <c r="X1470" s="38"/>
      <c r="Y1470" s="51">
        <f t="shared" si="1062"/>
        <v>58.409999999403965</v>
      </c>
      <c r="Z1470" s="52"/>
      <c r="AA1470" s="53">
        <f t="shared" si="1063"/>
        <v>-7.6977357821306214E-10</v>
      </c>
      <c r="AB1470" s="38"/>
      <c r="AC1470" s="38"/>
      <c r="AD1470" s="38"/>
      <c r="AE1470" s="54">
        <f t="shared" si="1064"/>
        <v>-7.6977357821306214E-10</v>
      </c>
      <c r="AF1470" s="53"/>
      <c r="AG1470" s="53">
        <f t="shared" si="1065"/>
        <v>18678.120000000526</v>
      </c>
      <c r="AH1470" s="38"/>
      <c r="AI1470" s="38"/>
      <c r="AJ1470" s="38"/>
      <c r="AK1470" s="54">
        <f t="shared" si="1066"/>
        <v>18678.120000000526</v>
      </c>
      <c r="AL1470" s="53"/>
      <c r="AM1470" s="53">
        <f t="shared" si="1049"/>
        <v>282.6699999999995</v>
      </c>
      <c r="AN1470" s="38"/>
      <c r="AO1470" s="38"/>
      <c r="AP1470" s="38"/>
      <c r="AQ1470" s="54">
        <f t="shared" si="1030"/>
        <v>282.6699999999995</v>
      </c>
      <c r="AR1470" s="53"/>
      <c r="AS1470" s="29">
        <f t="shared" si="1050"/>
        <v>-2135318.4799999986</v>
      </c>
      <c r="AT1470" s="29">
        <f t="shared" si="1051"/>
        <v>0</v>
      </c>
      <c r="AU1470" s="29">
        <f t="shared" si="1052"/>
        <v>0</v>
      </c>
      <c r="AV1470" s="29">
        <f t="shared" si="1053"/>
        <v>0</v>
      </c>
      <c r="AW1470" s="29"/>
      <c r="AX1470" s="29">
        <f t="shared" si="1054"/>
        <v>-2135318.4799999986</v>
      </c>
      <c r="AY1470" s="29">
        <f t="shared" si="1067"/>
        <v>9300000</v>
      </c>
      <c r="AZ1470" s="29">
        <f t="shared" si="1068"/>
        <v>7164681.5200000014</v>
      </c>
    </row>
    <row r="1471" spans="2:55" x14ac:dyDescent="0.3">
      <c r="B1471" s="99">
        <f t="shared" ref="B1471:B1474" si="1069">B1470+1</f>
        <v>46224</v>
      </c>
      <c r="C1471" s="44">
        <f t="shared" si="1055"/>
        <v>766908.08000000287</v>
      </c>
      <c r="D1471" s="38"/>
      <c r="E1471" s="38"/>
      <c r="F1471" s="38"/>
      <c r="G1471" s="45">
        <f t="shared" si="1056"/>
        <v>766908.08000000287</v>
      </c>
      <c r="H1471" s="44">
        <v>4300000</v>
      </c>
      <c r="I1471" s="46">
        <f t="shared" si="1057"/>
        <v>-2921513.5399999996</v>
      </c>
      <c r="J1471" s="38"/>
      <c r="K1471" s="38"/>
      <c r="L1471" s="38"/>
      <c r="M1471" s="47">
        <f t="shared" si="1058"/>
        <v>-2921513.5399999996</v>
      </c>
      <c r="N1471" s="46">
        <v>5000000</v>
      </c>
      <c r="O1471" s="48">
        <f t="shared" si="1059"/>
        <v>267.77999999932945</v>
      </c>
      <c r="P1471" s="38"/>
      <c r="Q1471" s="38"/>
      <c r="R1471" s="38"/>
      <c r="S1471" s="55">
        <f t="shared" si="1060"/>
        <v>267.77999999932945</v>
      </c>
      <c r="T1471" s="48"/>
      <c r="U1471" s="49">
        <f t="shared" si="1061"/>
        <v>58.409999999403965</v>
      </c>
      <c r="V1471" s="38"/>
      <c r="W1471" s="38"/>
      <c r="X1471" s="38"/>
      <c r="Y1471" s="51">
        <f t="shared" si="1062"/>
        <v>58.409999999403965</v>
      </c>
      <c r="Z1471" s="52"/>
      <c r="AA1471" s="53">
        <f t="shared" si="1063"/>
        <v>-7.6977357821306214E-10</v>
      </c>
      <c r="AB1471" s="38"/>
      <c r="AC1471" s="38"/>
      <c r="AD1471" s="38"/>
      <c r="AE1471" s="54">
        <f t="shared" si="1064"/>
        <v>-7.6977357821306214E-10</v>
      </c>
      <c r="AF1471" s="53"/>
      <c r="AG1471" s="53">
        <f t="shared" si="1065"/>
        <v>18678.120000000526</v>
      </c>
      <c r="AH1471" s="38"/>
      <c r="AI1471" s="38"/>
      <c r="AJ1471" s="38"/>
      <c r="AK1471" s="54">
        <f t="shared" si="1066"/>
        <v>18678.120000000526</v>
      </c>
      <c r="AL1471" s="53"/>
      <c r="AM1471" s="53">
        <f t="shared" si="1049"/>
        <v>282.6699999999995</v>
      </c>
      <c r="AN1471" s="38"/>
      <c r="AO1471" s="38"/>
      <c r="AP1471" s="38"/>
      <c r="AQ1471" s="54">
        <f t="shared" si="1030"/>
        <v>282.6699999999995</v>
      </c>
      <c r="AR1471" s="53"/>
      <c r="AS1471" s="29">
        <f t="shared" si="1050"/>
        <v>-2135318.4799999986</v>
      </c>
      <c r="AT1471" s="29">
        <f t="shared" si="1051"/>
        <v>0</v>
      </c>
      <c r="AU1471" s="29">
        <f t="shared" si="1052"/>
        <v>0</v>
      </c>
      <c r="AV1471" s="29">
        <f t="shared" si="1053"/>
        <v>0</v>
      </c>
      <c r="AW1471" s="29"/>
      <c r="AX1471" s="29">
        <f t="shared" si="1054"/>
        <v>-2135318.4799999986</v>
      </c>
      <c r="AY1471" s="29">
        <f t="shared" si="1067"/>
        <v>9300000</v>
      </c>
      <c r="AZ1471" s="29">
        <f t="shared" si="1068"/>
        <v>7164681.5200000014</v>
      </c>
    </row>
    <row r="1472" spans="2:55" x14ac:dyDescent="0.3">
      <c r="B1472" s="99">
        <f t="shared" si="1069"/>
        <v>46225</v>
      </c>
      <c r="C1472" s="44">
        <f t="shared" si="1055"/>
        <v>766908.08000000287</v>
      </c>
      <c r="D1472" s="38"/>
      <c r="E1472" s="38"/>
      <c r="F1472" s="38"/>
      <c r="G1472" s="45">
        <f t="shared" si="1056"/>
        <v>766908.08000000287</v>
      </c>
      <c r="H1472" s="44">
        <v>4300000</v>
      </c>
      <c r="I1472" s="46">
        <f t="shared" si="1057"/>
        <v>-2921513.5399999996</v>
      </c>
      <c r="J1472" s="38"/>
      <c r="K1472" s="38"/>
      <c r="L1472" s="38"/>
      <c r="M1472" s="47">
        <f t="shared" si="1058"/>
        <v>-2921513.5399999996</v>
      </c>
      <c r="N1472" s="46">
        <v>5000000</v>
      </c>
      <c r="O1472" s="48">
        <f t="shared" si="1059"/>
        <v>267.77999999932945</v>
      </c>
      <c r="P1472" s="38"/>
      <c r="Q1472" s="38"/>
      <c r="R1472" s="38"/>
      <c r="S1472" s="55">
        <f t="shared" si="1060"/>
        <v>267.77999999932945</v>
      </c>
      <c r="T1472" s="48"/>
      <c r="U1472" s="49">
        <f t="shared" si="1061"/>
        <v>58.409999999403965</v>
      </c>
      <c r="V1472" s="38"/>
      <c r="W1472" s="38"/>
      <c r="X1472" s="38"/>
      <c r="Y1472" s="51">
        <f t="shared" si="1062"/>
        <v>58.409999999403965</v>
      </c>
      <c r="Z1472" s="52"/>
      <c r="AA1472" s="53">
        <f t="shared" si="1063"/>
        <v>-7.6977357821306214E-10</v>
      </c>
      <c r="AB1472" s="38"/>
      <c r="AC1472" s="38"/>
      <c r="AD1472" s="38"/>
      <c r="AE1472" s="54">
        <f t="shared" si="1064"/>
        <v>-7.6977357821306214E-10</v>
      </c>
      <c r="AF1472" s="53"/>
      <c r="AG1472" s="53">
        <f t="shared" si="1065"/>
        <v>18678.120000000526</v>
      </c>
      <c r="AH1472" s="38"/>
      <c r="AI1472" s="38"/>
      <c r="AJ1472" s="38"/>
      <c r="AK1472" s="54">
        <f t="shared" si="1066"/>
        <v>18678.120000000526</v>
      </c>
      <c r="AL1472" s="53"/>
      <c r="AM1472" s="53">
        <f t="shared" si="1049"/>
        <v>282.6699999999995</v>
      </c>
      <c r="AN1472" s="38"/>
      <c r="AO1472" s="38"/>
      <c r="AP1472" s="38"/>
      <c r="AQ1472" s="54">
        <f t="shared" si="1030"/>
        <v>282.6699999999995</v>
      </c>
      <c r="AR1472" s="53"/>
      <c r="AS1472" s="29">
        <f t="shared" si="1050"/>
        <v>-2135318.4799999986</v>
      </c>
      <c r="AT1472" s="29">
        <f t="shared" si="1051"/>
        <v>0</v>
      </c>
      <c r="AU1472" s="29">
        <f t="shared" si="1052"/>
        <v>0</v>
      </c>
      <c r="AV1472" s="29">
        <f t="shared" si="1053"/>
        <v>0</v>
      </c>
      <c r="AW1472" s="29"/>
      <c r="AX1472" s="29">
        <f t="shared" si="1054"/>
        <v>-2135318.4799999986</v>
      </c>
      <c r="AY1472" s="29">
        <f t="shared" si="1067"/>
        <v>9300000</v>
      </c>
      <c r="AZ1472" s="29">
        <f t="shared" si="1068"/>
        <v>7164681.5200000014</v>
      </c>
    </row>
    <row r="1473" spans="2:52" x14ac:dyDescent="0.3">
      <c r="B1473" s="99">
        <f t="shared" si="1069"/>
        <v>46226</v>
      </c>
      <c r="C1473" s="44">
        <f t="shared" si="1055"/>
        <v>766908.08000000287</v>
      </c>
      <c r="D1473" s="38"/>
      <c r="E1473" s="38"/>
      <c r="F1473" s="38"/>
      <c r="G1473" s="45">
        <f t="shared" si="1056"/>
        <v>766908.08000000287</v>
      </c>
      <c r="H1473" s="44">
        <v>4300000</v>
      </c>
      <c r="I1473" s="46">
        <f t="shared" si="1057"/>
        <v>-2921513.5399999996</v>
      </c>
      <c r="J1473" s="38"/>
      <c r="K1473" s="38"/>
      <c r="L1473" s="38"/>
      <c r="M1473" s="47">
        <f t="shared" si="1058"/>
        <v>-2921513.5399999996</v>
      </c>
      <c r="N1473" s="46">
        <v>5000000</v>
      </c>
      <c r="O1473" s="48">
        <f t="shared" si="1059"/>
        <v>267.77999999932945</v>
      </c>
      <c r="P1473" s="38"/>
      <c r="Q1473" s="38"/>
      <c r="R1473" s="38"/>
      <c r="S1473" s="55">
        <f t="shared" si="1060"/>
        <v>267.77999999932945</v>
      </c>
      <c r="T1473" s="48"/>
      <c r="U1473" s="49">
        <f t="shared" si="1061"/>
        <v>58.409999999403965</v>
      </c>
      <c r="V1473" s="38"/>
      <c r="W1473" s="38"/>
      <c r="X1473" s="38"/>
      <c r="Y1473" s="51">
        <f t="shared" si="1062"/>
        <v>58.409999999403965</v>
      </c>
      <c r="Z1473" s="52"/>
      <c r="AA1473" s="53">
        <f t="shared" si="1063"/>
        <v>-7.6977357821306214E-10</v>
      </c>
      <c r="AB1473" s="38"/>
      <c r="AC1473" s="38"/>
      <c r="AD1473" s="38"/>
      <c r="AE1473" s="54">
        <f t="shared" si="1064"/>
        <v>-7.6977357821306214E-10</v>
      </c>
      <c r="AF1473" s="53"/>
      <c r="AG1473" s="53">
        <f t="shared" si="1065"/>
        <v>18678.120000000526</v>
      </c>
      <c r="AH1473" s="38"/>
      <c r="AI1473" s="38"/>
      <c r="AJ1473" s="38"/>
      <c r="AK1473" s="54">
        <f t="shared" si="1066"/>
        <v>18678.120000000526</v>
      </c>
      <c r="AL1473" s="53"/>
      <c r="AM1473" s="53">
        <f t="shared" si="1049"/>
        <v>282.6699999999995</v>
      </c>
      <c r="AN1473" s="38"/>
      <c r="AO1473" s="38"/>
      <c r="AP1473" s="38"/>
      <c r="AQ1473" s="54">
        <f t="shared" ref="AQ1473:AQ1536" si="1070">SUM(AL1473:AP1473)</f>
        <v>282.6699999999995</v>
      </c>
      <c r="AR1473" s="53"/>
      <c r="AS1473" s="29">
        <f t="shared" si="1050"/>
        <v>-2135318.4799999986</v>
      </c>
      <c r="AT1473" s="29">
        <f t="shared" si="1051"/>
        <v>0</v>
      </c>
      <c r="AU1473" s="29">
        <f t="shared" si="1052"/>
        <v>0</v>
      </c>
      <c r="AV1473" s="29">
        <f t="shared" si="1053"/>
        <v>0</v>
      </c>
      <c r="AW1473" s="29"/>
      <c r="AX1473" s="29">
        <f t="shared" si="1054"/>
        <v>-2135318.4799999986</v>
      </c>
      <c r="AY1473" s="29">
        <f t="shared" si="1067"/>
        <v>9300000</v>
      </c>
      <c r="AZ1473" s="29">
        <f t="shared" si="1068"/>
        <v>7164681.5200000014</v>
      </c>
    </row>
    <row r="1474" spans="2:52" x14ac:dyDescent="0.3">
      <c r="B1474" s="99">
        <f t="shared" si="1069"/>
        <v>46227</v>
      </c>
      <c r="C1474" s="44">
        <f t="shared" si="1055"/>
        <v>766908.08000000287</v>
      </c>
      <c r="D1474" s="38"/>
      <c r="E1474" s="38"/>
      <c r="F1474" s="38"/>
      <c r="G1474" s="45">
        <f t="shared" si="1056"/>
        <v>766908.08000000287</v>
      </c>
      <c r="H1474" s="44">
        <v>4300000</v>
      </c>
      <c r="I1474" s="46">
        <f t="shared" si="1057"/>
        <v>-2921513.5399999996</v>
      </c>
      <c r="J1474" s="38"/>
      <c r="K1474" s="38"/>
      <c r="L1474" s="38"/>
      <c r="M1474" s="47">
        <f t="shared" si="1058"/>
        <v>-2921513.5399999996</v>
      </c>
      <c r="N1474" s="46">
        <v>5000000</v>
      </c>
      <c r="O1474" s="48">
        <f t="shared" si="1059"/>
        <v>267.77999999932945</v>
      </c>
      <c r="P1474" s="38"/>
      <c r="Q1474" s="38"/>
      <c r="R1474" s="38"/>
      <c r="S1474" s="55">
        <f t="shared" si="1060"/>
        <v>267.77999999932945</v>
      </c>
      <c r="T1474" s="48"/>
      <c r="U1474" s="49">
        <f t="shared" si="1061"/>
        <v>58.409999999403965</v>
      </c>
      <c r="V1474" s="38"/>
      <c r="W1474" s="38"/>
      <c r="X1474" s="38"/>
      <c r="Y1474" s="51">
        <f t="shared" si="1062"/>
        <v>58.409999999403965</v>
      </c>
      <c r="Z1474" s="52"/>
      <c r="AA1474" s="53">
        <f t="shared" si="1063"/>
        <v>-7.6977357821306214E-10</v>
      </c>
      <c r="AB1474" s="38"/>
      <c r="AC1474" s="38"/>
      <c r="AD1474" s="38"/>
      <c r="AE1474" s="54">
        <f t="shared" si="1064"/>
        <v>-7.6977357821306214E-10</v>
      </c>
      <c r="AF1474" s="53"/>
      <c r="AG1474" s="53">
        <f t="shared" si="1065"/>
        <v>18678.120000000526</v>
      </c>
      <c r="AH1474" s="38"/>
      <c r="AI1474" s="38"/>
      <c r="AJ1474" s="38"/>
      <c r="AK1474" s="54">
        <f t="shared" si="1066"/>
        <v>18678.120000000526</v>
      </c>
      <c r="AL1474" s="53"/>
      <c r="AM1474" s="53">
        <f t="shared" si="1049"/>
        <v>282.6699999999995</v>
      </c>
      <c r="AN1474" s="38"/>
      <c r="AO1474" s="38"/>
      <c r="AP1474" s="38"/>
      <c r="AQ1474" s="54">
        <f t="shared" si="1070"/>
        <v>282.6699999999995</v>
      </c>
      <c r="AR1474" s="53"/>
      <c r="AS1474" s="29">
        <f t="shared" si="1050"/>
        <v>-2135318.4799999986</v>
      </c>
      <c r="AT1474" s="29">
        <f t="shared" si="1051"/>
        <v>0</v>
      </c>
      <c r="AU1474" s="29">
        <f t="shared" si="1052"/>
        <v>0</v>
      </c>
      <c r="AV1474" s="29">
        <f t="shared" si="1053"/>
        <v>0</v>
      </c>
      <c r="AW1474" s="29"/>
      <c r="AX1474" s="29">
        <f t="shared" si="1054"/>
        <v>-2135318.4799999986</v>
      </c>
      <c r="AY1474" s="29">
        <f t="shared" si="1067"/>
        <v>9300000</v>
      </c>
      <c r="AZ1474" s="29">
        <f t="shared" si="1068"/>
        <v>7164681.5200000014</v>
      </c>
    </row>
    <row r="1475" spans="2:52" x14ac:dyDescent="0.3">
      <c r="B1475" s="99">
        <f>B1474+3</f>
        <v>46230</v>
      </c>
      <c r="C1475" s="44">
        <f t="shared" si="1055"/>
        <v>766908.08000000287</v>
      </c>
      <c r="D1475" s="38"/>
      <c r="E1475" s="38"/>
      <c r="F1475" s="38"/>
      <c r="G1475" s="45">
        <f t="shared" si="1056"/>
        <v>766908.08000000287</v>
      </c>
      <c r="H1475" s="44">
        <v>4300000</v>
      </c>
      <c r="I1475" s="46">
        <f t="shared" si="1057"/>
        <v>-2921513.5399999996</v>
      </c>
      <c r="J1475" s="38"/>
      <c r="K1475" s="38"/>
      <c r="L1475" s="38"/>
      <c r="M1475" s="47">
        <f t="shared" si="1058"/>
        <v>-2921513.5399999996</v>
      </c>
      <c r="N1475" s="46">
        <v>5000000</v>
      </c>
      <c r="O1475" s="48">
        <f t="shared" si="1059"/>
        <v>267.77999999932945</v>
      </c>
      <c r="P1475" s="38"/>
      <c r="Q1475" s="38"/>
      <c r="R1475" s="38"/>
      <c r="S1475" s="55">
        <f t="shared" si="1060"/>
        <v>267.77999999932945</v>
      </c>
      <c r="T1475" s="48"/>
      <c r="U1475" s="49">
        <f t="shared" si="1061"/>
        <v>58.409999999403965</v>
      </c>
      <c r="V1475" s="38"/>
      <c r="W1475" s="38"/>
      <c r="X1475" s="38"/>
      <c r="Y1475" s="51">
        <f t="shared" si="1062"/>
        <v>58.409999999403965</v>
      </c>
      <c r="Z1475" s="52"/>
      <c r="AA1475" s="53">
        <f t="shared" si="1063"/>
        <v>-7.6977357821306214E-10</v>
      </c>
      <c r="AB1475" s="38"/>
      <c r="AC1475" s="38"/>
      <c r="AD1475" s="38"/>
      <c r="AE1475" s="54">
        <f t="shared" si="1064"/>
        <v>-7.6977357821306214E-10</v>
      </c>
      <c r="AF1475" s="53"/>
      <c r="AG1475" s="53">
        <f t="shared" si="1065"/>
        <v>18678.120000000526</v>
      </c>
      <c r="AH1475" s="38"/>
      <c r="AI1475" s="38"/>
      <c r="AJ1475" s="38"/>
      <c r="AK1475" s="54">
        <f t="shared" si="1066"/>
        <v>18678.120000000526</v>
      </c>
      <c r="AL1475" s="53"/>
      <c r="AM1475" s="53">
        <f t="shared" si="1049"/>
        <v>282.6699999999995</v>
      </c>
      <c r="AN1475" s="38"/>
      <c r="AO1475" s="38"/>
      <c r="AP1475" s="38"/>
      <c r="AQ1475" s="54">
        <f t="shared" si="1070"/>
        <v>282.6699999999995</v>
      </c>
      <c r="AR1475" s="53"/>
      <c r="AS1475" s="29">
        <f t="shared" si="1050"/>
        <v>-2135318.4799999986</v>
      </c>
      <c r="AT1475" s="29">
        <f t="shared" si="1051"/>
        <v>0</v>
      </c>
      <c r="AU1475" s="29">
        <f t="shared" si="1052"/>
        <v>0</v>
      </c>
      <c r="AV1475" s="29">
        <f t="shared" si="1053"/>
        <v>0</v>
      </c>
      <c r="AW1475" s="29"/>
      <c r="AX1475" s="29">
        <f t="shared" si="1054"/>
        <v>-2135318.4799999986</v>
      </c>
      <c r="AY1475" s="29">
        <f t="shared" si="1067"/>
        <v>9300000</v>
      </c>
      <c r="AZ1475" s="29">
        <f t="shared" si="1068"/>
        <v>7164681.5200000014</v>
      </c>
    </row>
    <row r="1476" spans="2:52" x14ac:dyDescent="0.3">
      <c r="B1476" s="99">
        <f t="shared" ref="B1476:B1479" si="1071">B1475+1</f>
        <v>46231</v>
      </c>
      <c r="C1476" s="44">
        <f t="shared" si="1055"/>
        <v>766908.08000000287</v>
      </c>
      <c r="D1476" s="38"/>
      <c r="E1476" s="38"/>
      <c r="F1476" s="38"/>
      <c r="G1476" s="45">
        <f t="shared" si="1056"/>
        <v>766908.08000000287</v>
      </c>
      <c r="H1476" s="44">
        <v>4300000</v>
      </c>
      <c r="I1476" s="46">
        <f t="shared" si="1057"/>
        <v>-2921513.5399999996</v>
      </c>
      <c r="J1476" s="38"/>
      <c r="K1476" s="38"/>
      <c r="L1476" s="38"/>
      <c r="M1476" s="47">
        <f t="shared" si="1058"/>
        <v>-2921513.5399999996</v>
      </c>
      <c r="N1476" s="46">
        <v>5000000</v>
      </c>
      <c r="O1476" s="48">
        <f t="shared" si="1059"/>
        <v>267.77999999932945</v>
      </c>
      <c r="P1476" s="38"/>
      <c r="Q1476" s="38"/>
      <c r="R1476" s="38"/>
      <c r="S1476" s="55">
        <f t="shared" si="1060"/>
        <v>267.77999999932945</v>
      </c>
      <c r="T1476" s="48"/>
      <c r="U1476" s="49">
        <f t="shared" si="1061"/>
        <v>58.409999999403965</v>
      </c>
      <c r="V1476" s="38"/>
      <c r="W1476" s="38"/>
      <c r="X1476" s="38"/>
      <c r="Y1476" s="51">
        <f t="shared" si="1062"/>
        <v>58.409999999403965</v>
      </c>
      <c r="Z1476" s="52"/>
      <c r="AA1476" s="53">
        <f t="shared" si="1063"/>
        <v>-7.6977357821306214E-10</v>
      </c>
      <c r="AB1476" s="38"/>
      <c r="AC1476" s="38"/>
      <c r="AD1476" s="38"/>
      <c r="AE1476" s="54">
        <f t="shared" si="1064"/>
        <v>-7.6977357821306214E-10</v>
      </c>
      <c r="AF1476" s="53"/>
      <c r="AG1476" s="53">
        <f t="shared" si="1065"/>
        <v>18678.120000000526</v>
      </c>
      <c r="AH1476" s="38"/>
      <c r="AI1476" s="38"/>
      <c r="AJ1476" s="38"/>
      <c r="AK1476" s="54">
        <f t="shared" si="1066"/>
        <v>18678.120000000526</v>
      </c>
      <c r="AL1476" s="53"/>
      <c r="AM1476" s="53">
        <f t="shared" si="1049"/>
        <v>282.6699999999995</v>
      </c>
      <c r="AN1476" s="38"/>
      <c r="AO1476" s="38"/>
      <c r="AP1476" s="38"/>
      <c r="AQ1476" s="54">
        <f t="shared" si="1070"/>
        <v>282.6699999999995</v>
      </c>
      <c r="AR1476" s="53"/>
      <c r="AS1476" s="29">
        <f t="shared" si="1050"/>
        <v>-2135318.4799999986</v>
      </c>
      <c r="AT1476" s="29">
        <f t="shared" si="1051"/>
        <v>0</v>
      </c>
      <c r="AU1476" s="29">
        <f t="shared" si="1052"/>
        <v>0</v>
      </c>
      <c r="AV1476" s="29">
        <f t="shared" si="1053"/>
        <v>0</v>
      </c>
      <c r="AW1476" s="29"/>
      <c r="AX1476" s="29">
        <f t="shared" si="1054"/>
        <v>-2135318.4799999986</v>
      </c>
      <c r="AY1476" s="29">
        <f t="shared" si="1067"/>
        <v>9300000</v>
      </c>
      <c r="AZ1476" s="29">
        <f t="shared" si="1068"/>
        <v>7164681.5200000014</v>
      </c>
    </row>
    <row r="1477" spans="2:52" x14ac:dyDescent="0.3">
      <c r="B1477" s="99">
        <f t="shared" si="1071"/>
        <v>46232</v>
      </c>
      <c r="C1477" s="44">
        <f t="shared" si="1055"/>
        <v>766908.08000000287</v>
      </c>
      <c r="D1477" s="38"/>
      <c r="E1477" s="38"/>
      <c r="F1477" s="38"/>
      <c r="G1477" s="45">
        <f t="shared" si="1056"/>
        <v>766908.08000000287</v>
      </c>
      <c r="H1477" s="44">
        <v>4300000</v>
      </c>
      <c r="I1477" s="46">
        <f t="shared" si="1057"/>
        <v>-2921513.5399999996</v>
      </c>
      <c r="J1477" s="38"/>
      <c r="K1477" s="38"/>
      <c r="L1477" s="38"/>
      <c r="M1477" s="47">
        <f t="shared" si="1058"/>
        <v>-2921513.5399999996</v>
      </c>
      <c r="N1477" s="46">
        <v>5000000</v>
      </c>
      <c r="O1477" s="48">
        <f t="shared" si="1059"/>
        <v>267.77999999932945</v>
      </c>
      <c r="P1477" s="38"/>
      <c r="Q1477" s="38"/>
      <c r="R1477" s="38"/>
      <c r="S1477" s="55">
        <f t="shared" si="1060"/>
        <v>267.77999999932945</v>
      </c>
      <c r="T1477" s="48"/>
      <c r="U1477" s="49">
        <f t="shared" si="1061"/>
        <v>58.409999999403965</v>
      </c>
      <c r="V1477" s="38"/>
      <c r="W1477" s="38"/>
      <c r="X1477" s="38"/>
      <c r="Y1477" s="51">
        <f t="shared" si="1062"/>
        <v>58.409999999403965</v>
      </c>
      <c r="Z1477" s="52"/>
      <c r="AA1477" s="53">
        <f t="shared" si="1063"/>
        <v>-7.6977357821306214E-10</v>
      </c>
      <c r="AB1477" s="38"/>
      <c r="AC1477" s="38"/>
      <c r="AD1477" s="38"/>
      <c r="AE1477" s="54">
        <f t="shared" si="1064"/>
        <v>-7.6977357821306214E-10</v>
      </c>
      <c r="AF1477" s="53"/>
      <c r="AG1477" s="53">
        <f t="shared" si="1065"/>
        <v>18678.120000000526</v>
      </c>
      <c r="AH1477" s="38"/>
      <c r="AI1477" s="38"/>
      <c r="AJ1477" s="38"/>
      <c r="AK1477" s="54">
        <f t="shared" si="1066"/>
        <v>18678.120000000526</v>
      </c>
      <c r="AL1477" s="53"/>
      <c r="AM1477" s="53">
        <f t="shared" si="1049"/>
        <v>282.6699999999995</v>
      </c>
      <c r="AN1477" s="38"/>
      <c r="AO1477" s="38"/>
      <c r="AP1477" s="38"/>
      <c r="AQ1477" s="54">
        <f t="shared" si="1070"/>
        <v>282.6699999999995</v>
      </c>
      <c r="AR1477" s="53"/>
      <c r="AS1477" s="29">
        <f t="shared" si="1050"/>
        <v>-2135318.4799999986</v>
      </c>
      <c r="AT1477" s="29">
        <f t="shared" si="1051"/>
        <v>0</v>
      </c>
      <c r="AU1477" s="29">
        <f t="shared" si="1052"/>
        <v>0</v>
      </c>
      <c r="AV1477" s="29">
        <f t="shared" si="1053"/>
        <v>0</v>
      </c>
      <c r="AW1477" s="29"/>
      <c r="AX1477" s="29">
        <f t="shared" si="1054"/>
        <v>-2135318.4799999986</v>
      </c>
      <c r="AY1477" s="29">
        <f t="shared" si="1067"/>
        <v>9300000</v>
      </c>
      <c r="AZ1477" s="29">
        <f t="shared" si="1068"/>
        <v>7164681.5200000014</v>
      </c>
    </row>
    <row r="1478" spans="2:52" x14ac:dyDescent="0.3">
      <c r="B1478" s="99">
        <f t="shared" si="1071"/>
        <v>46233</v>
      </c>
      <c r="C1478" s="44">
        <f t="shared" si="1055"/>
        <v>766908.08000000287</v>
      </c>
      <c r="D1478" s="38"/>
      <c r="E1478" s="38"/>
      <c r="F1478" s="38"/>
      <c r="G1478" s="45">
        <f t="shared" si="1056"/>
        <v>766908.08000000287</v>
      </c>
      <c r="H1478" s="44">
        <v>4300000</v>
      </c>
      <c r="I1478" s="46">
        <f t="shared" si="1057"/>
        <v>-2921513.5399999996</v>
      </c>
      <c r="J1478" s="38"/>
      <c r="K1478" s="38"/>
      <c r="L1478" s="38"/>
      <c r="M1478" s="47">
        <f t="shared" si="1058"/>
        <v>-2921513.5399999996</v>
      </c>
      <c r="N1478" s="46">
        <v>5000000</v>
      </c>
      <c r="O1478" s="48">
        <f t="shared" si="1059"/>
        <v>267.77999999932945</v>
      </c>
      <c r="P1478" s="38"/>
      <c r="Q1478" s="38"/>
      <c r="R1478" s="38"/>
      <c r="S1478" s="55">
        <f t="shared" si="1060"/>
        <v>267.77999999932945</v>
      </c>
      <c r="T1478" s="48"/>
      <c r="U1478" s="49">
        <f t="shared" si="1061"/>
        <v>58.409999999403965</v>
      </c>
      <c r="V1478" s="38"/>
      <c r="W1478" s="38"/>
      <c r="X1478" s="38"/>
      <c r="Y1478" s="51">
        <f t="shared" si="1062"/>
        <v>58.409999999403965</v>
      </c>
      <c r="Z1478" s="52"/>
      <c r="AA1478" s="53">
        <f t="shared" si="1063"/>
        <v>-7.6977357821306214E-10</v>
      </c>
      <c r="AB1478" s="38"/>
      <c r="AC1478" s="38"/>
      <c r="AD1478" s="38"/>
      <c r="AE1478" s="54">
        <f t="shared" si="1064"/>
        <v>-7.6977357821306214E-10</v>
      </c>
      <c r="AF1478" s="53"/>
      <c r="AG1478" s="53">
        <f t="shared" si="1065"/>
        <v>18678.120000000526</v>
      </c>
      <c r="AH1478" s="38"/>
      <c r="AI1478" s="38"/>
      <c r="AJ1478" s="38"/>
      <c r="AK1478" s="54">
        <f t="shared" si="1066"/>
        <v>18678.120000000526</v>
      </c>
      <c r="AL1478" s="53"/>
      <c r="AM1478" s="53">
        <f t="shared" si="1049"/>
        <v>282.6699999999995</v>
      </c>
      <c r="AN1478" s="38"/>
      <c r="AO1478" s="38"/>
      <c r="AP1478" s="38"/>
      <c r="AQ1478" s="54">
        <f t="shared" si="1070"/>
        <v>282.6699999999995</v>
      </c>
      <c r="AR1478" s="53"/>
      <c r="AS1478" s="29">
        <f t="shared" si="1050"/>
        <v>-2135318.4799999986</v>
      </c>
      <c r="AT1478" s="29">
        <f t="shared" si="1051"/>
        <v>0</v>
      </c>
      <c r="AU1478" s="29">
        <f t="shared" si="1052"/>
        <v>0</v>
      </c>
      <c r="AV1478" s="29">
        <f t="shared" si="1053"/>
        <v>0</v>
      </c>
      <c r="AW1478" s="29"/>
      <c r="AX1478" s="29">
        <f t="shared" si="1054"/>
        <v>-2135318.4799999986</v>
      </c>
      <c r="AY1478" s="29">
        <f t="shared" si="1067"/>
        <v>9300000</v>
      </c>
      <c r="AZ1478" s="29">
        <f t="shared" si="1068"/>
        <v>7164681.5200000014</v>
      </c>
    </row>
    <row r="1479" spans="2:52" x14ac:dyDescent="0.3">
      <c r="B1479" s="99">
        <f t="shared" si="1071"/>
        <v>46234</v>
      </c>
      <c r="C1479" s="44">
        <f t="shared" si="1055"/>
        <v>766908.08000000287</v>
      </c>
      <c r="D1479" s="38"/>
      <c r="E1479" s="38"/>
      <c r="F1479" s="38"/>
      <c r="G1479" s="45">
        <f t="shared" si="1056"/>
        <v>766908.08000000287</v>
      </c>
      <c r="H1479" s="44">
        <v>4300000</v>
      </c>
      <c r="I1479" s="46">
        <f t="shared" si="1057"/>
        <v>-2921513.5399999996</v>
      </c>
      <c r="J1479" s="38"/>
      <c r="K1479" s="38"/>
      <c r="L1479" s="38"/>
      <c r="M1479" s="47">
        <f t="shared" si="1058"/>
        <v>-2921513.5399999996</v>
      </c>
      <c r="N1479" s="46">
        <v>5000000</v>
      </c>
      <c r="O1479" s="48">
        <f t="shared" si="1059"/>
        <v>267.77999999932945</v>
      </c>
      <c r="P1479" s="38"/>
      <c r="Q1479" s="38"/>
      <c r="R1479" s="38"/>
      <c r="S1479" s="55">
        <f t="shared" si="1060"/>
        <v>267.77999999932945</v>
      </c>
      <c r="T1479" s="48"/>
      <c r="U1479" s="49">
        <f t="shared" si="1061"/>
        <v>58.409999999403965</v>
      </c>
      <c r="V1479" s="38"/>
      <c r="W1479" s="38"/>
      <c r="X1479" s="38"/>
      <c r="Y1479" s="51">
        <f t="shared" si="1062"/>
        <v>58.409999999403965</v>
      </c>
      <c r="Z1479" s="52"/>
      <c r="AA1479" s="53">
        <f t="shared" si="1063"/>
        <v>-7.6977357821306214E-10</v>
      </c>
      <c r="AB1479" s="38"/>
      <c r="AC1479" s="38"/>
      <c r="AD1479" s="38"/>
      <c r="AE1479" s="54">
        <f t="shared" si="1064"/>
        <v>-7.6977357821306214E-10</v>
      </c>
      <c r="AF1479" s="53"/>
      <c r="AG1479" s="53">
        <f t="shared" si="1065"/>
        <v>18678.120000000526</v>
      </c>
      <c r="AH1479" s="38"/>
      <c r="AI1479" s="38"/>
      <c r="AJ1479" s="38"/>
      <c r="AK1479" s="54">
        <f t="shared" si="1066"/>
        <v>18678.120000000526</v>
      </c>
      <c r="AL1479" s="53"/>
      <c r="AM1479" s="53">
        <f t="shared" si="1049"/>
        <v>282.6699999999995</v>
      </c>
      <c r="AN1479" s="38"/>
      <c r="AO1479" s="38"/>
      <c r="AP1479" s="38"/>
      <c r="AQ1479" s="54">
        <f t="shared" si="1070"/>
        <v>282.6699999999995</v>
      </c>
      <c r="AR1479" s="53"/>
      <c r="AS1479" s="29">
        <f t="shared" si="1050"/>
        <v>-2135318.4799999986</v>
      </c>
      <c r="AT1479" s="29">
        <f t="shared" si="1051"/>
        <v>0</v>
      </c>
      <c r="AU1479" s="29">
        <f t="shared" si="1052"/>
        <v>0</v>
      </c>
      <c r="AV1479" s="29">
        <f t="shared" si="1053"/>
        <v>0</v>
      </c>
      <c r="AW1479" s="29"/>
      <c r="AX1479" s="29">
        <f t="shared" si="1054"/>
        <v>-2135318.4799999986</v>
      </c>
      <c r="AY1479" s="29">
        <f t="shared" si="1067"/>
        <v>9300000</v>
      </c>
      <c r="AZ1479" s="29">
        <f t="shared" si="1068"/>
        <v>7164681.5200000014</v>
      </c>
    </row>
    <row r="1480" spans="2:52" x14ac:dyDescent="0.3">
      <c r="B1480" s="99">
        <f>B1479+3</f>
        <v>46237</v>
      </c>
      <c r="C1480" s="44">
        <f t="shared" si="1055"/>
        <v>766908.08000000287</v>
      </c>
      <c r="D1480" s="38"/>
      <c r="E1480" s="38"/>
      <c r="F1480" s="38"/>
      <c r="G1480" s="45">
        <f t="shared" si="1056"/>
        <v>766908.08000000287</v>
      </c>
      <c r="H1480" s="44">
        <v>4300000</v>
      </c>
      <c r="I1480" s="46">
        <f t="shared" si="1057"/>
        <v>-2921513.5399999996</v>
      </c>
      <c r="J1480" s="38"/>
      <c r="K1480" s="38"/>
      <c r="L1480" s="38"/>
      <c r="M1480" s="47">
        <f t="shared" si="1058"/>
        <v>-2921513.5399999996</v>
      </c>
      <c r="N1480" s="46">
        <v>5000000</v>
      </c>
      <c r="O1480" s="48">
        <f t="shared" si="1059"/>
        <v>267.77999999932945</v>
      </c>
      <c r="P1480" s="38"/>
      <c r="Q1480" s="38"/>
      <c r="R1480" s="38"/>
      <c r="S1480" s="55">
        <f t="shared" si="1060"/>
        <v>267.77999999932945</v>
      </c>
      <c r="T1480" s="48"/>
      <c r="U1480" s="49">
        <f t="shared" si="1061"/>
        <v>58.409999999403965</v>
      </c>
      <c r="V1480" s="38"/>
      <c r="W1480" s="38"/>
      <c r="X1480" s="38"/>
      <c r="Y1480" s="51">
        <f t="shared" si="1062"/>
        <v>58.409999999403965</v>
      </c>
      <c r="Z1480" s="52"/>
      <c r="AA1480" s="53">
        <f t="shared" si="1063"/>
        <v>-7.6977357821306214E-10</v>
      </c>
      <c r="AB1480" s="38"/>
      <c r="AC1480" s="38"/>
      <c r="AD1480" s="38"/>
      <c r="AE1480" s="54">
        <f t="shared" si="1064"/>
        <v>-7.6977357821306214E-10</v>
      </c>
      <c r="AF1480" s="53"/>
      <c r="AG1480" s="53">
        <f t="shared" si="1065"/>
        <v>18678.120000000526</v>
      </c>
      <c r="AH1480" s="38"/>
      <c r="AI1480" s="38"/>
      <c r="AJ1480" s="38"/>
      <c r="AK1480" s="54">
        <f t="shared" si="1066"/>
        <v>18678.120000000526</v>
      </c>
      <c r="AL1480" s="53"/>
      <c r="AM1480" s="53">
        <f t="shared" si="1049"/>
        <v>282.6699999999995</v>
      </c>
      <c r="AN1480" s="38"/>
      <c r="AO1480" s="38"/>
      <c r="AP1480" s="38"/>
      <c r="AQ1480" s="54">
        <f t="shared" si="1070"/>
        <v>282.6699999999995</v>
      </c>
      <c r="AR1480" s="53"/>
      <c r="AS1480" s="29">
        <f t="shared" si="1050"/>
        <v>-2135318.4799999986</v>
      </c>
      <c r="AT1480" s="29">
        <f t="shared" si="1051"/>
        <v>0</v>
      </c>
      <c r="AU1480" s="29">
        <f t="shared" si="1052"/>
        <v>0</v>
      </c>
      <c r="AV1480" s="29">
        <f t="shared" si="1053"/>
        <v>0</v>
      </c>
      <c r="AW1480" s="29"/>
      <c r="AX1480" s="29">
        <f t="shared" si="1054"/>
        <v>-2135318.4799999986</v>
      </c>
      <c r="AY1480" s="29">
        <f t="shared" si="1067"/>
        <v>9300000</v>
      </c>
      <c r="AZ1480" s="29">
        <f t="shared" si="1068"/>
        <v>7164681.5200000014</v>
      </c>
    </row>
    <row r="1481" spans="2:52" x14ac:dyDescent="0.3">
      <c r="B1481" s="99">
        <f t="shared" ref="B1481:B1484" si="1072">B1480+1</f>
        <v>46238</v>
      </c>
      <c r="C1481" s="44">
        <f t="shared" si="1055"/>
        <v>766908.08000000287</v>
      </c>
      <c r="D1481" s="38"/>
      <c r="E1481" s="38"/>
      <c r="F1481" s="38"/>
      <c r="G1481" s="45">
        <f t="shared" si="1056"/>
        <v>766908.08000000287</v>
      </c>
      <c r="H1481" s="44">
        <v>4300000</v>
      </c>
      <c r="I1481" s="46">
        <f t="shared" si="1057"/>
        <v>-2921513.5399999996</v>
      </c>
      <c r="J1481" s="38"/>
      <c r="K1481" s="38"/>
      <c r="L1481" s="38"/>
      <c r="M1481" s="47">
        <f t="shared" si="1058"/>
        <v>-2921513.5399999996</v>
      </c>
      <c r="N1481" s="46">
        <v>5000000</v>
      </c>
      <c r="O1481" s="48">
        <f t="shared" si="1059"/>
        <v>267.77999999932945</v>
      </c>
      <c r="P1481" s="38"/>
      <c r="Q1481" s="38"/>
      <c r="R1481" s="38"/>
      <c r="S1481" s="55">
        <f t="shared" si="1060"/>
        <v>267.77999999932945</v>
      </c>
      <c r="T1481" s="48"/>
      <c r="U1481" s="49">
        <f t="shared" si="1061"/>
        <v>58.409999999403965</v>
      </c>
      <c r="V1481" s="38"/>
      <c r="W1481" s="38"/>
      <c r="X1481" s="38"/>
      <c r="Y1481" s="51">
        <f t="shared" si="1062"/>
        <v>58.409999999403965</v>
      </c>
      <c r="Z1481" s="52"/>
      <c r="AA1481" s="53">
        <f t="shared" si="1063"/>
        <v>-7.6977357821306214E-10</v>
      </c>
      <c r="AB1481" s="38"/>
      <c r="AC1481" s="38"/>
      <c r="AD1481" s="38"/>
      <c r="AE1481" s="54">
        <f t="shared" si="1064"/>
        <v>-7.6977357821306214E-10</v>
      </c>
      <c r="AF1481" s="53"/>
      <c r="AG1481" s="53">
        <f t="shared" si="1065"/>
        <v>18678.120000000526</v>
      </c>
      <c r="AH1481" s="38"/>
      <c r="AI1481" s="38"/>
      <c r="AJ1481" s="38"/>
      <c r="AK1481" s="54">
        <f t="shared" si="1066"/>
        <v>18678.120000000526</v>
      </c>
      <c r="AL1481" s="53"/>
      <c r="AM1481" s="53">
        <f t="shared" si="1049"/>
        <v>282.6699999999995</v>
      </c>
      <c r="AN1481" s="38"/>
      <c r="AO1481" s="38"/>
      <c r="AP1481" s="38"/>
      <c r="AQ1481" s="54">
        <f t="shared" si="1070"/>
        <v>282.6699999999995</v>
      </c>
      <c r="AR1481" s="53"/>
      <c r="AS1481" s="29">
        <f t="shared" si="1050"/>
        <v>-2135318.4799999986</v>
      </c>
      <c r="AT1481" s="29">
        <f t="shared" si="1051"/>
        <v>0</v>
      </c>
      <c r="AU1481" s="29">
        <f t="shared" si="1052"/>
        <v>0</v>
      </c>
      <c r="AV1481" s="29">
        <f t="shared" si="1053"/>
        <v>0</v>
      </c>
      <c r="AW1481" s="29"/>
      <c r="AX1481" s="29">
        <f t="shared" si="1054"/>
        <v>-2135318.4799999986</v>
      </c>
      <c r="AY1481" s="29">
        <f t="shared" si="1067"/>
        <v>9300000</v>
      </c>
      <c r="AZ1481" s="29">
        <f t="shared" si="1068"/>
        <v>7164681.5200000014</v>
      </c>
    </row>
    <row r="1482" spans="2:52" x14ac:dyDescent="0.3">
      <c r="B1482" s="99">
        <f t="shared" si="1072"/>
        <v>46239</v>
      </c>
      <c r="C1482" s="44">
        <f t="shared" si="1055"/>
        <v>766908.08000000287</v>
      </c>
      <c r="D1482" s="38"/>
      <c r="E1482" s="38"/>
      <c r="F1482" s="38"/>
      <c r="G1482" s="45">
        <f t="shared" si="1056"/>
        <v>766908.08000000287</v>
      </c>
      <c r="H1482" s="44">
        <v>4300000</v>
      </c>
      <c r="I1482" s="46">
        <f t="shared" si="1057"/>
        <v>-2921513.5399999996</v>
      </c>
      <c r="J1482" s="38"/>
      <c r="K1482" s="38"/>
      <c r="L1482" s="38"/>
      <c r="M1482" s="47">
        <f t="shared" si="1058"/>
        <v>-2921513.5399999996</v>
      </c>
      <c r="N1482" s="46">
        <v>5000000</v>
      </c>
      <c r="O1482" s="48">
        <f t="shared" si="1059"/>
        <v>267.77999999932945</v>
      </c>
      <c r="P1482" s="38"/>
      <c r="Q1482" s="38"/>
      <c r="R1482" s="38"/>
      <c r="S1482" s="55">
        <f t="shared" si="1060"/>
        <v>267.77999999932945</v>
      </c>
      <c r="T1482" s="48"/>
      <c r="U1482" s="49">
        <f t="shared" si="1061"/>
        <v>58.409999999403965</v>
      </c>
      <c r="V1482" s="38"/>
      <c r="W1482" s="38"/>
      <c r="X1482" s="38"/>
      <c r="Y1482" s="51">
        <f t="shared" si="1062"/>
        <v>58.409999999403965</v>
      </c>
      <c r="Z1482" s="52"/>
      <c r="AA1482" s="53">
        <f t="shared" si="1063"/>
        <v>-7.6977357821306214E-10</v>
      </c>
      <c r="AB1482" s="38"/>
      <c r="AC1482" s="38"/>
      <c r="AD1482" s="38"/>
      <c r="AE1482" s="54">
        <f t="shared" si="1064"/>
        <v>-7.6977357821306214E-10</v>
      </c>
      <c r="AF1482" s="53"/>
      <c r="AG1482" s="53">
        <f t="shared" si="1065"/>
        <v>18678.120000000526</v>
      </c>
      <c r="AH1482" s="38"/>
      <c r="AI1482" s="38"/>
      <c r="AJ1482" s="38"/>
      <c r="AK1482" s="54">
        <f t="shared" si="1066"/>
        <v>18678.120000000526</v>
      </c>
      <c r="AL1482" s="53"/>
      <c r="AM1482" s="53">
        <f t="shared" si="1049"/>
        <v>282.6699999999995</v>
      </c>
      <c r="AN1482" s="38"/>
      <c r="AO1482" s="38"/>
      <c r="AP1482" s="38"/>
      <c r="AQ1482" s="54">
        <f t="shared" si="1070"/>
        <v>282.6699999999995</v>
      </c>
      <c r="AR1482" s="53"/>
      <c r="AS1482" s="29">
        <f t="shared" si="1050"/>
        <v>-2135318.4799999986</v>
      </c>
      <c r="AT1482" s="29">
        <f t="shared" si="1051"/>
        <v>0</v>
      </c>
      <c r="AU1482" s="29">
        <f t="shared" si="1052"/>
        <v>0</v>
      </c>
      <c r="AV1482" s="29">
        <f t="shared" si="1053"/>
        <v>0</v>
      </c>
      <c r="AW1482" s="29"/>
      <c r="AX1482" s="29">
        <f t="shared" si="1054"/>
        <v>-2135318.4799999986</v>
      </c>
      <c r="AY1482" s="29">
        <f t="shared" si="1067"/>
        <v>9300000</v>
      </c>
      <c r="AZ1482" s="29">
        <f t="shared" si="1068"/>
        <v>7164681.5200000014</v>
      </c>
    </row>
    <row r="1483" spans="2:52" x14ac:dyDescent="0.3">
      <c r="B1483" s="99">
        <f t="shared" si="1072"/>
        <v>46240</v>
      </c>
      <c r="C1483" s="44">
        <f t="shared" si="1055"/>
        <v>766908.08000000287</v>
      </c>
      <c r="D1483" s="38"/>
      <c r="E1483" s="38"/>
      <c r="F1483" s="38"/>
      <c r="G1483" s="45">
        <f t="shared" si="1056"/>
        <v>766908.08000000287</v>
      </c>
      <c r="H1483" s="44">
        <v>4300000</v>
      </c>
      <c r="I1483" s="46">
        <f t="shared" si="1057"/>
        <v>-2921513.5399999996</v>
      </c>
      <c r="J1483" s="38"/>
      <c r="K1483" s="38"/>
      <c r="L1483" s="38"/>
      <c r="M1483" s="47">
        <f t="shared" si="1058"/>
        <v>-2921513.5399999996</v>
      </c>
      <c r="N1483" s="46">
        <v>5000000</v>
      </c>
      <c r="O1483" s="48">
        <f t="shared" si="1059"/>
        <v>267.77999999932945</v>
      </c>
      <c r="P1483" s="38"/>
      <c r="Q1483" s="38"/>
      <c r="R1483" s="38"/>
      <c r="S1483" s="55">
        <f t="shared" si="1060"/>
        <v>267.77999999932945</v>
      </c>
      <c r="T1483" s="48"/>
      <c r="U1483" s="49">
        <f t="shared" si="1061"/>
        <v>58.409999999403965</v>
      </c>
      <c r="V1483" s="38"/>
      <c r="W1483" s="38"/>
      <c r="X1483" s="38"/>
      <c r="Y1483" s="51">
        <f t="shared" si="1062"/>
        <v>58.409999999403965</v>
      </c>
      <c r="Z1483" s="52"/>
      <c r="AA1483" s="53">
        <f t="shared" si="1063"/>
        <v>-7.6977357821306214E-10</v>
      </c>
      <c r="AB1483" s="38"/>
      <c r="AC1483" s="38"/>
      <c r="AD1483" s="38"/>
      <c r="AE1483" s="54">
        <f t="shared" si="1064"/>
        <v>-7.6977357821306214E-10</v>
      </c>
      <c r="AF1483" s="53"/>
      <c r="AG1483" s="53">
        <f t="shared" si="1065"/>
        <v>18678.120000000526</v>
      </c>
      <c r="AH1483" s="38"/>
      <c r="AI1483" s="38"/>
      <c r="AJ1483" s="38"/>
      <c r="AK1483" s="54">
        <f t="shared" si="1066"/>
        <v>18678.120000000526</v>
      </c>
      <c r="AL1483" s="53"/>
      <c r="AM1483" s="53">
        <f t="shared" si="1049"/>
        <v>282.6699999999995</v>
      </c>
      <c r="AN1483" s="38"/>
      <c r="AO1483" s="38"/>
      <c r="AP1483" s="38"/>
      <c r="AQ1483" s="54">
        <f t="shared" si="1070"/>
        <v>282.6699999999995</v>
      </c>
      <c r="AR1483" s="53"/>
      <c r="AS1483" s="29">
        <f t="shared" si="1050"/>
        <v>-2135318.4799999986</v>
      </c>
      <c r="AT1483" s="29">
        <f t="shared" si="1051"/>
        <v>0</v>
      </c>
      <c r="AU1483" s="29">
        <f t="shared" si="1052"/>
        <v>0</v>
      </c>
      <c r="AV1483" s="29">
        <f t="shared" si="1053"/>
        <v>0</v>
      </c>
      <c r="AW1483" s="29"/>
      <c r="AX1483" s="29">
        <f t="shared" si="1054"/>
        <v>-2135318.4799999986</v>
      </c>
      <c r="AY1483" s="29">
        <f t="shared" si="1067"/>
        <v>9300000</v>
      </c>
      <c r="AZ1483" s="29">
        <f t="shared" si="1068"/>
        <v>7164681.5200000014</v>
      </c>
    </row>
    <row r="1484" spans="2:52" x14ac:dyDescent="0.3">
      <c r="B1484" s="99">
        <f t="shared" si="1072"/>
        <v>46241</v>
      </c>
      <c r="C1484" s="44">
        <f t="shared" si="1055"/>
        <v>766908.08000000287</v>
      </c>
      <c r="D1484" s="38"/>
      <c r="E1484" s="38"/>
      <c r="F1484" s="38"/>
      <c r="G1484" s="45">
        <f t="shared" si="1056"/>
        <v>766908.08000000287</v>
      </c>
      <c r="H1484" s="44">
        <v>4300000</v>
      </c>
      <c r="I1484" s="46">
        <f t="shared" si="1057"/>
        <v>-2921513.5399999996</v>
      </c>
      <c r="J1484" s="38"/>
      <c r="K1484" s="38"/>
      <c r="L1484" s="38"/>
      <c r="M1484" s="47">
        <f t="shared" si="1058"/>
        <v>-2921513.5399999996</v>
      </c>
      <c r="N1484" s="46">
        <v>5000000</v>
      </c>
      <c r="O1484" s="48">
        <f t="shared" si="1059"/>
        <v>267.77999999932945</v>
      </c>
      <c r="P1484" s="38"/>
      <c r="Q1484" s="38"/>
      <c r="R1484" s="38"/>
      <c r="S1484" s="55">
        <f t="shared" si="1060"/>
        <v>267.77999999932945</v>
      </c>
      <c r="T1484" s="48"/>
      <c r="U1484" s="49">
        <f t="shared" si="1061"/>
        <v>58.409999999403965</v>
      </c>
      <c r="V1484" s="38"/>
      <c r="W1484" s="38"/>
      <c r="X1484" s="38"/>
      <c r="Y1484" s="51">
        <f t="shared" si="1062"/>
        <v>58.409999999403965</v>
      </c>
      <c r="Z1484" s="52"/>
      <c r="AA1484" s="53">
        <f t="shared" si="1063"/>
        <v>-7.6977357821306214E-10</v>
      </c>
      <c r="AB1484" s="38"/>
      <c r="AC1484" s="38"/>
      <c r="AD1484" s="38"/>
      <c r="AE1484" s="54">
        <f t="shared" si="1064"/>
        <v>-7.6977357821306214E-10</v>
      </c>
      <c r="AF1484" s="53"/>
      <c r="AG1484" s="53">
        <f t="shared" si="1065"/>
        <v>18678.120000000526</v>
      </c>
      <c r="AH1484" s="38"/>
      <c r="AI1484" s="38"/>
      <c r="AJ1484" s="38"/>
      <c r="AK1484" s="54">
        <f t="shared" si="1066"/>
        <v>18678.120000000526</v>
      </c>
      <c r="AL1484" s="53"/>
      <c r="AM1484" s="53">
        <f t="shared" si="1049"/>
        <v>282.6699999999995</v>
      </c>
      <c r="AN1484" s="38"/>
      <c r="AO1484" s="38"/>
      <c r="AP1484" s="38"/>
      <c r="AQ1484" s="54">
        <f t="shared" si="1070"/>
        <v>282.6699999999995</v>
      </c>
      <c r="AR1484" s="53"/>
      <c r="AS1484" s="29">
        <f t="shared" si="1050"/>
        <v>-2135318.4799999986</v>
      </c>
      <c r="AT1484" s="29">
        <f t="shared" si="1051"/>
        <v>0</v>
      </c>
      <c r="AU1484" s="29">
        <f t="shared" si="1052"/>
        <v>0</v>
      </c>
      <c r="AV1484" s="29">
        <f t="shared" si="1053"/>
        <v>0</v>
      </c>
      <c r="AW1484" s="29"/>
      <c r="AX1484" s="29">
        <f t="shared" si="1054"/>
        <v>-2135318.4799999986</v>
      </c>
      <c r="AY1484" s="29">
        <f t="shared" si="1067"/>
        <v>9300000</v>
      </c>
      <c r="AZ1484" s="29">
        <f t="shared" si="1068"/>
        <v>7164681.5200000014</v>
      </c>
    </row>
    <row r="1485" spans="2:52" x14ac:dyDescent="0.3">
      <c r="B1485" s="99">
        <f>B1484+3</f>
        <v>46244</v>
      </c>
      <c r="C1485" s="44">
        <f t="shared" si="1055"/>
        <v>766908.08000000287</v>
      </c>
      <c r="D1485" s="38"/>
      <c r="E1485" s="38"/>
      <c r="F1485" s="38"/>
      <c r="G1485" s="45">
        <f t="shared" si="1056"/>
        <v>766908.08000000287</v>
      </c>
      <c r="H1485" s="44">
        <v>4300000</v>
      </c>
      <c r="I1485" s="46">
        <f t="shared" si="1057"/>
        <v>-2921513.5399999996</v>
      </c>
      <c r="J1485" s="38"/>
      <c r="K1485" s="38"/>
      <c r="L1485" s="38"/>
      <c r="M1485" s="47">
        <f t="shared" si="1058"/>
        <v>-2921513.5399999996</v>
      </c>
      <c r="N1485" s="46">
        <v>5000000</v>
      </c>
      <c r="O1485" s="48">
        <f t="shared" si="1059"/>
        <v>267.77999999932945</v>
      </c>
      <c r="P1485" s="38"/>
      <c r="Q1485" s="38"/>
      <c r="R1485" s="38"/>
      <c r="S1485" s="55">
        <f t="shared" si="1060"/>
        <v>267.77999999932945</v>
      </c>
      <c r="T1485" s="48"/>
      <c r="U1485" s="49">
        <f t="shared" si="1061"/>
        <v>58.409999999403965</v>
      </c>
      <c r="V1485" s="38"/>
      <c r="W1485" s="38"/>
      <c r="X1485" s="38"/>
      <c r="Y1485" s="51">
        <f t="shared" si="1062"/>
        <v>58.409999999403965</v>
      </c>
      <c r="Z1485" s="52"/>
      <c r="AA1485" s="53">
        <f t="shared" si="1063"/>
        <v>-7.6977357821306214E-10</v>
      </c>
      <c r="AB1485" s="38"/>
      <c r="AC1485" s="38"/>
      <c r="AD1485" s="38"/>
      <c r="AE1485" s="54">
        <f t="shared" si="1064"/>
        <v>-7.6977357821306214E-10</v>
      </c>
      <c r="AF1485" s="53"/>
      <c r="AG1485" s="53">
        <f t="shared" si="1065"/>
        <v>18678.120000000526</v>
      </c>
      <c r="AH1485" s="38"/>
      <c r="AI1485" s="38"/>
      <c r="AJ1485" s="38"/>
      <c r="AK1485" s="54">
        <f t="shared" si="1066"/>
        <v>18678.120000000526</v>
      </c>
      <c r="AL1485" s="53"/>
      <c r="AM1485" s="53">
        <f t="shared" si="1049"/>
        <v>282.6699999999995</v>
      </c>
      <c r="AN1485" s="38"/>
      <c r="AO1485" s="38"/>
      <c r="AP1485" s="38"/>
      <c r="AQ1485" s="54">
        <f t="shared" si="1070"/>
        <v>282.6699999999995</v>
      </c>
      <c r="AR1485" s="53"/>
      <c r="AS1485" s="29">
        <f t="shared" si="1050"/>
        <v>-2135318.4799999986</v>
      </c>
      <c r="AT1485" s="29">
        <f t="shared" si="1051"/>
        <v>0</v>
      </c>
      <c r="AU1485" s="29">
        <f t="shared" si="1052"/>
        <v>0</v>
      </c>
      <c r="AV1485" s="29">
        <f t="shared" si="1053"/>
        <v>0</v>
      </c>
      <c r="AW1485" s="29"/>
      <c r="AX1485" s="29">
        <f t="shared" si="1054"/>
        <v>-2135318.4799999986</v>
      </c>
      <c r="AY1485" s="29">
        <f t="shared" si="1067"/>
        <v>9300000</v>
      </c>
      <c r="AZ1485" s="29">
        <f t="shared" si="1068"/>
        <v>7164681.5200000014</v>
      </c>
    </row>
    <row r="1486" spans="2:52" x14ac:dyDescent="0.3">
      <c r="B1486" s="99">
        <f t="shared" ref="B1486:B1489" si="1073">B1485+1</f>
        <v>46245</v>
      </c>
      <c r="C1486" s="44">
        <f t="shared" si="1055"/>
        <v>766908.08000000287</v>
      </c>
      <c r="D1486" s="38"/>
      <c r="E1486" s="38"/>
      <c r="F1486" s="38"/>
      <c r="G1486" s="45">
        <f t="shared" si="1056"/>
        <v>766908.08000000287</v>
      </c>
      <c r="H1486" s="44">
        <v>4300000</v>
      </c>
      <c r="I1486" s="46">
        <f t="shared" si="1057"/>
        <v>-2921513.5399999996</v>
      </c>
      <c r="J1486" s="38"/>
      <c r="K1486" s="38"/>
      <c r="L1486" s="38"/>
      <c r="M1486" s="47">
        <f t="shared" si="1058"/>
        <v>-2921513.5399999996</v>
      </c>
      <c r="N1486" s="46">
        <v>5000000</v>
      </c>
      <c r="O1486" s="48">
        <f t="shared" si="1059"/>
        <v>267.77999999932945</v>
      </c>
      <c r="P1486" s="38"/>
      <c r="Q1486" s="38"/>
      <c r="R1486" s="38"/>
      <c r="S1486" s="55">
        <f t="shared" si="1060"/>
        <v>267.77999999932945</v>
      </c>
      <c r="T1486" s="48"/>
      <c r="U1486" s="49">
        <f t="shared" si="1061"/>
        <v>58.409999999403965</v>
      </c>
      <c r="V1486" s="38"/>
      <c r="W1486" s="38"/>
      <c r="X1486" s="38"/>
      <c r="Y1486" s="51">
        <f t="shared" si="1062"/>
        <v>58.409999999403965</v>
      </c>
      <c r="Z1486" s="52"/>
      <c r="AA1486" s="53">
        <f t="shared" si="1063"/>
        <v>-7.6977357821306214E-10</v>
      </c>
      <c r="AB1486" s="38"/>
      <c r="AC1486" s="38"/>
      <c r="AD1486" s="38"/>
      <c r="AE1486" s="54">
        <f t="shared" si="1064"/>
        <v>-7.6977357821306214E-10</v>
      </c>
      <c r="AF1486" s="53"/>
      <c r="AG1486" s="53">
        <f t="shared" si="1065"/>
        <v>18678.120000000526</v>
      </c>
      <c r="AH1486" s="38"/>
      <c r="AI1486" s="38"/>
      <c r="AJ1486" s="38"/>
      <c r="AK1486" s="54">
        <f t="shared" si="1066"/>
        <v>18678.120000000526</v>
      </c>
      <c r="AL1486" s="53"/>
      <c r="AM1486" s="53">
        <f t="shared" si="1049"/>
        <v>282.6699999999995</v>
      </c>
      <c r="AN1486" s="38"/>
      <c r="AO1486" s="38"/>
      <c r="AP1486" s="38"/>
      <c r="AQ1486" s="54">
        <f t="shared" si="1070"/>
        <v>282.6699999999995</v>
      </c>
      <c r="AR1486" s="53"/>
      <c r="AS1486" s="29">
        <f t="shared" si="1050"/>
        <v>-2135318.4799999986</v>
      </c>
      <c r="AT1486" s="29">
        <f t="shared" si="1051"/>
        <v>0</v>
      </c>
      <c r="AU1486" s="29">
        <f t="shared" si="1052"/>
        <v>0</v>
      </c>
      <c r="AV1486" s="29">
        <f t="shared" si="1053"/>
        <v>0</v>
      </c>
      <c r="AW1486" s="29"/>
      <c r="AX1486" s="29">
        <f t="shared" si="1054"/>
        <v>-2135318.4799999986</v>
      </c>
      <c r="AY1486" s="29">
        <f t="shared" si="1067"/>
        <v>9300000</v>
      </c>
      <c r="AZ1486" s="29">
        <f t="shared" si="1068"/>
        <v>7164681.5200000014</v>
      </c>
    </row>
    <row r="1487" spans="2:52" x14ac:dyDescent="0.3">
      <c r="B1487" s="99">
        <f t="shared" si="1073"/>
        <v>46246</v>
      </c>
      <c r="C1487" s="44">
        <f t="shared" si="1055"/>
        <v>766908.08000000287</v>
      </c>
      <c r="D1487" s="38"/>
      <c r="E1487" s="38"/>
      <c r="F1487" s="38"/>
      <c r="G1487" s="45">
        <f t="shared" si="1056"/>
        <v>766908.08000000287</v>
      </c>
      <c r="H1487" s="44">
        <v>4300000</v>
      </c>
      <c r="I1487" s="46">
        <f t="shared" si="1057"/>
        <v>-2921513.5399999996</v>
      </c>
      <c r="J1487" s="38"/>
      <c r="K1487" s="38"/>
      <c r="L1487" s="38"/>
      <c r="M1487" s="47">
        <f t="shared" si="1058"/>
        <v>-2921513.5399999996</v>
      </c>
      <c r="N1487" s="46">
        <v>5000000</v>
      </c>
      <c r="O1487" s="48">
        <f t="shared" si="1059"/>
        <v>267.77999999932945</v>
      </c>
      <c r="P1487" s="38"/>
      <c r="Q1487" s="38"/>
      <c r="R1487" s="38"/>
      <c r="S1487" s="55">
        <f t="shared" si="1060"/>
        <v>267.77999999932945</v>
      </c>
      <c r="T1487" s="48"/>
      <c r="U1487" s="49">
        <f t="shared" si="1061"/>
        <v>58.409999999403965</v>
      </c>
      <c r="V1487" s="38"/>
      <c r="W1487" s="38"/>
      <c r="X1487" s="38"/>
      <c r="Y1487" s="51">
        <f t="shared" si="1062"/>
        <v>58.409999999403965</v>
      </c>
      <c r="Z1487" s="52"/>
      <c r="AA1487" s="53">
        <f t="shared" si="1063"/>
        <v>-7.6977357821306214E-10</v>
      </c>
      <c r="AB1487" s="38"/>
      <c r="AC1487" s="38"/>
      <c r="AD1487" s="38"/>
      <c r="AE1487" s="54">
        <f t="shared" si="1064"/>
        <v>-7.6977357821306214E-10</v>
      </c>
      <c r="AF1487" s="53"/>
      <c r="AG1487" s="53">
        <f t="shared" si="1065"/>
        <v>18678.120000000526</v>
      </c>
      <c r="AH1487" s="38"/>
      <c r="AI1487" s="38"/>
      <c r="AJ1487" s="38"/>
      <c r="AK1487" s="54">
        <f t="shared" si="1066"/>
        <v>18678.120000000526</v>
      </c>
      <c r="AL1487" s="53"/>
      <c r="AM1487" s="53">
        <f t="shared" si="1049"/>
        <v>282.6699999999995</v>
      </c>
      <c r="AN1487" s="38"/>
      <c r="AO1487" s="38"/>
      <c r="AP1487" s="38"/>
      <c r="AQ1487" s="54">
        <f t="shared" si="1070"/>
        <v>282.6699999999995</v>
      </c>
      <c r="AR1487" s="53"/>
      <c r="AS1487" s="29">
        <f t="shared" si="1050"/>
        <v>-2135318.4799999986</v>
      </c>
      <c r="AT1487" s="29">
        <f t="shared" si="1051"/>
        <v>0</v>
      </c>
      <c r="AU1487" s="29">
        <f t="shared" si="1052"/>
        <v>0</v>
      </c>
      <c r="AV1487" s="29">
        <f t="shared" si="1053"/>
        <v>0</v>
      </c>
      <c r="AW1487" s="29"/>
      <c r="AX1487" s="29">
        <f t="shared" si="1054"/>
        <v>-2135318.4799999986</v>
      </c>
      <c r="AY1487" s="29">
        <f t="shared" si="1067"/>
        <v>9300000</v>
      </c>
      <c r="AZ1487" s="29">
        <f t="shared" si="1068"/>
        <v>7164681.5200000014</v>
      </c>
    </row>
    <row r="1488" spans="2:52" x14ac:dyDescent="0.3">
      <c r="B1488" s="99">
        <f t="shared" si="1073"/>
        <v>46247</v>
      </c>
      <c r="C1488" s="44">
        <f t="shared" si="1055"/>
        <v>766908.08000000287</v>
      </c>
      <c r="D1488" s="38"/>
      <c r="E1488" s="38"/>
      <c r="F1488" s="38"/>
      <c r="G1488" s="45">
        <f t="shared" si="1056"/>
        <v>766908.08000000287</v>
      </c>
      <c r="H1488" s="44">
        <v>4300000</v>
      </c>
      <c r="I1488" s="46">
        <f t="shared" si="1057"/>
        <v>-2921513.5399999996</v>
      </c>
      <c r="J1488" s="38"/>
      <c r="K1488" s="38"/>
      <c r="L1488" s="38"/>
      <c r="M1488" s="47">
        <f t="shared" si="1058"/>
        <v>-2921513.5399999996</v>
      </c>
      <c r="N1488" s="46">
        <v>5000000</v>
      </c>
      <c r="O1488" s="48">
        <f t="shared" si="1059"/>
        <v>267.77999999932945</v>
      </c>
      <c r="P1488" s="38"/>
      <c r="Q1488" s="38"/>
      <c r="R1488" s="38"/>
      <c r="S1488" s="55">
        <f t="shared" si="1060"/>
        <v>267.77999999932945</v>
      </c>
      <c r="T1488" s="48"/>
      <c r="U1488" s="49">
        <f t="shared" si="1061"/>
        <v>58.409999999403965</v>
      </c>
      <c r="V1488" s="38"/>
      <c r="W1488" s="38"/>
      <c r="X1488" s="38"/>
      <c r="Y1488" s="51">
        <f t="shared" si="1062"/>
        <v>58.409999999403965</v>
      </c>
      <c r="Z1488" s="52"/>
      <c r="AA1488" s="53">
        <f t="shared" si="1063"/>
        <v>-7.6977357821306214E-10</v>
      </c>
      <c r="AB1488" s="38"/>
      <c r="AC1488" s="38"/>
      <c r="AD1488" s="38"/>
      <c r="AE1488" s="54">
        <f t="shared" si="1064"/>
        <v>-7.6977357821306214E-10</v>
      </c>
      <c r="AF1488" s="53"/>
      <c r="AG1488" s="53">
        <f t="shared" si="1065"/>
        <v>18678.120000000526</v>
      </c>
      <c r="AH1488" s="38"/>
      <c r="AI1488" s="38"/>
      <c r="AJ1488" s="38"/>
      <c r="AK1488" s="54">
        <f t="shared" si="1066"/>
        <v>18678.120000000526</v>
      </c>
      <c r="AL1488" s="53"/>
      <c r="AM1488" s="53">
        <f t="shared" si="1049"/>
        <v>282.6699999999995</v>
      </c>
      <c r="AN1488" s="38"/>
      <c r="AO1488" s="38"/>
      <c r="AP1488" s="38"/>
      <c r="AQ1488" s="54">
        <f t="shared" si="1070"/>
        <v>282.6699999999995</v>
      </c>
      <c r="AR1488" s="53"/>
      <c r="AS1488" s="29">
        <f t="shared" si="1050"/>
        <v>-2135318.4799999986</v>
      </c>
      <c r="AT1488" s="29">
        <f t="shared" si="1051"/>
        <v>0</v>
      </c>
      <c r="AU1488" s="29">
        <f t="shared" si="1052"/>
        <v>0</v>
      </c>
      <c r="AV1488" s="29">
        <f t="shared" si="1053"/>
        <v>0</v>
      </c>
      <c r="AW1488" s="29"/>
      <c r="AX1488" s="29">
        <f t="shared" si="1054"/>
        <v>-2135318.4799999986</v>
      </c>
      <c r="AY1488" s="29">
        <f t="shared" si="1067"/>
        <v>9300000</v>
      </c>
      <c r="AZ1488" s="29">
        <f t="shared" si="1068"/>
        <v>7164681.5200000014</v>
      </c>
    </row>
    <row r="1489" spans="2:52" x14ac:dyDescent="0.3">
      <c r="B1489" s="99">
        <f t="shared" si="1073"/>
        <v>46248</v>
      </c>
      <c r="C1489" s="44">
        <f t="shared" si="1055"/>
        <v>766908.08000000287</v>
      </c>
      <c r="D1489" s="38"/>
      <c r="E1489" s="38"/>
      <c r="F1489" s="38"/>
      <c r="G1489" s="45">
        <f t="shared" si="1056"/>
        <v>766908.08000000287</v>
      </c>
      <c r="H1489" s="44">
        <v>4300000</v>
      </c>
      <c r="I1489" s="46">
        <f t="shared" si="1057"/>
        <v>-2921513.5399999996</v>
      </c>
      <c r="J1489" s="38"/>
      <c r="K1489" s="38"/>
      <c r="L1489" s="38"/>
      <c r="M1489" s="47">
        <f t="shared" si="1058"/>
        <v>-2921513.5399999996</v>
      </c>
      <c r="N1489" s="46">
        <v>5000000</v>
      </c>
      <c r="O1489" s="48">
        <f t="shared" si="1059"/>
        <v>267.77999999932945</v>
      </c>
      <c r="P1489" s="38"/>
      <c r="Q1489" s="38"/>
      <c r="R1489" s="38"/>
      <c r="S1489" s="55">
        <f t="shared" si="1060"/>
        <v>267.77999999932945</v>
      </c>
      <c r="T1489" s="48"/>
      <c r="U1489" s="49">
        <f t="shared" si="1061"/>
        <v>58.409999999403965</v>
      </c>
      <c r="V1489" s="38"/>
      <c r="W1489" s="38"/>
      <c r="X1489" s="38"/>
      <c r="Y1489" s="51">
        <f t="shared" si="1062"/>
        <v>58.409999999403965</v>
      </c>
      <c r="Z1489" s="52"/>
      <c r="AA1489" s="53">
        <f t="shared" si="1063"/>
        <v>-7.6977357821306214E-10</v>
      </c>
      <c r="AB1489" s="38"/>
      <c r="AC1489" s="38"/>
      <c r="AD1489" s="38"/>
      <c r="AE1489" s="54">
        <f t="shared" si="1064"/>
        <v>-7.6977357821306214E-10</v>
      </c>
      <c r="AF1489" s="53"/>
      <c r="AG1489" s="53">
        <f t="shared" si="1065"/>
        <v>18678.120000000526</v>
      </c>
      <c r="AH1489" s="38"/>
      <c r="AI1489" s="38"/>
      <c r="AJ1489" s="38"/>
      <c r="AK1489" s="54">
        <f t="shared" si="1066"/>
        <v>18678.120000000526</v>
      </c>
      <c r="AL1489" s="53"/>
      <c r="AM1489" s="53">
        <f t="shared" si="1049"/>
        <v>282.6699999999995</v>
      </c>
      <c r="AN1489" s="38"/>
      <c r="AO1489" s="38"/>
      <c r="AP1489" s="38"/>
      <c r="AQ1489" s="54">
        <f t="shared" si="1070"/>
        <v>282.6699999999995</v>
      </c>
      <c r="AR1489" s="53"/>
      <c r="AS1489" s="29">
        <f t="shared" si="1050"/>
        <v>-2135318.4799999986</v>
      </c>
      <c r="AT1489" s="29">
        <f t="shared" si="1051"/>
        <v>0</v>
      </c>
      <c r="AU1489" s="29">
        <f t="shared" si="1052"/>
        <v>0</v>
      </c>
      <c r="AV1489" s="29">
        <f t="shared" si="1053"/>
        <v>0</v>
      </c>
      <c r="AW1489" s="29"/>
      <c r="AX1489" s="29">
        <f t="shared" si="1054"/>
        <v>-2135318.4799999986</v>
      </c>
      <c r="AY1489" s="29">
        <f t="shared" si="1067"/>
        <v>9300000</v>
      </c>
      <c r="AZ1489" s="29">
        <f t="shared" si="1068"/>
        <v>7164681.5200000014</v>
      </c>
    </row>
    <row r="1490" spans="2:52" x14ac:dyDescent="0.3">
      <c r="B1490" s="99">
        <f>B1489+3</f>
        <v>46251</v>
      </c>
      <c r="C1490" s="44">
        <f t="shared" si="1055"/>
        <v>766908.08000000287</v>
      </c>
      <c r="D1490" s="38"/>
      <c r="E1490" s="38"/>
      <c r="F1490" s="38"/>
      <c r="G1490" s="45">
        <f t="shared" si="1056"/>
        <v>766908.08000000287</v>
      </c>
      <c r="H1490" s="44">
        <v>4300000</v>
      </c>
      <c r="I1490" s="46">
        <f t="shared" si="1057"/>
        <v>-2921513.5399999996</v>
      </c>
      <c r="J1490" s="38"/>
      <c r="K1490" s="38"/>
      <c r="L1490" s="38"/>
      <c r="M1490" s="47">
        <f t="shared" si="1058"/>
        <v>-2921513.5399999996</v>
      </c>
      <c r="N1490" s="46">
        <v>5000000</v>
      </c>
      <c r="O1490" s="48">
        <f t="shared" si="1059"/>
        <v>267.77999999932945</v>
      </c>
      <c r="P1490" s="38"/>
      <c r="Q1490" s="38"/>
      <c r="R1490" s="38"/>
      <c r="S1490" s="55">
        <f t="shared" si="1060"/>
        <v>267.77999999932945</v>
      </c>
      <c r="T1490" s="48"/>
      <c r="U1490" s="49">
        <f t="shared" si="1061"/>
        <v>58.409999999403965</v>
      </c>
      <c r="V1490" s="38"/>
      <c r="W1490" s="38"/>
      <c r="X1490" s="38"/>
      <c r="Y1490" s="51">
        <f t="shared" si="1062"/>
        <v>58.409999999403965</v>
      </c>
      <c r="Z1490" s="52"/>
      <c r="AA1490" s="53">
        <f t="shared" si="1063"/>
        <v>-7.6977357821306214E-10</v>
      </c>
      <c r="AB1490" s="38"/>
      <c r="AC1490" s="38"/>
      <c r="AD1490" s="38"/>
      <c r="AE1490" s="54">
        <f t="shared" si="1064"/>
        <v>-7.6977357821306214E-10</v>
      </c>
      <c r="AF1490" s="53"/>
      <c r="AG1490" s="53">
        <f t="shared" si="1065"/>
        <v>18678.120000000526</v>
      </c>
      <c r="AH1490" s="38"/>
      <c r="AI1490" s="38"/>
      <c r="AJ1490" s="38"/>
      <c r="AK1490" s="54">
        <f t="shared" si="1066"/>
        <v>18678.120000000526</v>
      </c>
      <c r="AL1490" s="53"/>
      <c r="AM1490" s="53">
        <f t="shared" si="1049"/>
        <v>282.6699999999995</v>
      </c>
      <c r="AN1490" s="38"/>
      <c r="AO1490" s="38"/>
      <c r="AP1490" s="38"/>
      <c r="AQ1490" s="54">
        <f t="shared" si="1070"/>
        <v>282.6699999999995</v>
      </c>
      <c r="AR1490" s="53"/>
      <c r="AS1490" s="29">
        <f t="shared" si="1050"/>
        <v>-2135318.4799999986</v>
      </c>
      <c r="AT1490" s="29">
        <f t="shared" si="1051"/>
        <v>0</v>
      </c>
      <c r="AU1490" s="29">
        <f t="shared" si="1052"/>
        <v>0</v>
      </c>
      <c r="AV1490" s="29">
        <f t="shared" si="1053"/>
        <v>0</v>
      </c>
      <c r="AW1490" s="29"/>
      <c r="AX1490" s="29">
        <f t="shared" si="1054"/>
        <v>-2135318.4799999986</v>
      </c>
      <c r="AY1490" s="29">
        <f t="shared" si="1067"/>
        <v>9300000</v>
      </c>
      <c r="AZ1490" s="29">
        <f t="shared" si="1068"/>
        <v>7164681.5200000014</v>
      </c>
    </row>
    <row r="1491" spans="2:52" x14ac:dyDescent="0.3">
      <c r="B1491" s="99">
        <f t="shared" ref="B1491:B1494" si="1074">B1490+1</f>
        <v>46252</v>
      </c>
      <c r="C1491" s="44">
        <f t="shared" si="1055"/>
        <v>766908.08000000287</v>
      </c>
      <c r="D1491" s="38"/>
      <c r="E1491" s="38"/>
      <c r="F1491" s="38"/>
      <c r="G1491" s="45">
        <f t="shared" si="1056"/>
        <v>766908.08000000287</v>
      </c>
      <c r="H1491" s="44">
        <v>4300000</v>
      </c>
      <c r="I1491" s="46">
        <f t="shared" si="1057"/>
        <v>-2921513.5399999996</v>
      </c>
      <c r="J1491" s="38"/>
      <c r="K1491" s="38"/>
      <c r="L1491" s="38"/>
      <c r="M1491" s="47">
        <f t="shared" si="1058"/>
        <v>-2921513.5399999996</v>
      </c>
      <c r="N1491" s="46">
        <v>5000000</v>
      </c>
      <c r="O1491" s="48">
        <f t="shared" si="1059"/>
        <v>267.77999999932945</v>
      </c>
      <c r="P1491" s="38"/>
      <c r="Q1491" s="38"/>
      <c r="R1491" s="38"/>
      <c r="S1491" s="55">
        <f t="shared" si="1060"/>
        <v>267.77999999932945</v>
      </c>
      <c r="T1491" s="48"/>
      <c r="U1491" s="49">
        <f t="shared" si="1061"/>
        <v>58.409999999403965</v>
      </c>
      <c r="V1491" s="38"/>
      <c r="W1491" s="38"/>
      <c r="X1491" s="38"/>
      <c r="Y1491" s="51">
        <f t="shared" si="1062"/>
        <v>58.409999999403965</v>
      </c>
      <c r="Z1491" s="52"/>
      <c r="AA1491" s="53">
        <f t="shared" si="1063"/>
        <v>-7.6977357821306214E-10</v>
      </c>
      <c r="AB1491" s="38"/>
      <c r="AC1491" s="38"/>
      <c r="AD1491" s="38"/>
      <c r="AE1491" s="54">
        <f t="shared" si="1064"/>
        <v>-7.6977357821306214E-10</v>
      </c>
      <c r="AF1491" s="53"/>
      <c r="AG1491" s="53">
        <f t="shared" si="1065"/>
        <v>18678.120000000526</v>
      </c>
      <c r="AH1491" s="38"/>
      <c r="AI1491" s="38"/>
      <c r="AJ1491" s="38"/>
      <c r="AK1491" s="54">
        <f t="shared" si="1066"/>
        <v>18678.120000000526</v>
      </c>
      <c r="AL1491" s="53"/>
      <c r="AM1491" s="53">
        <f t="shared" si="1049"/>
        <v>282.6699999999995</v>
      </c>
      <c r="AN1491" s="38"/>
      <c r="AO1491" s="38"/>
      <c r="AP1491" s="38"/>
      <c r="AQ1491" s="54">
        <f t="shared" si="1070"/>
        <v>282.6699999999995</v>
      </c>
      <c r="AR1491" s="53"/>
      <c r="AS1491" s="29">
        <f t="shared" si="1050"/>
        <v>-2135318.4799999986</v>
      </c>
      <c r="AT1491" s="29">
        <f t="shared" si="1051"/>
        <v>0</v>
      </c>
      <c r="AU1491" s="29">
        <f t="shared" si="1052"/>
        <v>0</v>
      </c>
      <c r="AV1491" s="29">
        <f t="shared" si="1053"/>
        <v>0</v>
      </c>
      <c r="AW1491" s="29"/>
      <c r="AX1491" s="29">
        <f t="shared" si="1054"/>
        <v>-2135318.4799999986</v>
      </c>
      <c r="AY1491" s="29">
        <f t="shared" si="1067"/>
        <v>9300000</v>
      </c>
      <c r="AZ1491" s="29">
        <f t="shared" si="1068"/>
        <v>7164681.5200000014</v>
      </c>
    </row>
    <row r="1492" spans="2:52" x14ac:dyDescent="0.3">
      <c r="B1492" s="99">
        <f t="shared" si="1074"/>
        <v>46253</v>
      </c>
      <c r="C1492" s="44">
        <f t="shared" si="1055"/>
        <v>766908.08000000287</v>
      </c>
      <c r="D1492" s="38"/>
      <c r="E1492" s="38"/>
      <c r="F1492" s="38"/>
      <c r="G1492" s="45">
        <f t="shared" si="1056"/>
        <v>766908.08000000287</v>
      </c>
      <c r="H1492" s="44">
        <v>4300000</v>
      </c>
      <c r="I1492" s="46">
        <f t="shared" si="1057"/>
        <v>-2921513.5399999996</v>
      </c>
      <c r="J1492" s="38"/>
      <c r="K1492" s="38"/>
      <c r="L1492" s="38"/>
      <c r="M1492" s="47">
        <f t="shared" si="1058"/>
        <v>-2921513.5399999996</v>
      </c>
      <c r="N1492" s="46">
        <v>5000000</v>
      </c>
      <c r="O1492" s="48">
        <f t="shared" si="1059"/>
        <v>267.77999999932945</v>
      </c>
      <c r="P1492" s="38"/>
      <c r="Q1492" s="38"/>
      <c r="R1492" s="38"/>
      <c r="S1492" s="55">
        <f t="shared" si="1060"/>
        <v>267.77999999932945</v>
      </c>
      <c r="T1492" s="48"/>
      <c r="U1492" s="49">
        <f t="shared" si="1061"/>
        <v>58.409999999403965</v>
      </c>
      <c r="V1492" s="38"/>
      <c r="W1492" s="38"/>
      <c r="X1492" s="38"/>
      <c r="Y1492" s="51">
        <f t="shared" si="1062"/>
        <v>58.409999999403965</v>
      </c>
      <c r="Z1492" s="52"/>
      <c r="AA1492" s="53">
        <f t="shared" si="1063"/>
        <v>-7.6977357821306214E-10</v>
      </c>
      <c r="AB1492" s="38"/>
      <c r="AC1492" s="38"/>
      <c r="AD1492" s="38"/>
      <c r="AE1492" s="54">
        <f t="shared" si="1064"/>
        <v>-7.6977357821306214E-10</v>
      </c>
      <c r="AF1492" s="53"/>
      <c r="AG1492" s="53">
        <f t="shared" si="1065"/>
        <v>18678.120000000526</v>
      </c>
      <c r="AH1492" s="38"/>
      <c r="AI1492" s="38"/>
      <c r="AJ1492" s="38"/>
      <c r="AK1492" s="54">
        <f t="shared" si="1066"/>
        <v>18678.120000000526</v>
      </c>
      <c r="AL1492" s="53"/>
      <c r="AM1492" s="53">
        <f t="shared" si="1049"/>
        <v>282.6699999999995</v>
      </c>
      <c r="AN1492" s="38"/>
      <c r="AO1492" s="38"/>
      <c r="AP1492" s="38"/>
      <c r="AQ1492" s="54">
        <f t="shared" si="1070"/>
        <v>282.6699999999995</v>
      </c>
      <c r="AR1492" s="53"/>
      <c r="AS1492" s="29">
        <f t="shared" si="1050"/>
        <v>-2135318.4799999986</v>
      </c>
      <c r="AT1492" s="29">
        <f t="shared" si="1051"/>
        <v>0</v>
      </c>
      <c r="AU1492" s="29">
        <f t="shared" si="1052"/>
        <v>0</v>
      </c>
      <c r="AV1492" s="29">
        <f t="shared" si="1053"/>
        <v>0</v>
      </c>
      <c r="AW1492" s="29"/>
      <c r="AX1492" s="29">
        <f t="shared" si="1054"/>
        <v>-2135318.4799999986</v>
      </c>
      <c r="AY1492" s="29">
        <f t="shared" si="1067"/>
        <v>9300000</v>
      </c>
      <c r="AZ1492" s="29">
        <f t="shared" si="1068"/>
        <v>7164681.5200000014</v>
      </c>
    </row>
    <row r="1493" spans="2:52" x14ac:dyDescent="0.3">
      <c r="B1493" s="99">
        <f t="shared" si="1074"/>
        <v>46254</v>
      </c>
      <c r="C1493" s="44">
        <f t="shared" si="1055"/>
        <v>766908.08000000287</v>
      </c>
      <c r="D1493" s="38"/>
      <c r="E1493" s="38"/>
      <c r="F1493" s="38"/>
      <c r="G1493" s="45">
        <f t="shared" si="1056"/>
        <v>766908.08000000287</v>
      </c>
      <c r="H1493" s="44">
        <v>4300000</v>
      </c>
      <c r="I1493" s="46">
        <f t="shared" si="1057"/>
        <v>-2921513.5399999996</v>
      </c>
      <c r="J1493" s="38"/>
      <c r="K1493" s="38"/>
      <c r="L1493" s="38"/>
      <c r="M1493" s="47">
        <f t="shared" si="1058"/>
        <v>-2921513.5399999996</v>
      </c>
      <c r="N1493" s="46">
        <v>5000000</v>
      </c>
      <c r="O1493" s="48">
        <f t="shared" si="1059"/>
        <v>267.77999999932945</v>
      </c>
      <c r="P1493" s="38"/>
      <c r="Q1493" s="38"/>
      <c r="R1493" s="38"/>
      <c r="S1493" s="55">
        <f t="shared" si="1060"/>
        <v>267.77999999932945</v>
      </c>
      <c r="T1493" s="48"/>
      <c r="U1493" s="49">
        <f t="shared" si="1061"/>
        <v>58.409999999403965</v>
      </c>
      <c r="V1493" s="38"/>
      <c r="W1493" s="38"/>
      <c r="X1493" s="38"/>
      <c r="Y1493" s="51">
        <f t="shared" si="1062"/>
        <v>58.409999999403965</v>
      </c>
      <c r="Z1493" s="52"/>
      <c r="AA1493" s="53">
        <f t="shared" si="1063"/>
        <v>-7.6977357821306214E-10</v>
      </c>
      <c r="AB1493" s="38"/>
      <c r="AC1493" s="38"/>
      <c r="AD1493" s="38"/>
      <c r="AE1493" s="54">
        <f t="shared" si="1064"/>
        <v>-7.6977357821306214E-10</v>
      </c>
      <c r="AF1493" s="53"/>
      <c r="AG1493" s="53">
        <f t="shared" si="1065"/>
        <v>18678.120000000526</v>
      </c>
      <c r="AH1493" s="38"/>
      <c r="AI1493" s="38"/>
      <c r="AJ1493" s="38"/>
      <c r="AK1493" s="54">
        <f t="shared" si="1066"/>
        <v>18678.120000000526</v>
      </c>
      <c r="AL1493" s="53"/>
      <c r="AM1493" s="53">
        <f t="shared" si="1049"/>
        <v>282.6699999999995</v>
      </c>
      <c r="AN1493" s="38"/>
      <c r="AO1493" s="38"/>
      <c r="AP1493" s="38"/>
      <c r="AQ1493" s="54">
        <f t="shared" si="1070"/>
        <v>282.6699999999995</v>
      </c>
      <c r="AR1493" s="53"/>
      <c r="AS1493" s="29">
        <f t="shared" si="1050"/>
        <v>-2135318.4799999986</v>
      </c>
      <c r="AT1493" s="29">
        <f t="shared" si="1051"/>
        <v>0</v>
      </c>
      <c r="AU1493" s="29">
        <f t="shared" si="1052"/>
        <v>0</v>
      </c>
      <c r="AV1493" s="29">
        <f t="shared" si="1053"/>
        <v>0</v>
      </c>
      <c r="AW1493" s="29"/>
      <c r="AX1493" s="29">
        <f t="shared" si="1054"/>
        <v>-2135318.4799999986</v>
      </c>
      <c r="AY1493" s="29">
        <f t="shared" si="1067"/>
        <v>9300000</v>
      </c>
      <c r="AZ1493" s="29">
        <f t="shared" si="1068"/>
        <v>7164681.5200000014</v>
      </c>
    </row>
    <row r="1494" spans="2:52" x14ac:dyDescent="0.3">
      <c r="B1494" s="99">
        <f t="shared" si="1074"/>
        <v>46255</v>
      </c>
      <c r="C1494" s="44">
        <f t="shared" si="1055"/>
        <v>766908.08000000287</v>
      </c>
      <c r="D1494" s="38"/>
      <c r="E1494" s="38"/>
      <c r="F1494" s="38"/>
      <c r="G1494" s="45">
        <f t="shared" si="1056"/>
        <v>766908.08000000287</v>
      </c>
      <c r="H1494" s="44">
        <v>4300000</v>
      </c>
      <c r="I1494" s="46">
        <f t="shared" si="1057"/>
        <v>-2921513.5399999996</v>
      </c>
      <c r="J1494" s="38"/>
      <c r="K1494" s="38"/>
      <c r="L1494" s="38"/>
      <c r="M1494" s="47">
        <f t="shared" si="1058"/>
        <v>-2921513.5399999996</v>
      </c>
      <c r="N1494" s="46">
        <v>5000000</v>
      </c>
      <c r="O1494" s="48">
        <f t="shared" si="1059"/>
        <v>267.77999999932945</v>
      </c>
      <c r="P1494" s="38"/>
      <c r="Q1494" s="38"/>
      <c r="R1494" s="38"/>
      <c r="S1494" s="55">
        <f t="shared" si="1060"/>
        <v>267.77999999932945</v>
      </c>
      <c r="T1494" s="48"/>
      <c r="U1494" s="49">
        <f t="shared" si="1061"/>
        <v>58.409999999403965</v>
      </c>
      <c r="V1494" s="38"/>
      <c r="W1494" s="38"/>
      <c r="X1494" s="38"/>
      <c r="Y1494" s="51">
        <f t="shared" si="1062"/>
        <v>58.409999999403965</v>
      </c>
      <c r="Z1494" s="52"/>
      <c r="AA1494" s="53">
        <f t="shared" si="1063"/>
        <v>-7.6977357821306214E-10</v>
      </c>
      <c r="AB1494" s="38"/>
      <c r="AC1494" s="38"/>
      <c r="AD1494" s="38"/>
      <c r="AE1494" s="54">
        <f t="shared" si="1064"/>
        <v>-7.6977357821306214E-10</v>
      </c>
      <c r="AF1494" s="53"/>
      <c r="AG1494" s="53">
        <f t="shared" si="1065"/>
        <v>18678.120000000526</v>
      </c>
      <c r="AH1494" s="38"/>
      <c r="AI1494" s="38"/>
      <c r="AJ1494" s="38"/>
      <c r="AK1494" s="54">
        <f t="shared" si="1066"/>
        <v>18678.120000000526</v>
      </c>
      <c r="AL1494" s="53"/>
      <c r="AM1494" s="53">
        <f t="shared" si="1049"/>
        <v>282.6699999999995</v>
      </c>
      <c r="AN1494" s="38"/>
      <c r="AO1494" s="38"/>
      <c r="AP1494" s="38"/>
      <c r="AQ1494" s="54">
        <f t="shared" si="1070"/>
        <v>282.6699999999995</v>
      </c>
      <c r="AR1494" s="53"/>
      <c r="AS1494" s="29">
        <f t="shared" si="1050"/>
        <v>-2135318.4799999986</v>
      </c>
      <c r="AT1494" s="29">
        <f t="shared" si="1051"/>
        <v>0</v>
      </c>
      <c r="AU1494" s="29">
        <f t="shared" si="1052"/>
        <v>0</v>
      </c>
      <c r="AV1494" s="29">
        <f t="shared" si="1053"/>
        <v>0</v>
      </c>
      <c r="AW1494" s="29"/>
      <c r="AX1494" s="29">
        <f t="shared" si="1054"/>
        <v>-2135318.4799999986</v>
      </c>
      <c r="AY1494" s="29">
        <f t="shared" si="1067"/>
        <v>9300000</v>
      </c>
      <c r="AZ1494" s="29">
        <f t="shared" si="1068"/>
        <v>7164681.5200000014</v>
      </c>
    </row>
    <row r="1495" spans="2:52" x14ac:dyDescent="0.3">
      <c r="B1495" s="99">
        <f>B1494+3</f>
        <v>46258</v>
      </c>
      <c r="C1495" s="44">
        <f t="shared" si="1055"/>
        <v>766908.08000000287</v>
      </c>
      <c r="D1495" s="38"/>
      <c r="E1495" s="38"/>
      <c r="F1495" s="38"/>
      <c r="G1495" s="45">
        <f t="shared" si="1056"/>
        <v>766908.08000000287</v>
      </c>
      <c r="H1495" s="44">
        <v>4300000</v>
      </c>
      <c r="I1495" s="46">
        <f t="shared" si="1057"/>
        <v>-2921513.5399999996</v>
      </c>
      <c r="J1495" s="38"/>
      <c r="K1495" s="38"/>
      <c r="L1495" s="38"/>
      <c r="M1495" s="47">
        <f t="shared" si="1058"/>
        <v>-2921513.5399999996</v>
      </c>
      <c r="N1495" s="46">
        <v>5000000</v>
      </c>
      <c r="O1495" s="48">
        <f t="shared" si="1059"/>
        <v>267.77999999932945</v>
      </c>
      <c r="P1495" s="38"/>
      <c r="Q1495" s="38"/>
      <c r="R1495" s="38"/>
      <c r="S1495" s="55">
        <f t="shared" si="1060"/>
        <v>267.77999999932945</v>
      </c>
      <c r="T1495" s="48"/>
      <c r="U1495" s="49">
        <f t="shared" si="1061"/>
        <v>58.409999999403965</v>
      </c>
      <c r="V1495" s="38"/>
      <c r="W1495" s="38"/>
      <c r="X1495" s="38"/>
      <c r="Y1495" s="51">
        <f t="shared" si="1062"/>
        <v>58.409999999403965</v>
      </c>
      <c r="Z1495" s="52"/>
      <c r="AA1495" s="53">
        <f t="shared" si="1063"/>
        <v>-7.6977357821306214E-10</v>
      </c>
      <c r="AB1495" s="38"/>
      <c r="AC1495" s="38"/>
      <c r="AD1495" s="38"/>
      <c r="AE1495" s="54">
        <f t="shared" si="1064"/>
        <v>-7.6977357821306214E-10</v>
      </c>
      <c r="AF1495" s="53"/>
      <c r="AG1495" s="53">
        <f t="shared" si="1065"/>
        <v>18678.120000000526</v>
      </c>
      <c r="AH1495" s="38"/>
      <c r="AI1495" s="38"/>
      <c r="AJ1495" s="38"/>
      <c r="AK1495" s="54">
        <f t="shared" si="1066"/>
        <v>18678.120000000526</v>
      </c>
      <c r="AL1495" s="53"/>
      <c r="AM1495" s="53">
        <f t="shared" si="1049"/>
        <v>282.6699999999995</v>
      </c>
      <c r="AN1495" s="38"/>
      <c r="AO1495" s="38"/>
      <c r="AP1495" s="38"/>
      <c r="AQ1495" s="54">
        <f t="shared" si="1070"/>
        <v>282.6699999999995</v>
      </c>
      <c r="AR1495" s="53"/>
      <c r="AS1495" s="29">
        <f t="shared" si="1050"/>
        <v>-2135318.4799999986</v>
      </c>
      <c r="AT1495" s="29">
        <f t="shared" si="1051"/>
        <v>0</v>
      </c>
      <c r="AU1495" s="29">
        <f t="shared" si="1052"/>
        <v>0</v>
      </c>
      <c r="AV1495" s="29">
        <f t="shared" si="1053"/>
        <v>0</v>
      </c>
      <c r="AW1495" s="29"/>
      <c r="AX1495" s="29">
        <f t="shared" si="1054"/>
        <v>-2135318.4799999986</v>
      </c>
      <c r="AY1495" s="29">
        <f t="shared" si="1067"/>
        <v>9300000</v>
      </c>
      <c r="AZ1495" s="29">
        <f t="shared" si="1068"/>
        <v>7164681.5200000014</v>
      </c>
    </row>
    <row r="1496" spans="2:52" x14ac:dyDescent="0.3">
      <c r="B1496" s="99">
        <f t="shared" ref="B1496:B1499" si="1075">B1495+1</f>
        <v>46259</v>
      </c>
      <c r="C1496" s="44">
        <f t="shared" si="1055"/>
        <v>766908.08000000287</v>
      </c>
      <c r="D1496" s="38"/>
      <c r="E1496" s="38"/>
      <c r="F1496" s="38"/>
      <c r="G1496" s="45">
        <f t="shared" si="1056"/>
        <v>766908.08000000287</v>
      </c>
      <c r="H1496" s="44">
        <v>4300000</v>
      </c>
      <c r="I1496" s="46">
        <f t="shared" si="1057"/>
        <v>-2921513.5399999996</v>
      </c>
      <c r="J1496" s="38"/>
      <c r="K1496" s="38"/>
      <c r="L1496" s="38"/>
      <c r="M1496" s="47">
        <f t="shared" si="1058"/>
        <v>-2921513.5399999996</v>
      </c>
      <c r="N1496" s="46">
        <v>5000000</v>
      </c>
      <c r="O1496" s="48">
        <f t="shared" si="1059"/>
        <v>267.77999999932945</v>
      </c>
      <c r="P1496" s="38"/>
      <c r="Q1496" s="38"/>
      <c r="R1496" s="38"/>
      <c r="S1496" s="55">
        <f t="shared" si="1060"/>
        <v>267.77999999932945</v>
      </c>
      <c r="T1496" s="48"/>
      <c r="U1496" s="49">
        <f t="shared" si="1061"/>
        <v>58.409999999403965</v>
      </c>
      <c r="V1496" s="38"/>
      <c r="W1496" s="38"/>
      <c r="X1496" s="38"/>
      <c r="Y1496" s="51">
        <f t="shared" si="1062"/>
        <v>58.409999999403965</v>
      </c>
      <c r="Z1496" s="52"/>
      <c r="AA1496" s="53">
        <f t="shared" si="1063"/>
        <v>-7.6977357821306214E-10</v>
      </c>
      <c r="AB1496" s="38"/>
      <c r="AC1496" s="38"/>
      <c r="AD1496" s="38"/>
      <c r="AE1496" s="54">
        <f t="shared" si="1064"/>
        <v>-7.6977357821306214E-10</v>
      </c>
      <c r="AF1496" s="53"/>
      <c r="AG1496" s="53">
        <f t="shared" si="1065"/>
        <v>18678.120000000526</v>
      </c>
      <c r="AH1496" s="38"/>
      <c r="AI1496" s="38"/>
      <c r="AJ1496" s="38"/>
      <c r="AK1496" s="54">
        <f t="shared" si="1066"/>
        <v>18678.120000000526</v>
      </c>
      <c r="AL1496" s="53"/>
      <c r="AM1496" s="53">
        <f t="shared" si="1049"/>
        <v>282.6699999999995</v>
      </c>
      <c r="AN1496" s="38"/>
      <c r="AO1496" s="38"/>
      <c r="AP1496" s="38"/>
      <c r="AQ1496" s="54">
        <f t="shared" si="1070"/>
        <v>282.6699999999995</v>
      </c>
      <c r="AR1496" s="53"/>
      <c r="AS1496" s="29">
        <f t="shared" si="1050"/>
        <v>-2135318.4799999986</v>
      </c>
      <c r="AT1496" s="29">
        <f t="shared" si="1051"/>
        <v>0</v>
      </c>
      <c r="AU1496" s="29">
        <f t="shared" si="1052"/>
        <v>0</v>
      </c>
      <c r="AV1496" s="29">
        <f t="shared" si="1053"/>
        <v>0</v>
      </c>
      <c r="AW1496" s="29"/>
      <c r="AX1496" s="29">
        <f t="shared" si="1054"/>
        <v>-2135318.4799999986</v>
      </c>
      <c r="AY1496" s="29">
        <f t="shared" si="1067"/>
        <v>9300000</v>
      </c>
      <c r="AZ1496" s="29">
        <f t="shared" si="1068"/>
        <v>7164681.5200000014</v>
      </c>
    </row>
    <row r="1497" spans="2:52" x14ac:dyDescent="0.3">
      <c r="B1497" s="99">
        <f t="shared" si="1075"/>
        <v>46260</v>
      </c>
      <c r="C1497" s="44">
        <f t="shared" si="1055"/>
        <v>766908.08000000287</v>
      </c>
      <c r="D1497" s="38"/>
      <c r="E1497" s="38"/>
      <c r="F1497" s="38"/>
      <c r="G1497" s="45">
        <f t="shared" si="1056"/>
        <v>766908.08000000287</v>
      </c>
      <c r="H1497" s="44">
        <v>4300000</v>
      </c>
      <c r="I1497" s="46">
        <f t="shared" si="1057"/>
        <v>-2921513.5399999996</v>
      </c>
      <c r="J1497" s="38"/>
      <c r="K1497" s="38"/>
      <c r="L1497" s="38"/>
      <c r="M1497" s="47">
        <f t="shared" si="1058"/>
        <v>-2921513.5399999996</v>
      </c>
      <c r="N1497" s="46">
        <v>5000000</v>
      </c>
      <c r="O1497" s="48">
        <f t="shared" si="1059"/>
        <v>267.77999999932945</v>
      </c>
      <c r="P1497" s="38"/>
      <c r="Q1497" s="38"/>
      <c r="R1497" s="38"/>
      <c r="S1497" s="55">
        <f t="shared" si="1060"/>
        <v>267.77999999932945</v>
      </c>
      <c r="T1497" s="48"/>
      <c r="U1497" s="49">
        <f t="shared" si="1061"/>
        <v>58.409999999403965</v>
      </c>
      <c r="V1497" s="38"/>
      <c r="W1497" s="38"/>
      <c r="X1497" s="38"/>
      <c r="Y1497" s="51">
        <f t="shared" si="1062"/>
        <v>58.409999999403965</v>
      </c>
      <c r="Z1497" s="52"/>
      <c r="AA1497" s="53">
        <f t="shared" si="1063"/>
        <v>-7.6977357821306214E-10</v>
      </c>
      <c r="AB1497" s="38"/>
      <c r="AC1497" s="38"/>
      <c r="AD1497" s="38"/>
      <c r="AE1497" s="54">
        <f t="shared" si="1064"/>
        <v>-7.6977357821306214E-10</v>
      </c>
      <c r="AF1497" s="53"/>
      <c r="AG1497" s="53">
        <f t="shared" si="1065"/>
        <v>18678.120000000526</v>
      </c>
      <c r="AH1497" s="38"/>
      <c r="AI1497" s="38"/>
      <c r="AJ1497" s="38"/>
      <c r="AK1497" s="54">
        <f t="shared" si="1066"/>
        <v>18678.120000000526</v>
      </c>
      <c r="AL1497" s="53"/>
      <c r="AM1497" s="53">
        <f t="shared" si="1049"/>
        <v>282.6699999999995</v>
      </c>
      <c r="AN1497" s="38"/>
      <c r="AO1497" s="38"/>
      <c r="AP1497" s="38"/>
      <c r="AQ1497" s="54">
        <f t="shared" si="1070"/>
        <v>282.6699999999995</v>
      </c>
      <c r="AR1497" s="53"/>
      <c r="AS1497" s="29">
        <f t="shared" si="1050"/>
        <v>-2135318.4799999986</v>
      </c>
      <c r="AT1497" s="29">
        <f t="shared" si="1051"/>
        <v>0</v>
      </c>
      <c r="AU1497" s="29">
        <f t="shared" si="1052"/>
        <v>0</v>
      </c>
      <c r="AV1497" s="29">
        <f t="shared" si="1053"/>
        <v>0</v>
      </c>
      <c r="AW1497" s="29"/>
      <c r="AX1497" s="29">
        <f t="shared" si="1054"/>
        <v>-2135318.4799999986</v>
      </c>
      <c r="AY1497" s="29">
        <f t="shared" si="1067"/>
        <v>9300000</v>
      </c>
      <c r="AZ1497" s="29">
        <f t="shared" si="1068"/>
        <v>7164681.5200000014</v>
      </c>
    </row>
    <row r="1498" spans="2:52" x14ac:dyDescent="0.3">
      <c r="B1498" s="99">
        <f t="shared" si="1075"/>
        <v>46261</v>
      </c>
      <c r="C1498" s="44">
        <f t="shared" si="1055"/>
        <v>766908.08000000287</v>
      </c>
      <c r="D1498" s="38"/>
      <c r="E1498" s="38"/>
      <c r="F1498" s="38"/>
      <c r="G1498" s="45">
        <f t="shared" si="1056"/>
        <v>766908.08000000287</v>
      </c>
      <c r="H1498" s="44">
        <v>4300000</v>
      </c>
      <c r="I1498" s="46">
        <f t="shared" si="1057"/>
        <v>-2921513.5399999996</v>
      </c>
      <c r="J1498" s="38"/>
      <c r="K1498" s="38"/>
      <c r="L1498" s="38"/>
      <c r="M1498" s="47">
        <f t="shared" si="1058"/>
        <v>-2921513.5399999996</v>
      </c>
      <c r="N1498" s="46">
        <v>5000000</v>
      </c>
      <c r="O1498" s="48">
        <f t="shared" si="1059"/>
        <v>267.77999999932945</v>
      </c>
      <c r="P1498" s="38"/>
      <c r="Q1498" s="38"/>
      <c r="R1498" s="38"/>
      <c r="S1498" s="55">
        <f t="shared" si="1060"/>
        <v>267.77999999932945</v>
      </c>
      <c r="T1498" s="48"/>
      <c r="U1498" s="49">
        <f t="shared" si="1061"/>
        <v>58.409999999403965</v>
      </c>
      <c r="V1498" s="38"/>
      <c r="W1498" s="38"/>
      <c r="X1498" s="38"/>
      <c r="Y1498" s="51">
        <f t="shared" si="1062"/>
        <v>58.409999999403965</v>
      </c>
      <c r="Z1498" s="52"/>
      <c r="AA1498" s="53">
        <f t="shared" si="1063"/>
        <v>-7.6977357821306214E-10</v>
      </c>
      <c r="AB1498" s="38"/>
      <c r="AC1498" s="38"/>
      <c r="AD1498" s="38"/>
      <c r="AE1498" s="54">
        <f t="shared" si="1064"/>
        <v>-7.6977357821306214E-10</v>
      </c>
      <c r="AF1498" s="53"/>
      <c r="AG1498" s="53">
        <f t="shared" si="1065"/>
        <v>18678.120000000526</v>
      </c>
      <c r="AH1498" s="38"/>
      <c r="AI1498" s="38"/>
      <c r="AJ1498" s="38"/>
      <c r="AK1498" s="54">
        <f t="shared" si="1066"/>
        <v>18678.120000000526</v>
      </c>
      <c r="AL1498" s="53"/>
      <c r="AM1498" s="53">
        <f t="shared" si="1049"/>
        <v>282.6699999999995</v>
      </c>
      <c r="AN1498" s="38"/>
      <c r="AO1498" s="38"/>
      <c r="AP1498" s="38"/>
      <c r="AQ1498" s="54">
        <f t="shared" si="1070"/>
        <v>282.6699999999995</v>
      </c>
      <c r="AR1498" s="53"/>
      <c r="AS1498" s="29">
        <f t="shared" si="1050"/>
        <v>-2135318.4799999986</v>
      </c>
      <c r="AT1498" s="29">
        <f t="shared" si="1051"/>
        <v>0</v>
      </c>
      <c r="AU1498" s="29">
        <f t="shared" si="1052"/>
        <v>0</v>
      </c>
      <c r="AV1498" s="29">
        <f t="shared" si="1053"/>
        <v>0</v>
      </c>
      <c r="AW1498" s="29"/>
      <c r="AX1498" s="29">
        <f t="shared" si="1054"/>
        <v>-2135318.4799999986</v>
      </c>
      <c r="AY1498" s="29">
        <f t="shared" si="1067"/>
        <v>9300000</v>
      </c>
      <c r="AZ1498" s="29">
        <f t="shared" si="1068"/>
        <v>7164681.5200000014</v>
      </c>
    </row>
    <row r="1499" spans="2:52" x14ac:dyDescent="0.3">
      <c r="B1499" s="99">
        <f t="shared" si="1075"/>
        <v>46262</v>
      </c>
      <c r="C1499" s="44">
        <f t="shared" si="1055"/>
        <v>766908.08000000287</v>
      </c>
      <c r="D1499" s="38"/>
      <c r="E1499" s="38"/>
      <c r="F1499" s="38"/>
      <c r="G1499" s="45">
        <f t="shared" si="1056"/>
        <v>766908.08000000287</v>
      </c>
      <c r="H1499" s="44">
        <v>4300000</v>
      </c>
      <c r="I1499" s="46">
        <f t="shared" si="1057"/>
        <v>-2921513.5399999996</v>
      </c>
      <c r="J1499" s="38"/>
      <c r="K1499" s="38"/>
      <c r="L1499" s="38"/>
      <c r="M1499" s="47">
        <f t="shared" si="1058"/>
        <v>-2921513.5399999996</v>
      </c>
      <c r="N1499" s="46">
        <v>5000000</v>
      </c>
      <c r="O1499" s="48">
        <f t="shared" si="1059"/>
        <v>267.77999999932945</v>
      </c>
      <c r="P1499" s="38"/>
      <c r="Q1499" s="38"/>
      <c r="R1499" s="38"/>
      <c r="S1499" s="55">
        <f t="shared" si="1060"/>
        <v>267.77999999932945</v>
      </c>
      <c r="T1499" s="48"/>
      <c r="U1499" s="49">
        <f t="shared" si="1061"/>
        <v>58.409999999403965</v>
      </c>
      <c r="V1499" s="38"/>
      <c r="W1499" s="38"/>
      <c r="X1499" s="38"/>
      <c r="Y1499" s="51">
        <f t="shared" si="1062"/>
        <v>58.409999999403965</v>
      </c>
      <c r="Z1499" s="52"/>
      <c r="AA1499" s="53">
        <f t="shared" si="1063"/>
        <v>-7.6977357821306214E-10</v>
      </c>
      <c r="AB1499" s="38"/>
      <c r="AC1499" s="38"/>
      <c r="AD1499" s="38"/>
      <c r="AE1499" s="54">
        <f t="shared" si="1064"/>
        <v>-7.6977357821306214E-10</v>
      </c>
      <c r="AF1499" s="53"/>
      <c r="AG1499" s="53">
        <f t="shared" si="1065"/>
        <v>18678.120000000526</v>
      </c>
      <c r="AH1499" s="38"/>
      <c r="AI1499" s="38"/>
      <c r="AJ1499" s="38"/>
      <c r="AK1499" s="54">
        <f t="shared" si="1066"/>
        <v>18678.120000000526</v>
      </c>
      <c r="AL1499" s="53"/>
      <c r="AM1499" s="53">
        <f t="shared" si="1049"/>
        <v>282.6699999999995</v>
      </c>
      <c r="AN1499" s="38"/>
      <c r="AO1499" s="38"/>
      <c r="AP1499" s="38"/>
      <c r="AQ1499" s="54">
        <f t="shared" si="1070"/>
        <v>282.6699999999995</v>
      </c>
      <c r="AR1499" s="53"/>
      <c r="AS1499" s="29">
        <f t="shared" si="1050"/>
        <v>-2135318.4799999986</v>
      </c>
      <c r="AT1499" s="29">
        <f t="shared" si="1051"/>
        <v>0</v>
      </c>
      <c r="AU1499" s="29">
        <f t="shared" si="1052"/>
        <v>0</v>
      </c>
      <c r="AV1499" s="29">
        <f t="shared" si="1053"/>
        <v>0</v>
      </c>
      <c r="AW1499" s="29"/>
      <c r="AX1499" s="29">
        <f t="shared" si="1054"/>
        <v>-2135318.4799999986</v>
      </c>
      <c r="AY1499" s="29">
        <f t="shared" si="1067"/>
        <v>9300000</v>
      </c>
      <c r="AZ1499" s="29">
        <f t="shared" si="1068"/>
        <v>7164681.5200000014</v>
      </c>
    </row>
    <row r="1500" spans="2:52" x14ac:dyDescent="0.3">
      <c r="B1500" s="99">
        <f>B1499+3</f>
        <v>46265</v>
      </c>
      <c r="C1500" s="44">
        <f t="shared" si="1055"/>
        <v>766908.08000000287</v>
      </c>
      <c r="D1500" s="38"/>
      <c r="E1500" s="38"/>
      <c r="F1500" s="38"/>
      <c r="G1500" s="45">
        <f t="shared" si="1056"/>
        <v>766908.08000000287</v>
      </c>
      <c r="H1500" s="44">
        <v>4300000</v>
      </c>
      <c r="I1500" s="46">
        <f t="shared" si="1057"/>
        <v>-2921513.5399999996</v>
      </c>
      <c r="J1500" s="38"/>
      <c r="K1500" s="38"/>
      <c r="L1500" s="38"/>
      <c r="M1500" s="47">
        <f t="shared" si="1058"/>
        <v>-2921513.5399999996</v>
      </c>
      <c r="N1500" s="46">
        <v>5000000</v>
      </c>
      <c r="O1500" s="48">
        <f t="shared" si="1059"/>
        <v>267.77999999932945</v>
      </c>
      <c r="P1500" s="38"/>
      <c r="Q1500" s="38"/>
      <c r="R1500" s="38"/>
      <c r="S1500" s="55">
        <f t="shared" si="1060"/>
        <v>267.77999999932945</v>
      </c>
      <c r="T1500" s="48"/>
      <c r="U1500" s="49">
        <f t="shared" si="1061"/>
        <v>58.409999999403965</v>
      </c>
      <c r="V1500" s="38"/>
      <c r="W1500" s="38"/>
      <c r="X1500" s="38"/>
      <c r="Y1500" s="51">
        <f t="shared" si="1062"/>
        <v>58.409999999403965</v>
      </c>
      <c r="Z1500" s="52"/>
      <c r="AA1500" s="53">
        <f t="shared" si="1063"/>
        <v>-7.6977357821306214E-10</v>
      </c>
      <c r="AB1500" s="38"/>
      <c r="AC1500" s="38"/>
      <c r="AD1500" s="38"/>
      <c r="AE1500" s="54">
        <f t="shared" si="1064"/>
        <v>-7.6977357821306214E-10</v>
      </c>
      <c r="AF1500" s="53"/>
      <c r="AG1500" s="53">
        <f t="shared" si="1065"/>
        <v>18678.120000000526</v>
      </c>
      <c r="AH1500" s="38"/>
      <c r="AI1500" s="38"/>
      <c r="AJ1500" s="38"/>
      <c r="AK1500" s="54">
        <f t="shared" si="1066"/>
        <v>18678.120000000526</v>
      </c>
      <c r="AL1500" s="53"/>
      <c r="AM1500" s="53">
        <f t="shared" si="1049"/>
        <v>282.6699999999995</v>
      </c>
      <c r="AN1500" s="38"/>
      <c r="AO1500" s="38"/>
      <c r="AP1500" s="38"/>
      <c r="AQ1500" s="54">
        <f t="shared" si="1070"/>
        <v>282.6699999999995</v>
      </c>
      <c r="AR1500" s="53"/>
      <c r="AS1500" s="29">
        <f t="shared" si="1050"/>
        <v>-2135318.4799999986</v>
      </c>
      <c r="AT1500" s="29">
        <f t="shared" si="1051"/>
        <v>0</v>
      </c>
      <c r="AU1500" s="29">
        <f t="shared" si="1052"/>
        <v>0</v>
      </c>
      <c r="AV1500" s="29">
        <f t="shared" si="1053"/>
        <v>0</v>
      </c>
      <c r="AW1500" s="29"/>
      <c r="AX1500" s="29">
        <f t="shared" si="1054"/>
        <v>-2135318.4799999986</v>
      </c>
      <c r="AY1500" s="29">
        <f t="shared" si="1067"/>
        <v>9300000</v>
      </c>
      <c r="AZ1500" s="29">
        <f t="shared" si="1068"/>
        <v>7164681.5200000014</v>
      </c>
    </row>
    <row r="1501" spans="2:52" x14ac:dyDescent="0.3">
      <c r="B1501" s="99">
        <f t="shared" ref="B1501:B1504" si="1076">B1500+1</f>
        <v>46266</v>
      </c>
      <c r="C1501" s="44">
        <f t="shared" si="1055"/>
        <v>766908.08000000287</v>
      </c>
      <c r="D1501" s="38"/>
      <c r="E1501" s="38"/>
      <c r="F1501" s="38"/>
      <c r="G1501" s="45">
        <f t="shared" si="1056"/>
        <v>766908.08000000287</v>
      </c>
      <c r="H1501" s="44">
        <v>4300000</v>
      </c>
      <c r="I1501" s="46">
        <f t="shared" si="1057"/>
        <v>-2921513.5399999996</v>
      </c>
      <c r="J1501" s="38"/>
      <c r="K1501" s="38"/>
      <c r="L1501" s="38"/>
      <c r="M1501" s="47">
        <f t="shared" si="1058"/>
        <v>-2921513.5399999996</v>
      </c>
      <c r="N1501" s="46">
        <v>5000000</v>
      </c>
      <c r="O1501" s="48">
        <f t="shared" si="1059"/>
        <v>267.77999999932945</v>
      </c>
      <c r="P1501" s="38"/>
      <c r="Q1501" s="38"/>
      <c r="R1501" s="38"/>
      <c r="S1501" s="55">
        <f t="shared" si="1060"/>
        <v>267.77999999932945</v>
      </c>
      <c r="T1501" s="48"/>
      <c r="U1501" s="49">
        <f t="shared" si="1061"/>
        <v>58.409999999403965</v>
      </c>
      <c r="V1501" s="38"/>
      <c r="W1501" s="38"/>
      <c r="X1501" s="38"/>
      <c r="Y1501" s="51">
        <f t="shared" si="1062"/>
        <v>58.409999999403965</v>
      </c>
      <c r="Z1501" s="52"/>
      <c r="AA1501" s="53">
        <f t="shared" si="1063"/>
        <v>-7.6977357821306214E-10</v>
      </c>
      <c r="AB1501" s="38"/>
      <c r="AC1501" s="38"/>
      <c r="AD1501" s="38"/>
      <c r="AE1501" s="54">
        <f t="shared" si="1064"/>
        <v>-7.6977357821306214E-10</v>
      </c>
      <c r="AF1501" s="53"/>
      <c r="AG1501" s="53">
        <f t="shared" si="1065"/>
        <v>18678.120000000526</v>
      </c>
      <c r="AH1501" s="38"/>
      <c r="AI1501" s="38"/>
      <c r="AJ1501" s="38"/>
      <c r="AK1501" s="54">
        <f t="shared" si="1066"/>
        <v>18678.120000000526</v>
      </c>
      <c r="AL1501" s="53"/>
      <c r="AM1501" s="53">
        <f t="shared" si="1049"/>
        <v>282.6699999999995</v>
      </c>
      <c r="AN1501" s="38"/>
      <c r="AO1501" s="38"/>
      <c r="AP1501" s="38"/>
      <c r="AQ1501" s="54">
        <f t="shared" si="1070"/>
        <v>282.6699999999995</v>
      </c>
      <c r="AR1501" s="53"/>
      <c r="AS1501" s="29">
        <f t="shared" si="1050"/>
        <v>-2135318.4799999986</v>
      </c>
      <c r="AT1501" s="29">
        <f t="shared" si="1051"/>
        <v>0</v>
      </c>
      <c r="AU1501" s="29">
        <f t="shared" si="1052"/>
        <v>0</v>
      </c>
      <c r="AV1501" s="29">
        <f t="shared" si="1053"/>
        <v>0</v>
      </c>
      <c r="AW1501" s="29"/>
      <c r="AX1501" s="29">
        <f t="shared" si="1054"/>
        <v>-2135318.4799999986</v>
      </c>
      <c r="AY1501" s="29">
        <f t="shared" si="1067"/>
        <v>9300000</v>
      </c>
      <c r="AZ1501" s="29">
        <f t="shared" si="1068"/>
        <v>7164681.5200000014</v>
      </c>
    </row>
    <row r="1502" spans="2:52" x14ac:dyDescent="0.3">
      <c r="B1502" s="99">
        <f t="shared" si="1076"/>
        <v>46267</v>
      </c>
      <c r="C1502" s="44">
        <f t="shared" si="1055"/>
        <v>766908.08000000287</v>
      </c>
      <c r="D1502" s="38"/>
      <c r="E1502" s="38"/>
      <c r="F1502" s="38"/>
      <c r="G1502" s="45">
        <f t="shared" si="1056"/>
        <v>766908.08000000287</v>
      </c>
      <c r="H1502" s="44">
        <v>4300000</v>
      </c>
      <c r="I1502" s="46">
        <f t="shared" si="1057"/>
        <v>-2921513.5399999996</v>
      </c>
      <c r="J1502" s="38"/>
      <c r="K1502" s="38"/>
      <c r="L1502" s="38"/>
      <c r="M1502" s="47">
        <f t="shared" si="1058"/>
        <v>-2921513.5399999996</v>
      </c>
      <c r="N1502" s="46">
        <v>5000000</v>
      </c>
      <c r="O1502" s="48">
        <f t="shared" si="1059"/>
        <v>267.77999999932945</v>
      </c>
      <c r="P1502" s="38"/>
      <c r="Q1502" s="38"/>
      <c r="R1502" s="38"/>
      <c r="S1502" s="55">
        <f t="shared" si="1060"/>
        <v>267.77999999932945</v>
      </c>
      <c r="T1502" s="48"/>
      <c r="U1502" s="49">
        <f t="shared" si="1061"/>
        <v>58.409999999403965</v>
      </c>
      <c r="V1502" s="38"/>
      <c r="W1502" s="38"/>
      <c r="X1502" s="38"/>
      <c r="Y1502" s="51">
        <f t="shared" si="1062"/>
        <v>58.409999999403965</v>
      </c>
      <c r="Z1502" s="52"/>
      <c r="AA1502" s="53">
        <f t="shared" si="1063"/>
        <v>-7.6977357821306214E-10</v>
      </c>
      <c r="AB1502" s="38"/>
      <c r="AC1502" s="38"/>
      <c r="AD1502" s="38"/>
      <c r="AE1502" s="54">
        <f t="shared" si="1064"/>
        <v>-7.6977357821306214E-10</v>
      </c>
      <c r="AF1502" s="53"/>
      <c r="AG1502" s="53">
        <f t="shared" si="1065"/>
        <v>18678.120000000526</v>
      </c>
      <c r="AH1502" s="38"/>
      <c r="AI1502" s="38"/>
      <c r="AJ1502" s="38"/>
      <c r="AK1502" s="54">
        <f t="shared" si="1066"/>
        <v>18678.120000000526</v>
      </c>
      <c r="AL1502" s="53"/>
      <c r="AM1502" s="53">
        <f t="shared" si="1049"/>
        <v>282.6699999999995</v>
      </c>
      <c r="AN1502" s="38"/>
      <c r="AO1502" s="38"/>
      <c r="AP1502" s="38"/>
      <c r="AQ1502" s="54">
        <f t="shared" si="1070"/>
        <v>282.6699999999995</v>
      </c>
      <c r="AR1502" s="53"/>
      <c r="AS1502" s="29">
        <f t="shared" si="1050"/>
        <v>-2135318.4799999986</v>
      </c>
      <c r="AT1502" s="29">
        <f t="shared" si="1051"/>
        <v>0</v>
      </c>
      <c r="AU1502" s="29">
        <f t="shared" si="1052"/>
        <v>0</v>
      </c>
      <c r="AV1502" s="29">
        <f t="shared" si="1053"/>
        <v>0</v>
      </c>
      <c r="AW1502" s="29"/>
      <c r="AX1502" s="29">
        <f t="shared" si="1054"/>
        <v>-2135318.4799999986</v>
      </c>
      <c r="AY1502" s="29">
        <f t="shared" si="1067"/>
        <v>9300000</v>
      </c>
      <c r="AZ1502" s="29">
        <f t="shared" si="1068"/>
        <v>7164681.5200000014</v>
      </c>
    </row>
    <row r="1503" spans="2:52" x14ac:dyDescent="0.3">
      <c r="B1503" s="99">
        <f t="shared" si="1076"/>
        <v>46268</v>
      </c>
      <c r="C1503" s="44">
        <f t="shared" si="1055"/>
        <v>766908.08000000287</v>
      </c>
      <c r="D1503" s="38"/>
      <c r="E1503" s="38"/>
      <c r="F1503" s="38"/>
      <c r="G1503" s="45">
        <f t="shared" si="1056"/>
        <v>766908.08000000287</v>
      </c>
      <c r="H1503" s="44">
        <v>4300000</v>
      </c>
      <c r="I1503" s="46">
        <f t="shared" si="1057"/>
        <v>-2921513.5399999996</v>
      </c>
      <c r="J1503" s="38"/>
      <c r="K1503" s="38"/>
      <c r="L1503" s="38"/>
      <c r="M1503" s="47">
        <f t="shared" si="1058"/>
        <v>-2921513.5399999996</v>
      </c>
      <c r="N1503" s="46">
        <v>5000000</v>
      </c>
      <c r="O1503" s="48">
        <f t="shared" si="1059"/>
        <v>267.77999999932945</v>
      </c>
      <c r="P1503" s="38"/>
      <c r="Q1503" s="38"/>
      <c r="R1503" s="38"/>
      <c r="S1503" s="55">
        <f t="shared" si="1060"/>
        <v>267.77999999932945</v>
      </c>
      <c r="T1503" s="48"/>
      <c r="U1503" s="49">
        <f t="shared" si="1061"/>
        <v>58.409999999403965</v>
      </c>
      <c r="V1503" s="38"/>
      <c r="W1503" s="38"/>
      <c r="X1503" s="38"/>
      <c r="Y1503" s="51">
        <f t="shared" si="1062"/>
        <v>58.409999999403965</v>
      </c>
      <c r="Z1503" s="52"/>
      <c r="AA1503" s="53">
        <f t="shared" si="1063"/>
        <v>-7.6977357821306214E-10</v>
      </c>
      <c r="AB1503" s="38"/>
      <c r="AC1503" s="38"/>
      <c r="AD1503" s="38"/>
      <c r="AE1503" s="54">
        <f t="shared" si="1064"/>
        <v>-7.6977357821306214E-10</v>
      </c>
      <c r="AF1503" s="53"/>
      <c r="AG1503" s="53">
        <f t="shared" si="1065"/>
        <v>18678.120000000526</v>
      </c>
      <c r="AH1503" s="38"/>
      <c r="AI1503" s="38"/>
      <c r="AJ1503" s="38"/>
      <c r="AK1503" s="54">
        <f t="shared" si="1066"/>
        <v>18678.120000000526</v>
      </c>
      <c r="AL1503" s="53"/>
      <c r="AM1503" s="53">
        <f t="shared" si="1049"/>
        <v>282.6699999999995</v>
      </c>
      <c r="AN1503" s="38"/>
      <c r="AO1503" s="38"/>
      <c r="AP1503" s="38"/>
      <c r="AQ1503" s="54">
        <f t="shared" si="1070"/>
        <v>282.6699999999995</v>
      </c>
      <c r="AR1503" s="53"/>
      <c r="AS1503" s="29">
        <f t="shared" si="1050"/>
        <v>-2135318.4799999986</v>
      </c>
      <c r="AT1503" s="29">
        <f t="shared" si="1051"/>
        <v>0</v>
      </c>
      <c r="AU1503" s="29">
        <f t="shared" si="1052"/>
        <v>0</v>
      </c>
      <c r="AV1503" s="29">
        <f t="shared" si="1053"/>
        <v>0</v>
      </c>
      <c r="AW1503" s="29"/>
      <c r="AX1503" s="29">
        <f t="shared" si="1054"/>
        <v>-2135318.4799999986</v>
      </c>
      <c r="AY1503" s="29">
        <f t="shared" si="1067"/>
        <v>9300000</v>
      </c>
      <c r="AZ1503" s="29">
        <f t="shared" si="1068"/>
        <v>7164681.5200000014</v>
      </c>
    </row>
    <row r="1504" spans="2:52" x14ac:dyDescent="0.3">
      <c r="B1504" s="99">
        <f t="shared" si="1076"/>
        <v>46269</v>
      </c>
      <c r="C1504" s="44">
        <f t="shared" si="1055"/>
        <v>766908.08000000287</v>
      </c>
      <c r="D1504" s="38"/>
      <c r="E1504" s="38"/>
      <c r="F1504" s="38"/>
      <c r="G1504" s="45">
        <f t="shared" si="1056"/>
        <v>766908.08000000287</v>
      </c>
      <c r="H1504" s="44">
        <v>4300000</v>
      </c>
      <c r="I1504" s="46">
        <f t="shared" si="1057"/>
        <v>-2921513.5399999996</v>
      </c>
      <c r="J1504" s="38"/>
      <c r="K1504" s="38"/>
      <c r="L1504" s="38"/>
      <c r="M1504" s="47">
        <f t="shared" si="1058"/>
        <v>-2921513.5399999996</v>
      </c>
      <c r="N1504" s="46">
        <v>5000000</v>
      </c>
      <c r="O1504" s="48">
        <f t="shared" si="1059"/>
        <v>267.77999999932945</v>
      </c>
      <c r="P1504" s="38"/>
      <c r="Q1504" s="38"/>
      <c r="R1504" s="38"/>
      <c r="S1504" s="55">
        <f t="shared" si="1060"/>
        <v>267.77999999932945</v>
      </c>
      <c r="T1504" s="48"/>
      <c r="U1504" s="49">
        <f t="shared" si="1061"/>
        <v>58.409999999403965</v>
      </c>
      <c r="V1504" s="38"/>
      <c r="W1504" s="38"/>
      <c r="X1504" s="38"/>
      <c r="Y1504" s="51">
        <f t="shared" si="1062"/>
        <v>58.409999999403965</v>
      </c>
      <c r="Z1504" s="52"/>
      <c r="AA1504" s="53">
        <f t="shared" si="1063"/>
        <v>-7.6977357821306214E-10</v>
      </c>
      <c r="AB1504" s="38"/>
      <c r="AC1504" s="38"/>
      <c r="AD1504" s="38"/>
      <c r="AE1504" s="54">
        <f t="shared" si="1064"/>
        <v>-7.6977357821306214E-10</v>
      </c>
      <c r="AF1504" s="53"/>
      <c r="AG1504" s="53">
        <f t="shared" si="1065"/>
        <v>18678.120000000526</v>
      </c>
      <c r="AH1504" s="38"/>
      <c r="AI1504" s="38"/>
      <c r="AJ1504" s="38"/>
      <c r="AK1504" s="54">
        <f t="shared" si="1066"/>
        <v>18678.120000000526</v>
      </c>
      <c r="AL1504" s="53"/>
      <c r="AM1504" s="53">
        <f t="shared" si="1049"/>
        <v>282.6699999999995</v>
      </c>
      <c r="AN1504" s="38"/>
      <c r="AO1504" s="38"/>
      <c r="AP1504" s="38"/>
      <c r="AQ1504" s="54">
        <f t="shared" si="1070"/>
        <v>282.6699999999995</v>
      </c>
      <c r="AR1504" s="53"/>
      <c r="AS1504" s="29">
        <f t="shared" si="1050"/>
        <v>-2135318.4799999986</v>
      </c>
      <c r="AT1504" s="29">
        <f t="shared" si="1051"/>
        <v>0</v>
      </c>
      <c r="AU1504" s="29">
        <f t="shared" si="1052"/>
        <v>0</v>
      </c>
      <c r="AV1504" s="29">
        <f t="shared" si="1053"/>
        <v>0</v>
      </c>
      <c r="AW1504" s="29"/>
      <c r="AX1504" s="29">
        <f t="shared" si="1054"/>
        <v>-2135318.4799999986</v>
      </c>
      <c r="AY1504" s="29">
        <f t="shared" si="1067"/>
        <v>9300000</v>
      </c>
      <c r="AZ1504" s="29">
        <f t="shared" si="1068"/>
        <v>7164681.5200000014</v>
      </c>
    </row>
    <row r="1505" spans="2:52" x14ac:dyDescent="0.3">
      <c r="B1505" s="99">
        <f>B1504+3</f>
        <v>46272</v>
      </c>
      <c r="C1505" s="44">
        <f t="shared" si="1055"/>
        <v>766908.08000000287</v>
      </c>
      <c r="D1505" s="38"/>
      <c r="E1505" s="38"/>
      <c r="F1505" s="38"/>
      <c r="G1505" s="45">
        <f t="shared" si="1056"/>
        <v>766908.08000000287</v>
      </c>
      <c r="H1505" s="44">
        <v>4300000</v>
      </c>
      <c r="I1505" s="46">
        <f t="shared" si="1057"/>
        <v>-2921513.5399999996</v>
      </c>
      <c r="J1505" s="38"/>
      <c r="K1505" s="38"/>
      <c r="L1505" s="38"/>
      <c r="M1505" s="47">
        <f t="shared" si="1058"/>
        <v>-2921513.5399999996</v>
      </c>
      <c r="N1505" s="46">
        <v>5000000</v>
      </c>
      <c r="O1505" s="48">
        <f t="shared" si="1059"/>
        <v>267.77999999932945</v>
      </c>
      <c r="P1505" s="38"/>
      <c r="Q1505" s="38"/>
      <c r="R1505" s="38"/>
      <c r="S1505" s="55">
        <f t="shared" si="1060"/>
        <v>267.77999999932945</v>
      </c>
      <c r="T1505" s="48"/>
      <c r="U1505" s="49">
        <f t="shared" si="1061"/>
        <v>58.409999999403965</v>
      </c>
      <c r="V1505" s="38"/>
      <c r="W1505" s="38"/>
      <c r="X1505" s="38"/>
      <c r="Y1505" s="51">
        <f t="shared" si="1062"/>
        <v>58.409999999403965</v>
      </c>
      <c r="Z1505" s="52"/>
      <c r="AA1505" s="53">
        <f t="shared" si="1063"/>
        <v>-7.6977357821306214E-10</v>
      </c>
      <c r="AB1505" s="38"/>
      <c r="AC1505" s="38"/>
      <c r="AD1505" s="38"/>
      <c r="AE1505" s="54">
        <f t="shared" si="1064"/>
        <v>-7.6977357821306214E-10</v>
      </c>
      <c r="AF1505" s="53"/>
      <c r="AG1505" s="53">
        <f t="shared" si="1065"/>
        <v>18678.120000000526</v>
      </c>
      <c r="AH1505" s="38"/>
      <c r="AI1505" s="38"/>
      <c r="AJ1505" s="38"/>
      <c r="AK1505" s="54">
        <f t="shared" si="1066"/>
        <v>18678.120000000526</v>
      </c>
      <c r="AL1505" s="53"/>
      <c r="AM1505" s="53">
        <f t="shared" si="1049"/>
        <v>282.6699999999995</v>
      </c>
      <c r="AN1505" s="38"/>
      <c r="AO1505" s="38"/>
      <c r="AP1505" s="38"/>
      <c r="AQ1505" s="54">
        <f t="shared" si="1070"/>
        <v>282.6699999999995</v>
      </c>
      <c r="AR1505" s="53"/>
      <c r="AS1505" s="29">
        <f t="shared" si="1050"/>
        <v>-2135318.4799999986</v>
      </c>
      <c r="AT1505" s="29">
        <f t="shared" si="1051"/>
        <v>0</v>
      </c>
      <c r="AU1505" s="29">
        <f t="shared" si="1052"/>
        <v>0</v>
      </c>
      <c r="AV1505" s="29">
        <f t="shared" si="1053"/>
        <v>0</v>
      </c>
      <c r="AW1505" s="29"/>
      <c r="AX1505" s="29">
        <f t="shared" si="1054"/>
        <v>-2135318.4799999986</v>
      </c>
      <c r="AY1505" s="29">
        <f t="shared" si="1067"/>
        <v>9300000</v>
      </c>
      <c r="AZ1505" s="29">
        <f t="shared" si="1068"/>
        <v>7164681.5200000014</v>
      </c>
    </row>
    <row r="1506" spans="2:52" x14ac:dyDescent="0.3">
      <c r="B1506" s="99">
        <f t="shared" ref="B1506:B1509" si="1077">B1505+1</f>
        <v>46273</v>
      </c>
      <c r="C1506" s="44">
        <f t="shared" si="1055"/>
        <v>766908.08000000287</v>
      </c>
      <c r="D1506" s="38"/>
      <c r="E1506" s="38"/>
      <c r="F1506" s="38"/>
      <c r="G1506" s="45">
        <f t="shared" si="1056"/>
        <v>766908.08000000287</v>
      </c>
      <c r="H1506" s="44">
        <v>4300000</v>
      </c>
      <c r="I1506" s="46">
        <f t="shared" si="1057"/>
        <v>-2921513.5399999996</v>
      </c>
      <c r="J1506" s="38"/>
      <c r="K1506" s="38"/>
      <c r="L1506" s="38"/>
      <c r="M1506" s="47">
        <f t="shared" si="1058"/>
        <v>-2921513.5399999996</v>
      </c>
      <c r="N1506" s="46">
        <v>5000000</v>
      </c>
      <c r="O1506" s="48">
        <f t="shared" si="1059"/>
        <v>267.77999999932945</v>
      </c>
      <c r="P1506" s="38"/>
      <c r="Q1506" s="38"/>
      <c r="R1506" s="38"/>
      <c r="S1506" s="55">
        <f t="shared" si="1060"/>
        <v>267.77999999932945</v>
      </c>
      <c r="T1506" s="48"/>
      <c r="U1506" s="49">
        <f t="shared" si="1061"/>
        <v>58.409999999403965</v>
      </c>
      <c r="V1506" s="38"/>
      <c r="W1506" s="38"/>
      <c r="X1506" s="38"/>
      <c r="Y1506" s="51">
        <f t="shared" si="1062"/>
        <v>58.409999999403965</v>
      </c>
      <c r="Z1506" s="52"/>
      <c r="AA1506" s="53">
        <f t="shared" si="1063"/>
        <v>-7.6977357821306214E-10</v>
      </c>
      <c r="AB1506" s="38"/>
      <c r="AC1506" s="38"/>
      <c r="AD1506" s="38"/>
      <c r="AE1506" s="54">
        <f t="shared" si="1064"/>
        <v>-7.6977357821306214E-10</v>
      </c>
      <c r="AF1506" s="53"/>
      <c r="AG1506" s="53">
        <f t="shared" si="1065"/>
        <v>18678.120000000526</v>
      </c>
      <c r="AH1506" s="38"/>
      <c r="AI1506" s="38"/>
      <c r="AJ1506" s="38"/>
      <c r="AK1506" s="54">
        <f t="shared" si="1066"/>
        <v>18678.120000000526</v>
      </c>
      <c r="AL1506" s="53"/>
      <c r="AM1506" s="53">
        <f t="shared" si="1049"/>
        <v>282.6699999999995</v>
      </c>
      <c r="AN1506" s="38"/>
      <c r="AO1506" s="38"/>
      <c r="AP1506" s="38"/>
      <c r="AQ1506" s="54">
        <f t="shared" si="1070"/>
        <v>282.6699999999995</v>
      </c>
      <c r="AR1506" s="53"/>
      <c r="AS1506" s="29">
        <f t="shared" si="1050"/>
        <v>-2135318.4799999986</v>
      </c>
      <c r="AT1506" s="29">
        <f t="shared" si="1051"/>
        <v>0</v>
      </c>
      <c r="AU1506" s="29">
        <f t="shared" si="1052"/>
        <v>0</v>
      </c>
      <c r="AV1506" s="29">
        <f t="shared" si="1053"/>
        <v>0</v>
      </c>
      <c r="AW1506" s="29"/>
      <c r="AX1506" s="29">
        <f t="shared" si="1054"/>
        <v>-2135318.4799999986</v>
      </c>
      <c r="AY1506" s="29">
        <f t="shared" si="1067"/>
        <v>9300000</v>
      </c>
      <c r="AZ1506" s="29">
        <f t="shared" si="1068"/>
        <v>7164681.5200000014</v>
      </c>
    </row>
    <row r="1507" spans="2:52" x14ac:dyDescent="0.3">
      <c r="B1507" s="99">
        <f t="shared" si="1077"/>
        <v>46274</v>
      </c>
      <c r="C1507" s="44">
        <f t="shared" si="1055"/>
        <v>766908.08000000287</v>
      </c>
      <c r="D1507" s="38"/>
      <c r="E1507" s="38"/>
      <c r="F1507" s="38"/>
      <c r="G1507" s="45">
        <f t="shared" si="1056"/>
        <v>766908.08000000287</v>
      </c>
      <c r="H1507" s="44">
        <v>4300000</v>
      </c>
      <c r="I1507" s="46">
        <f t="shared" si="1057"/>
        <v>-2921513.5399999996</v>
      </c>
      <c r="J1507" s="38"/>
      <c r="K1507" s="38"/>
      <c r="L1507" s="38"/>
      <c r="M1507" s="47">
        <f t="shared" si="1058"/>
        <v>-2921513.5399999996</v>
      </c>
      <c r="N1507" s="46">
        <v>5000000</v>
      </c>
      <c r="O1507" s="48">
        <f t="shared" si="1059"/>
        <v>267.77999999932945</v>
      </c>
      <c r="P1507" s="38"/>
      <c r="Q1507" s="38"/>
      <c r="R1507" s="38"/>
      <c r="S1507" s="55">
        <f t="shared" si="1060"/>
        <v>267.77999999932945</v>
      </c>
      <c r="T1507" s="48"/>
      <c r="U1507" s="49">
        <f t="shared" si="1061"/>
        <v>58.409999999403965</v>
      </c>
      <c r="V1507" s="38"/>
      <c r="W1507" s="38"/>
      <c r="X1507" s="38"/>
      <c r="Y1507" s="51">
        <f t="shared" si="1062"/>
        <v>58.409999999403965</v>
      </c>
      <c r="Z1507" s="52"/>
      <c r="AA1507" s="53">
        <f t="shared" si="1063"/>
        <v>-7.6977357821306214E-10</v>
      </c>
      <c r="AB1507" s="38"/>
      <c r="AC1507" s="38"/>
      <c r="AD1507" s="38"/>
      <c r="AE1507" s="54">
        <f t="shared" si="1064"/>
        <v>-7.6977357821306214E-10</v>
      </c>
      <c r="AF1507" s="53"/>
      <c r="AG1507" s="53">
        <f t="shared" si="1065"/>
        <v>18678.120000000526</v>
      </c>
      <c r="AH1507" s="38"/>
      <c r="AI1507" s="38"/>
      <c r="AJ1507" s="38"/>
      <c r="AK1507" s="54">
        <f t="shared" si="1066"/>
        <v>18678.120000000526</v>
      </c>
      <c r="AL1507" s="53"/>
      <c r="AM1507" s="53">
        <f t="shared" si="1049"/>
        <v>282.6699999999995</v>
      </c>
      <c r="AN1507" s="38"/>
      <c r="AO1507" s="38"/>
      <c r="AP1507" s="38"/>
      <c r="AQ1507" s="54">
        <f t="shared" si="1070"/>
        <v>282.6699999999995</v>
      </c>
      <c r="AR1507" s="53"/>
      <c r="AS1507" s="29">
        <f t="shared" si="1050"/>
        <v>-2135318.4799999986</v>
      </c>
      <c r="AT1507" s="29">
        <f t="shared" si="1051"/>
        <v>0</v>
      </c>
      <c r="AU1507" s="29">
        <f t="shared" si="1052"/>
        <v>0</v>
      </c>
      <c r="AV1507" s="29">
        <f t="shared" si="1053"/>
        <v>0</v>
      </c>
      <c r="AW1507" s="29"/>
      <c r="AX1507" s="29">
        <f t="shared" si="1054"/>
        <v>-2135318.4799999986</v>
      </c>
      <c r="AY1507" s="29">
        <f t="shared" si="1067"/>
        <v>9300000</v>
      </c>
      <c r="AZ1507" s="29">
        <f t="shared" si="1068"/>
        <v>7164681.5200000014</v>
      </c>
    </row>
    <row r="1508" spans="2:52" x14ac:dyDescent="0.3">
      <c r="B1508" s="99">
        <f t="shared" si="1077"/>
        <v>46275</v>
      </c>
      <c r="C1508" s="44">
        <f t="shared" si="1055"/>
        <v>766908.08000000287</v>
      </c>
      <c r="D1508" s="38"/>
      <c r="E1508" s="38"/>
      <c r="F1508" s="38"/>
      <c r="G1508" s="45">
        <f t="shared" si="1056"/>
        <v>766908.08000000287</v>
      </c>
      <c r="H1508" s="44">
        <v>4300000</v>
      </c>
      <c r="I1508" s="46">
        <f t="shared" si="1057"/>
        <v>-2921513.5399999996</v>
      </c>
      <c r="J1508" s="38"/>
      <c r="K1508" s="38"/>
      <c r="L1508" s="38"/>
      <c r="M1508" s="47">
        <f t="shared" si="1058"/>
        <v>-2921513.5399999996</v>
      </c>
      <c r="N1508" s="46">
        <v>5000000</v>
      </c>
      <c r="O1508" s="48">
        <f t="shared" si="1059"/>
        <v>267.77999999932945</v>
      </c>
      <c r="P1508" s="38"/>
      <c r="Q1508" s="38"/>
      <c r="R1508" s="38"/>
      <c r="S1508" s="55">
        <f t="shared" si="1060"/>
        <v>267.77999999932945</v>
      </c>
      <c r="T1508" s="48"/>
      <c r="U1508" s="49">
        <f t="shared" si="1061"/>
        <v>58.409999999403965</v>
      </c>
      <c r="V1508" s="38"/>
      <c r="W1508" s="38"/>
      <c r="X1508" s="38"/>
      <c r="Y1508" s="51">
        <f t="shared" si="1062"/>
        <v>58.409999999403965</v>
      </c>
      <c r="Z1508" s="52"/>
      <c r="AA1508" s="53">
        <f t="shared" si="1063"/>
        <v>-7.6977357821306214E-10</v>
      </c>
      <c r="AB1508" s="38"/>
      <c r="AC1508" s="38"/>
      <c r="AD1508" s="38"/>
      <c r="AE1508" s="54">
        <f t="shared" si="1064"/>
        <v>-7.6977357821306214E-10</v>
      </c>
      <c r="AF1508" s="53"/>
      <c r="AG1508" s="53">
        <f t="shared" si="1065"/>
        <v>18678.120000000526</v>
      </c>
      <c r="AH1508" s="38"/>
      <c r="AI1508" s="38"/>
      <c r="AJ1508" s="38"/>
      <c r="AK1508" s="54">
        <f t="shared" si="1066"/>
        <v>18678.120000000526</v>
      </c>
      <c r="AL1508" s="53"/>
      <c r="AM1508" s="53">
        <f t="shared" si="1049"/>
        <v>282.6699999999995</v>
      </c>
      <c r="AN1508" s="38"/>
      <c r="AO1508" s="38"/>
      <c r="AP1508" s="38"/>
      <c r="AQ1508" s="54">
        <f t="shared" si="1070"/>
        <v>282.6699999999995</v>
      </c>
      <c r="AR1508" s="53"/>
      <c r="AS1508" s="29">
        <f t="shared" si="1050"/>
        <v>-2135318.4799999986</v>
      </c>
      <c r="AT1508" s="29">
        <f t="shared" si="1051"/>
        <v>0</v>
      </c>
      <c r="AU1508" s="29">
        <f t="shared" si="1052"/>
        <v>0</v>
      </c>
      <c r="AV1508" s="29">
        <f t="shared" si="1053"/>
        <v>0</v>
      </c>
      <c r="AW1508" s="29"/>
      <c r="AX1508" s="29">
        <f t="shared" si="1054"/>
        <v>-2135318.4799999986</v>
      </c>
      <c r="AY1508" s="29">
        <f t="shared" si="1067"/>
        <v>9300000</v>
      </c>
      <c r="AZ1508" s="29">
        <f t="shared" si="1068"/>
        <v>7164681.5200000014</v>
      </c>
    </row>
    <row r="1509" spans="2:52" x14ac:dyDescent="0.3">
      <c r="B1509" s="99">
        <f t="shared" si="1077"/>
        <v>46276</v>
      </c>
      <c r="C1509" s="44">
        <f t="shared" si="1055"/>
        <v>766908.08000000287</v>
      </c>
      <c r="D1509" s="38"/>
      <c r="E1509" s="38"/>
      <c r="F1509" s="38"/>
      <c r="G1509" s="45">
        <f t="shared" si="1056"/>
        <v>766908.08000000287</v>
      </c>
      <c r="H1509" s="44">
        <v>4300000</v>
      </c>
      <c r="I1509" s="46">
        <f t="shared" si="1057"/>
        <v>-2921513.5399999996</v>
      </c>
      <c r="J1509" s="38"/>
      <c r="K1509" s="38"/>
      <c r="L1509" s="38"/>
      <c r="M1509" s="47">
        <f t="shared" si="1058"/>
        <v>-2921513.5399999996</v>
      </c>
      <c r="N1509" s="46">
        <v>5000000</v>
      </c>
      <c r="O1509" s="48">
        <f t="shared" si="1059"/>
        <v>267.77999999932945</v>
      </c>
      <c r="P1509" s="38"/>
      <c r="Q1509" s="38"/>
      <c r="R1509" s="38"/>
      <c r="S1509" s="55">
        <f t="shared" si="1060"/>
        <v>267.77999999932945</v>
      </c>
      <c r="T1509" s="48"/>
      <c r="U1509" s="49">
        <f t="shared" si="1061"/>
        <v>58.409999999403965</v>
      </c>
      <c r="V1509" s="38"/>
      <c r="W1509" s="38"/>
      <c r="X1509" s="38"/>
      <c r="Y1509" s="51">
        <f t="shared" si="1062"/>
        <v>58.409999999403965</v>
      </c>
      <c r="Z1509" s="52"/>
      <c r="AA1509" s="53">
        <f t="shared" si="1063"/>
        <v>-7.6977357821306214E-10</v>
      </c>
      <c r="AB1509" s="38"/>
      <c r="AC1509" s="38"/>
      <c r="AD1509" s="38"/>
      <c r="AE1509" s="54">
        <f t="shared" si="1064"/>
        <v>-7.6977357821306214E-10</v>
      </c>
      <c r="AF1509" s="53"/>
      <c r="AG1509" s="53">
        <f t="shared" si="1065"/>
        <v>18678.120000000526</v>
      </c>
      <c r="AH1509" s="38"/>
      <c r="AI1509" s="38"/>
      <c r="AJ1509" s="38"/>
      <c r="AK1509" s="54">
        <f t="shared" si="1066"/>
        <v>18678.120000000526</v>
      </c>
      <c r="AL1509" s="53"/>
      <c r="AM1509" s="53">
        <f t="shared" si="1049"/>
        <v>282.6699999999995</v>
      </c>
      <c r="AN1509" s="38"/>
      <c r="AO1509" s="38"/>
      <c r="AP1509" s="38"/>
      <c r="AQ1509" s="54">
        <f t="shared" si="1070"/>
        <v>282.6699999999995</v>
      </c>
      <c r="AR1509" s="53"/>
      <c r="AS1509" s="29">
        <f t="shared" si="1050"/>
        <v>-2135318.4799999986</v>
      </c>
      <c r="AT1509" s="29">
        <f t="shared" si="1051"/>
        <v>0</v>
      </c>
      <c r="AU1509" s="29">
        <f t="shared" si="1052"/>
        <v>0</v>
      </c>
      <c r="AV1509" s="29">
        <f t="shared" si="1053"/>
        <v>0</v>
      </c>
      <c r="AW1509" s="29"/>
      <c r="AX1509" s="29">
        <f t="shared" si="1054"/>
        <v>-2135318.4799999986</v>
      </c>
      <c r="AY1509" s="29">
        <f t="shared" si="1067"/>
        <v>9300000</v>
      </c>
      <c r="AZ1509" s="29">
        <f t="shared" si="1068"/>
        <v>7164681.5200000014</v>
      </c>
    </row>
    <row r="1510" spans="2:52" x14ac:dyDescent="0.3">
      <c r="B1510" s="99">
        <f>B1509+3</f>
        <v>46279</v>
      </c>
      <c r="C1510" s="44">
        <f t="shared" si="1055"/>
        <v>766908.08000000287</v>
      </c>
      <c r="D1510" s="38"/>
      <c r="E1510" s="38"/>
      <c r="F1510" s="38"/>
      <c r="G1510" s="45">
        <f t="shared" si="1056"/>
        <v>766908.08000000287</v>
      </c>
      <c r="H1510" s="44">
        <v>4300000</v>
      </c>
      <c r="I1510" s="46">
        <f t="shared" si="1057"/>
        <v>-2921513.5399999996</v>
      </c>
      <c r="J1510" s="38"/>
      <c r="K1510" s="38"/>
      <c r="L1510" s="38"/>
      <c r="M1510" s="47">
        <f t="shared" si="1058"/>
        <v>-2921513.5399999996</v>
      </c>
      <c r="N1510" s="46">
        <v>5000000</v>
      </c>
      <c r="O1510" s="48">
        <f t="shared" si="1059"/>
        <v>267.77999999932945</v>
      </c>
      <c r="P1510" s="38"/>
      <c r="Q1510" s="38"/>
      <c r="R1510" s="38"/>
      <c r="S1510" s="55">
        <f t="shared" si="1060"/>
        <v>267.77999999932945</v>
      </c>
      <c r="T1510" s="48"/>
      <c r="U1510" s="49">
        <f t="shared" si="1061"/>
        <v>58.409999999403965</v>
      </c>
      <c r="V1510" s="38"/>
      <c r="W1510" s="38"/>
      <c r="X1510" s="38"/>
      <c r="Y1510" s="51">
        <f t="shared" si="1062"/>
        <v>58.409999999403965</v>
      </c>
      <c r="Z1510" s="52"/>
      <c r="AA1510" s="53">
        <f t="shared" si="1063"/>
        <v>-7.6977357821306214E-10</v>
      </c>
      <c r="AB1510" s="38"/>
      <c r="AC1510" s="38"/>
      <c r="AD1510" s="38"/>
      <c r="AE1510" s="54">
        <f t="shared" si="1064"/>
        <v>-7.6977357821306214E-10</v>
      </c>
      <c r="AF1510" s="53"/>
      <c r="AG1510" s="53">
        <f t="shared" si="1065"/>
        <v>18678.120000000526</v>
      </c>
      <c r="AH1510" s="38"/>
      <c r="AI1510" s="38"/>
      <c r="AJ1510" s="38"/>
      <c r="AK1510" s="54">
        <f t="shared" si="1066"/>
        <v>18678.120000000526</v>
      </c>
      <c r="AL1510" s="53"/>
      <c r="AM1510" s="53">
        <f t="shared" si="1049"/>
        <v>282.6699999999995</v>
      </c>
      <c r="AN1510" s="38"/>
      <c r="AO1510" s="38"/>
      <c r="AP1510" s="38"/>
      <c r="AQ1510" s="54">
        <f t="shared" si="1070"/>
        <v>282.6699999999995</v>
      </c>
      <c r="AR1510" s="53"/>
      <c r="AS1510" s="29">
        <f t="shared" si="1050"/>
        <v>-2135318.4799999986</v>
      </c>
      <c r="AT1510" s="29">
        <f t="shared" si="1051"/>
        <v>0</v>
      </c>
      <c r="AU1510" s="29">
        <f t="shared" si="1052"/>
        <v>0</v>
      </c>
      <c r="AV1510" s="29">
        <f t="shared" si="1053"/>
        <v>0</v>
      </c>
      <c r="AW1510" s="29"/>
      <c r="AX1510" s="29">
        <f t="shared" si="1054"/>
        <v>-2135318.4799999986</v>
      </c>
      <c r="AY1510" s="29">
        <f t="shared" si="1067"/>
        <v>9300000</v>
      </c>
      <c r="AZ1510" s="29">
        <f t="shared" si="1068"/>
        <v>7164681.5200000014</v>
      </c>
    </row>
    <row r="1511" spans="2:52" x14ac:dyDescent="0.3">
      <c r="B1511" s="99">
        <f t="shared" ref="B1511:B1514" si="1078">B1510+1</f>
        <v>46280</v>
      </c>
      <c r="C1511" s="44">
        <f t="shared" si="1055"/>
        <v>766908.08000000287</v>
      </c>
      <c r="D1511" s="38"/>
      <c r="E1511" s="38"/>
      <c r="F1511" s="38"/>
      <c r="G1511" s="45">
        <f t="shared" si="1056"/>
        <v>766908.08000000287</v>
      </c>
      <c r="H1511" s="44">
        <v>4300000</v>
      </c>
      <c r="I1511" s="46">
        <f t="shared" si="1057"/>
        <v>-2921513.5399999996</v>
      </c>
      <c r="J1511" s="38"/>
      <c r="K1511" s="38"/>
      <c r="L1511" s="38"/>
      <c r="M1511" s="47">
        <f t="shared" si="1058"/>
        <v>-2921513.5399999996</v>
      </c>
      <c r="N1511" s="46">
        <v>5000000</v>
      </c>
      <c r="O1511" s="48">
        <f t="shared" si="1059"/>
        <v>267.77999999932945</v>
      </c>
      <c r="P1511" s="38"/>
      <c r="Q1511" s="38"/>
      <c r="R1511" s="38"/>
      <c r="S1511" s="55">
        <f t="shared" si="1060"/>
        <v>267.77999999932945</v>
      </c>
      <c r="T1511" s="48"/>
      <c r="U1511" s="49">
        <f t="shared" si="1061"/>
        <v>58.409999999403965</v>
      </c>
      <c r="V1511" s="38"/>
      <c r="W1511" s="38"/>
      <c r="X1511" s="38"/>
      <c r="Y1511" s="51">
        <f t="shared" si="1062"/>
        <v>58.409999999403965</v>
      </c>
      <c r="Z1511" s="52"/>
      <c r="AA1511" s="53">
        <f t="shared" si="1063"/>
        <v>-7.6977357821306214E-10</v>
      </c>
      <c r="AB1511" s="38"/>
      <c r="AC1511" s="38"/>
      <c r="AD1511" s="38"/>
      <c r="AE1511" s="54">
        <f t="shared" si="1064"/>
        <v>-7.6977357821306214E-10</v>
      </c>
      <c r="AF1511" s="53"/>
      <c r="AG1511" s="53">
        <f t="shared" si="1065"/>
        <v>18678.120000000526</v>
      </c>
      <c r="AH1511" s="38"/>
      <c r="AI1511" s="38"/>
      <c r="AJ1511" s="38"/>
      <c r="AK1511" s="54">
        <f t="shared" si="1066"/>
        <v>18678.120000000526</v>
      </c>
      <c r="AL1511" s="53"/>
      <c r="AM1511" s="53">
        <f t="shared" si="1049"/>
        <v>282.6699999999995</v>
      </c>
      <c r="AN1511" s="38"/>
      <c r="AO1511" s="38"/>
      <c r="AP1511" s="38"/>
      <c r="AQ1511" s="54">
        <f t="shared" si="1070"/>
        <v>282.6699999999995</v>
      </c>
      <c r="AR1511" s="53"/>
      <c r="AS1511" s="29">
        <f t="shared" si="1050"/>
        <v>-2135318.4799999986</v>
      </c>
      <c r="AT1511" s="29">
        <f t="shared" si="1051"/>
        <v>0</v>
      </c>
      <c r="AU1511" s="29">
        <f t="shared" si="1052"/>
        <v>0</v>
      </c>
      <c r="AV1511" s="29">
        <f t="shared" si="1053"/>
        <v>0</v>
      </c>
      <c r="AW1511" s="29"/>
      <c r="AX1511" s="29">
        <f t="shared" si="1054"/>
        <v>-2135318.4799999986</v>
      </c>
      <c r="AY1511" s="29">
        <f t="shared" si="1067"/>
        <v>9300000</v>
      </c>
      <c r="AZ1511" s="29">
        <f t="shared" si="1068"/>
        <v>7164681.5200000014</v>
      </c>
    </row>
    <row r="1512" spans="2:52" x14ac:dyDescent="0.3">
      <c r="B1512" s="99">
        <f t="shared" si="1078"/>
        <v>46281</v>
      </c>
      <c r="C1512" s="44">
        <f t="shared" si="1055"/>
        <v>766908.08000000287</v>
      </c>
      <c r="D1512" s="38"/>
      <c r="E1512" s="38"/>
      <c r="F1512" s="38"/>
      <c r="G1512" s="45">
        <f t="shared" si="1056"/>
        <v>766908.08000000287</v>
      </c>
      <c r="H1512" s="44">
        <v>4300000</v>
      </c>
      <c r="I1512" s="46">
        <f t="shared" si="1057"/>
        <v>-2921513.5399999996</v>
      </c>
      <c r="J1512" s="38"/>
      <c r="K1512" s="38"/>
      <c r="L1512" s="38"/>
      <c r="M1512" s="47">
        <f t="shared" si="1058"/>
        <v>-2921513.5399999996</v>
      </c>
      <c r="N1512" s="46">
        <v>5000000</v>
      </c>
      <c r="O1512" s="48">
        <f t="shared" si="1059"/>
        <v>267.77999999932945</v>
      </c>
      <c r="P1512" s="38"/>
      <c r="Q1512" s="38"/>
      <c r="R1512" s="38"/>
      <c r="S1512" s="55">
        <f t="shared" si="1060"/>
        <v>267.77999999932945</v>
      </c>
      <c r="T1512" s="48"/>
      <c r="U1512" s="49">
        <f t="shared" si="1061"/>
        <v>58.409999999403965</v>
      </c>
      <c r="V1512" s="38"/>
      <c r="W1512" s="38"/>
      <c r="X1512" s="38"/>
      <c r="Y1512" s="51">
        <f t="shared" si="1062"/>
        <v>58.409999999403965</v>
      </c>
      <c r="Z1512" s="52"/>
      <c r="AA1512" s="53">
        <f t="shared" si="1063"/>
        <v>-7.6977357821306214E-10</v>
      </c>
      <c r="AB1512" s="38"/>
      <c r="AC1512" s="38"/>
      <c r="AD1512" s="38"/>
      <c r="AE1512" s="54">
        <f t="shared" si="1064"/>
        <v>-7.6977357821306214E-10</v>
      </c>
      <c r="AF1512" s="53"/>
      <c r="AG1512" s="53">
        <f t="shared" si="1065"/>
        <v>18678.120000000526</v>
      </c>
      <c r="AH1512" s="38"/>
      <c r="AI1512" s="38"/>
      <c r="AJ1512" s="38"/>
      <c r="AK1512" s="54">
        <f t="shared" si="1066"/>
        <v>18678.120000000526</v>
      </c>
      <c r="AL1512" s="53"/>
      <c r="AM1512" s="53">
        <f t="shared" si="1049"/>
        <v>282.6699999999995</v>
      </c>
      <c r="AN1512" s="38"/>
      <c r="AO1512" s="38"/>
      <c r="AP1512" s="38"/>
      <c r="AQ1512" s="54">
        <f t="shared" si="1070"/>
        <v>282.6699999999995</v>
      </c>
      <c r="AR1512" s="53"/>
      <c r="AS1512" s="29">
        <f t="shared" si="1050"/>
        <v>-2135318.4799999986</v>
      </c>
      <c r="AT1512" s="29">
        <f t="shared" si="1051"/>
        <v>0</v>
      </c>
      <c r="AU1512" s="29">
        <f t="shared" si="1052"/>
        <v>0</v>
      </c>
      <c r="AV1512" s="29">
        <f t="shared" si="1053"/>
        <v>0</v>
      </c>
      <c r="AW1512" s="29"/>
      <c r="AX1512" s="29">
        <f t="shared" si="1054"/>
        <v>-2135318.4799999986</v>
      </c>
      <c r="AY1512" s="29">
        <f t="shared" si="1067"/>
        <v>9300000</v>
      </c>
      <c r="AZ1512" s="29">
        <f t="shared" si="1068"/>
        <v>7164681.5200000014</v>
      </c>
    </row>
    <row r="1513" spans="2:52" x14ac:dyDescent="0.3">
      <c r="B1513" s="99">
        <f t="shared" si="1078"/>
        <v>46282</v>
      </c>
      <c r="C1513" s="44">
        <f t="shared" si="1055"/>
        <v>766908.08000000287</v>
      </c>
      <c r="D1513" s="38"/>
      <c r="E1513" s="38"/>
      <c r="F1513" s="38"/>
      <c r="G1513" s="45">
        <f t="shared" si="1056"/>
        <v>766908.08000000287</v>
      </c>
      <c r="H1513" s="44">
        <v>4300000</v>
      </c>
      <c r="I1513" s="46">
        <f t="shared" si="1057"/>
        <v>-2921513.5399999996</v>
      </c>
      <c r="J1513" s="38"/>
      <c r="K1513" s="38"/>
      <c r="L1513" s="38"/>
      <c r="M1513" s="47">
        <f t="shared" si="1058"/>
        <v>-2921513.5399999996</v>
      </c>
      <c r="N1513" s="46">
        <v>5000000</v>
      </c>
      <c r="O1513" s="48">
        <f t="shared" si="1059"/>
        <v>267.77999999932945</v>
      </c>
      <c r="P1513" s="38"/>
      <c r="Q1513" s="38"/>
      <c r="R1513" s="38"/>
      <c r="S1513" s="55">
        <f t="shared" si="1060"/>
        <v>267.77999999932945</v>
      </c>
      <c r="T1513" s="48"/>
      <c r="U1513" s="49">
        <f t="shared" si="1061"/>
        <v>58.409999999403965</v>
      </c>
      <c r="V1513" s="38"/>
      <c r="W1513" s="38"/>
      <c r="X1513" s="38"/>
      <c r="Y1513" s="51">
        <f t="shared" si="1062"/>
        <v>58.409999999403965</v>
      </c>
      <c r="Z1513" s="52"/>
      <c r="AA1513" s="53">
        <f t="shared" si="1063"/>
        <v>-7.6977357821306214E-10</v>
      </c>
      <c r="AB1513" s="38"/>
      <c r="AC1513" s="38"/>
      <c r="AD1513" s="38"/>
      <c r="AE1513" s="54">
        <f t="shared" si="1064"/>
        <v>-7.6977357821306214E-10</v>
      </c>
      <c r="AF1513" s="53"/>
      <c r="AG1513" s="53">
        <f t="shared" si="1065"/>
        <v>18678.120000000526</v>
      </c>
      <c r="AH1513" s="38"/>
      <c r="AI1513" s="38"/>
      <c r="AJ1513" s="38"/>
      <c r="AK1513" s="54">
        <f t="shared" si="1066"/>
        <v>18678.120000000526</v>
      </c>
      <c r="AL1513" s="53"/>
      <c r="AM1513" s="53">
        <f t="shared" si="1049"/>
        <v>282.6699999999995</v>
      </c>
      <c r="AN1513" s="38"/>
      <c r="AO1513" s="38"/>
      <c r="AP1513" s="38"/>
      <c r="AQ1513" s="54">
        <f t="shared" si="1070"/>
        <v>282.6699999999995</v>
      </c>
      <c r="AR1513" s="53"/>
      <c r="AS1513" s="29">
        <f t="shared" si="1050"/>
        <v>-2135318.4799999986</v>
      </c>
      <c r="AT1513" s="29">
        <f t="shared" si="1051"/>
        <v>0</v>
      </c>
      <c r="AU1513" s="29">
        <f t="shared" si="1052"/>
        <v>0</v>
      </c>
      <c r="AV1513" s="29">
        <f t="shared" si="1053"/>
        <v>0</v>
      </c>
      <c r="AW1513" s="29"/>
      <c r="AX1513" s="29">
        <f t="shared" si="1054"/>
        <v>-2135318.4799999986</v>
      </c>
      <c r="AY1513" s="29">
        <f t="shared" si="1067"/>
        <v>9300000</v>
      </c>
      <c r="AZ1513" s="29">
        <f t="shared" si="1068"/>
        <v>7164681.5200000014</v>
      </c>
    </row>
    <row r="1514" spans="2:52" x14ac:dyDescent="0.3">
      <c r="B1514" s="99">
        <f t="shared" si="1078"/>
        <v>46283</v>
      </c>
      <c r="C1514" s="44">
        <f t="shared" si="1055"/>
        <v>766908.08000000287</v>
      </c>
      <c r="D1514" s="38"/>
      <c r="E1514" s="38"/>
      <c r="F1514" s="38"/>
      <c r="G1514" s="45">
        <f t="shared" si="1056"/>
        <v>766908.08000000287</v>
      </c>
      <c r="H1514" s="44">
        <v>4300000</v>
      </c>
      <c r="I1514" s="46">
        <f t="shared" si="1057"/>
        <v>-2921513.5399999996</v>
      </c>
      <c r="J1514" s="38"/>
      <c r="K1514" s="38"/>
      <c r="L1514" s="38"/>
      <c r="M1514" s="47">
        <f t="shared" si="1058"/>
        <v>-2921513.5399999996</v>
      </c>
      <c r="N1514" s="46">
        <v>5000000</v>
      </c>
      <c r="O1514" s="48">
        <f t="shared" si="1059"/>
        <v>267.77999999932945</v>
      </c>
      <c r="P1514" s="38"/>
      <c r="Q1514" s="38"/>
      <c r="R1514" s="38"/>
      <c r="S1514" s="55">
        <f t="shared" si="1060"/>
        <v>267.77999999932945</v>
      </c>
      <c r="T1514" s="48"/>
      <c r="U1514" s="49">
        <f t="shared" si="1061"/>
        <v>58.409999999403965</v>
      </c>
      <c r="V1514" s="38"/>
      <c r="W1514" s="38"/>
      <c r="X1514" s="38"/>
      <c r="Y1514" s="51">
        <f t="shared" si="1062"/>
        <v>58.409999999403965</v>
      </c>
      <c r="Z1514" s="52"/>
      <c r="AA1514" s="53">
        <f t="shared" si="1063"/>
        <v>-7.6977357821306214E-10</v>
      </c>
      <c r="AB1514" s="38"/>
      <c r="AC1514" s="38"/>
      <c r="AD1514" s="38"/>
      <c r="AE1514" s="54">
        <f t="shared" si="1064"/>
        <v>-7.6977357821306214E-10</v>
      </c>
      <c r="AF1514" s="53"/>
      <c r="AG1514" s="53">
        <f t="shared" si="1065"/>
        <v>18678.120000000526</v>
      </c>
      <c r="AH1514" s="38"/>
      <c r="AI1514" s="38"/>
      <c r="AJ1514" s="38"/>
      <c r="AK1514" s="54">
        <f t="shared" si="1066"/>
        <v>18678.120000000526</v>
      </c>
      <c r="AL1514" s="53"/>
      <c r="AM1514" s="53">
        <f t="shared" si="1049"/>
        <v>282.6699999999995</v>
      </c>
      <c r="AN1514" s="38"/>
      <c r="AO1514" s="38"/>
      <c r="AP1514" s="38"/>
      <c r="AQ1514" s="54">
        <f t="shared" si="1070"/>
        <v>282.6699999999995</v>
      </c>
      <c r="AR1514" s="53"/>
      <c r="AS1514" s="29">
        <f t="shared" si="1050"/>
        <v>-2135318.4799999986</v>
      </c>
      <c r="AT1514" s="29">
        <f t="shared" si="1051"/>
        <v>0</v>
      </c>
      <c r="AU1514" s="29">
        <f t="shared" si="1052"/>
        <v>0</v>
      </c>
      <c r="AV1514" s="29">
        <f t="shared" si="1053"/>
        <v>0</v>
      </c>
      <c r="AW1514" s="29"/>
      <c r="AX1514" s="29">
        <f t="shared" si="1054"/>
        <v>-2135318.4799999986</v>
      </c>
      <c r="AY1514" s="29">
        <f t="shared" si="1067"/>
        <v>9300000</v>
      </c>
      <c r="AZ1514" s="29">
        <f t="shared" si="1068"/>
        <v>7164681.5200000014</v>
      </c>
    </row>
    <row r="1515" spans="2:52" x14ac:dyDescent="0.3">
      <c r="B1515" s="99">
        <f>B1514+3</f>
        <v>46286</v>
      </c>
      <c r="C1515" s="44">
        <f t="shared" ref="C1515:C1578" si="1079">G1514</f>
        <v>766908.08000000287</v>
      </c>
      <c r="D1515" s="38"/>
      <c r="E1515" s="38"/>
      <c r="F1515" s="38"/>
      <c r="G1515" s="45">
        <f t="shared" ref="G1515:G1578" si="1080">SUM(C1515:F1515)</f>
        <v>766908.08000000287</v>
      </c>
      <c r="H1515" s="44">
        <v>4300000</v>
      </c>
      <c r="I1515" s="46">
        <f t="shared" ref="I1515:I1578" si="1081">M1514</f>
        <v>-2921513.5399999996</v>
      </c>
      <c r="J1515" s="38"/>
      <c r="K1515" s="38"/>
      <c r="L1515" s="38"/>
      <c r="M1515" s="47">
        <f t="shared" ref="M1515:M1578" si="1082">SUM(I1515:L1515)</f>
        <v>-2921513.5399999996</v>
      </c>
      <c r="N1515" s="46">
        <v>5000000</v>
      </c>
      <c r="O1515" s="48">
        <f t="shared" ref="O1515:O1578" si="1083">S1514</f>
        <v>267.77999999932945</v>
      </c>
      <c r="P1515" s="38"/>
      <c r="Q1515" s="38"/>
      <c r="R1515" s="38"/>
      <c r="S1515" s="55">
        <f t="shared" ref="S1515:S1578" si="1084">SUM(O1515:R1515)</f>
        <v>267.77999999932945</v>
      </c>
      <c r="T1515" s="48"/>
      <c r="U1515" s="49">
        <f t="shared" ref="U1515:U1578" si="1085">Y1514</f>
        <v>58.409999999403965</v>
      </c>
      <c r="V1515" s="38"/>
      <c r="W1515" s="38"/>
      <c r="X1515" s="38"/>
      <c r="Y1515" s="51">
        <f t="shared" ref="Y1515:Y1578" si="1086">SUM(U1515:X1515)</f>
        <v>58.409999999403965</v>
      </c>
      <c r="Z1515" s="52"/>
      <c r="AA1515" s="53">
        <f t="shared" ref="AA1515:AA1578" si="1087">AE1514</f>
        <v>-7.6977357821306214E-10</v>
      </c>
      <c r="AB1515" s="38"/>
      <c r="AC1515" s="38"/>
      <c r="AD1515" s="38"/>
      <c r="AE1515" s="54">
        <f t="shared" ref="AE1515:AE1578" si="1088">SUM(AA1515:AD1515)</f>
        <v>-7.6977357821306214E-10</v>
      </c>
      <c r="AF1515" s="53"/>
      <c r="AG1515" s="53">
        <f t="shared" ref="AG1515:AG1578" si="1089">AK1514</f>
        <v>18678.120000000526</v>
      </c>
      <c r="AH1515" s="38"/>
      <c r="AI1515" s="38"/>
      <c r="AJ1515" s="38"/>
      <c r="AK1515" s="54">
        <f t="shared" ref="AK1515:AK1578" si="1090">SUM(AG1515:AJ1515)</f>
        <v>18678.120000000526</v>
      </c>
      <c r="AL1515" s="53"/>
      <c r="AM1515" s="53">
        <f t="shared" si="1049"/>
        <v>282.6699999999995</v>
      </c>
      <c r="AN1515" s="38"/>
      <c r="AO1515" s="38"/>
      <c r="AP1515" s="38"/>
      <c r="AQ1515" s="54">
        <f t="shared" si="1070"/>
        <v>282.6699999999995</v>
      </c>
      <c r="AR1515" s="53"/>
      <c r="AS1515" s="29">
        <f t="shared" si="1050"/>
        <v>-2135318.4799999986</v>
      </c>
      <c r="AT1515" s="29">
        <f t="shared" si="1051"/>
        <v>0</v>
      </c>
      <c r="AU1515" s="29">
        <f t="shared" si="1052"/>
        <v>0</v>
      </c>
      <c r="AV1515" s="29">
        <f t="shared" si="1053"/>
        <v>0</v>
      </c>
      <c r="AW1515" s="29"/>
      <c r="AX1515" s="29">
        <f t="shared" si="1054"/>
        <v>-2135318.4799999986</v>
      </c>
      <c r="AY1515" s="29">
        <f t="shared" ref="AY1515:AY1578" si="1091">SUM(H1515,N1515,T1515,Z1515,AF1515,AL1515)</f>
        <v>9300000</v>
      </c>
      <c r="AZ1515" s="29">
        <f t="shared" ref="AZ1515:AZ1578" si="1092">AX1515+AY1515</f>
        <v>7164681.5200000014</v>
      </c>
    </row>
    <row r="1516" spans="2:52" x14ac:dyDescent="0.3">
      <c r="B1516" s="99">
        <f t="shared" ref="B1516:B1519" si="1093">B1515+1</f>
        <v>46287</v>
      </c>
      <c r="C1516" s="44">
        <f t="shared" si="1079"/>
        <v>766908.08000000287</v>
      </c>
      <c r="D1516" s="38"/>
      <c r="E1516" s="38"/>
      <c r="F1516" s="38"/>
      <c r="G1516" s="45">
        <f t="shared" si="1080"/>
        <v>766908.08000000287</v>
      </c>
      <c r="H1516" s="44">
        <v>4300000</v>
      </c>
      <c r="I1516" s="46">
        <f t="shared" si="1081"/>
        <v>-2921513.5399999996</v>
      </c>
      <c r="J1516" s="38"/>
      <c r="K1516" s="38"/>
      <c r="L1516" s="38"/>
      <c r="M1516" s="47">
        <f t="shared" si="1082"/>
        <v>-2921513.5399999996</v>
      </c>
      <c r="N1516" s="46">
        <v>5000000</v>
      </c>
      <c r="O1516" s="48">
        <f t="shared" si="1083"/>
        <v>267.77999999932945</v>
      </c>
      <c r="P1516" s="38"/>
      <c r="Q1516" s="38"/>
      <c r="R1516" s="38"/>
      <c r="S1516" s="55">
        <f t="shared" si="1084"/>
        <v>267.77999999932945</v>
      </c>
      <c r="T1516" s="48"/>
      <c r="U1516" s="49">
        <f t="shared" si="1085"/>
        <v>58.409999999403965</v>
      </c>
      <c r="V1516" s="38"/>
      <c r="W1516" s="38"/>
      <c r="X1516" s="38"/>
      <c r="Y1516" s="51">
        <f t="shared" si="1086"/>
        <v>58.409999999403965</v>
      </c>
      <c r="Z1516" s="52"/>
      <c r="AA1516" s="53">
        <f t="shared" si="1087"/>
        <v>-7.6977357821306214E-10</v>
      </c>
      <c r="AB1516" s="38"/>
      <c r="AC1516" s="38"/>
      <c r="AD1516" s="38"/>
      <c r="AE1516" s="54">
        <f t="shared" si="1088"/>
        <v>-7.6977357821306214E-10</v>
      </c>
      <c r="AF1516" s="53"/>
      <c r="AG1516" s="53">
        <f t="shared" si="1089"/>
        <v>18678.120000000526</v>
      </c>
      <c r="AH1516" s="38"/>
      <c r="AI1516" s="38"/>
      <c r="AJ1516" s="38"/>
      <c r="AK1516" s="54">
        <f t="shared" si="1090"/>
        <v>18678.120000000526</v>
      </c>
      <c r="AL1516" s="53"/>
      <c r="AM1516" s="53">
        <f t="shared" si="1049"/>
        <v>282.6699999999995</v>
      </c>
      <c r="AN1516" s="38"/>
      <c r="AO1516" s="38"/>
      <c r="AP1516" s="38"/>
      <c r="AQ1516" s="54">
        <f t="shared" si="1070"/>
        <v>282.6699999999995</v>
      </c>
      <c r="AR1516" s="53"/>
      <c r="AS1516" s="29">
        <f t="shared" si="1050"/>
        <v>-2135318.4799999986</v>
      </c>
      <c r="AT1516" s="29">
        <f t="shared" si="1051"/>
        <v>0</v>
      </c>
      <c r="AU1516" s="29">
        <f t="shared" si="1052"/>
        <v>0</v>
      </c>
      <c r="AV1516" s="29">
        <f t="shared" si="1053"/>
        <v>0</v>
      </c>
      <c r="AW1516" s="29"/>
      <c r="AX1516" s="29">
        <f t="shared" si="1054"/>
        <v>-2135318.4799999986</v>
      </c>
      <c r="AY1516" s="29">
        <f t="shared" si="1091"/>
        <v>9300000</v>
      </c>
      <c r="AZ1516" s="29">
        <f t="shared" si="1092"/>
        <v>7164681.5200000014</v>
      </c>
    </row>
    <row r="1517" spans="2:52" x14ac:dyDescent="0.3">
      <c r="B1517" s="99">
        <f t="shared" si="1093"/>
        <v>46288</v>
      </c>
      <c r="C1517" s="44">
        <f t="shared" si="1079"/>
        <v>766908.08000000287</v>
      </c>
      <c r="D1517" s="38"/>
      <c r="E1517" s="38"/>
      <c r="F1517" s="38"/>
      <c r="G1517" s="45">
        <f t="shared" si="1080"/>
        <v>766908.08000000287</v>
      </c>
      <c r="H1517" s="44">
        <v>4300000</v>
      </c>
      <c r="I1517" s="46">
        <f t="shared" si="1081"/>
        <v>-2921513.5399999996</v>
      </c>
      <c r="J1517" s="38"/>
      <c r="K1517" s="38"/>
      <c r="L1517" s="38"/>
      <c r="M1517" s="47">
        <f t="shared" si="1082"/>
        <v>-2921513.5399999996</v>
      </c>
      <c r="N1517" s="46">
        <v>5000000</v>
      </c>
      <c r="O1517" s="48">
        <f t="shared" si="1083"/>
        <v>267.77999999932945</v>
      </c>
      <c r="P1517" s="38"/>
      <c r="Q1517" s="38"/>
      <c r="R1517" s="38"/>
      <c r="S1517" s="55">
        <f t="shared" si="1084"/>
        <v>267.77999999932945</v>
      </c>
      <c r="T1517" s="48"/>
      <c r="U1517" s="49">
        <f t="shared" si="1085"/>
        <v>58.409999999403965</v>
      </c>
      <c r="V1517" s="38"/>
      <c r="W1517" s="38"/>
      <c r="X1517" s="38"/>
      <c r="Y1517" s="51">
        <f t="shared" si="1086"/>
        <v>58.409999999403965</v>
      </c>
      <c r="Z1517" s="52"/>
      <c r="AA1517" s="53">
        <f t="shared" si="1087"/>
        <v>-7.6977357821306214E-10</v>
      </c>
      <c r="AB1517" s="38"/>
      <c r="AC1517" s="38"/>
      <c r="AD1517" s="38"/>
      <c r="AE1517" s="54">
        <f t="shared" si="1088"/>
        <v>-7.6977357821306214E-10</v>
      </c>
      <c r="AF1517" s="53"/>
      <c r="AG1517" s="53">
        <f t="shared" si="1089"/>
        <v>18678.120000000526</v>
      </c>
      <c r="AH1517" s="38"/>
      <c r="AI1517" s="38"/>
      <c r="AJ1517" s="38"/>
      <c r="AK1517" s="54">
        <f t="shared" si="1090"/>
        <v>18678.120000000526</v>
      </c>
      <c r="AL1517" s="53"/>
      <c r="AM1517" s="53">
        <f t="shared" si="1049"/>
        <v>282.6699999999995</v>
      </c>
      <c r="AN1517" s="38"/>
      <c r="AO1517" s="38"/>
      <c r="AP1517" s="38"/>
      <c r="AQ1517" s="54">
        <f t="shared" si="1070"/>
        <v>282.6699999999995</v>
      </c>
      <c r="AR1517" s="53"/>
      <c r="AS1517" s="29">
        <f t="shared" si="1050"/>
        <v>-2135318.4799999986</v>
      </c>
      <c r="AT1517" s="29">
        <f t="shared" si="1051"/>
        <v>0</v>
      </c>
      <c r="AU1517" s="29">
        <f t="shared" si="1052"/>
        <v>0</v>
      </c>
      <c r="AV1517" s="29">
        <f t="shared" si="1053"/>
        <v>0</v>
      </c>
      <c r="AW1517" s="29"/>
      <c r="AX1517" s="29">
        <f t="shared" si="1054"/>
        <v>-2135318.4799999986</v>
      </c>
      <c r="AY1517" s="29">
        <f t="shared" si="1091"/>
        <v>9300000</v>
      </c>
      <c r="AZ1517" s="29">
        <f t="shared" si="1092"/>
        <v>7164681.5200000014</v>
      </c>
    </row>
    <row r="1518" spans="2:52" x14ac:dyDescent="0.3">
      <c r="B1518" s="99">
        <f t="shared" si="1093"/>
        <v>46289</v>
      </c>
      <c r="C1518" s="44">
        <f t="shared" si="1079"/>
        <v>766908.08000000287</v>
      </c>
      <c r="D1518" s="38"/>
      <c r="E1518" s="38"/>
      <c r="F1518" s="38"/>
      <c r="G1518" s="45">
        <f t="shared" si="1080"/>
        <v>766908.08000000287</v>
      </c>
      <c r="H1518" s="44">
        <v>4300000</v>
      </c>
      <c r="I1518" s="46">
        <f t="shared" si="1081"/>
        <v>-2921513.5399999996</v>
      </c>
      <c r="J1518" s="38"/>
      <c r="K1518" s="38"/>
      <c r="L1518" s="38"/>
      <c r="M1518" s="47">
        <f t="shared" si="1082"/>
        <v>-2921513.5399999996</v>
      </c>
      <c r="N1518" s="46">
        <v>5000000</v>
      </c>
      <c r="O1518" s="48">
        <f t="shared" si="1083"/>
        <v>267.77999999932945</v>
      </c>
      <c r="P1518" s="38"/>
      <c r="Q1518" s="38"/>
      <c r="R1518" s="38"/>
      <c r="S1518" s="55">
        <f t="shared" si="1084"/>
        <v>267.77999999932945</v>
      </c>
      <c r="T1518" s="48"/>
      <c r="U1518" s="49">
        <f t="shared" si="1085"/>
        <v>58.409999999403965</v>
      </c>
      <c r="V1518" s="38"/>
      <c r="W1518" s="38"/>
      <c r="X1518" s="38"/>
      <c r="Y1518" s="51">
        <f t="shared" si="1086"/>
        <v>58.409999999403965</v>
      </c>
      <c r="Z1518" s="52"/>
      <c r="AA1518" s="53">
        <f t="shared" si="1087"/>
        <v>-7.6977357821306214E-10</v>
      </c>
      <c r="AB1518" s="38"/>
      <c r="AC1518" s="38"/>
      <c r="AD1518" s="38"/>
      <c r="AE1518" s="54">
        <f t="shared" si="1088"/>
        <v>-7.6977357821306214E-10</v>
      </c>
      <c r="AF1518" s="53"/>
      <c r="AG1518" s="53">
        <f t="shared" si="1089"/>
        <v>18678.120000000526</v>
      </c>
      <c r="AH1518" s="38"/>
      <c r="AI1518" s="38"/>
      <c r="AJ1518" s="38"/>
      <c r="AK1518" s="54">
        <f t="shared" si="1090"/>
        <v>18678.120000000526</v>
      </c>
      <c r="AL1518" s="53"/>
      <c r="AM1518" s="53">
        <f t="shared" si="1049"/>
        <v>282.6699999999995</v>
      </c>
      <c r="AN1518" s="38"/>
      <c r="AO1518" s="38"/>
      <c r="AP1518" s="38"/>
      <c r="AQ1518" s="54">
        <f t="shared" si="1070"/>
        <v>282.6699999999995</v>
      </c>
      <c r="AR1518" s="53"/>
      <c r="AS1518" s="29">
        <f t="shared" ref="AS1518:AS1581" si="1094">SUM(C1518,I1518,O1518,U1518,AA1518,AG1518,AM1518)</f>
        <v>-2135318.4799999986</v>
      </c>
      <c r="AT1518" s="29">
        <f t="shared" ref="AT1518:AT1581" si="1095">SUM(D1518,J1518,P1518,V1518,AB1518,AH1518,AN1518)</f>
        <v>0</v>
      </c>
      <c r="AU1518" s="29">
        <f t="shared" ref="AU1518:AU1581" si="1096">SUM(E1518,K1518,Q1518,W1518,AC1518,AI1518,AO1518)</f>
        <v>0</v>
      </c>
      <c r="AV1518" s="29">
        <f t="shared" ref="AV1518:AV1581" si="1097">SUM(F1518,L1518,R1518,X1518,AD1518,AJ1518,AP1518)</f>
        <v>0</v>
      </c>
      <c r="AW1518" s="29"/>
      <c r="AX1518" s="29">
        <f t="shared" ref="AX1518:AX1581" si="1098">SUM(G1518,M1518,S1518,Y1518,AE1518,AK1518,AQ1518)</f>
        <v>-2135318.4799999986</v>
      </c>
      <c r="AY1518" s="29">
        <f t="shared" si="1091"/>
        <v>9300000</v>
      </c>
      <c r="AZ1518" s="29">
        <f t="shared" si="1092"/>
        <v>7164681.5200000014</v>
      </c>
    </row>
    <row r="1519" spans="2:52" x14ac:dyDescent="0.3">
      <c r="B1519" s="99">
        <f t="shared" si="1093"/>
        <v>46290</v>
      </c>
      <c r="C1519" s="44">
        <f t="shared" si="1079"/>
        <v>766908.08000000287</v>
      </c>
      <c r="D1519" s="38"/>
      <c r="E1519" s="38"/>
      <c r="F1519" s="38"/>
      <c r="G1519" s="45">
        <f t="shared" si="1080"/>
        <v>766908.08000000287</v>
      </c>
      <c r="H1519" s="44">
        <v>4300000</v>
      </c>
      <c r="I1519" s="46">
        <f t="shared" si="1081"/>
        <v>-2921513.5399999996</v>
      </c>
      <c r="J1519" s="38"/>
      <c r="K1519" s="38"/>
      <c r="L1519" s="38"/>
      <c r="M1519" s="47">
        <f t="shared" si="1082"/>
        <v>-2921513.5399999996</v>
      </c>
      <c r="N1519" s="46">
        <v>5000000</v>
      </c>
      <c r="O1519" s="48">
        <f t="shared" si="1083"/>
        <v>267.77999999932945</v>
      </c>
      <c r="P1519" s="38"/>
      <c r="Q1519" s="38"/>
      <c r="R1519" s="38"/>
      <c r="S1519" s="55">
        <f t="shared" si="1084"/>
        <v>267.77999999932945</v>
      </c>
      <c r="T1519" s="48"/>
      <c r="U1519" s="49">
        <f t="shared" si="1085"/>
        <v>58.409999999403965</v>
      </c>
      <c r="V1519" s="38"/>
      <c r="W1519" s="38"/>
      <c r="X1519" s="38"/>
      <c r="Y1519" s="51">
        <f t="shared" si="1086"/>
        <v>58.409999999403965</v>
      </c>
      <c r="Z1519" s="52"/>
      <c r="AA1519" s="53">
        <f t="shared" si="1087"/>
        <v>-7.6977357821306214E-10</v>
      </c>
      <c r="AB1519" s="38"/>
      <c r="AC1519" s="38"/>
      <c r="AD1519" s="38"/>
      <c r="AE1519" s="54">
        <f t="shared" si="1088"/>
        <v>-7.6977357821306214E-10</v>
      </c>
      <c r="AF1519" s="53"/>
      <c r="AG1519" s="53">
        <f t="shared" si="1089"/>
        <v>18678.120000000526</v>
      </c>
      <c r="AH1519" s="38"/>
      <c r="AI1519" s="38"/>
      <c r="AJ1519" s="38"/>
      <c r="AK1519" s="54">
        <f t="shared" si="1090"/>
        <v>18678.120000000526</v>
      </c>
      <c r="AL1519" s="53"/>
      <c r="AM1519" s="53">
        <f t="shared" si="1049"/>
        <v>282.6699999999995</v>
      </c>
      <c r="AN1519" s="38"/>
      <c r="AO1519" s="38"/>
      <c r="AP1519" s="38"/>
      <c r="AQ1519" s="54">
        <f t="shared" si="1070"/>
        <v>282.6699999999995</v>
      </c>
      <c r="AR1519" s="53"/>
      <c r="AS1519" s="29">
        <f t="shared" si="1094"/>
        <v>-2135318.4799999986</v>
      </c>
      <c r="AT1519" s="29">
        <f t="shared" si="1095"/>
        <v>0</v>
      </c>
      <c r="AU1519" s="29">
        <f t="shared" si="1096"/>
        <v>0</v>
      </c>
      <c r="AV1519" s="29">
        <f t="shared" si="1097"/>
        <v>0</v>
      </c>
      <c r="AW1519" s="29"/>
      <c r="AX1519" s="29">
        <f t="shared" si="1098"/>
        <v>-2135318.4799999986</v>
      </c>
      <c r="AY1519" s="29">
        <f t="shared" si="1091"/>
        <v>9300000</v>
      </c>
      <c r="AZ1519" s="29">
        <f t="shared" si="1092"/>
        <v>7164681.5200000014</v>
      </c>
    </row>
    <row r="1520" spans="2:52" x14ac:dyDescent="0.3">
      <c r="B1520" s="99">
        <f>B1519+3</f>
        <v>46293</v>
      </c>
      <c r="C1520" s="44">
        <f t="shared" si="1079"/>
        <v>766908.08000000287</v>
      </c>
      <c r="D1520" s="38"/>
      <c r="E1520" s="38"/>
      <c r="F1520" s="38"/>
      <c r="G1520" s="45">
        <f t="shared" si="1080"/>
        <v>766908.08000000287</v>
      </c>
      <c r="H1520" s="44">
        <v>4300000</v>
      </c>
      <c r="I1520" s="46">
        <f t="shared" si="1081"/>
        <v>-2921513.5399999996</v>
      </c>
      <c r="J1520" s="38"/>
      <c r="K1520" s="38"/>
      <c r="L1520" s="38"/>
      <c r="M1520" s="47">
        <f t="shared" si="1082"/>
        <v>-2921513.5399999996</v>
      </c>
      <c r="N1520" s="46">
        <v>5000000</v>
      </c>
      <c r="O1520" s="48">
        <f t="shared" si="1083"/>
        <v>267.77999999932945</v>
      </c>
      <c r="P1520" s="38"/>
      <c r="Q1520" s="38"/>
      <c r="R1520" s="38"/>
      <c r="S1520" s="55">
        <f t="shared" si="1084"/>
        <v>267.77999999932945</v>
      </c>
      <c r="T1520" s="48"/>
      <c r="U1520" s="49">
        <f t="shared" si="1085"/>
        <v>58.409999999403965</v>
      </c>
      <c r="V1520" s="38"/>
      <c r="W1520" s="38"/>
      <c r="X1520" s="38"/>
      <c r="Y1520" s="51">
        <f t="shared" si="1086"/>
        <v>58.409999999403965</v>
      </c>
      <c r="Z1520" s="52"/>
      <c r="AA1520" s="53">
        <f t="shared" si="1087"/>
        <v>-7.6977357821306214E-10</v>
      </c>
      <c r="AB1520" s="38"/>
      <c r="AC1520" s="38"/>
      <c r="AD1520" s="38"/>
      <c r="AE1520" s="54">
        <f t="shared" si="1088"/>
        <v>-7.6977357821306214E-10</v>
      </c>
      <c r="AF1520" s="53"/>
      <c r="AG1520" s="53">
        <f t="shared" si="1089"/>
        <v>18678.120000000526</v>
      </c>
      <c r="AH1520" s="38"/>
      <c r="AI1520" s="38"/>
      <c r="AJ1520" s="38"/>
      <c r="AK1520" s="54">
        <f t="shared" si="1090"/>
        <v>18678.120000000526</v>
      </c>
      <c r="AL1520" s="53"/>
      <c r="AM1520" s="53">
        <f t="shared" si="1049"/>
        <v>282.6699999999995</v>
      </c>
      <c r="AN1520" s="38"/>
      <c r="AO1520" s="38"/>
      <c r="AP1520" s="38"/>
      <c r="AQ1520" s="54">
        <f t="shared" si="1070"/>
        <v>282.6699999999995</v>
      </c>
      <c r="AR1520" s="53"/>
      <c r="AS1520" s="29">
        <f t="shared" si="1094"/>
        <v>-2135318.4799999986</v>
      </c>
      <c r="AT1520" s="29">
        <f t="shared" si="1095"/>
        <v>0</v>
      </c>
      <c r="AU1520" s="29">
        <f t="shared" si="1096"/>
        <v>0</v>
      </c>
      <c r="AV1520" s="29">
        <f t="shared" si="1097"/>
        <v>0</v>
      </c>
      <c r="AW1520" s="29"/>
      <c r="AX1520" s="29">
        <f t="shared" si="1098"/>
        <v>-2135318.4799999986</v>
      </c>
      <c r="AY1520" s="29">
        <f t="shared" si="1091"/>
        <v>9300000</v>
      </c>
      <c r="AZ1520" s="29">
        <f t="shared" si="1092"/>
        <v>7164681.5200000014</v>
      </c>
    </row>
    <row r="1521" spans="2:52" x14ac:dyDescent="0.3">
      <c r="B1521" s="99">
        <f t="shared" ref="B1521:B1524" si="1099">B1520+1</f>
        <v>46294</v>
      </c>
      <c r="C1521" s="44">
        <f t="shared" si="1079"/>
        <v>766908.08000000287</v>
      </c>
      <c r="D1521" s="38"/>
      <c r="E1521" s="38"/>
      <c r="F1521" s="38"/>
      <c r="G1521" s="45">
        <f t="shared" si="1080"/>
        <v>766908.08000000287</v>
      </c>
      <c r="H1521" s="44">
        <v>4300000</v>
      </c>
      <c r="I1521" s="46">
        <f t="shared" si="1081"/>
        <v>-2921513.5399999996</v>
      </c>
      <c r="J1521" s="38"/>
      <c r="K1521" s="38"/>
      <c r="L1521" s="38"/>
      <c r="M1521" s="47">
        <f t="shared" si="1082"/>
        <v>-2921513.5399999996</v>
      </c>
      <c r="N1521" s="46">
        <v>5000000</v>
      </c>
      <c r="O1521" s="48">
        <f t="shared" si="1083"/>
        <v>267.77999999932945</v>
      </c>
      <c r="P1521" s="38"/>
      <c r="Q1521" s="38"/>
      <c r="R1521" s="38"/>
      <c r="S1521" s="55">
        <f t="shared" si="1084"/>
        <v>267.77999999932945</v>
      </c>
      <c r="T1521" s="48"/>
      <c r="U1521" s="49">
        <f t="shared" si="1085"/>
        <v>58.409999999403965</v>
      </c>
      <c r="V1521" s="38"/>
      <c r="W1521" s="38"/>
      <c r="X1521" s="38"/>
      <c r="Y1521" s="51">
        <f t="shared" si="1086"/>
        <v>58.409999999403965</v>
      </c>
      <c r="Z1521" s="52"/>
      <c r="AA1521" s="53">
        <f t="shared" si="1087"/>
        <v>-7.6977357821306214E-10</v>
      </c>
      <c r="AB1521" s="38"/>
      <c r="AC1521" s="38"/>
      <c r="AD1521" s="38"/>
      <c r="AE1521" s="54">
        <f t="shared" si="1088"/>
        <v>-7.6977357821306214E-10</v>
      </c>
      <c r="AF1521" s="53"/>
      <c r="AG1521" s="53">
        <f t="shared" si="1089"/>
        <v>18678.120000000526</v>
      </c>
      <c r="AH1521" s="38"/>
      <c r="AI1521" s="38"/>
      <c r="AJ1521" s="38"/>
      <c r="AK1521" s="54">
        <f t="shared" si="1090"/>
        <v>18678.120000000526</v>
      </c>
      <c r="AL1521" s="53"/>
      <c r="AM1521" s="53">
        <f t="shared" si="1049"/>
        <v>282.6699999999995</v>
      </c>
      <c r="AN1521" s="38"/>
      <c r="AO1521" s="38"/>
      <c r="AP1521" s="38"/>
      <c r="AQ1521" s="54">
        <f t="shared" si="1070"/>
        <v>282.6699999999995</v>
      </c>
      <c r="AR1521" s="53"/>
      <c r="AS1521" s="29">
        <f t="shared" si="1094"/>
        <v>-2135318.4799999986</v>
      </c>
      <c r="AT1521" s="29">
        <f t="shared" si="1095"/>
        <v>0</v>
      </c>
      <c r="AU1521" s="29">
        <f t="shared" si="1096"/>
        <v>0</v>
      </c>
      <c r="AV1521" s="29">
        <f t="shared" si="1097"/>
        <v>0</v>
      </c>
      <c r="AW1521" s="29"/>
      <c r="AX1521" s="29">
        <f t="shared" si="1098"/>
        <v>-2135318.4799999986</v>
      </c>
      <c r="AY1521" s="29">
        <f t="shared" si="1091"/>
        <v>9300000</v>
      </c>
      <c r="AZ1521" s="29">
        <f t="shared" si="1092"/>
        <v>7164681.5200000014</v>
      </c>
    </row>
    <row r="1522" spans="2:52" x14ac:dyDescent="0.3">
      <c r="B1522" s="99">
        <f t="shared" si="1099"/>
        <v>46295</v>
      </c>
      <c r="C1522" s="44">
        <f t="shared" si="1079"/>
        <v>766908.08000000287</v>
      </c>
      <c r="D1522" s="38"/>
      <c r="E1522" s="38"/>
      <c r="F1522" s="38"/>
      <c r="G1522" s="45">
        <f t="shared" si="1080"/>
        <v>766908.08000000287</v>
      </c>
      <c r="H1522" s="44">
        <v>4300000</v>
      </c>
      <c r="I1522" s="46">
        <f t="shared" si="1081"/>
        <v>-2921513.5399999996</v>
      </c>
      <c r="J1522" s="38"/>
      <c r="K1522" s="38"/>
      <c r="L1522" s="38"/>
      <c r="M1522" s="47">
        <f t="shared" si="1082"/>
        <v>-2921513.5399999996</v>
      </c>
      <c r="N1522" s="46">
        <v>5000000</v>
      </c>
      <c r="O1522" s="48">
        <f t="shared" si="1083"/>
        <v>267.77999999932945</v>
      </c>
      <c r="P1522" s="38"/>
      <c r="Q1522" s="38"/>
      <c r="R1522" s="38"/>
      <c r="S1522" s="55">
        <f t="shared" si="1084"/>
        <v>267.77999999932945</v>
      </c>
      <c r="T1522" s="48"/>
      <c r="U1522" s="49">
        <f t="shared" si="1085"/>
        <v>58.409999999403965</v>
      </c>
      <c r="V1522" s="38"/>
      <c r="W1522" s="38"/>
      <c r="X1522" s="38"/>
      <c r="Y1522" s="51">
        <f t="shared" si="1086"/>
        <v>58.409999999403965</v>
      </c>
      <c r="Z1522" s="52"/>
      <c r="AA1522" s="53">
        <f t="shared" si="1087"/>
        <v>-7.6977357821306214E-10</v>
      </c>
      <c r="AB1522" s="38"/>
      <c r="AC1522" s="38"/>
      <c r="AD1522" s="38"/>
      <c r="AE1522" s="54">
        <f t="shared" si="1088"/>
        <v>-7.6977357821306214E-10</v>
      </c>
      <c r="AF1522" s="53"/>
      <c r="AG1522" s="53">
        <f t="shared" si="1089"/>
        <v>18678.120000000526</v>
      </c>
      <c r="AH1522" s="38"/>
      <c r="AI1522" s="38"/>
      <c r="AJ1522" s="38"/>
      <c r="AK1522" s="54">
        <f t="shared" si="1090"/>
        <v>18678.120000000526</v>
      </c>
      <c r="AL1522" s="53"/>
      <c r="AM1522" s="53">
        <f t="shared" si="1049"/>
        <v>282.6699999999995</v>
      </c>
      <c r="AN1522" s="38"/>
      <c r="AO1522" s="38"/>
      <c r="AP1522" s="38"/>
      <c r="AQ1522" s="54">
        <f t="shared" si="1070"/>
        <v>282.6699999999995</v>
      </c>
      <c r="AR1522" s="53"/>
      <c r="AS1522" s="29">
        <f t="shared" si="1094"/>
        <v>-2135318.4799999986</v>
      </c>
      <c r="AT1522" s="29">
        <f t="shared" si="1095"/>
        <v>0</v>
      </c>
      <c r="AU1522" s="29">
        <f t="shared" si="1096"/>
        <v>0</v>
      </c>
      <c r="AV1522" s="29">
        <f t="shared" si="1097"/>
        <v>0</v>
      </c>
      <c r="AW1522" s="29"/>
      <c r="AX1522" s="29">
        <f t="shared" si="1098"/>
        <v>-2135318.4799999986</v>
      </c>
      <c r="AY1522" s="29">
        <f t="shared" si="1091"/>
        <v>9300000</v>
      </c>
      <c r="AZ1522" s="29">
        <f t="shared" si="1092"/>
        <v>7164681.5200000014</v>
      </c>
    </row>
    <row r="1523" spans="2:52" x14ac:dyDescent="0.3">
      <c r="B1523" s="99">
        <f t="shared" si="1099"/>
        <v>46296</v>
      </c>
      <c r="C1523" s="44">
        <f t="shared" si="1079"/>
        <v>766908.08000000287</v>
      </c>
      <c r="D1523" s="38"/>
      <c r="E1523" s="38"/>
      <c r="F1523" s="38"/>
      <c r="G1523" s="45">
        <f t="shared" si="1080"/>
        <v>766908.08000000287</v>
      </c>
      <c r="H1523" s="44">
        <v>4300000</v>
      </c>
      <c r="I1523" s="46">
        <f t="shared" si="1081"/>
        <v>-2921513.5399999996</v>
      </c>
      <c r="J1523" s="38"/>
      <c r="K1523" s="38"/>
      <c r="L1523" s="38"/>
      <c r="M1523" s="47">
        <f t="shared" si="1082"/>
        <v>-2921513.5399999996</v>
      </c>
      <c r="N1523" s="46">
        <v>5000000</v>
      </c>
      <c r="O1523" s="48">
        <f t="shared" si="1083"/>
        <v>267.77999999932945</v>
      </c>
      <c r="P1523" s="38"/>
      <c r="Q1523" s="38"/>
      <c r="R1523" s="38"/>
      <c r="S1523" s="55">
        <f t="shared" si="1084"/>
        <v>267.77999999932945</v>
      </c>
      <c r="T1523" s="48"/>
      <c r="U1523" s="49">
        <f t="shared" si="1085"/>
        <v>58.409999999403965</v>
      </c>
      <c r="V1523" s="38"/>
      <c r="W1523" s="38"/>
      <c r="X1523" s="38"/>
      <c r="Y1523" s="51">
        <f t="shared" si="1086"/>
        <v>58.409999999403965</v>
      </c>
      <c r="Z1523" s="52"/>
      <c r="AA1523" s="53">
        <f t="shared" si="1087"/>
        <v>-7.6977357821306214E-10</v>
      </c>
      <c r="AB1523" s="38"/>
      <c r="AC1523" s="38"/>
      <c r="AD1523" s="38"/>
      <c r="AE1523" s="54">
        <f t="shared" si="1088"/>
        <v>-7.6977357821306214E-10</v>
      </c>
      <c r="AF1523" s="53"/>
      <c r="AG1523" s="53">
        <f t="shared" si="1089"/>
        <v>18678.120000000526</v>
      </c>
      <c r="AH1523" s="38"/>
      <c r="AI1523" s="38"/>
      <c r="AJ1523" s="38"/>
      <c r="AK1523" s="54">
        <f t="shared" si="1090"/>
        <v>18678.120000000526</v>
      </c>
      <c r="AL1523" s="53"/>
      <c r="AM1523" s="53">
        <f t="shared" si="1049"/>
        <v>282.6699999999995</v>
      </c>
      <c r="AN1523" s="38"/>
      <c r="AO1523" s="38"/>
      <c r="AP1523" s="38"/>
      <c r="AQ1523" s="54">
        <f t="shared" si="1070"/>
        <v>282.6699999999995</v>
      </c>
      <c r="AR1523" s="53"/>
      <c r="AS1523" s="29">
        <f t="shared" si="1094"/>
        <v>-2135318.4799999986</v>
      </c>
      <c r="AT1523" s="29">
        <f t="shared" si="1095"/>
        <v>0</v>
      </c>
      <c r="AU1523" s="29">
        <f t="shared" si="1096"/>
        <v>0</v>
      </c>
      <c r="AV1523" s="29">
        <f t="shared" si="1097"/>
        <v>0</v>
      </c>
      <c r="AW1523" s="29"/>
      <c r="AX1523" s="29">
        <f t="shared" si="1098"/>
        <v>-2135318.4799999986</v>
      </c>
      <c r="AY1523" s="29">
        <f t="shared" si="1091"/>
        <v>9300000</v>
      </c>
      <c r="AZ1523" s="29">
        <f t="shared" si="1092"/>
        <v>7164681.5200000014</v>
      </c>
    </row>
    <row r="1524" spans="2:52" x14ac:dyDescent="0.3">
      <c r="B1524" s="99">
        <f t="shared" si="1099"/>
        <v>46297</v>
      </c>
      <c r="C1524" s="44">
        <f t="shared" si="1079"/>
        <v>766908.08000000287</v>
      </c>
      <c r="D1524" s="38"/>
      <c r="E1524" s="38"/>
      <c r="F1524" s="38"/>
      <c r="G1524" s="45">
        <f t="shared" si="1080"/>
        <v>766908.08000000287</v>
      </c>
      <c r="H1524" s="44">
        <v>4300000</v>
      </c>
      <c r="I1524" s="46">
        <f t="shared" si="1081"/>
        <v>-2921513.5399999996</v>
      </c>
      <c r="J1524" s="38"/>
      <c r="K1524" s="38"/>
      <c r="L1524" s="38"/>
      <c r="M1524" s="47">
        <f t="shared" si="1082"/>
        <v>-2921513.5399999996</v>
      </c>
      <c r="N1524" s="46">
        <v>5000000</v>
      </c>
      <c r="O1524" s="48">
        <f t="shared" si="1083"/>
        <v>267.77999999932945</v>
      </c>
      <c r="P1524" s="38"/>
      <c r="Q1524" s="38"/>
      <c r="R1524" s="38"/>
      <c r="S1524" s="55">
        <f t="shared" si="1084"/>
        <v>267.77999999932945</v>
      </c>
      <c r="T1524" s="48"/>
      <c r="U1524" s="49">
        <f t="shared" si="1085"/>
        <v>58.409999999403965</v>
      </c>
      <c r="V1524" s="38"/>
      <c r="W1524" s="38"/>
      <c r="X1524" s="38"/>
      <c r="Y1524" s="51">
        <f t="shared" si="1086"/>
        <v>58.409999999403965</v>
      </c>
      <c r="Z1524" s="52"/>
      <c r="AA1524" s="53">
        <f t="shared" si="1087"/>
        <v>-7.6977357821306214E-10</v>
      </c>
      <c r="AB1524" s="38"/>
      <c r="AC1524" s="38"/>
      <c r="AD1524" s="38"/>
      <c r="AE1524" s="54">
        <f t="shared" si="1088"/>
        <v>-7.6977357821306214E-10</v>
      </c>
      <c r="AF1524" s="53"/>
      <c r="AG1524" s="53">
        <f t="shared" si="1089"/>
        <v>18678.120000000526</v>
      </c>
      <c r="AH1524" s="38"/>
      <c r="AI1524" s="38"/>
      <c r="AJ1524" s="38"/>
      <c r="AK1524" s="54">
        <f t="shared" si="1090"/>
        <v>18678.120000000526</v>
      </c>
      <c r="AL1524" s="53"/>
      <c r="AM1524" s="53">
        <f t="shared" si="1049"/>
        <v>282.6699999999995</v>
      </c>
      <c r="AN1524" s="38"/>
      <c r="AO1524" s="38"/>
      <c r="AP1524" s="38"/>
      <c r="AQ1524" s="54">
        <f t="shared" si="1070"/>
        <v>282.6699999999995</v>
      </c>
      <c r="AR1524" s="53"/>
      <c r="AS1524" s="29">
        <f t="shared" si="1094"/>
        <v>-2135318.4799999986</v>
      </c>
      <c r="AT1524" s="29">
        <f t="shared" si="1095"/>
        <v>0</v>
      </c>
      <c r="AU1524" s="29">
        <f t="shared" si="1096"/>
        <v>0</v>
      </c>
      <c r="AV1524" s="29">
        <f t="shared" si="1097"/>
        <v>0</v>
      </c>
      <c r="AW1524" s="29"/>
      <c r="AX1524" s="29">
        <f t="shared" si="1098"/>
        <v>-2135318.4799999986</v>
      </c>
      <c r="AY1524" s="29">
        <f t="shared" si="1091"/>
        <v>9300000</v>
      </c>
      <c r="AZ1524" s="29">
        <f t="shared" si="1092"/>
        <v>7164681.5200000014</v>
      </c>
    </row>
    <row r="1525" spans="2:52" x14ac:dyDescent="0.3">
      <c r="B1525" s="99">
        <f>B1524+3</f>
        <v>46300</v>
      </c>
      <c r="C1525" s="44">
        <f t="shared" si="1079"/>
        <v>766908.08000000287</v>
      </c>
      <c r="D1525" s="38"/>
      <c r="E1525" s="38"/>
      <c r="F1525" s="38"/>
      <c r="G1525" s="45">
        <f t="shared" si="1080"/>
        <v>766908.08000000287</v>
      </c>
      <c r="H1525" s="44">
        <v>4300000</v>
      </c>
      <c r="I1525" s="46">
        <f t="shared" si="1081"/>
        <v>-2921513.5399999996</v>
      </c>
      <c r="J1525" s="38"/>
      <c r="K1525" s="38"/>
      <c r="L1525" s="38"/>
      <c r="M1525" s="47">
        <f t="shared" si="1082"/>
        <v>-2921513.5399999996</v>
      </c>
      <c r="N1525" s="46">
        <v>5000000</v>
      </c>
      <c r="O1525" s="48">
        <f t="shared" si="1083"/>
        <v>267.77999999932945</v>
      </c>
      <c r="P1525" s="38"/>
      <c r="Q1525" s="38"/>
      <c r="R1525" s="38"/>
      <c r="S1525" s="55">
        <f t="shared" si="1084"/>
        <v>267.77999999932945</v>
      </c>
      <c r="T1525" s="48"/>
      <c r="U1525" s="49">
        <f t="shared" si="1085"/>
        <v>58.409999999403965</v>
      </c>
      <c r="V1525" s="38"/>
      <c r="W1525" s="38"/>
      <c r="X1525" s="38"/>
      <c r="Y1525" s="51">
        <f t="shared" si="1086"/>
        <v>58.409999999403965</v>
      </c>
      <c r="Z1525" s="52"/>
      <c r="AA1525" s="53">
        <f t="shared" si="1087"/>
        <v>-7.6977357821306214E-10</v>
      </c>
      <c r="AB1525" s="38"/>
      <c r="AC1525" s="38"/>
      <c r="AD1525" s="38"/>
      <c r="AE1525" s="54">
        <f t="shared" si="1088"/>
        <v>-7.6977357821306214E-10</v>
      </c>
      <c r="AF1525" s="53"/>
      <c r="AG1525" s="53">
        <f t="shared" si="1089"/>
        <v>18678.120000000526</v>
      </c>
      <c r="AH1525" s="38"/>
      <c r="AI1525" s="38"/>
      <c r="AJ1525" s="38"/>
      <c r="AK1525" s="54">
        <f t="shared" si="1090"/>
        <v>18678.120000000526</v>
      </c>
      <c r="AL1525" s="53"/>
      <c r="AM1525" s="53">
        <f t="shared" ref="AM1525:AM1588" si="1100">AQ1524</f>
        <v>282.6699999999995</v>
      </c>
      <c r="AN1525" s="38"/>
      <c r="AO1525" s="38"/>
      <c r="AP1525" s="38"/>
      <c r="AQ1525" s="54">
        <f t="shared" si="1070"/>
        <v>282.6699999999995</v>
      </c>
      <c r="AR1525" s="53"/>
      <c r="AS1525" s="29">
        <f t="shared" si="1094"/>
        <v>-2135318.4799999986</v>
      </c>
      <c r="AT1525" s="29">
        <f t="shared" si="1095"/>
        <v>0</v>
      </c>
      <c r="AU1525" s="29">
        <f t="shared" si="1096"/>
        <v>0</v>
      </c>
      <c r="AV1525" s="29">
        <f t="shared" si="1097"/>
        <v>0</v>
      </c>
      <c r="AW1525" s="29"/>
      <c r="AX1525" s="29">
        <f t="shared" si="1098"/>
        <v>-2135318.4799999986</v>
      </c>
      <c r="AY1525" s="29">
        <f t="shared" si="1091"/>
        <v>9300000</v>
      </c>
      <c r="AZ1525" s="29">
        <f t="shared" si="1092"/>
        <v>7164681.5200000014</v>
      </c>
    </row>
    <row r="1526" spans="2:52" x14ac:dyDescent="0.3">
      <c r="B1526" s="99">
        <f t="shared" ref="B1526:B1529" si="1101">B1525+1</f>
        <v>46301</v>
      </c>
      <c r="C1526" s="44">
        <f t="shared" si="1079"/>
        <v>766908.08000000287</v>
      </c>
      <c r="D1526" s="38"/>
      <c r="E1526" s="38"/>
      <c r="F1526" s="38"/>
      <c r="G1526" s="45">
        <f t="shared" si="1080"/>
        <v>766908.08000000287</v>
      </c>
      <c r="H1526" s="44">
        <v>4300000</v>
      </c>
      <c r="I1526" s="46">
        <f t="shared" si="1081"/>
        <v>-2921513.5399999996</v>
      </c>
      <c r="J1526" s="38"/>
      <c r="K1526" s="38"/>
      <c r="L1526" s="38"/>
      <c r="M1526" s="47">
        <f t="shared" si="1082"/>
        <v>-2921513.5399999996</v>
      </c>
      <c r="N1526" s="46">
        <v>5000000</v>
      </c>
      <c r="O1526" s="48">
        <f t="shared" si="1083"/>
        <v>267.77999999932945</v>
      </c>
      <c r="P1526" s="38"/>
      <c r="Q1526" s="38"/>
      <c r="R1526" s="38"/>
      <c r="S1526" s="55">
        <f t="shared" si="1084"/>
        <v>267.77999999932945</v>
      </c>
      <c r="T1526" s="48"/>
      <c r="U1526" s="49">
        <f t="shared" si="1085"/>
        <v>58.409999999403965</v>
      </c>
      <c r="V1526" s="38"/>
      <c r="W1526" s="38"/>
      <c r="X1526" s="38"/>
      <c r="Y1526" s="51">
        <f t="shared" si="1086"/>
        <v>58.409999999403965</v>
      </c>
      <c r="Z1526" s="52"/>
      <c r="AA1526" s="53">
        <f t="shared" si="1087"/>
        <v>-7.6977357821306214E-10</v>
      </c>
      <c r="AB1526" s="38"/>
      <c r="AC1526" s="38"/>
      <c r="AD1526" s="38"/>
      <c r="AE1526" s="54">
        <f t="shared" si="1088"/>
        <v>-7.6977357821306214E-10</v>
      </c>
      <c r="AF1526" s="53"/>
      <c r="AG1526" s="53">
        <f t="shared" si="1089"/>
        <v>18678.120000000526</v>
      </c>
      <c r="AH1526" s="38"/>
      <c r="AI1526" s="38"/>
      <c r="AJ1526" s="38"/>
      <c r="AK1526" s="54">
        <f t="shared" si="1090"/>
        <v>18678.120000000526</v>
      </c>
      <c r="AL1526" s="53"/>
      <c r="AM1526" s="53">
        <f t="shared" si="1100"/>
        <v>282.6699999999995</v>
      </c>
      <c r="AN1526" s="38"/>
      <c r="AO1526" s="38"/>
      <c r="AP1526" s="38"/>
      <c r="AQ1526" s="54">
        <f t="shared" si="1070"/>
        <v>282.6699999999995</v>
      </c>
      <c r="AR1526" s="53"/>
      <c r="AS1526" s="29">
        <f t="shared" si="1094"/>
        <v>-2135318.4799999986</v>
      </c>
      <c r="AT1526" s="29">
        <f t="shared" si="1095"/>
        <v>0</v>
      </c>
      <c r="AU1526" s="29">
        <f t="shared" si="1096"/>
        <v>0</v>
      </c>
      <c r="AV1526" s="29">
        <f t="shared" si="1097"/>
        <v>0</v>
      </c>
      <c r="AW1526" s="29"/>
      <c r="AX1526" s="29">
        <f t="shared" si="1098"/>
        <v>-2135318.4799999986</v>
      </c>
      <c r="AY1526" s="29">
        <f t="shared" si="1091"/>
        <v>9300000</v>
      </c>
      <c r="AZ1526" s="29">
        <f t="shared" si="1092"/>
        <v>7164681.5200000014</v>
      </c>
    </row>
    <row r="1527" spans="2:52" x14ac:dyDescent="0.3">
      <c r="B1527" s="99">
        <f t="shared" si="1101"/>
        <v>46302</v>
      </c>
      <c r="C1527" s="44">
        <f t="shared" si="1079"/>
        <v>766908.08000000287</v>
      </c>
      <c r="D1527" s="38"/>
      <c r="E1527" s="38"/>
      <c r="F1527" s="38"/>
      <c r="G1527" s="45">
        <f t="shared" si="1080"/>
        <v>766908.08000000287</v>
      </c>
      <c r="H1527" s="44">
        <v>4300000</v>
      </c>
      <c r="I1527" s="46">
        <f t="shared" si="1081"/>
        <v>-2921513.5399999996</v>
      </c>
      <c r="J1527" s="38"/>
      <c r="K1527" s="38"/>
      <c r="L1527" s="38"/>
      <c r="M1527" s="47">
        <f t="shared" si="1082"/>
        <v>-2921513.5399999996</v>
      </c>
      <c r="N1527" s="46">
        <v>5000000</v>
      </c>
      <c r="O1527" s="48">
        <f t="shared" si="1083"/>
        <v>267.77999999932945</v>
      </c>
      <c r="P1527" s="38"/>
      <c r="Q1527" s="38"/>
      <c r="R1527" s="38"/>
      <c r="S1527" s="55">
        <f t="shared" si="1084"/>
        <v>267.77999999932945</v>
      </c>
      <c r="T1527" s="48"/>
      <c r="U1527" s="49">
        <f t="shared" si="1085"/>
        <v>58.409999999403965</v>
      </c>
      <c r="V1527" s="38"/>
      <c r="W1527" s="38"/>
      <c r="X1527" s="38"/>
      <c r="Y1527" s="51">
        <f t="shared" si="1086"/>
        <v>58.409999999403965</v>
      </c>
      <c r="Z1527" s="52"/>
      <c r="AA1527" s="53">
        <f t="shared" si="1087"/>
        <v>-7.6977357821306214E-10</v>
      </c>
      <c r="AB1527" s="38"/>
      <c r="AC1527" s="38"/>
      <c r="AD1527" s="38"/>
      <c r="AE1527" s="54">
        <f t="shared" si="1088"/>
        <v>-7.6977357821306214E-10</v>
      </c>
      <c r="AF1527" s="53"/>
      <c r="AG1527" s="53">
        <f t="shared" si="1089"/>
        <v>18678.120000000526</v>
      </c>
      <c r="AH1527" s="38"/>
      <c r="AI1527" s="38"/>
      <c r="AJ1527" s="38"/>
      <c r="AK1527" s="54">
        <f t="shared" si="1090"/>
        <v>18678.120000000526</v>
      </c>
      <c r="AL1527" s="53"/>
      <c r="AM1527" s="53">
        <f t="shared" si="1100"/>
        <v>282.6699999999995</v>
      </c>
      <c r="AN1527" s="38"/>
      <c r="AO1527" s="38"/>
      <c r="AP1527" s="38"/>
      <c r="AQ1527" s="54">
        <f t="shared" si="1070"/>
        <v>282.6699999999995</v>
      </c>
      <c r="AR1527" s="53"/>
      <c r="AS1527" s="29">
        <f t="shared" si="1094"/>
        <v>-2135318.4799999986</v>
      </c>
      <c r="AT1527" s="29">
        <f t="shared" si="1095"/>
        <v>0</v>
      </c>
      <c r="AU1527" s="29">
        <f t="shared" si="1096"/>
        <v>0</v>
      </c>
      <c r="AV1527" s="29">
        <f t="shared" si="1097"/>
        <v>0</v>
      </c>
      <c r="AW1527" s="29"/>
      <c r="AX1527" s="29">
        <f t="shared" si="1098"/>
        <v>-2135318.4799999986</v>
      </c>
      <c r="AY1527" s="29">
        <f t="shared" si="1091"/>
        <v>9300000</v>
      </c>
      <c r="AZ1527" s="29">
        <f t="shared" si="1092"/>
        <v>7164681.5200000014</v>
      </c>
    </row>
    <row r="1528" spans="2:52" x14ac:dyDescent="0.3">
      <c r="B1528" s="99">
        <f t="shared" si="1101"/>
        <v>46303</v>
      </c>
      <c r="C1528" s="44">
        <f t="shared" si="1079"/>
        <v>766908.08000000287</v>
      </c>
      <c r="D1528" s="38"/>
      <c r="E1528" s="38"/>
      <c r="F1528" s="38"/>
      <c r="G1528" s="45">
        <f t="shared" si="1080"/>
        <v>766908.08000000287</v>
      </c>
      <c r="H1528" s="44">
        <v>4300000</v>
      </c>
      <c r="I1528" s="46">
        <f t="shared" si="1081"/>
        <v>-2921513.5399999996</v>
      </c>
      <c r="J1528" s="38"/>
      <c r="K1528" s="38"/>
      <c r="L1528" s="38"/>
      <c r="M1528" s="47">
        <f t="shared" si="1082"/>
        <v>-2921513.5399999996</v>
      </c>
      <c r="N1528" s="46">
        <v>5000000</v>
      </c>
      <c r="O1528" s="48">
        <f t="shared" si="1083"/>
        <v>267.77999999932945</v>
      </c>
      <c r="P1528" s="38"/>
      <c r="Q1528" s="38"/>
      <c r="R1528" s="38"/>
      <c r="S1528" s="55">
        <f t="shared" si="1084"/>
        <v>267.77999999932945</v>
      </c>
      <c r="T1528" s="48"/>
      <c r="U1528" s="49">
        <f t="shared" si="1085"/>
        <v>58.409999999403965</v>
      </c>
      <c r="V1528" s="38"/>
      <c r="W1528" s="38"/>
      <c r="X1528" s="38"/>
      <c r="Y1528" s="51">
        <f t="shared" si="1086"/>
        <v>58.409999999403965</v>
      </c>
      <c r="Z1528" s="52"/>
      <c r="AA1528" s="53">
        <f t="shared" si="1087"/>
        <v>-7.6977357821306214E-10</v>
      </c>
      <c r="AB1528" s="38"/>
      <c r="AC1528" s="38"/>
      <c r="AD1528" s="38"/>
      <c r="AE1528" s="54">
        <f t="shared" si="1088"/>
        <v>-7.6977357821306214E-10</v>
      </c>
      <c r="AF1528" s="53"/>
      <c r="AG1528" s="53">
        <f t="shared" si="1089"/>
        <v>18678.120000000526</v>
      </c>
      <c r="AH1528" s="38"/>
      <c r="AI1528" s="38"/>
      <c r="AJ1528" s="38"/>
      <c r="AK1528" s="54">
        <f t="shared" si="1090"/>
        <v>18678.120000000526</v>
      </c>
      <c r="AL1528" s="53"/>
      <c r="AM1528" s="53">
        <f t="shared" si="1100"/>
        <v>282.6699999999995</v>
      </c>
      <c r="AN1528" s="38"/>
      <c r="AO1528" s="38"/>
      <c r="AP1528" s="38"/>
      <c r="AQ1528" s="54">
        <f t="shared" si="1070"/>
        <v>282.6699999999995</v>
      </c>
      <c r="AR1528" s="53"/>
      <c r="AS1528" s="29">
        <f t="shared" si="1094"/>
        <v>-2135318.4799999986</v>
      </c>
      <c r="AT1528" s="29">
        <f t="shared" si="1095"/>
        <v>0</v>
      </c>
      <c r="AU1528" s="29">
        <f t="shared" si="1096"/>
        <v>0</v>
      </c>
      <c r="AV1528" s="29">
        <f t="shared" si="1097"/>
        <v>0</v>
      </c>
      <c r="AW1528" s="29"/>
      <c r="AX1528" s="29">
        <f t="shared" si="1098"/>
        <v>-2135318.4799999986</v>
      </c>
      <c r="AY1528" s="29">
        <f t="shared" si="1091"/>
        <v>9300000</v>
      </c>
      <c r="AZ1528" s="29">
        <f t="shared" si="1092"/>
        <v>7164681.5200000014</v>
      </c>
    </row>
    <row r="1529" spans="2:52" x14ac:dyDescent="0.3">
      <c r="B1529" s="99">
        <f t="shared" si="1101"/>
        <v>46304</v>
      </c>
      <c r="C1529" s="44">
        <f t="shared" si="1079"/>
        <v>766908.08000000287</v>
      </c>
      <c r="D1529" s="38"/>
      <c r="E1529" s="38"/>
      <c r="F1529" s="38"/>
      <c r="G1529" s="45">
        <f t="shared" si="1080"/>
        <v>766908.08000000287</v>
      </c>
      <c r="H1529" s="44">
        <v>4300000</v>
      </c>
      <c r="I1529" s="46">
        <f t="shared" si="1081"/>
        <v>-2921513.5399999996</v>
      </c>
      <c r="J1529" s="38"/>
      <c r="K1529" s="38"/>
      <c r="L1529" s="38"/>
      <c r="M1529" s="47">
        <f t="shared" si="1082"/>
        <v>-2921513.5399999996</v>
      </c>
      <c r="N1529" s="46">
        <v>5000000</v>
      </c>
      <c r="O1529" s="48">
        <f t="shared" si="1083"/>
        <v>267.77999999932945</v>
      </c>
      <c r="P1529" s="38"/>
      <c r="Q1529" s="38"/>
      <c r="R1529" s="38"/>
      <c r="S1529" s="55">
        <f t="shared" si="1084"/>
        <v>267.77999999932945</v>
      </c>
      <c r="T1529" s="48"/>
      <c r="U1529" s="49">
        <f t="shared" si="1085"/>
        <v>58.409999999403965</v>
      </c>
      <c r="V1529" s="38"/>
      <c r="W1529" s="38"/>
      <c r="X1529" s="38"/>
      <c r="Y1529" s="51">
        <f t="shared" si="1086"/>
        <v>58.409999999403965</v>
      </c>
      <c r="Z1529" s="52"/>
      <c r="AA1529" s="53">
        <f t="shared" si="1087"/>
        <v>-7.6977357821306214E-10</v>
      </c>
      <c r="AB1529" s="38"/>
      <c r="AC1529" s="38"/>
      <c r="AD1529" s="38"/>
      <c r="AE1529" s="54">
        <f t="shared" si="1088"/>
        <v>-7.6977357821306214E-10</v>
      </c>
      <c r="AF1529" s="53"/>
      <c r="AG1529" s="53">
        <f t="shared" si="1089"/>
        <v>18678.120000000526</v>
      </c>
      <c r="AH1529" s="38"/>
      <c r="AI1529" s="38"/>
      <c r="AJ1529" s="38"/>
      <c r="AK1529" s="54">
        <f t="shared" si="1090"/>
        <v>18678.120000000526</v>
      </c>
      <c r="AL1529" s="53"/>
      <c r="AM1529" s="53">
        <f t="shared" si="1100"/>
        <v>282.6699999999995</v>
      </c>
      <c r="AN1529" s="38"/>
      <c r="AO1529" s="38"/>
      <c r="AP1529" s="38"/>
      <c r="AQ1529" s="54">
        <f t="shared" si="1070"/>
        <v>282.6699999999995</v>
      </c>
      <c r="AR1529" s="53"/>
      <c r="AS1529" s="29">
        <f t="shared" si="1094"/>
        <v>-2135318.4799999986</v>
      </c>
      <c r="AT1529" s="29">
        <f t="shared" si="1095"/>
        <v>0</v>
      </c>
      <c r="AU1529" s="29">
        <f t="shared" si="1096"/>
        <v>0</v>
      </c>
      <c r="AV1529" s="29">
        <f t="shared" si="1097"/>
        <v>0</v>
      </c>
      <c r="AW1529" s="29"/>
      <c r="AX1529" s="29">
        <f t="shared" si="1098"/>
        <v>-2135318.4799999986</v>
      </c>
      <c r="AY1529" s="29">
        <f t="shared" si="1091"/>
        <v>9300000</v>
      </c>
      <c r="AZ1529" s="29">
        <f t="shared" si="1092"/>
        <v>7164681.5200000014</v>
      </c>
    </row>
    <row r="1530" spans="2:52" x14ac:dyDescent="0.3">
      <c r="B1530" s="99">
        <f>B1529+3</f>
        <v>46307</v>
      </c>
      <c r="C1530" s="44">
        <f t="shared" si="1079"/>
        <v>766908.08000000287</v>
      </c>
      <c r="D1530" s="38"/>
      <c r="E1530" s="38"/>
      <c r="F1530" s="38"/>
      <c r="G1530" s="45">
        <f t="shared" si="1080"/>
        <v>766908.08000000287</v>
      </c>
      <c r="H1530" s="44">
        <v>4300000</v>
      </c>
      <c r="I1530" s="46">
        <f t="shared" si="1081"/>
        <v>-2921513.5399999996</v>
      </c>
      <c r="J1530" s="38"/>
      <c r="K1530" s="38"/>
      <c r="L1530" s="38"/>
      <c r="M1530" s="47">
        <f t="shared" si="1082"/>
        <v>-2921513.5399999996</v>
      </c>
      <c r="N1530" s="46">
        <v>5000000</v>
      </c>
      <c r="O1530" s="48">
        <f t="shared" si="1083"/>
        <v>267.77999999932945</v>
      </c>
      <c r="P1530" s="38"/>
      <c r="Q1530" s="38"/>
      <c r="R1530" s="38"/>
      <c r="S1530" s="55">
        <f t="shared" si="1084"/>
        <v>267.77999999932945</v>
      </c>
      <c r="T1530" s="48"/>
      <c r="U1530" s="49">
        <f t="shared" si="1085"/>
        <v>58.409999999403965</v>
      </c>
      <c r="V1530" s="38"/>
      <c r="W1530" s="38"/>
      <c r="X1530" s="38"/>
      <c r="Y1530" s="51">
        <f t="shared" si="1086"/>
        <v>58.409999999403965</v>
      </c>
      <c r="Z1530" s="52"/>
      <c r="AA1530" s="53">
        <f t="shared" si="1087"/>
        <v>-7.6977357821306214E-10</v>
      </c>
      <c r="AB1530" s="38"/>
      <c r="AC1530" s="38"/>
      <c r="AD1530" s="38"/>
      <c r="AE1530" s="54">
        <f t="shared" si="1088"/>
        <v>-7.6977357821306214E-10</v>
      </c>
      <c r="AF1530" s="53"/>
      <c r="AG1530" s="53">
        <f t="shared" si="1089"/>
        <v>18678.120000000526</v>
      </c>
      <c r="AH1530" s="38"/>
      <c r="AI1530" s="38"/>
      <c r="AJ1530" s="38"/>
      <c r="AK1530" s="54">
        <f t="shared" si="1090"/>
        <v>18678.120000000526</v>
      </c>
      <c r="AL1530" s="53"/>
      <c r="AM1530" s="53">
        <f t="shared" si="1100"/>
        <v>282.6699999999995</v>
      </c>
      <c r="AN1530" s="38"/>
      <c r="AO1530" s="38"/>
      <c r="AP1530" s="38"/>
      <c r="AQ1530" s="54">
        <f t="shared" si="1070"/>
        <v>282.6699999999995</v>
      </c>
      <c r="AR1530" s="53"/>
      <c r="AS1530" s="29">
        <f t="shared" si="1094"/>
        <v>-2135318.4799999986</v>
      </c>
      <c r="AT1530" s="29">
        <f t="shared" si="1095"/>
        <v>0</v>
      </c>
      <c r="AU1530" s="29">
        <f t="shared" si="1096"/>
        <v>0</v>
      </c>
      <c r="AV1530" s="29">
        <f t="shared" si="1097"/>
        <v>0</v>
      </c>
      <c r="AW1530" s="29"/>
      <c r="AX1530" s="29">
        <f t="shared" si="1098"/>
        <v>-2135318.4799999986</v>
      </c>
      <c r="AY1530" s="29">
        <f t="shared" si="1091"/>
        <v>9300000</v>
      </c>
      <c r="AZ1530" s="29">
        <f t="shared" si="1092"/>
        <v>7164681.5200000014</v>
      </c>
    </row>
    <row r="1531" spans="2:52" x14ac:dyDescent="0.3">
      <c r="B1531" s="99">
        <f t="shared" ref="B1531:B1534" si="1102">B1530+1</f>
        <v>46308</v>
      </c>
      <c r="C1531" s="44">
        <f t="shared" si="1079"/>
        <v>766908.08000000287</v>
      </c>
      <c r="D1531" s="38"/>
      <c r="E1531" s="38"/>
      <c r="F1531" s="38"/>
      <c r="G1531" s="45">
        <f t="shared" si="1080"/>
        <v>766908.08000000287</v>
      </c>
      <c r="H1531" s="44">
        <v>4300000</v>
      </c>
      <c r="I1531" s="46">
        <f t="shared" si="1081"/>
        <v>-2921513.5399999996</v>
      </c>
      <c r="J1531" s="38"/>
      <c r="K1531" s="38"/>
      <c r="L1531" s="38"/>
      <c r="M1531" s="47">
        <f t="shared" si="1082"/>
        <v>-2921513.5399999996</v>
      </c>
      <c r="N1531" s="46">
        <v>5000000</v>
      </c>
      <c r="O1531" s="48">
        <f t="shared" si="1083"/>
        <v>267.77999999932945</v>
      </c>
      <c r="P1531" s="38"/>
      <c r="Q1531" s="38"/>
      <c r="R1531" s="38"/>
      <c r="S1531" s="55">
        <f t="shared" si="1084"/>
        <v>267.77999999932945</v>
      </c>
      <c r="T1531" s="48"/>
      <c r="U1531" s="49">
        <f t="shared" si="1085"/>
        <v>58.409999999403965</v>
      </c>
      <c r="V1531" s="38"/>
      <c r="W1531" s="38"/>
      <c r="X1531" s="38"/>
      <c r="Y1531" s="51">
        <f t="shared" si="1086"/>
        <v>58.409999999403965</v>
      </c>
      <c r="Z1531" s="52"/>
      <c r="AA1531" s="53">
        <f t="shared" si="1087"/>
        <v>-7.6977357821306214E-10</v>
      </c>
      <c r="AB1531" s="38"/>
      <c r="AC1531" s="38"/>
      <c r="AD1531" s="38"/>
      <c r="AE1531" s="54">
        <f t="shared" si="1088"/>
        <v>-7.6977357821306214E-10</v>
      </c>
      <c r="AF1531" s="53"/>
      <c r="AG1531" s="53">
        <f t="shared" si="1089"/>
        <v>18678.120000000526</v>
      </c>
      <c r="AH1531" s="38"/>
      <c r="AI1531" s="38"/>
      <c r="AJ1531" s="38"/>
      <c r="AK1531" s="54">
        <f t="shared" si="1090"/>
        <v>18678.120000000526</v>
      </c>
      <c r="AL1531" s="53"/>
      <c r="AM1531" s="53">
        <f t="shared" si="1100"/>
        <v>282.6699999999995</v>
      </c>
      <c r="AN1531" s="38"/>
      <c r="AO1531" s="38"/>
      <c r="AP1531" s="38"/>
      <c r="AQ1531" s="54">
        <f t="shared" si="1070"/>
        <v>282.6699999999995</v>
      </c>
      <c r="AR1531" s="53"/>
      <c r="AS1531" s="29">
        <f t="shared" si="1094"/>
        <v>-2135318.4799999986</v>
      </c>
      <c r="AT1531" s="29">
        <f t="shared" si="1095"/>
        <v>0</v>
      </c>
      <c r="AU1531" s="29">
        <f t="shared" si="1096"/>
        <v>0</v>
      </c>
      <c r="AV1531" s="29">
        <f t="shared" si="1097"/>
        <v>0</v>
      </c>
      <c r="AW1531" s="29"/>
      <c r="AX1531" s="29">
        <f t="shared" si="1098"/>
        <v>-2135318.4799999986</v>
      </c>
      <c r="AY1531" s="29">
        <f t="shared" si="1091"/>
        <v>9300000</v>
      </c>
      <c r="AZ1531" s="29">
        <f t="shared" si="1092"/>
        <v>7164681.5200000014</v>
      </c>
    </row>
    <row r="1532" spans="2:52" x14ac:dyDescent="0.3">
      <c r="B1532" s="99">
        <f t="shared" si="1102"/>
        <v>46309</v>
      </c>
      <c r="C1532" s="44">
        <f t="shared" si="1079"/>
        <v>766908.08000000287</v>
      </c>
      <c r="D1532" s="38"/>
      <c r="E1532" s="38"/>
      <c r="F1532" s="38"/>
      <c r="G1532" s="45">
        <f t="shared" si="1080"/>
        <v>766908.08000000287</v>
      </c>
      <c r="H1532" s="44">
        <v>4300000</v>
      </c>
      <c r="I1532" s="46">
        <f t="shared" si="1081"/>
        <v>-2921513.5399999996</v>
      </c>
      <c r="J1532" s="38"/>
      <c r="K1532" s="38"/>
      <c r="L1532" s="38"/>
      <c r="M1532" s="47">
        <f t="shared" si="1082"/>
        <v>-2921513.5399999996</v>
      </c>
      <c r="N1532" s="46">
        <v>5000000</v>
      </c>
      <c r="O1532" s="48">
        <f t="shared" si="1083"/>
        <v>267.77999999932945</v>
      </c>
      <c r="P1532" s="38"/>
      <c r="Q1532" s="38"/>
      <c r="R1532" s="38"/>
      <c r="S1532" s="55">
        <f t="shared" si="1084"/>
        <v>267.77999999932945</v>
      </c>
      <c r="T1532" s="48"/>
      <c r="U1532" s="49">
        <f t="shared" si="1085"/>
        <v>58.409999999403965</v>
      </c>
      <c r="V1532" s="38"/>
      <c r="W1532" s="38"/>
      <c r="X1532" s="38"/>
      <c r="Y1532" s="51">
        <f t="shared" si="1086"/>
        <v>58.409999999403965</v>
      </c>
      <c r="Z1532" s="52"/>
      <c r="AA1532" s="53">
        <f t="shared" si="1087"/>
        <v>-7.6977357821306214E-10</v>
      </c>
      <c r="AB1532" s="38"/>
      <c r="AC1532" s="38"/>
      <c r="AD1532" s="38"/>
      <c r="AE1532" s="54">
        <f t="shared" si="1088"/>
        <v>-7.6977357821306214E-10</v>
      </c>
      <c r="AF1532" s="53"/>
      <c r="AG1532" s="53">
        <f t="shared" si="1089"/>
        <v>18678.120000000526</v>
      </c>
      <c r="AH1532" s="38"/>
      <c r="AI1532" s="38"/>
      <c r="AJ1532" s="38"/>
      <c r="AK1532" s="54">
        <f t="shared" si="1090"/>
        <v>18678.120000000526</v>
      </c>
      <c r="AL1532" s="53"/>
      <c r="AM1532" s="53">
        <f t="shared" si="1100"/>
        <v>282.6699999999995</v>
      </c>
      <c r="AN1532" s="38"/>
      <c r="AO1532" s="38"/>
      <c r="AP1532" s="38"/>
      <c r="AQ1532" s="54">
        <f t="shared" si="1070"/>
        <v>282.6699999999995</v>
      </c>
      <c r="AR1532" s="53"/>
      <c r="AS1532" s="29">
        <f t="shared" si="1094"/>
        <v>-2135318.4799999986</v>
      </c>
      <c r="AT1532" s="29">
        <f t="shared" si="1095"/>
        <v>0</v>
      </c>
      <c r="AU1532" s="29">
        <f t="shared" si="1096"/>
        <v>0</v>
      </c>
      <c r="AV1532" s="29">
        <f t="shared" si="1097"/>
        <v>0</v>
      </c>
      <c r="AW1532" s="29"/>
      <c r="AX1532" s="29">
        <f t="shared" si="1098"/>
        <v>-2135318.4799999986</v>
      </c>
      <c r="AY1532" s="29">
        <f t="shared" si="1091"/>
        <v>9300000</v>
      </c>
      <c r="AZ1532" s="29">
        <f t="shared" si="1092"/>
        <v>7164681.5200000014</v>
      </c>
    </row>
    <row r="1533" spans="2:52" x14ac:dyDescent="0.3">
      <c r="B1533" s="99">
        <f t="shared" si="1102"/>
        <v>46310</v>
      </c>
      <c r="C1533" s="44">
        <f t="shared" si="1079"/>
        <v>766908.08000000287</v>
      </c>
      <c r="D1533" s="38"/>
      <c r="E1533" s="38"/>
      <c r="F1533" s="38"/>
      <c r="G1533" s="45">
        <f t="shared" si="1080"/>
        <v>766908.08000000287</v>
      </c>
      <c r="H1533" s="44">
        <v>4300000</v>
      </c>
      <c r="I1533" s="46">
        <f t="shared" si="1081"/>
        <v>-2921513.5399999996</v>
      </c>
      <c r="J1533" s="38"/>
      <c r="K1533" s="38"/>
      <c r="L1533" s="38"/>
      <c r="M1533" s="47">
        <f t="shared" si="1082"/>
        <v>-2921513.5399999996</v>
      </c>
      <c r="N1533" s="46">
        <v>5000000</v>
      </c>
      <c r="O1533" s="48">
        <f t="shared" si="1083"/>
        <v>267.77999999932945</v>
      </c>
      <c r="P1533" s="38"/>
      <c r="Q1533" s="38"/>
      <c r="R1533" s="38"/>
      <c r="S1533" s="55">
        <f t="shared" si="1084"/>
        <v>267.77999999932945</v>
      </c>
      <c r="T1533" s="48"/>
      <c r="U1533" s="49">
        <f t="shared" si="1085"/>
        <v>58.409999999403965</v>
      </c>
      <c r="V1533" s="38"/>
      <c r="W1533" s="38"/>
      <c r="X1533" s="38"/>
      <c r="Y1533" s="51">
        <f t="shared" si="1086"/>
        <v>58.409999999403965</v>
      </c>
      <c r="Z1533" s="52"/>
      <c r="AA1533" s="53">
        <f t="shared" si="1087"/>
        <v>-7.6977357821306214E-10</v>
      </c>
      <c r="AB1533" s="38"/>
      <c r="AC1533" s="38"/>
      <c r="AD1533" s="38"/>
      <c r="AE1533" s="54">
        <f t="shared" si="1088"/>
        <v>-7.6977357821306214E-10</v>
      </c>
      <c r="AF1533" s="53"/>
      <c r="AG1533" s="53">
        <f t="shared" si="1089"/>
        <v>18678.120000000526</v>
      </c>
      <c r="AH1533" s="38"/>
      <c r="AI1533" s="38"/>
      <c r="AJ1533" s="38"/>
      <c r="AK1533" s="54">
        <f t="shared" si="1090"/>
        <v>18678.120000000526</v>
      </c>
      <c r="AL1533" s="53"/>
      <c r="AM1533" s="53">
        <f t="shared" si="1100"/>
        <v>282.6699999999995</v>
      </c>
      <c r="AN1533" s="38"/>
      <c r="AO1533" s="38"/>
      <c r="AP1533" s="38"/>
      <c r="AQ1533" s="54">
        <f t="shared" si="1070"/>
        <v>282.6699999999995</v>
      </c>
      <c r="AR1533" s="53"/>
      <c r="AS1533" s="29">
        <f t="shared" si="1094"/>
        <v>-2135318.4799999986</v>
      </c>
      <c r="AT1533" s="29">
        <f t="shared" si="1095"/>
        <v>0</v>
      </c>
      <c r="AU1533" s="29">
        <f t="shared" si="1096"/>
        <v>0</v>
      </c>
      <c r="AV1533" s="29">
        <f t="shared" si="1097"/>
        <v>0</v>
      </c>
      <c r="AW1533" s="29"/>
      <c r="AX1533" s="29">
        <f t="shared" si="1098"/>
        <v>-2135318.4799999986</v>
      </c>
      <c r="AY1533" s="29">
        <f t="shared" si="1091"/>
        <v>9300000</v>
      </c>
      <c r="AZ1533" s="29">
        <f t="shared" si="1092"/>
        <v>7164681.5200000014</v>
      </c>
    </row>
    <row r="1534" spans="2:52" x14ac:dyDescent="0.3">
      <c r="B1534" s="99">
        <f t="shared" si="1102"/>
        <v>46311</v>
      </c>
      <c r="C1534" s="44">
        <f t="shared" si="1079"/>
        <v>766908.08000000287</v>
      </c>
      <c r="D1534" s="38"/>
      <c r="E1534" s="38"/>
      <c r="F1534" s="38"/>
      <c r="G1534" s="45">
        <f t="shared" si="1080"/>
        <v>766908.08000000287</v>
      </c>
      <c r="H1534" s="44">
        <v>4300000</v>
      </c>
      <c r="I1534" s="46">
        <f t="shared" si="1081"/>
        <v>-2921513.5399999996</v>
      </c>
      <c r="J1534" s="38"/>
      <c r="K1534" s="38"/>
      <c r="L1534" s="38"/>
      <c r="M1534" s="47">
        <f t="shared" si="1082"/>
        <v>-2921513.5399999996</v>
      </c>
      <c r="N1534" s="46">
        <v>5000000</v>
      </c>
      <c r="O1534" s="48">
        <f t="shared" si="1083"/>
        <v>267.77999999932945</v>
      </c>
      <c r="P1534" s="38"/>
      <c r="Q1534" s="38"/>
      <c r="R1534" s="38"/>
      <c r="S1534" s="55">
        <f t="shared" si="1084"/>
        <v>267.77999999932945</v>
      </c>
      <c r="T1534" s="48"/>
      <c r="U1534" s="49">
        <f t="shared" si="1085"/>
        <v>58.409999999403965</v>
      </c>
      <c r="V1534" s="38"/>
      <c r="W1534" s="38"/>
      <c r="X1534" s="38"/>
      <c r="Y1534" s="51">
        <f t="shared" si="1086"/>
        <v>58.409999999403965</v>
      </c>
      <c r="Z1534" s="52"/>
      <c r="AA1534" s="53">
        <f t="shared" si="1087"/>
        <v>-7.6977357821306214E-10</v>
      </c>
      <c r="AB1534" s="38"/>
      <c r="AC1534" s="38"/>
      <c r="AD1534" s="38"/>
      <c r="AE1534" s="54">
        <f t="shared" si="1088"/>
        <v>-7.6977357821306214E-10</v>
      </c>
      <c r="AF1534" s="53"/>
      <c r="AG1534" s="53">
        <f t="shared" si="1089"/>
        <v>18678.120000000526</v>
      </c>
      <c r="AH1534" s="38"/>
      <c r="AI1534" s="38"/>
      <c r="AJ1534" s="38"/>
      <c r="AK1534" s="54">
        <f t="shared" si="1090"/>
        <v>18678.120000000526</v>
      </c>
      <c r="AL1534" s="53"/>
      <c r="AM1534" s="53">
        <f t="shared" si="1100"/>
        <v>282.6699999999995</v>
      </c>
      <c r="AN1534" s="38"/>
      <c r="AO1534" s="38"/>
      <c r="AP1534" s="38"/>
      <c r="AQ1534" s="54">
        <f t="shared" si="1070"/>
        <v>282.6699999999995</v>
      </c>
      <c r="AR1534" s="53"/>
      <c r="AS1534" s="29">
        <f t="shared" si="1094"/>
        <v>-2135318.4799999986</v>
      </c>
      <c r="AT1534" s="29">
        <f t="shared" si="1095"/>
        <v>0</v>
      </c>
      <c r="AU1534" s="29">
        <f t="shared" si="1096"/>
        <v>0</v>
      </c>
      <c r="AV1534" s="29">
        <f t="shared" si="1097"/>
        <v>0</v>
      </c>
      <c r="AW1534" s="29"/>
      <c r="AX1534" s="29">
        <f t="shared" si="1098"/>
        <v>-2135318.4799999986</v>
      </c>
      <c r="AY1534" s="29">
        <f t="shared" si="1091"/>
        <v>9300000</v>
      </c>
      <c r="AZ1534" s="29">
        <f t="shared" si="1092"/>
        <v>7164681.5200000014</v>
      </c>
    </row>
    <row r="1535" spans="2:52" x14ac:dyDescent="0.3">
      <c r="B1535" s="99">
        <f>B1534+3</f>
        <v>46314</v>
      </c>
      <c r="C1535" s="44">
        <f t="shared" si="1079"/>
        <v>766908.08000000287</v>
      </c>
      <c r="D1535" s="38"/>
      <c r="E1535" s="38"/>
      <c r="F1535" s="38"/>
      <c r="G1535" s="45">
        <f t="shared" si="1080"/>
        <v>766908.08000000287</v>
      </c>
      <c r="H1535" s="44">
        <v>4300000</v>
      </c>
      <c r="I1535" s="46">
        <f t="shared" si="1081"/>
        <v>-2921513.5399999996</v>
      </c>
      <c r="J1535" s="38"/>
      <c r="K1535" s="38"/>
      <c r="L1535" s="38"/>
      <c r="M1535" s="47">
        <f t="shared" si="1082"/>
        <v>-2921513.5399999996</v>
      </c>
      <c r="N1535" s="46">
        <v>5000000</v>
      </c>
      <c r="O1535" s="48">
        <f t="shared" si="1083"/>
        <v>267.77999999932945</v>
      </c>
      <c r="P1535" s="38"/>
      <c r="Q1535" s="38"/>
      <c r="R1535" s="38"/>
      <c r="S1535" s="55">
        <f t="shared" si="1084"/>
        <v>267.77999999932945</v>
      </c>
      <c r="T1535" s="48"/>
      <c r="U1535" s="49">
        <f t="shared" si="1085"/>
        <v>58.409999999403965</v>
      </c>
      <c r="V1535" s="38"/>
      <c r="W1535" s="38"/>
      <c r="X1535" s="38"/>
      <c r="Y1535" s="51">
        <f t="shared" si="1086"/>
        <v>58.409999999403965</v>
      </c>
      <c r="Z1535" s="52"/>
      <c r="AA1535" s="53">
        <f t="shared" si="1087"/>
        <v>-7.6977357821306214E-10</v>
      </c>
      <c r="AB1535" s="38"/>
      <c r="AC1535" s="38"/>
      <c r="AD1535" s="38"/>
      <c r="AE1535" s="54">
        <f t="shared" si="1088"/>
        <v>-7.6977357821306214E-10</v>
      </c>
      <c r="AF1535" s="53"/>
      <c r="AG1535" s="53">
        <f t="shared" si="1089"/>
        <v>18678.120000000526</v>
      </c>
      <c r="AH1535" s="38"/>
      <c r="AI1535" s="38"/>
      <c r="AJ1535" s="38"/>
      <c r="AK1535" s="54">
        <f t="shared" si="1090"/>
        <v>18678.120000000526</v>
      </c>
      <c r="AL1535" s="53"/>
      <c r="AM1535" s="53">
        <f t="shared" si="1100"/>
        <v>282.6699999999995</v>
      </c>
      <c r="AN1535" s="38"/>
      <c r="AO1535" s="38"/>
      <c r="AP1535" s="38"/>
      <c r="AQ1535" s="54">
        <f t="shared" si="1070"/>
        <v>282.6699999999995</v>
      </c>
      <c r="AR1535" s="53"/>
      <c r="AS1535" s="29">
        <f t="shared" si="1094"/>
        <v>-2135318.4799999986</v>
      </c>
      <c r="AT1535" s="29">
        <f t="shared" si="1095"/>
        <v>0</v>
      </c>
      <c r="AU1535" s="29">
        <f t="shared" si="1096"/>
        <v>0</v>
      </c>
      <c r="AV1535" s="29">
        <f t="shared" si="1097"/>
        <v>0</v>
      </c>
      <c r="AW1535" s="29"/>
      <c r="AX1535" s="29">
        <f t="shared" si="1098"/>
        <v>-2135318.4799999986</v>
      </c>
      <c r="AY1535" s="29">
        <f t="shared" si="1091"/>
        <v>9300000</v>
      </c>
      <c r="AZ1535" s="29">
        <f t="shared" si="1092"/>
        <v>7164681.5200000014</v>
      </c>
    </row>
    <row r="1536" spans="2:52" x14ac:dyDescent="0.3">
      <c r="B1536" s="99">
        <f t="shared" ref="B1536:B1539" si="1103">B1535+1</f>
        <v>46315</v>
      </c>
      <c r="C1536" s="44">
        <f t="shared" si="1079"/>
        <v>766908.08000000287</v>
      </c>
      <c r="D1536" s="38"/>
      <c r="E1536" s="38"/>
      <c r="F1536" s="38"/>
      <c r="G1536" s="45">
        <f t="shared" si="1080"/>
        <v>766908.08000000287</v>
      </c>
      <c r="H1536" s="44">
        <v>4300000</v>
      </c>
      <c r="I1536" s="46">
        <f t="shared" si="1081"/>
        <v>-2921513.5399999996</v>
      </c>
      <c r="J1536" s="38"/>
      <c r="K1536" s="38"/>
      <c r="L1536" s="38"/>
      <c r="M1536" s="47">
        <f t="shared" si="1082"/>
        <v>-2921513.5399999996</v>
      </c>
      <c r="N1536" s="46">
        <v>5000000</v>
      </c>
      <c r="O1536" s="48">
        <f t="shared" si="1083"/>
        <v>267.77999999932945</v>
      </c>
      <c r="P1536" s="38"/>
      <c r="Q1536" s="38"/>
      <c r="R1536" s="38"/>
      <c r="S1536" s="55">
        <f t="shared" si="1084"/>
        <v>267.77999999932945</v>
      </c>
      <c r="T1536" s="48"/>
      <c r="U1536" s="49">
        <f t="shared" si="1085"/>
        <v>58.409999999403965</v>
      </c>
      <c r="V1536" s="38"/>
      <c r="W1536" s="38"/>
      <c r="X1536" s="38"/>
      <c r="Y1536" s="51">
        <f t="shared" si="1086"/>
        <v>58.409999999403965</v>
      </c>
      <c r="Z1536" s="52"/>
      <c r="AA1536" s="53">
        <f t="shared" si="1087"/>
        <v>-7.6977357821306214E-10</v>
      </c>
      <c r="AB1536" s="38"/>
      <c r="AC1536" s="38"/>
      <c r="AD1536" s="38"/>
      <c r="AE1536" s="54">
        <f t="shared" si="1088"/>
        <v>-7.6977357821306214E-10</v>
      </c>
      <c r="AF1536" s="53"/>
      <c r="AG1536" s="53">
        <f t="shared" si="1089"/>
        <v>18678.120000000526</v>
      </c>
      <c r="AH1536" s="38"/>
      <c r="AI1536" s="38"/>
      <c r="AJ1536" s="38"/>
      <c r="AK1536" s="54">
        <f t="shared" si="1090"/>
        <v>18678.120000000526</v>
      </c>
      <c r="AL1536" s="53"/>
      <c r="AM1536" s="53">
        <f t="shared" si="1100"/>
        <v>282.6699999999995</v>
      </c>
      <c r="AN1536" s="38"/>
      <c r="AO1536" s="38"/>
      <c r="AP1536" s="38"/>
      <c r="AQ1536" s="54">
        <f t="shared" si="1070"/>
        <v>282.6699999999995</v>
      </c>
      <c r="AR1536" s="53"/>
      <c r="AS1536" s="29">
        <f t="shared" si="1094"/>
        <v>-2135318.4799999986</v>
      </c>
      <c r="AT1536" s="29">
        <f t="shared" si="1095"/>
        <v>0</v>
      </c>
      <c r="AU1536" s="29">
        <f t="shared" si="1096"/>
        <v>0</v>
      </c>
      <c r="AV1536" s="29">
        <f t="shared" si="1097"/>
        <v>0</v>
      </c>
      <c r="AW1536" s="29"/>
      <c r="AX1536" s="29">
        <f t="shared" si="1098"/>
        <v>-2135318.4799999986</v>
      </c>
      <c r="AY1536" s="29">
        <f t="shared" si="1091"/>
        <v>9300000</v>
      </c>
      <c r="AZ1536" s="29">
        <f t="shared" si="1092"/>
        <v>7164681.5200000014</v>
      </c>
    </row>
    <row r="1537" spans="2:52" x14ac:dyDescent="0.3">
      <c r="B1537" s="99">
        <f t="shared" si="1103"/>
        <v>46316</v>
      </c>
      <c r="C1537" s="44">
        <f t="shared" si="1079"/>
        <v>766908.08000000287</v>
      </c>
      <c r="D1537" s="38"/>
      <c r="E1537" s="38"/>
      <c r="F1537" s="38"/>
      <c r="G1537" s="45">
        <f t="shared" si="1080"/>
        <v>766908.08000000287</v>
      </c>
      <c r="H1537" s="44">
        <v>4300000</v>
      </c>
      <c r="I1537" s="46">
        <f t="shared" si="1081"/>
        <v>-2921513.5399999996</v>
      </c>
      <c r="J1537" s="38"/>
      <c r="K1537" s="38"/>
      <c r="L1537" s="38"/>
      <c r="M1537" s="47">
        <f t="shared" si="1082"/>
        <v>-2921513.5399999996</v>
      </c>
      <c r="N1537" s="46">
        <v>5000000</v>
      </c>
      <c r="O1537" s="48">
        <f t="shared" si="1083"/>
        <v>267.77999999932945</v>
      </c>
      <c r="P1537" s="38"/>
      <c r="Q1537" s="38"/>
      <c r="R1537" s="38"/>
      <c r="S1537" s="55">
        <f t="shared" si="1084"/>
        <v>267.77999999932945</v>
      </c>
      <c r="T1537" s="48"/>
      <c r="U1537" s="49">
        <f t="shared" si="1085"/>
        <v>58.409999999403965</v>
      </c>
      <c r="V1537" s="38"/>
      <c r="W1537" s="38"/>
      <c r="X1537" s="38"/>
      <c r="Y1537" s="51">
        <f t="shared" si="1086"/>
        <v>58.409999999403965</v>
      </c>
      <c r="Z1537" s="52"/>
      <c r="AA1537" s="53">
        <f t="shared" si="1087"/>
        <v>-7.6977357821306214E-10</v>
      </c>
      <c r="AB1537" s="38"/>
      <c r="AC1537" s="38"/>
      <c r="AD1537" s="38"/>
      <c r="AE1537" s="54">
        <f t="shared" si="1088"/>
        <v>-7.6977357821306214E-10</v>
      </c>
      <c r="AF1537" s="53"/>
      <c r="AG1537" s="53">
        <f t="shared" si="1089"/>
        <v>18678.120000000526</v>
      </c>
      <c r="AH1537" s="38"/>
      <c r="AI1537" s="38"/>
      <c r="AJ1537" s="38"/>
      <c r="AK1537" s="54">
        <f t="shared" si="1090"/>
        <v>18678.120000000526</v>
      </c>
      <c r="AL1537" s="53"/>
      <c r="AM1537" s="53">
        <f t="shared" si="1100"/>
        <v>282.6699999999995</v>
      </c>
      <c r="AN1537" s="38"/>
      <c r="AO1537" s="38"/>
      <c r="AP1537" s="38"/>
      <c r="AQ1537" s="54">
        <f t="shared" ref="AQ1537:AQ1600" si="1104">SUM(AL1537:AP1537)</f>
        <v>282.6699999999995</v>
      </c>
      <c r="AR1537" s="53"/>
      <c r="AS1537" s="29">
        <f t="shared" si="1094"/>
        <v>-2135318.4799999986</v>
      </c>
      <c r="AT1537" s="29">
        <f t="shared" si="1095"/>
        <v>0</v>
      </c>
      <c r="AU1537" s="29">
        <f t="shared" si="1096"/>
        <v>0</v>
      </c>
      <c r="AV1537" s="29">
        <f t="shared" si="1097"/>
        <v>0</v>
      </c>
      <c r="AW1537" s="29"/>
      <c r="AX1537" s="29">
        <f t="shared" si="1098"/>
        <v>-2135318.4799999986</v>
      </c>
      <c r="AY1537" s="29">
        <f t="shared" si="1091"/>
        <v>9300000</v>
      </c>
      <c r="AZ1537" s="29">
        <f t="shared" si="1092"/>
        <v>7164681.5200000014</v>
      </c>
    </row>
    <row r="1538" spans="2:52" x14ac:dyDescent="0.3">
      <c r="B1538" s="99">
        <f t="shared" si="1103"/>
        <v>46317</v>
      </c>
      <c r="C1538" s="44">
        <f t="shared" si="1079"/>
        <v>766908.08000000287</v>
      </c>
      <c r="D1538" s="38"/>
      <c r="E1538" s="38"/>
      <c r="F1538" s="38"/>
      <c r="G1538" s="45">
        <f t="shared" si="1080"/>
        <v>766908.08000000287</v>
      </c>
      <c r="H1538" s="44">
        <v>4300000</v>
      </c>
      <c r="I1538" s="46">
        <f t="shared" si="1081"/>
        <v>-2921513.5399999996</v>
      </c>
      <c r="J1538" s="38"/>
      <c r="K1538" s="38"/>
      <c r="L1538" s="38"/>
      <c r="M1538" s="47">
        <f t="shared" si="1082"/>
        <v>-2921513.5399999996</v>
      </c>
      <c r="N1538" s="46">
        <v>5000000</v>
      </c>
      <c r="O1538" s="48">
        <f t="shared" si="1083"/>
        <v>267.77999999932945</v>
      </c>
      <c r="P1538" s="38"/>
      <c r="Q1538" s="38"/>
      <c r="R1538" s="38"/>
      <c r="S1538" s="55">
        <f t="shared" si="1084"/>
        <v>267.77999999932945</v>
      </c>
      <c r="T1538" s="48"/>
      <c r="U1538" s="49">
        <f t="shared" si="1085"/>
        <v>58.409999999403965</v>
      </c>
      <c r="V1538" s="38"/>
      <c r="W1538" s="38"/>
      <c r="X1538" s="38"/>
      <c r="Y1538" s="51">
        <f t="shared" si="1086"/>
        <v>58.409999999403965</v>
      </c>
      <c r="Z1538" s="52"/>
      <c r="AA1538" s="53">
        <f t="shared" si="1087"/>
        <v>-7.6977357821306214E-10</v>
      </c>
      <c r="AB1538" s="38"/>
      <c r="AC1538" s="38"/>
      <c r="AD1538" s="38"/>
      <c r="AE1538" s="54">
        <f t="shared" si="1088"/>
        <v>-7.6977357821306214E-10</v>
      </c>
      <c r="AF1538" s="53"/>
      <c r="AG1538" s="53">
        <f t="shared" si="1089"/>
        <v>18678.120000000526</v>
      </c>
      <c r="AH1538" s="38"/>
      <c r="AI1538" s="38"/>
      <c r="AJ1538" s="38"/>
      <c r="AK1538" s="54">
        <f t="shared" si="1090"/>
        <v>18678.120000000526</v>
      </c>
      <c r="AL1538" s="53"/>
      <c r="AM1538" s="53">
        <f t="shared" si="1100"/>
        <v>282.6699999999995</v>
      </c>
      <c r="AN1538" s="38"/>
      <c r="AO1538" s="38"/>
      <c r="AP1538" s="38"/>
      <c r="AQ1538" s="54">
        <f t="shared" si="1104"/>
        <v>282.6699999999995</v>
      </c>
      <c r="AR1538" s="53"/>
      <c r="AS1538" s="29">
        <f t="shared" si="1094"/>
        <v>-2135318.4799999986</v>
      </c>
      <c r="AT1538" s="29">
        <f t="shared" si="1095"/>
        <v>0</v>
      </c>
      <c r="AU1538" s="29">
        <f t="shared" si="1096"/>
        <v>0</v>
      </c>
      <c r="AV1538" s="29">
        <f t="shared" si="1097"/>
        <v>0</v>
      </c>
      <c r="AW1538" s="29"/>
      <c r="AX1538" s="29">
        <f t="shared" si="1098"/>
        <v>-2135318.4799999986</v>
      </c>
      <c r="AY1538" s="29">
        <f t="shared" si="1091"/>
        <v>9300000</v>
      </c>
      <c r="AZ1538" s="29">
        <f t="shared" si="1092"/>
        <v>7164681.5200000014</v>
      </c>
    </row>
    <row r="1539" spans="2:52" x14ac:dyDescent="0.3">
      <c r="B1539" s="99">
        <f t="shared" si="1103"/>
        <v>46318</v>
      </c>
      <c r="C1539" s="44">
        <f t="shared" si="1079"/>
        <v>766908.08000000287</v>
      </c>
      <c r="D1539" s="38"/>
      <c r="E1539" s="38"/>
      <c r="F1539" s="38"/>
      <c r="G1539" s="45">
        <f t="shared" si="1080"/>
        <v>766908.08000000287</v>
      </c>
      <c r="H1539" s="44">
        <v>4300000</v>
      </c>
      <c r="I1539" s="46">
        <f t="shared" si="1081"/>
        <v>-2921513.5399999996</v>
      </c>
      <c r="J1539" s="38"/>
      <c r="K1539" s="38"/>
      <c r="L1539" s="38"/>
      <c r="M1539" s="47">
        <f t="shared" si="1082"/>
        <v>-2921513.5399999996</v>
      </c>
      <c r="N1539" s="46">
        <v>5000000</v>
      </c>
      <c r="O1539" s="48">
        <f t="shared" si="1083"/>
        <v>267.77999999932945</v>
      </c>
      <c r="P1539" s="38"/>
      <c r="Q1539" s="38"/>
      <c r="R1539" s="38"/>
      <c r="S1539" s="55">
        <f t="shared" si="1084"/>
        <v>267.77999999932945</v>
      </c>
      <c r="T1539" s="48"/>
      <c r="U1539" s="49">
        <f t="shared" si="1085"/>
        <v>58.409999999403965</v>
      </c>
      <c r="V1539" s="38"/>
      <c r="W1539" s="38"/>
      <c r="X1539" s="38"/>
      <c r="Y1539" s="51">
        <f t="shared" si="1086"/>
        <v>58.409999999403965</v>
      </c>
      <c r="Z1539" s="52"/>
      <c r="AA1539" s="53">
        <f t="shared" si="1087"/>
        <v>-7.6977357821306214E-10</v>
      </c>
      <c r="AB1539" s="38"/>
      <c r="AC1539" s="38"/>
      <c r="AD1539" s="38"/>
      <c r="AE1539" s="54">
        <f t="shared" si="1088"/>
        <v>-7.6977357821306214E-10</v>
      </c>
      <c r="AF1539" s="53"/>
      <c r="AG1539" s="53">
        <f t="shared" si="1089"/>
        <v>18678.120000000526</v>
      </c>
      <c r="AH1539" s="38"/>
      <c r="AI1539" s="38"/>
      <c r="AJ1539" s="38"/>
      <c r="AK1539" s="54">
        <f t="shared" si="1090"/>
        <v>18678.120000000526</v>
      </c>
      <c r="AL1539" s="53"/>
      <c r="AM1539" s="53">
        <f t="shared" si="1100"/>
        <v>282.6699999999995</v>
      </c>
      <c r="AN1539" s="38"/>
      <c r="AO1539" s="38"/>
      <c r="AP1539" s="38"/>
      <c r="AQ1539" s="54">
        <f t="shared" si="1104"/>
        <v>282.6699999999995</v>
      </c>
      <c r="AR1539" s="53"/>
      <c r="AS1539" s="29">
        <f t="shared" si="1094"/>
        <v>-2135318.4799999986</v>
      </c>
      <c r="AT1539" s="29">
        <f t="shared" si="1095"/>
        <v>0</v>
      </c>
      <c r="AU1539" s="29">
        <f t="shared" si="1096"/>
        <v>0</v>
      </c>
      <c r="AV1539" s="29">
        <f t="shared" si="1097"/>
        <v>0</v>
      </c>
      <c r="AW1539" s="29"/>
      <c r="AX1539" s="29">
        <f t="shared" si="1098"/>
        <v>-2135318.4799999986</v>
      </c>
      <c r="AY1539" s="29">
        <f t="shared" si="1091"/>
        <v>9300000</v>
      </c>
      <c r="AZ1539" s="29">
        <f t="shared" si="1092"/>
        <v>7164681.5200000014</v>
      </c>
    </row>
    <row r="1540" spans="2:52" x14ac:dyDescent="0.3">
      <c r="B1540" s="99">
        <f>B1539+3</f>
        <v>46321</v>
      </c>
      <c r="C1540" s="44">
        <f t="shared" si="1079"/>
        <v>766908.08000000287</v>
      </c>
      <c r="D1540" s="38"/>
      <c r="E1540" s="38"/>
      <c r="F1540" s="38"/>
      <c r="G1540" s="45">
        <f t="shared" si="1080"/>
        <v>766908.08000000287</v>
      </c>
      <c r="H1540" s="44">
        <v>4300000</v>
      </c>
      <c r="I1540" s="46">
        <f t="shared" si="1081"/>
        <v>-2921513.5399999996</v>
      </c>
      <c r="J1540" s="38"/>
      <c r="K1540" s="38"/>
      <c r="L1540" s="38"/>
      <c r="M1540" s="47">
        <f t="shared" si="1082"/>
        <v>-2921513.5399999996</v>
      </c>
      <c r="N1540" s="46">
        <v>5000000</v>
      </c>
      <c r="O1540" s="48">
        <f t="shared" si="1083"/>
        <v>267.77999999932945</v>
      </c>
      <c r="P1540" s="38"/>
      <c r="Q1540" s="38"/>
      <c r="R1540" s="38"/>
      <c r="S1540" s="55">
        <f t="shared" si="1084"/>
        <v>267.77999999932945</v>
      </c>
      <c r="T1540" s="48"/>
      <c r="U1540" s="49">
        <f t="shared" si="1085"/>
        <v>58.409999999403965</v>
      </c>
      <c r="V1540" s="38"/>
      <c r="W1540" s="38"/>
      <c r="X1540" s="38"/>
      <c r="Y1540" s="51">
        <f t="shared" si="1086"/>
        <v>58.409999999403965</v>
      </c>
      <c r="Z1540" s="52"/>
      <c r="AA1540" s="53">
        <f t="shared" si="1087"/>
        <v>-7.6977357821306214E-10</v>
      </c>
      <c r="AB1540" s="38"/>
      <c r="AC1540" s="38"/>
      <c r="AD1540" s="38"/>
      <c r="AE1540" s="54">
        <f t="shared" si="1088"/>
        <v>-7.6977357821306214E-10</v>
      </c>
      <c r="AF1540" s="53"/>
      <c r="AG1540" s="53">
        <f t="shared" si="1089"/>
        <v>18678.120000000526</v>
      </c>
      <c r="AH1540" s="38"/>
      <c r="AI1540" s="38"/>
      <c r="AJ1540" s="38"/>
      <c r="AK1540" s="54">
        <f t="shared" si="1090"/>
        <v>18678.120000000526</v>
      </c>
      <c r="AL1540" s="53"/>
      <c r="AM1540" s="53">
        <f t="shared" si="1100"/>
        <v>282.6699999999995</v>
      </c>
      <c r="AN1540" s="38"/>
      <c r="AO1540" s="38"/>
      <c r="AP1540" s="38"/>
      <c r="AQ1540" s="54">
        <f t="shared" si="1104"/>
        <v>282.6699999999995</v>
      </c>
      <c r="AR1540" s="53"/>
      <c r="AS1540" s="29">
        <f t="shared" si="1094"/>
        <v>-2135318.4799999986</v>
      </c>
      <c r="AT1540" s="29">
        <f t="shared" si="1095"/>
        <v>0</v>
      </c>
      <c r="AU1540" s="29">
        <f t="shared" si="1096"/>
        <v>0</v>
      </c>
      <c r="AV1540" s="29">
        <f t="shared" si="1097"/>
        <v>0</v>
      </c>
      <c r="AW1540" s="29"/>
      <c r="AX1540" s="29">
        <f t="shared" si="1098"/>
        <v>-2135318.4799999986</v>
      </c>
      <c r="AY1540" s="29">
        <f t="shared" si="1091"/>
        <v>9300000</v>
      </c>
      <c r="AZ1540" s="29">
        <f t="shared" si="1092"/>
        <v>7164681.5200000014</v>
      </c>
    </row>
    <row r="1541" spans="2:52" x14ac:dyDescent="0.3">
      <c r="B1541" s="99">
        <f t="shared" ref="B1541:B1544" si="1105">B1540+1</f>
        <v>46322</v>
      </c>
      <c r="C1541" s="44">
        <f t="shared" si="1079"/>
        <v>766908.08000000287</v>
      </c>
      <c r="D1541" s="38"/>
      <c r="E1541" s="38"/>
      <c r="F1541" s="38"/>
      <c r="G1541" s="45">
        <f t="shared" si="1080"/>
        <v>766908.08000000287</v>
      </c>
      <c r="H1541" s="44">
        <v>4300000</v>
      </c>
      <c r="I1541" s="46">
        <f t="shared" si="1081"/>
        <v>-2921513.5399999996</v>
      </c>
      <c r="J1541" s="38"/>
      <c r="K1541" s="38"/>
      <c r="L1541" s="38"/>
      <c r="M1541" s="47">
        <f t="shared" si="1082"/>
        <v>-2921513.5399999996</v>
      </c>
      <c r="N1541" s="46">
        <v>5000000</v>
      </c>
      <c r="O1541" s="48">
        <f t="shared" si="1083"/>
        <v>267.77999999932945</v>
      </c>
      <c r="P1541" s="38"/>
      <c r="Q1541" s="38"/>
      <c r="R1541" s="38"/>
      <c r="S1541" s="55">
        <f t="shared" si="1084"/>
        <v>267.77999999932945</v>
      </c>
      <c r="T1541" s="48"/>
      <c r="U1541" s="49">
        <f t="shared" si="1085"/>
        <v>58.409999999403965</v>
      </c>
      <c r="V1541" s="38"/>
      <c r="W1541" s="38"/>
      <c r="X1541" s="38"/>
      <c r="Y1541" s="51">
        <f t="shared" si="1086"/>
        <v>58.409999999403965</v>
      </c>
      <c r="Z1541" s="52"/>
      <c r="AA1541" s="53">
        <f t="shared" si="1087"/>
        <v>-7.6977357821306214E-10</v>
      </c>
      <c r="AB1541" s="38"/>
      <c r="AC1541" s="38"/>
      <c r="AD1541" s="38"/>
      <c r="AE1541" s="54">
        <f t="shared" si="1088"/>
        <v>-7.6977357821306214E-10</v>
      </c>
      <c r="AF1541" s="53"/>
      <c r="AG1541" s="53">
        <f t="shared" si="1089"/>
        <v>18678.120000000526</v>
      </c>
      <c r="AH1541" s="38"/>
      <c r="AI1541" s="38"/>
      <c r="AJ1541" s="38"/>
      <c r="AK1541" s="54">
        <f t="shared" si="1090"/>
        <v>18678.120000000526</v>
      </c>
      <c r="AL1541" s="53"/>
      <c r="AM1541" s="53">
        <f t="shared" si="1100"/>
        <v>282.6699999999995</v>
      </c>
      <c r="AN1541" s="38"/>
      <c r="AO1541" s="38"/>
      <c r="AP1541" s="38"/>
      <c r="AQ1541" s="54">
        <f t="shared" si="1104"/>
        <v>282.6699999999995</v>
      </c>
      <c r="AR1541" s="53"/>
      <c r="AS1541" s="29">
        <f t="shared" si="1094"/>
        <v>-2135318.4799999986</v>
      </c>
      <c r="AT1541" s="29">
        <f t="shared" si="1095"/>
        <v>0</v>
      </c>
      <c r="AU1541" s="29">
        <f t="shared" si="1096"/>
        <v>0</v>
      </c>
      <c r="AV1541" s="29">
        <f t="shared" si="1097"/>
        <v>0</v>
      </c>
      <c r="AW1541" s="29"/>
      <c r="AX1541" s="29">
        <f t="shared" si="1098"/>
        <v>-2135318.4799999986</v>
      </c>
      <c r="AY1541" s="29">
        <f t="shared" si="1091"/>
        <v>9300000</v>
      </c>
      <c r="AZ1541" s="29">
        <f t="shared" si="1092"/>
        <v>7164681.5200000014</v>
      </c>
    </row>
    <row r="1542" spans="2:52" x14ac:dyDescent="0.3">
      <c r="B1542" s="99">
        <f t="shared" si="1105"/>
        <v>46323</v>
      </c>
      <c r="C1542" s="44">
        <f t="shared" si="1079"/>
        <v>766908.08000000287</v>
      </c>
      <c r="D1542" s="38"/>
      <c r="E1542" s="38"/>
      <c r="F1542" s="38"/>
      <c r="G1542" s="45">
        <f t="shared" si="1080"/>
        <v>766908.08000000287</v>
      </c>
      <c r="H1542" s="44">
        <v>4300000</v>
      </c>
      <c r="I1542" s="46">
        <f t="shared" si="1081"/>
        <v>-2921513.5399999996</v>
      </c>
      <c r="J1542" s="38"/>
      <c r="K1542" s="38"/>
      <c r="L1542" s="38"/>
      <c r="M1542" s="47">
        <f t="shared" si="1082"/>
        <v>-2921513.5399999996</v>
      </c>
      <c r="N1542" s="46">
        <v>5000000</v>
      </c>
      <c r="O1542" s="48">
        <f t="shared" si="1083"/>
        <v>267.77999999932945</v>
      </c>
      <c r="P1542" s="38"/>
      <c r="Q1542" s="38"/>
      <c r="R1542" s="38"/>
      <c r="S1542" s="55">
        <f t="shared" si="1084"/>
        <v>267.77999999932945</v>
      </c>
      <c r="T1542" s="48"/>
      <c r="U1542" s="49">
        <f t="shared" si="1085"/>
        <v>58.409999999403965</v>
      </c>
      <c r="V1542" s="38"/>
      <c r="W1542" s="38"/>
      <c r="X1542" s="38"/>
      <c r="Y1542" s="51">
        <f t="shared" si="1086"/>
        <v>58.409999999403965</v>
      </c>
      <c r="Z1542" s="52"/>
      <c r="AA1542" s="53">
        <f t="shared" si="1087"/>
        <v>-7.6977357821306214E-10</v>
      </c>
      <c r="AB1542" s="38"/>
      <c r="AC1542" s="38"/>
      <c r="AD1542" s="38"/>
      <c r="AE1542" s="54">
        <f t="shared" si="1088"/>
        <v>-7.6977357821306214E-10</v>
      </c>
      <c r="AF1542" s="53"/>
      <c r="AG1542" s="53">
        <f t="shared" si="1089"/>
        <v>18678.120000000526</v>
      </c>
      <c r="AH1542" s="38"/>
      <c r="AI1542" s="38"/>
      <c r="AJ1542" s="38"/>
      <c r="AK1542" s="54">
        <f t="shared" si="1090"/>
        <v>18678.120000000526</v>
      </c>
      <c r="AL1542" s="53"/>
      <c r="AM1542" s="53">
        <f t="shared" si="1100"/>
        <v>282.6699999999995</v>
      </c>
      <c r="AN1542" s="38"/>
      <c r="AO1542" s="38"/>
      <c r="AP1542" s="38"/>
      <c r="AQ1542" s="54">
        <f t="shared" si="1104"/>
        <v>282.6699999999995</v>
      </c>
      <c r="AR1542" s="53"/>
      <c r="AS1542" s="29">
        <f t="shared" si="1094"/>
        <v>-2135318.4799999986</v>
      </c>
      <c r="AT1542" s="29">
        <f t="shared" si="1095"/>
        <v>0</v>
      </c>
      <c r="AU1542" s="29">
        <f t="shared" si="1096"/>
        <v>0</v>
      </c>
      <c r="AV1542" s="29">
        <f t="shared" si="1097"/>
        <v>0</v>
      </c>
      <c r="AW1542" s="29"/>
      <c r="AX1542" s="29">
        <f t="shared" si="1098"/>
        <v>-2135318.4799999986</v>
      </c>
      <c r="AY1542" s="29">
        <f t="shared" si="1091"/>
        <v>9300000</v>
      </c>
      <c r="AZ1542" s="29">
        <f t="shared" si="1092"/>
        <v>7164681.5200000014</v>
      </c>
    </row>
    <row r="1543" spans="2:52" x14ac:dyDescent="0.3">
      <c r="B1543" s="99">
        <f t="shared" si="1105"/>
        <v>46324</v>
      </c>
      <c r="C1543" s="44">
        <f t="shared" si="1079"/>
        <v>766908.08000000287</v>
      </c>
      <c r="D1543" s="38"/>
      <c r="E1543" s="38"/>
      <c r="F1543" s="38"/>
      <c r="G1543" s="45">
        <f t="shared" si="1080"/>
        <v>766908.08000000287</v>
      </c>
      <c r="H1543" s="44">
        <v>4300000</v>
      </c>
      <c r="I1543" s="46">
        <f t="shared" si="1081"/>
        <v>-2921513.5399999996</v>
      </c>
      <c r="J1543" s="38"/>
      <c r="K1543" s="38"/>
      <c r="L1543" s="38"/>
      <c r="M1543" s="47">
        <f t="shared" si="1082"/>
        <v>-2921513.5399999996</v>
      </c>
      <c r="N1543" s="46">
        <v>5000000</v>
      </c>
      <c r="O1543" s="48">
        <f t="shared" si="1083"/>
        <v>267.77999999932945</v>
      </c>
      <c r="P1543" s="38"/>
      <c r="Q1543" s="38"/>
      <c r="R1543" s="38"/>
      <c r="S1543" s="55">
        <f t="shared" si="1084"/>
        <v>267.77999999932945</v>
      </c>
      <c r="T1543" s="48"/>
      <c r="U1543" s="49">
        <f t="shared" si="1085"/>
        <v>58.409999999403965</v>
      </c>
      <c r="V1543" s="38"/>
      <c r="W1543" s="38"/>
      <c r="X1543" s="38"/>
      <c r="Y1543" s="51">
        <f t="shared" si="1086"/>
        <v>58.409999999403965</v>
      </c>
      <c r="Z1543" s="52"/>
      <c r="AA1543" s="53">
        <f t="shared" si="1087"/>
        <v>-7.6977357821306214E-10</v>
      </c>
      <c r="AB1543" s="38"/>
      <c r="AC1543" s="38"/>
      <c r="AD1543" s="38"/>
      <c r="AE1543" s="54">
        <f t="shared" si="1088"/>
        <v>-7.6977357821306214E-10</v>
      </c>
      <c r="AF1543" s="53"/>
      <c r="AG1543" s="53">
        <f t="shared" si="1089"/>
        <v>18678.120000000526</v>
      </c>
      <c r="AH1543" s="38"/>
      <c r="AI1543" s="38"/>
      <c r="AJ1543" s="38"/>
      <c r="AK1543" s="54">
        <f t="shared" si="1090"/>
        <v>18678.120000000526</v>
      </c>
      <c r="AL1543" s="53"/>
      <c r="AM1543" s="53">
        <f t="shared" si="1100"/>
        <v>282.6699999999995</v>
      </c>
      <c r="AN1543" s="38"/>
      <c r="AO1543" s="38"/>
      <c r="AP1543" s="38"/>
      <c r="AQ1543" s="54">
        <f t="shared" si="1104"/>
        <v>282.6699999999995</v>
      </c>
      <c r="AR1543" s="53"/>
      <c r="AS1543" s="29">
        <f t="shared" si="1094"/>
        <v>-2135318.4799999986</v>
      </c>
      <c r="AT1543" s="29">
        <f t="shared" si="1095"/>
        <v>0</v>
      </c>
      <c r="AU1543" s="29">
        <f t="shared" si="1096"/>
        <v>0</v>
      </c>
      <c r="AV1543" s="29">
        <f t="shared" si="1097"/>
        <v>0</v>
      </c>
      <c r="AW1543" s="29"/>
      <c r="AX1543" s="29">
        <f t="shared" si="1098"/>
        <v>-2135318.4799999986</v>
      </c>
      <c r="AY1543" s="29">
        <f t="shared" si="1091"/>
        <v>9300000</v>
      </c>
      <c r="AZ1543" s="29">
        <f t="shared" si="1092"/>
        <v>7164681.5200000014</v>
      </c>
    </row>
    <row r="1544" spans="2:52" x14ac:dyDescent="0.3">
      <c r="B1544" s="99">
        <f t="shared" si="1105"/>
        <v>46325</v>
      </c>
      <c r="C1544" s="44">
        <f t="shared" si="1079"/>
        <v>766908.08000000287</v>
      </c>
      <c r="D1544" s="38"/>
      <c r="E1544" s="38"/>
      <c r="F1544" s="38"/>
      <c r="G1544" s="45">
        <f t="shared" si="1080"/>
        <v>766908.08000000287</v>
      </c>
      <c r="H1544" s="44">
        <v>4300000</v>
      </c>
      <c r="I1544" s="46">
        <f t="shared" si="1081"/>
        <v>-2921513.5399999996</v>
      </c>
      <c r="J1544" s="38"/>
      <c r="K1544" s="38"/>
      <c r="L1544" s="38"/>
      <c r="M1544" s="47">
        <f t="shared" si="1082"/>
        <v>-2921513.5399999996</v>
      </c>
      <c r="N1544" s="46">
        <v>5000000</v>
      </c>
      <c r="O1544" s="48">
        <f t="shared" si="1083"/>
        <v>267.77999999932945</v>
      </c>
      <c r="P1544" s="38"/>
      <c r="Q1544" s="38"/>
      <c r="R1544" s="38"/>
      <c r="S1544" s="55">
        <f t="shared" si="1084"/>
        <v>267.77999999932945</v>
      </c>
      <c r="T1544" s="48"/>
      <c r="U1544" s="49">
        <f t="shared" si="1085"/>
        <v>58.409999999403965</v>
      </c>
      <c r="V1544" s="38"/>
      <c r="W1544" s="38"/>
      <c r="X1544" s="38"/>
      <c r="Y1544" s="51">
        <f t="shared" si="1086"/>
        <v>58.409999999403965</v>
      </c>
      <c r="Z1544" s="52"/>
      <c r="AA1544" s="53">
        <f t="shared" si="1087"/>
        <v>-7.6977357821306214E-10</v>
      </c>
      <c r="AB1544" s="38"/>
      <c r="AC1544" s="38"/>
      <c r="AD1544" s="38"/>
      <c r="AE1544" s="54">
        <f t="shared" si="1088"/>
        <v>-7.6977357821306214E-10</v>
      </c>
      <c r="AF1544" s="53"/>
      <c r="AG1544" s="53">
        <f t="shared" si="1089"/>
        <v>18678.120000000526</v>
      </c>
      <c r="AH1544" s="38"/>
      <c r="AI1544" s="38"/>
      <c r="AJ1544" s="38"/>
      <c r="AK1544" s="54">
        <f t="shared" si="1090"/>
        <v>18678.120000000526</v>
      </c>
      <c r="AL1544" s="53"/>
      <c r="AM1544" s="53">
        <f t="shared" si="1100"/>
        <v>282.6699999999995</v>
      </c>
      <c r="AN1544" s="38"/>
      <c r="AO1544" s="38"/>
      <c r="AP1544" s="38"/>
      <c r="AQ1544" s="54">
        <f t="shared" si="1104"/>
        <v>282.6699999999995</v>
      </c>
      <c r="AR1544" s="53"/>
      <c r="AS1544" s="29">
        <f t="shared" si="1094"/>
        <v>-2135318.4799999986</v>
      </c>
      <c r="AT1544" s="29">
        <f t="shared" si="1095"/>
        <v>0</v>
      </c>
      <c r="AU1544" s="29">
        <f t="shared" si="1096"/>
        <v>0</v>
      </c>
      <c r="AV1544" s="29">
        <f t="shared" si="1097"/>
        <v>0</v>
      </c>
      <c r="AW1544" s="29"/>
      <c r="AX1544" s="29">
        <f t="shared" si="1098"/>
        <v>-2135318.4799999986</v>
      </c>
      <c r="AY1544" s="29">
        <f t="shared" si="1091"/>
        <v>9300000</v>
      </c>
      <c r="AZ1544" s="29">
        <f t="shared" si="1092"/>
        <v>7164681.5200000014</v>
      </c>
    </row>
    <row r="1545" spans="2:52" x14ac:dyDescent="0.3">
      <c r="B1545" s="99">
        <f>B1544+3</f>
        <v>46328</v>
      </c>
      <c r="C1545" s="44">
        <f t="shared" si="1079"/>
        <v>766908.08000000287</v>
      </c>
      <c r="D1545" s="38"/>
      <c r="E1545" s="38"/>
      <c r="F1545" s="38"/>
      <c r="G1545" s="45">
        <f t="shared" si="1080"/>
        <v>766908.08000000287</v>
      </c>
      <c r="H1545" s="44">
        <v>4300000</v>
      </c>
      <c r="I1545" s="46">
        <f t="shared" si="1081"/>
        <v>-2921513.5399999996</v>
      </c>
      <c r="J1545" s="38"/>
      <c r="K1545" s="38"/>
      <c r="L1545" s="38"/>
      <c r="M1545" s="47">
        <f t="shared" si="1082"/>
        <v>-2921513.5399999996</v>
      </c>
      <c r="N1545" s="46">
        <v>5000000</v>
      </c>
      <c r="O1545" s="48">
        <f t="shared" si="1083"/>
        <v>267.77999999932945</v>
      </c>
      <c r="P1545" s="38"/>
      <c r="Q1545" s="38"/>
      <c r="R1545" s="38"/>
      <c r="S1545" s="55">
        <f t="shared" si="1084"/>
        <v>267.77999999932945</v>
      </c>
      <c r="T1545" s="48"/>
      <c r="U1545" s="49">
        <f t="shared" si="1085"/>
        <v>58.409999999403965</v>
      </c>
      <c r="V1545" s="38"/>
      <c r="W1545" s="38"/>
      <c r="X1545" s="38"/>
      <c r="Y1545" s="51">
        <f t="shared" si="1086"/>
        <v>58.409999999403965</v>
      </c>
      <c r="Z1545" s="52"/>
      <c r="AA1545" s="53">
        <f t="shared" si="1087"/>
        <v>-7.6977357821306214E-10</v>
      </c>
      <c r="AB1545" s="38"/>
      <c r="AC1545" s="38"/>
      <c r="AD1545" s="38"/>
      <c r="AE1545" s="54">
        <f t="shared" si="1088"/>
        <v>-7.6977357821306214E-10</v>
      </c>
      <c r="AF1545" s="53"/>
      <c r="AG1545" s="53">
        <f t="shared" si="1089"/>
        <v>18678.120000000526</v>
      </c>
      <c r="AH1545" s="38"/>
      <c r="AI1545" s="38"/>
      <c r="AJ1545" s="38"/>
      <c r="AK1545" s="54">
        <f t="shared" si="1090"/>
        <v>18678.120000000526</v>
      </c>
      <c r="AL1545" s="53"/>
      <c r="AM1545" s="53">
        <f t="shared" si="1100"/>
        <v>282.6699999999995</v>
      </c>
      <c r="AN1545" s="38"/>
      <c r="AO1545" s="38"/>
      <c r="AP1545" s="38"/>
      <c r="AQ1545" s="54">
        <f t="shared" si="1104"/>
        <v>282.6699999999995</v>
      </c>
      <c r="AR1545" s="53"/>
      <c r="AS1545" s="29">
        <f t="shared" si="1094"/>
        <v>-2135318.4799999986</v>
      </c>
      <c r="AT1545" s="29">
        <f t="shared" si="1095"/>
        <v>0</v>
      </c>
      <c r="AU1545" s="29">
        <f t="shared" si="1096"/>
        <v>0</v>
      </c>
      <c r="AV1545" s="29">
        <f t="shared" si="1097"/>
        <v>0</v>
      </c>
      <c r="AW1545" s="29"/>
      <c r="AX1545" s="29">
        <f t="shared" si="1098"/>
        <v>-2135318.4799999986</v>
      </c>
      <c r="AY1545" s="29">
        <f t="shared" si="1091"/>
        <v>9300000</v>
      </c>
      <c r="AZ1545" s="29">
        <f t="shared" si="1092"/>
        <v>7164681.5200000014</v>
      </c>
    </row>
    <row r="1546" spans="2:52" x14ac:dyDescent="0.3">
      <c r="B1546" s="99">
        <f t="shared" ref="B1546:B1549" si="1106">B1545+1</f>
        <v>46329</v>
      </c>
      <c r="C1546" s="44">
        <f t="shared" si="1079"/>
        <v>766908.08000000287</v>
      </c>
      <c r="D1546" s="38"/>
      <c r="E1546" s="38"/>
      <c r="F1546" s="38"/>
      <c r="G1546" s="45">
        <f t="shared" si="1080"/>
        <v>766908.08000000287</v>
      </c>
      <c r="H1546" s="44">
        <v>4300000</v>
      </c>
      <c r="I1546" s="46">
        <f t="shared" si="1081"/>
        <v>-2921513.5399999996</v>
      </c>
      <c r="J1546" s="38"/>
      <c r="K1546" s="38"/>
      <c r="L1546" s="38"/>
      <c r="M1546" s="47">
        <f t="shared" si="1082"/>
        <v>-2921513.5399999996</v>
      </c>
      <c r="N1546" s="46">
        <v>5000000</v>
      </c>
      <c r="O1546" s="48">
        <f t="shared" si="1083"/>
        <v>267.77999999932945</v>
      </c>
      <c r="P1546" s="38"/>
      <c r="Q1546" s="38"/>
      <c r="R1546" s="38"/>
      <c r="S1546" s="55">
        <f t="shared" si="1084"/>
        <v>267.77999999932945</v>
      </c>
      <c r="T1546" s="48"/>
      <c r="U1546" s="49">
        <f t="shared" si="1085"/>
        <v>58.409999999403965</v>
      </c>
      <c r="V1546" s="38"/>
      <c r="W1546" s="38"/>
      <c r="X1546" s="38"/>
      <c r="Y1546" s="51">
        <f t="shared" si="1086"/>
        <v>58.409999999403965</v>
      </c>
      <c r="Z1546" s="52"/>
      <c r="AA1546" s="53">
        <f t="shared" si="1087"/>
        <v>-7.6977357821306214E-10</v>
      </c>
      <c r="AB1546" s="38"/>
      <c r="AC1546" s="38"/>
      <c r="AD1546" s="38"/>
      <c r="AE1546" s="54">
        <f t="shared" si="1088"/>
        <v>-7.6977357821306214E-10</v>
      </c>
      <c r="AF1546" s="53"/>
      <c r="AG1546" s="53">
        <f t="shared" si="1089"/>
        <v>18678.120000000526</v>
      </c>
      <c r="AH1546" s="38"/>
      <c r="AI1546" s="38"/>
      <c r="AJ1546" s="38"/>
      <c r="AK1546" s="54">
        <f t="shared" si="1090"/>
        <v>18678.120000000526</v>
      </c>
      <c r="AL1546" s="53"/>
      <c r="AM1546" s="53">
        <f t="shared" si="1100"/>
        <v>282.6699999999995</v>
      </c>
      <c r="AN1546" s="38"/>
      <c r="AO1546" s="38"/>
      <c r="AP1546" s="38"/>
      <c r="AQ1546" s="54">
        <f t="shared" si="1104"/>
        <v>282.6699999999995</v>
      </c>
      <c r="AR1546" s="53"/>
      <c r="AS1546" s="29">
        <f t="shared" si="1094"/>
        <v>-2135318.4799999986</v>
      </c>
      <c r="AT1546" s="29">
        <f t="shared" si="1095"/>
        <v>0</v>
      </c>
      <c r="AU1546" s="29">
        <f t="shared" si="1096"/>
        <v>0</v>
      </c>
      <c r="AV1546" s="29">
        <f t="shared" si="1097"/>
        <v>0</v>
      </c>
      <c r="AW1546" s="29"/>
      <c r="AX1546" s="29">
        <f t="shared" si="1098"/>
        <v>-2135318.4799999986</v>
      </c>
      <c r="AY1546" s="29">
        <f t="shared" si="1091"/>
        <v>9300000</v>
      </c>
      <c r="AZ1546" s="29">
        <f t="shared" si="1092"/>
        <v>7164681.5200000014</v>
      </c>
    </row>
    <row r="1547" spans="2:52" x14ac:dyDescent="0.3">
      <c r="B1547" s="99">
        <f t="shared" si="1106"/>
        <v>46330</v>
      </c>
      <c r="C1547" s="44">
        <f t="shared" si="1079"/>
        <v>766908.08000000287</v>
      </c>
      <c r="D1547" s="38"/>
      <c r="E1547" s="38"/>
      <c r="F1547" s="38"/>
      <c r="G1547" s="45">
        <f t="shared" si="1080"/>
        <v>766908.08000000287</v>
      </c>
      <c r="H1547" s="44">
        <v>4300000</v>
      </c>
      <c r="I1547" s="46">
        <f t="shared" si="1081"/>
        <v>-2921513.5399999996</v>
      </c>
      <c r="J1547" s="38"/>
      <c r="K1547" s="38"/>
      <c r="L1547" s="38"/>
      <c r="M1547" s="47">
        <f t="shared" si="1082"/>
        <v>-2921513.5399999996</v>
      </c>
      <c r="N1547" s="46">
        <v>5000000</v>
      </c>
      <c r="O1547" s="48">
        <f t="shared" si="1083"/>
        <v>267.77999999932945</v>
      </c>
      <c r="P1547" s="38"/>
      <c r="Q1547" s="38"/>
      <c r="R1547" s="38"/>
      <c r="S1547" s="55">
        <f t="shared" si="1084"/>
        <v>267.77999999932945</v>
      </c>
      <c r="T1547" s="48"/>
      <c r="U1547" s="49">
        <f t="shared" si="1085"/>
        <v>58.409999999403965</v>
      </c>
      <c r="V1547" s="38"/>
      <c r="W1547" s="38"/>
      <c r="X1547" s="38"/>
      <c r="Y1547" s="51">
        <f t="shared" si="1086"/>
        <v>58.409999999403965</v>
      </c>
      <c r="Z1547" s="52"/>
      <c r="AA1547" s="53">
        <f t="shared" si="1087"/>
        <v>-7.6977357821306214E-10</v>
      </c>
      <c r="AB1547" s="38"/>
      <c r="AC1547" s="38"/>
      <c r="AD1547" s="38"/>
      <c r="AE1547" s="54">
        <f t="shared" si="1088"/>
        <v>-7.6977357821306214E-10</v>
      </c>
      <c r="AF1547" s="53"/>
      <c r="AG1547" s="53">
        <f t="shared" si="1089"/>
        <v>18678.120000000526</v>
      </c>
      <c r="AH1547" s="38"/>
      <c r="AI1547" s="38"/>
      <c r="AJ1547" s="38"/>
      <c r="AK1547" s="54">
        <f t="shared" si="1090"/>
        <v>18678.120000000526</v>
      </c>
      <c r="AL1547" s="53"/>
      <c r="AM1547" s="53">
        <f t="shared" si="1100"/>
        <v>282.6699999999995</v>
      </c>
      <c r="AN1547" s="38"/>
      <c r="AO1547" s="38"/>
      <c r="AP1547" s="38"/>
      <c r="AQ1547" s="54">
        <f t="shared" si="1104"/>
        <v>282.6699999999995</v>
      </c>
      <c r="AR1547" s="53"/>
      <c r="AS1547" s="29">
        <f t="shared" si="1094"/>
        <v>-2135318.4799999986</v>
      </c>
      <c r="AT1547" s="29">
        <f t="shared" si="1095"/>
        <v>0</v>
      </c>
      <c r="AU1547" s="29">
        <f t="shared" si="1096"/>
        <v>0</v>
      </c>
      <c r="AV1547" s="29">
        <f t="shared" si="1097"/>
        <v>0</v>
      </c>
      <c r="AW1547" s="29"/>
      <c r="AX1547" s="29">
        <f t="shared" si="1098"/>
        <v>-2135318.4799999986</v>
      </c>
      <c r="AY1547" s="29">
        <f t="shared" si="1091"/>
        <v>9300000</v>
      </c>
      <c r="AZ1547" s="29">
        <f t="shared" si="1092"/>
        <v>7164681.5200000014</v>
      </c>
    </row>
    <row r="1548" spans="2:52" x14ac:dyDescent="0.3">
      <c r="B1548" s="99">
        <f t="shared" si="1106"/>
        <v>46331</v>
      </c>
      <c r="C1548" s="44">
        <f t="shared" si="1079"/>
        <v>766908.08000000287</v>
      </c>
      <c r="D1548" s="38"/>
      <c r="E1548" s="38"/>
      <c r="F1548" s="38"/>
      <c r="G1548" s="45">
        <f t="shared" si="1080"/>
        <v>766908.08000000287</v>
      </c>
      <c r="H1548" s="44">
        <v>4300000</v>
      </c>
      <c r="I1548" s="46">
        <f t="shared" si="1081"/>
        <v>-2921513.5399999996</v>
      </c>
      <c r="J1548" s="38"/>
      <c r="K1548" s="38"/>
      <c r="L1548" s="38"/>
      <c r="M1548" s="47">
        <f t="shared" si="1082"/>
        <v>-2921513.5399999996</v>
      </c>
      <c r="N1548" s="46">
        <v>5000000</v>
      </c>
      <c r="O1548" s="48">
        <f t="shared" si="1083"/>
        <v>267.77999999932945</v>
      </c>
      <c r="P1548" s="38"/>
      <c r="Q1548" s="38"/>
      <c r="R1548" s="38"/>
      <c r="S1548" s="55">
        <f t="shared" si="1084"/>
        <v>267.77999999932945</v>
      </c>
      <c r="T1548" s="48"/>
      <c r="U1548" s="49">
        <f t="shared" si="1085"/>
        <v>58.409999999403965</v>
      </c>
      <c r="V1548" s="38"/>
      <c r="W1548" s="38"/>
      <c r="X1548" s="38"/>
      <c r="Y1548" s="51">
        <f t="shared" si="1086"/>
        <v>58.409999999403965</v>
      </c>
      <c r="Z1548" s="52"/>
      <c r="AA1548" s="53">
        <f t="shared" si="1087"/>
        <v>-7.6977357821306214E-10</v>
      </c>
      <c r="AB1548" s="38"/>
      <c r="AC1548" s="38"/>
      <c r="AD1548" s="38"/>
      <c r="AE1548" s="54">
        <f t="shared" si="1088"/>
        <v>-7.6977357821306214E-10</v>
      </c>
      <c r="AF1548" s="53"/>
      <c r="AG1548" s="53">
        <f t="shared" si="1089"/>
        <v>18678.120000000526</v>
      </c>
      <c r="AH1548" s="38"/>
      <c r="AI1548" s="38"/>
      <c r="AJ1548" s="38"/>
      <c r="AK1548" s="54">
        <f t="shared" si="1090"/>
        <v>18678.120000000526</v>
      </c>
      <c r="AL1548" s="53"/>
      <c r="AM1548" s="53">
        <f t="shared" si="1100"/>
        <v>282.6699999999995</v>
      </c>
      <c r="AN1548" s="38"/>
      <c r="AO1548" s="38"/>
      <c r="AP1548" s="38"/>
      <c r="AQ1548" s="54">
        <f t="shared" si="1104"/>
        <v>282.6699999999995</v>
      </c>
      <c r="AR1548" s="53"/>
      <c r="AS1548" s="29">
        <f t="shared" si="1094"/>
        <v>-2135318.4799999986</v>
      </c>
      <c r="AT1548" s="29">
        <f t="shared" si="1095"/>
        <v>0</v>
      </c>
      <c r="AU1548" s="29">
        <f t="shared" si="1096"/>
        <v>0</v>
      </c>
      <c r="AV1548" s="29">
        <f t="shared" si="1097"/>
        <v>0</v>
      </c>
      <c r="AW1548" s="29"/>
      <c r="AX1548" s="29">
        <f t="shared" si="1098"/>
        <v>-2135318.4799999986</v>
      </c>
      <c r="AY1548" s="29">
        <f t="shared" si="1091"/>
        <v>9300000</v>
      </c>
      <c r="AZ1548" s="29">
        <f t="shared" si="1092"/>
        <v>7164681.5200000014</v>
      </c>
    </row>
    <row r="1549" spans="2:52" x14ac:dyDescent="0.3">
      <c r="B1549" s="99">
        <f t="shared" si="1106"/>
        <v>46332</v>
      </c>
      <c r="C1549" s="44">
        <f t="shared" si="1079"/>
        <v>766908.08000000287</v>
      </c>
      <c r="D1549" s="38"/>
      <c r="E1549" s="38"/>
      <c r="F1549" s="38"/>
      <c r="G1549" s="45">
        <f t="shared" si="1080"/>
        <v>766908.08000000287</v>
      </c>
      <c r="H1549" s="44">
        <v>4300000</v>
      </c>
      <c r="I1549" s="46">
        <f t="shared" si="1081"/>
        <v>-2921513.5399999996</v>
      </c>
      <c r="J1549" s="38"/>
      <c r="K1549" s="38"/>
      <c r="L1549" s="38"/>
      <c r="M1549" s="47">
        <f t="shared" si="1082"/>
        <v>-2921513.5399999996</v>
      </c>
      <c r="N1549" s="46">
        <v>5000000</v>
      </c>
      <c r="O1549" s="48">
        <f t="shared" si="1083"/>
        <v>267.77999999932945</v>
      </c>
      <c r="P1549" s="38"/>
      <c r="Q1549" s="38"/>
      <c r="R1549" s="38"/>
      <c r="S1549" s="55">
        <f t="shared" si="1084"/>
        <v>267.77999999932945</v>
      </c>
      <c r="T1549" s="48"/>
      <c r="U1549" s="49">
        <f t="shared" si="1085"/>
        <v>58.409999999403965</v>
      </c>
      <c r="V1549" s="38"/>
      <c r="W1549" s="38"/>
      <c r="X1549" s="38"/>
      <c r="Y1549" s="51">
        <f t="shared" si="1086"/>
        <v>58.409999999403965</v>
      </c>
      <c r="Z1549" s="52"/>
      <c r="AA1549" s="53">
        <f t="shared" si="1087"/>
        <v>-7.6977357821306214E-10</v>
      </c>
      <c r="AB1549" s="38"/>
      <c r="AC1549" s="38"/>
      <c r="AD1549" s="38"/>
      <c r="AE1549" s="54">
        <f t="shared" si="1088"/>
        <v>-7.6977357821306214E-10</v>
      </c>
      <c r="AF1549" s="53"/>
      <c r="AG1549" s="53">
        <f t="shared" si="1089"/>
        <v>18678.120000000526</v>
      </c>
      <c r="AH1549" s="38"/>
      <c r="AI1549" s="38"/>
      <c r="AJ1549" s="38"/>
      <c r="AK1549" s="54">
        <f t="shared" si="1090"/>
        <v>18678.120000000526</v>
      </c>
      <c r="AL1549" s="53"/>
      <c r="AM1549" s="53">
        <f t="shared" si="1100"/>
        <v>282.6699999999995</v>
      </c>
      <c r="AN1549" s="38"/>
      <c r="AO1549" s="38"/>
      <c r="AP1549" s="38"/>
      <c r="AQ1549" s="54">
        <f t="shared" si="1104"/>
        <v>282.6699999999995</v>
      </c>
      <c r="AR1549" s="53"/>
      <c r="AS1549" s="29">
        <f t="shared" si="1094"/>
        <v>-2135318.4799999986</v>
      </c>
      <c r="AT1549" s="29">
        <f t="shared" si="1095"/>
        <v>0</v>
      </c>
      <c r="AU1549" s="29">
        <f t="shared" si="1096"/>
        <v>0</v>
      </c>
      <c r="AV1549" s="29">
        <f t="shared" si="1097"/>
        <v>0</v>
      </c>
      <c r="AW1549" s="29"/>
      <c r="AX1549" s="29">
        <f t="shared" si="1098"/>
        <v>-2135318.4799999986</v>
      </c>
      <c r="AY1549" s="29">
        <f t="shared" si="1091"/>
        <v>9300000</v>
      </c>
      <c r="AZ1549" s="29">
        <f t="shared" si="1092"/>
        <v>7164681.5200000014</v>
      </c>
    </row>
    <row r="1550" spans="2:52" x14ac:dyDescent="0.3">
      <c r="B1550" s="99">
        <f>B1549+3</f>
        <v>46335</v>
      </c>
      <c r="C1550" s="44">
        <f t="shared" si="1079"/>
        <v>766908.08000000287</v>
      </c>
      <c r="D1550" s="38"/>
      <c r="E1550" s="38"/>
      <c r="F1550" s="38"/>
      <c r="G1550" s="45">
        <f t="shared" si="1080"/>
        <v>766908.08000000287</v>
      </c>
      <c r="H1550" s="44">
        <v>4300000</v>
      </c>
      <c r="I1550" s="46">
        <f t="shared" si="1081"/>
        <v>-2921513.5399999996</v>
      </c>
      <c r="J1550" s="38"/>
      <c r="K1550" s="38"/>
      <c r="L1550" s="38"/>
      <c r="M1550" s="47">
        <f t="shared" si="1082"/>
        <v>-2921513.5399999996</v>
      </c>
      <c r="N1550" s="46">
        <v>5000000</v>
      </c>
      <c r="O1550" s="48">
        <f t="shared" si="1083"/>
        <v>267.77999999932945</v>
      </c>
      <c r="P1550" s="38"/>
      <c r="Q1550" s="38"/>
      <c r="R1550" s="38"/>
      <c r="S1550" s="55">
        <f t="shared" si="1084"/>
        <v>267.77999999932945</v>
      </c>
      <c r="T1550" s="48"/>
      <c r="U1550" s="49">
        <f t="shared" si="1085"/>
        <v>58.409999999403965</v>
      </c>
      <c r="V1550" s="38"/>
      <c r="W1550" s="38"/>
      <c r="X1550" s="38"/>
      <c r="Y1550" s="51">
        <f t="shared" si="1086"/>
        <v>58.409999999403965</v>
      </c>
      <c r="Z1550" s="52"/>
      <c r="AA1550" s="53">
        <f t="shared" si="1087"/>
        <v>-7.6977357821306214E-10</v>
      </c>
      <c r="AB1550" s="38"/>
      <c r="AC1550" s="38"/>
      <c r="AD1550" s="38"/>
      <c r="AE1550" s="54">
        <f t="shared" si="1088"/>
        <v>-7.6977357821306214E-10</v>
      </c>
      <c r="AF1550" s="53"/>
      <c r="AG1550" s="53">
        <f t="shared" si="1089"/>
        <v>18678.120000000526</v>
      </c>
      <c r="AH1550" s="38"/>
      <c r="AI1550" s="38"/>
      <c r="AJ1550" s="38"/>
      <c r="AK1550" s="54">
        <f t="shared" si="1090"/>
        <v>18678.120000000526</v>
      </c>
      <c r="AL1550" s="53"/>
      <c r="AM1550" s="53">
        <f t="shared" si="1100"/>
        <v>282.6699999999995</v>
      </c>
      <c r="AN1550" s="38"/>
      <c r="AO1550" s="38"/>
      <c r="AP1550" s="38"/>
      <c r="AQ1550" s="54">
        <f t="shared" si="1104"/>
        <v>282.6699999999995</v>
      </c>
      <c r="AR1550" s="53"/>
      <c r="AS1550" s="29">
        <f t="shared" si="1094"/>
        <v>-2135318.4799999986</v>
      </c>
      <c r="AT1550" s="29">
        <f t="shared" si="1095"/>
        <v>0</v>
      </c>
      <c r="AU1550" s="29">
        <f t="shared" si="1096"/>
        <v>0</v>
      </c>
      <c r="AV1550" s="29">
        <f t="shared" si="1097"/>
        <v>0</v>
      </c>
      <c r="AW1550" s="29"/>
      <c r="AX1550" s="29">
        <f t="shared" si="1098"/>
        <v>-2135318.4799999986</v>
      </c>
      <c r="AY1550" s="29">
        <f t="shared" si="1091"/>
        <v>9300000</v>
      </c>
      <c r="AZ1550" s="29">
        <f t="shared" si="1092"/>
        <v>7164681.5200000014</v>
      </c>
    </row>
    <row r="1551" spans="2:52" x14ac:dyDescent="0.3">
      <c r="B1551" s="99">
        <f t="shared" ref="B1551:B1554" si="1107">B1550+1</f>
        <v>46336</v>
      </c>
      <c r="C1551" s="44">
        <f t="shared" si="1079"/>
        <v>766908.08000000287</v>
      </c>
      <c r="D1551" s="38"/>
      <c r="E1551" s="38"/>
      <c r="F1551" s="38"/>
      <c r="G1551" s="45">
        <f t="shared" si="1080"/>
        <v>766908.08000000287</v>
      </c>
      <c r="H1551" s="44">
        <v>4300000</v>
      </c>
      <c r="I1551" s="46">
        <f t="shared" si="1081"/>
        <v>-2921513.5399999996</v>
      </c>
      <c r="J1551" s="38"/>
      <c r="K1551" s="38"/>
      <c r="L1551" s="38"/>
      <c r="M1551" s="47">
        <f t="shared" si="1082"/>
        <v>-2921513.5399999996</v>
      </c>
      <c r="N1551" s="46">
        <v>5000000</v>
      </c>
      <c r="O1551" s="48">
        <f t="shared" si="1083"/>
        <v>267.77999999932945</v>
      </c>
      <c r="P1551" s="38"/>
      <c r="Q1551" s="38"/>
      <c r="R1551" s="38"/>
      <c r="S1551" s="55">
        <f t="shared" si="1084"/>
        <v>267.77999999932945</v>
      </c>
      <c r="T1551" s="48"/>
      <c r="U1551" s="49">
        <f t="shared" si="1085"/>
        <v>58.409999999403965</v>
      </c>
      <c r="V1551" s="38"/>
      <c r="W1551" s="38"/>
      <c r="X1551" s="38"/>
      <c r="Y1551" s="51">
        <f t="shared" si="1086"/>
        <v>58.409999999403965</v>
      </c>
      <c r="Z1551" s="52"/>
      <c r="AA1551" s="53">
        <f t="shared" si="1087"/>
        <v>-7.6977357821306214E-10</v>
      </c>
      <c r="AB1551" s="38"/>
      <c r="AC1551" s="38"/>
      <c r="AD1551" s="38"/>
      <c r="AE1551" s="54">
        <f t="shared" si="1088"/>
        <v>-7.6977357821306214E-10</v>
      </c>
      <c r="AF1551" s="53"/>
      <c r="AG1551" s="53">
        <f t="shared" si="1089"/>
        <v>18678.120000000526</v>
      </c>
      <c r="AH1551" s="38"/>
      <c r="AI1551" s="38"/>
      <c r="AJ1551" s="38"/>
      <c r="AK1551" s="54">
        <f t="shared" si="1090"/>
        <v>18678.120000000526</v>
      </c>
      <c r="AL1551" s="53"/>
      <c r="AM1551" s="53">
        <f t="shared" si="1100"/>
        <v>282.6699999999995</v>
      </c>
      <c r="AN1551" s="38"/>
      <c r="AO1551" s="38"/>
      <c r="AP1551" s="38"/>
      <c r="AQ1551" s="54">
        <f t="shared" si="1104"/>
        <v>282.6699999999995</v>
      </c>
      <c r="AR1551" s="53"/>
      <c r="AS1551" s="29">
        <f t="shared" si="1094"/>
        <v>-2135318.4799999986</v>
      </c>
      <c r="AT1551" s="29">
        <f t="shared" si="1095"/>
        <v>0</v>
      </c>
      <c r="AU1551" s="29">
        <f t="shared" si="1096"/>
        <v>0</v>
      </c>
      <c r="AV1551" s="29">
        <f t="shared" si="1097"/>
        <v>0</v>
      </c>
      <c r="AW1551" s="29"/>
      <c r="AX1551" s="29">
        <f t="shared" si="1098"/>
        <v>-2135318.4799999986</v>
      </c>
      <c r="AY1551" s="29">
        <f t="shared" si="1091"/>
        <v>9300000</v>
      </c>
      <c r="AZ1551" s="29">
        <f t="shared" si="1092"/>
        <v>7164681.5200000014</v>
      </c>
    </row>
    <row r="1552" spans="2:52" x14ac:dyDescent="0.3">
      <c r="B1552" s="99">
        <f t="shared" si="1107"/>
        <v>46337</v>
      </c>
      <c r="C1552" s="44">
        <f t="shared" si="1079"/>
        <v>766908.08000000287</v>
      </c>
      <c r="D1552" s="38"/>
      <c r="E1552" s="38"/>
      <c r="F1552" s="38"/>
      <c r="G1552" s="45">
        <f t="shared" si="1080"/>
        <v>766908.08000000287</v>
      </c>
      <c r="H1552" s="44">
        <v>4300000</v>
      </c>
      <c r="I1552" s="46">
        <f t="shared" si="1081"/>
        <v>-2921513.5399999996</v>
      </c>
      <c r="J1552" s="38"/>
      <c r="K1552" s="38"/>
      <c r="L1552" s="38"/>
      <c r="M1552" s="47">
        <f t="shared" si="1082"/>
        <v>-2921513.5399999996</v>
      </c>
      <c r="N1552" s="46">
        <v>5000000</v>
      </c>
      <c r="O1552" s="48">
        <f t="shared" si="1083"/>
        <v>267.77999999932945</v>
      </c>
      <c r="P1552" s="38"/>
      <c r="Q1552" s="38"/>
      <c r="R1552" s="38"/>
      <c r="S1552" s="55">
        <f t="shared" si="1084"/>
        <v>267.77999999932945</v>
      </c>
      <c r="T1552" s="48"/>
      <c r="U1552" s="49">
        <f t="shared" si="1085"/>
        <v>58.409999999403965</v>
      </c>
      <c r="V1552" s="38"/>
      <c r="W1552" s="38"/>
      <c r="X1552" s="38"/>
      <c r="Y1552" s="51">
        <f t="shared" si="1086"/>
        <v>58.409999999403965</v>
      </c>
      <c r="Z1552" s="52"/>
      <c r="AA1552" s="53">
        <f t="shared" si="1087"/>
        <v>-7.6977357821306214E-10</v>
      </c>
      <c r="AB1552" s="38"/>
      <c r="AC1552" s="38"/>
      <c r="AD1552" s="38"/>
      <c r="AE1552" s="54">
        <f t="shared" si="1088"/>
        <v>-7.6977357821306214E-10</v>
      </c>
      <c r="AF1552" s="53"/>
      <c r="AG1552" s="53">
        <f t="shared" si="1089"/>
        <v>18678.120000000526</v>
      </c>
      <c r="AH1552" s="38"/>
      <c r="AI1552" s="38"/>
      <c r="AJ1552" s="38"/>
      <c r="AK1552" s="54">
        <f t="shared" si="1090"/>
        <v>18678.120000000526</v>
      </c>
      <c r="AL1552" s="53"/>
      <c r="AM1552" s="53">
        <f t="shared" si="1100"/>
        <v>282.6699999999995</v>
      </c>
      <c r="AN1552" s="38"/>
      <c r="AO1552" s="38"/>
      <c r="AP1552" s="38"/>
      <c r="AQ1552" s="54">
        <f t="shared" si="1104"/>
        <v>282.6699999999995</v>
      </c>
      <c r="AR1552" s="53"/>
      <c r="AS1552" s="29">
        <f t="shared" si="1094"/>
        <v>-2135318.4799999986</v>
      </c>
      <c r="AT1552" s="29">
        <f t="shared" si="1095"/>
        <v>0</v>
      </c>
      <c r="AU1552" s="29">
        <f t="shared" si="1096"/>
        <v>0</v>
      </c>
      <c r="AV1552" s="29">
        <f t="shared" si="1097"/>
        <v>0</v>
      </c>
      <c r="AW1552" s="29"/>
      <c r="AX1552" s="29">
        <f t="shared" si="1098"/>
        <v>-2135318.4799999986</v>
      </c>
      <c r="AY1552" s="29">
        <f t="shared" si="1091"/>
        <v>9300000</v>
      </c>
      <c r="AZ1552" s="29">
        <f t="shared" si="1092"/>
        <v>7164681.5200000014</v>
      </c>
    </row>
    <row r="1553" spans="2:52" x14ac:dyDescent="0.3">
      <c r="B1553" s="99">
        <f t="shared" si="1107"/>
        <v>46338</v>
      </c>
      <c r="C1553" s="44">
        <f t="shared" si="1079"/>
        <v>766908.08000000287</v>
      </c>
      <c r="D1553" s="38"/>
      <c r="E1553" s="38"/>
      <c r="F1553" s="38"/>
      <c r="G1553" s="45">
        <f t="shared" si="1080"/>
        <v>766908.08000000287</v>
      </c>
      <c r="H1553" s="44">
        <v>4300000</v>
      </c>
      <c r="I1553" s="46">
        <f t="shared" si="1081"/>
        <v>-2921513.5399999996</v>
      </c>
      <c r="J1553" s="38"/>
      <c r="K1553" s="38"/>
      <c r="L1553" s="38"/>
      <c r="M1553" s="47">
        <f t="shared" si="1082"/>
        <v>-2921513.5399999996</v>
      </c>
      <c r="N1553" s="46">
        <v>5000000</v>
      </c>
      <c r="O1553" s="48">
        <f t="shared" si="1083"/>
        <v>267.77999999932945</v>
      </c>
      <c r="P1553" s="38"/>
      <c r="Q1553" s="38"/>
      <c r="R1553" s="38"/>
      <c r="S1553" s="55">
        <f t="shared" si="1084"/>
        <v>267.77999999932945</v>
      </c>
      <c r="T1553" s="48"/>
      <c r="U1553" s="49">
        <f t="shared" si="1085"/>
        <v>58.409999999403965</v>
      </c>
      <c r="V1553" s="38"/>
      <c r="W1553" s="38"/>
      <c r="X1553" s="38"/>
      <c r="Y1553" s="51">
        <f t="shared" si="1086"/>
        <v>58.409999999403965</v>
      </c>
      <c r="Z1553" s="52"/>
      <c r="AA1553" s="53">
        <f t="shared" si="1087"/>
        <v>-7.6977357821306214E-10</v>
      </c>
      <c r="AB1553" s="38"/>
      <c r="AC1553" s="38"/>
      <c r="AD1553" s="38"/>
      <c r="AE1553" s="54">
        <f t="shared" si="1088"/>
        <v>-7.6977357821306214E-10</v>
      </c>
      <c r="AF1553" s="53"/>
      <c r="AG1553" s="53">
        <f t="shared" si="1089"/>
        <v>18678.120000000526</v>
      </c>
      <c r="AH1553" s="38"/>
      <c r="AI1553" s="38"/>
      <c r="AJ1553" s="38"/>
      <c r="AK1553" s="54">
        <f t="shared" si="1090"/>
        <v>18678.120000000526</v>
      </c>
      <c r="AL1553" s="53"/>
      <c r="AM1553" s="53">
        <f t="shared" si="1100"/>
        <v>282.6699999999995</v>
      </c>
      <c r="AN1553" s="38"/>
      <c r="AO1553" s="38"/>
      <c r="AP1553" s="38"/>
      <c r="AQ1553" s="54">
        <f t="shared" si="1104"/>
        <v>282.6699999999995</v>
      </c>
      <c r="AR1553" s="53"/>
      <c r="AS1553" s="29">
        <f t="shared" si="1094"/>
        <v>-2135318.4799999986</v>
      </c>
      <c r="AT1553" s="29">
        <f t="shared" si="1095"/>
        <v>0</v>
      </c>
      <c r="AU1553" s="29">
        <f t="shared" si="1096"/>
        <v>0</v>
      </c>
      <c r="AV1553" s="29">
        <f t="shared" si="1097"/>
        <v>0</v>
      </c>
      <c r="AW1553" s="29"/>
      <c r="AX1553" s="29">
        <f t="shared" si="1098"/>
        <v>-2135318.4799999986</v>
      </c>
      <c r="AY1553" s="29">
        <f t="shared" si="1091"/>
        <v>9300000</v>
      </c>
      <c r="AZ1553" s="29">
        <f t="shared" si="1092"/>
        <v>7164681.5200000014</v>
      </c>
    </row>
    <row r="1554" spans="2:52" x14ac:dyDescent="0.3">
      <c r="B1554" s="99">
        <f t="shared" si="1107"/>
        <v>46339</v>
      </c>
      <c r="C1554" s="44">
        <f t="shared" si="1079"/>
        <v>766908.08000000287</v>
      </c>
      <c r="D1554" s="38"/>
      <c r="E1554" s="38"/>
      <c r="F1554" s="38"/>
      <c r="G1554" s="45">
        <f t="shared" si="1080"/>
        <v>766908.08000000287</v>
      </c>
      <c r="H1554" s="44">
        <v>4300000</v>
      </c>
      <c r="I1554" s="46">
        <f t="shared" si="1081"/>
        <v>-2921513.5399999996</v>
      </c>
      <c r="J1554" s="38"/>
      <c r="K1554" s="38"/>
      <c r="L1554" s="38"/>
      <c r="M1554" s="47">
        <f t="shared" si="1082"/>
        <v>-2921513.5399999996</v>
      </c>
      <c r="N1554" s="46">
        <v>5000000</v>
      </c>
      <c r="O1554" s="48">
        <f t="shared" si="1083"/>
        <v>267.77999999932945</v>
      </c>
      <c r="P1554" s="38"/>
      <c r="Q1554" s="38"/>
      <c r="R1554" s="38"/>
      <c r="S1554" s="55">
        <f t="shared" si="1084"/>
        <v>267.77999999932945</v>
      </c>
      <c r="T1554" s="48"/>
      <c r="U1554" s="49">
        <f t="shared" si="1085"/>
        <v>58.409999999403965</v>
      </c>
      <c r="V1554" s="38"/>
      <c r="W1554" s="38"/>
      <c r="X1554" s="38"/>
      <c r="Y1554" s="51">
        <f t="shared" si="1086"/>
        <v>58.409999999403965</v>
      </c>
      <c r="Z1554" s="52"/>
      <c r="AA1554" s="53">
        <f t="shared" si="1087"/>
        <v>-7.6977357821306214E-10</v>
      </c>
      <c r="AB1554" s="38"/>
      <c r="AC1554" s="38"/>
      <c r="AD1554" s="38"/>
      <c r="AE1554" s="54">
        <f t="shared" si="1088"/>
        <v>-7.6977357821306214E-10</v>
      </c>
      <c r="AF1554" s="53"/>
      <c r="AG1554" s="53">
        <f t="shared" si="1089"/>
        <v>18678.120000000526</v>
      </c>
      <c r="AH1554" s="38"/>
      <c r="AI1554" s="38"/>
      <c r="AJ1554" s="38"/>
      <c r="AK1554" s="54">
        <f t="shared" si="1090"/>
        <v>18678.120000000526</v>
      </c>
      <c r="AL1554" s="53"/>
      <c r="AM1554" s="53">
        <f t="shared" si="1100"/>
        <v>282.6699999999995</v>
      </c>
      <c r="AN1554" s="38"/>
      <c r="AO1554" s="38"/>
      <c r="AP1554" s="38"/>
      <c r="AQ1554" s="54">
        <f t="shared" si="1104"/>
        <v>282.6699999999995</v>
      </c>
      <c r="AR1554" s="53"/>
      <c r="AS1554" s="29">
        <f t="shared" si="1094"/>
        <v>-2135318.4799999986</v>
      </c>
      <c r="AT1554" s="29">
        <f t="shared" si="1095"/>
        <v>0</v>
      </c>
      <c r="AU1554" s="29">
        <f t="shared" si="1096"/>
        <v>0</v>
      </c>
      <c r="AV1554" s="29">
        <f t="shared" si="1097"/>
        <v>0</v>
      </c>
      <c r="AW1554" s="29"/>
      <c r="AX1554" s="29">
        <f t="shared" si="1098"/>
        <v>-2135318.4799999986</v>
      </c>
      <c r="AY1554" s="29">
        <f t="shared" si="1091"/>
        <v>9300000</v>
      </c>
      <c r="AZ1554" s="29">
        <f t="shared" si="1092"/>
        <v>7164681.5200000014</v>
      </c>
    </row>
    <row r="1555" spans="2:52" x14ac:dyDescent="0.3">
      <c r="B1555" s="99">
        <f>B1554+3</f>
        <v>46342</v>
      </c>
      <c r="C1555" s="44">
        <f t="shared" si="1079"/>
        <v>766908.08000000287</v>
      </c>
      <c r="D1555" s="38"/>
      <c r="E1555" s="38"/>
      <c r="F1555" s="38"/>
      <c r="G1555" s="45">
        <f t="shared" si="1080"/>
        <v>766908.08000000287</v>
      </c>
      <c r="H1555" s="44">
        <v>4300000</v>
      </c>
      <c r="I1555" s="46">
        <f t="shared" si="1081"/>
        <v>-2921513.5399999996</v>
      </c>
      <c r="J1555" s="38"/>
      <c r="K1555" s="38"/>
      <c r="L1555" s="38"/>
      <c r="M1555" s="47">
        <f t="shared" si="1082"/>
        <v>-2921513.5399999996</v>
      </c>
      <c r="N1555" s="46">
        <v>5000000</v>
      </c>
      <c r="O1555" s="48">
        <f t="shared" si="1083"/>
        <v>267.77999999932945</v>
      </c>
      <c r="P1555" s="38"/>
      <c r="Q1555" s="38"/>
      <c r="R1555" s="38"/>
      <c r="S1555" s="55">
        <f t="shared" si="1084"/>
        <v>267.77999999932945</v>
      </c>
      <c r="T1555" s="48"/>
      <c r="U1555" s="49">
        <f t="shared" si="1085"/>
        <v>58.409999999403965</v>
      </c>
      <c r="V1555" s="38"/>
      <c r="W1555" s="38"/>
      <c r="X1555" s="38"/>
      <c r="Y1555" s="51">
        <f t="shared" si="1086"/>
        <v>58.409999999403965</v>
      </c>
      <c r="Z1555" s="52"/>
      <c r="AA1555" s="53">
        <f t="shared" si="1087"/>
        <v>-7.6977357821306214E-10</v>
      </c>
      <c r="AB1555" s="38"/>
      <c r="AC1555" s="38"/>
      <c r="AD1555" s="38"/>
      <c r="AE1555" s="54">
        <f t="shared" si="1088"/>
        <v>-7.6977357821306214E-10</v>
      </c>
      <c r="AF1555" s="53"/>
      <c r="AG1555" s="53">
        <f t="shared" si="1089"/>
        <v>18678.120000000526</v>
      </c>
      <c r="AH1555" s="38"/>
      <c r="AI1555" s="38"/>
      <c r="AJ1555" s="38"/>
      <c r="AK1555" s="54">
        <f t="shared" si="1090"/>
        <v>18678.120000000526</v>
      </c>
      <c r="AL1555" s="53"/>
      <c r="AM1555" s="53">
        <f t="shared" si="1100"/>
        <v>282.6699999999995</v>
      </c>
      <c r="AN1555" s="38"/>
      <c r="AO1555" s="38"/>
      <c r="AP1555" s="38"/>
      <c r="AQ1555" s="54">
        <f t="shared" si="1104"/>
        <v>282.6699999999995</v>
      </c>
      <c r="AR1555" s="53"/>
      <c r="AS1555" s="29">
        <f t="shared" si="1094"/>
        <v>-2135318.4799999986</v>
      </c>
      <c r="AT1555" s="29">
        <f t="shared" si="1095"/>
        <v>0</v>
      </c>
      <c r="AU1555" s="29">
        <f t="shared" si="1096"/>
        <v>0</v>
      </c>
      <c r="AV1555" s="29">
        <f t="shared" si="1097"/>
        <v>0</v>
      </c>
      <c r="AW1555" s="29"/>
      <c r="AX1555" s="29">
        <f t="shared" si="1098"/>
        <v>-2135318.4799999986</v>
      </c>
      <c r="AY1555" s="29">
        <f t="shared" si="1091"/>
        <v>9300000</v>
      </c>
      <c r="AZ1555" s="29">
        <f t="shared" si="1092"/>
        <v>7164681.5200000014</v>
      </c>
    </row>
    <row r="1556" spans="2:52" x14ac:dyDescent="0.3">
      <c r="B1556" s="99">
        <f t="shared" ref="B1556:B1559" si="1108">B1555+1</f>
        <v>46343</v>
      </c>
      <c r="C1556" s="44">
        <f t="shared" si="1079"/>
        <v>766908.08000000287</v>
      </c>
      <c r="D1556" s="38"/>
      <c r="E1556" s="38"/>
      <c r="F1556" s="38"/>
      <c r="G1556" s="45">
        <f t="shared" si="1080"/>
        <v>766908.08000000287</v>
      </c>
      <c r="H1556" s="44">
        <v>4300000</v>
      </c>
      <c r="I1556" s="46">
        <f t="shared" si="1081"/>
        <v>-2921513.5399999996</v>
      </c>
      <c r="J1556" s="38"/>
      <c r="K1556" s="38"/>
      <c r="L1556" s="38"/>
      <c r="M1556" s="47">
        <f t="shared" si="1082"/>
        <v>-2921513.5399999996</v>
      </c>
      <c r="N1556" s="46">
        <v>5000000</v>
      </c>
      <c r="O1556" s="48">
        <f t="shared" si="1083"/>
        <v>267.77999999932945</v>
      </c>
      <c r="P1556" s="38"/>
      <c r="Q1556" s="38"/>
      <c r="R1556" s="38"/>
      <c r="S1556" s="55">
        <f t="shared" si="1084"/>
        <v>267.77999999932945</v>
      </c>
      <c r="T1556" s="48"/>
      <c r="U1556" s="49">
        <f t="shared" si="1085"/>
        <v>58.409999999403965</v>
      </c>
      <c r="V1556" s="38"/>
      <c r="W1556" s="38"/>
      <c r="X1556" s="38"/>
      <c r="Y1556" s="51">
        <f t="shared" si="1086"/>
        <v>58.409999999403965</v>
      </c>
      <c r="Z1556" s="52"/>
      <c r="AA1556" s="53">
        <f t="shared" si="1087"/>
        <v>-7.6977357821306214E-10</v>
      </c>
      <c r="AB1556" s="38"/>
      <c r="AC1556" s="38"/>
      <c r="AD1556" s="38"/>
      <c r="AE1556" s="54">
        <f t="shared" si="1088"/>
        <v>-7.6977357821306214E-10</v>
      </c>
      <c r="AF1556" s="53"/>
      <c r="AG1556" s="53">
        <f t="shared" si="1089"/>
        <v>18678.120000000526</v>
      </c>
      <c r="AH1556" s="38"/>
      <c r="AI1556" s="38"/>
      <c r="AJ1556" s="38"/>
      <c r="AK1556" s="54">
        <f t="shared" si="1090"/>
        <v>18678.120000000526</v>
      </c>
      <c r="AL1556" s="53"/>
      <c r="AM1556" s="53">
        <f t="shared" si="1100"/>
        <v>282.6699999999995</v>
      </c>
      <c r="AN1556" s="38"/>
      <c r="AO1556" s="38"/>
      <c r="AP1556" s="38"/>
      <c r="AQ1556" s="54">
        <f t="shared" si="1104"/>
        <v>282.6699999999995</v>
      </c>
      <c r="AR1556" s="53"/>
      <c r="AS1556" s="29">
        <f t="shared" si="1094"/>
        <v>-2135318.4799999986</v>
      </c>
      <c r="AT1556" s="29">
        <f t="shared" si="1095"/>
        <v>0</v>
      </c>
      <c r="AU1556" s="29">
        <f t="shared" si="1096"/>
        <v>0</v>
      </c>
      <c r="AV1556" s="29">
        <f t="shared" si="1097"/>
        <v>0</v>
      </c>
      <c r="AW1556" s="29"/>
      <c r="AX1556" s="29">
        <f t="shared" si="1098"/>
        <v>-2135318.4799999986</v>
      </c>
      <c r="AY1556" s="29">
        <f t="shared" si="1091"/>
        <v>9300000</v>
      </c>
      <c r="AZ1556" s="29">
        <f t="shared" si="1092"/>
        <v>7164681.5200000014</v>
      </c>
    </row>
    <row r="1557" spans="2:52" x14ac:dyDescent="0.3">
      <c r="B1557" s="99">
        <f t="shared" si="1108"/>
        <v>46344</v>
      </c>
      <c r="C1557" s="44">
        <f t="shared" si="1079"/>
        <v>766908.08000000287</v>
      </c>
      <c r="D1557" s="38"/>
      <c r="E1557" s="38"/>
      <c r="F1557" s="38"/>
      <c r="G1557" s="45">
        <f t="shared" si="1080"/>
        <v>766908.08000000287</v>
      </c>
      <c r="H1557" s="44">
        <v>4300000</v>
      </c>
      <c r="I1557" s="46">
        <f t="shared" si="1081"/>
        <v>-2921513.5399999996</v>
      </c>
      <c r="J1557" s="38"/>
      <c r="K1557" s="38"/>
      <c r="L1557" s="38"/>
      <c r="M1557" s="47">
        <f t="shared" si="1082"/>
        <v>-2921513.5399999996</v>
      </c>
      <c r="N1557" s="46">
        <v>5000000</v>
      </c>
      <c r="O1557" s="48">
        <f t="shared" si="1083"/>
        <v>267.77999999932945</v>
      </c>
      <c r="P1557" s="38"/>
      <c r="Q1557" s="38"/>
      <c r="R1557" s="38"/>
      <c r="S1557" s="55">
        <f t="shared" si="1084"/>
        <v>267.77999999932945</v>
      </c>
      <c r="T1557" s="48"/>
      <c r="U1557" s="49">
        <f t="shared" si="1085"/>
        <v>58.409999999403965</v>
      </c>
      <c r="V1557" s="38"/>
      <c r="W1557" s="38"/>
      <c r="X1557" s="38"/>
      <c r="Y1557" s="51">
        <f t="shared" si="1086"/>
        <v>58.409999999403965</v>
      </c>
      <c r="Z1557" s="52"/>
      <c r="AA1557" s="53">
        <f t="shared" si="1087"/>
        <v>-7.6977357821306214E-10</v>
      </c>
      <c r="AB1557" s="38"/>
      <c r="AC1557" s="38"/>
      <c r="AD1557" s="38"/>
      <c r="AE1557" s="54">
        <f t="shared" si="1088"/>
        <v>-7.6977357821306214E-10</v>
      </c>
      <c r="AF1557" s="53"/>
      <c r="AG1557" s="53">
        <f t="shared" si="1089"/>
        <v>18678.120000000526</v>
      </c>
      <c r="AH1557" s="38"/>
      <c r="AI1557" s="38"/>
      <c r="AJ1557" s="38"/>
      <c r="AK1557" s="54">
        <f t="shared" si="1090"/>
        <v>18678.120000000526</v>
      </c>
      <c r="AL1557" s="53"/>
      <c r="AM1557" s="53">
        <f t="shared" si="1100"/>
        <v>282.6699999999995</v>
      </c>
      <c r="AN1557" s="38"/>
      <c r="AO1557" s="38"/>
      <c r="AP1557" s="38"/>
      <c r="AQ1557" s="54">
        <f t="shared" si="1104"/>
        <v>282.6699999999995</v>
      </c>
      <c r="AR1557" s="53"/>
      <c r="AS1557" s="29">
        <f t="shared" si="1094"/>
        <v>-2135318.4799999986</v>
      </c>
      <c r="AT1557" s="29">
        <f t="shared" si="1095"/>
        <v>0</v>
      </c>
      <c r="AU1557" s="29">
        <f t="shared" si="1096"/>
        <v>0</v>
      </c>
      <c r="AV1557" s="29">
        <f t="shared" si="1097"/>
        <v>0</v>
      </c>
      <c r="AW1557" s="29"/>
      <c r="AX1557" s="29">
        <f t="shared" si="1098"/>
        <v>-2135318.4799999986</v>
      </c>
      <c r="AY1557" s="29">
        <f t="shared" si="1091"/>
        <v>9300000</v>
      </c>
      <c r="AZ1557" s="29">
        <f t="shared" si="1092"/>
        <v>7164681.5200000014</v>
      </c>
    </row>
    <row r="1558" spans="2:52" x14ac:dyDescent="0.3">
      <c r="B1558" s="99">
        <f t="shared" si="1108"/>
        <v>46345</v>
      </c>
      <c r="C1558" s="44">
        <f t="shared" si="1079"/>
        <v>766908.08000000287</v>
      </c>
      <c r="D1558" s="38"/>
      <c r="E1558" s="38"/>
      <c r="F1558" s="38"/>
      <c r="G1558" s="45">
        <f t="shared" si="1080"/>
        <v>766908.08000000287</v>
      </c>
      <c r="H1558" s="44">
        <v>4300000</v>
      </c>
      <c r="I1558" s="46">
        <f t="shared" si="1081"/>
        <v>-2921513.5399999996</v>
      </c>
      <c r="J1558" s="38"/>
      <c r="K1558" s="38"/>
      <c r="L1558" s="38"/>
      <c r="M1558" s="47">
        <f t="shared" si="1082"/>
        <v>-2921513.5399999996</v>
      </c>
      <c r="N1558" s="46">
        <v>5000000</v>
      </c>
      <c r="O1558" s="48">
        <f t="shared" si="1083"/>
        <v>267.77999999932945</v>
      </c>
      <c r="P1558" s="38"/>
      <c r="Q1558" s="38"/>
      <c r="R1558" s="38"/>
      <c r="S1558" s="55">
        <f t="shared" si="1084"/>
        <v>267.77999999932945</v>
      </c>
      <c r="T1558" s="48"/>
      <c r="U1558" s="49">
        <f t="shared" si="1085"/>
        <v>58.409999999403965</v>
      </c>
      <c r="V1558" s="38"/>
      <c r="W1558" s="38"/>
      <c r="X1558" s="38"/>
      <c r="Y1558" s="51">
        <f t="shared" si="1086"/>
        <v>58.409999999403965</v>
      </c>
      <c r="Z1558" s="52"/>
      <c r="AA1558" s="53">
        <f t="shared" si="1087"/>
        <v>-7.6977357821306214E-10</v>
      </c>
      <c r="AB1558" s="38"/>
      <c r="AC1558" s="38"/>
      <c r="AD1558" s="38"/>
      <c r="AE1558" s="54">
        <f t="shared" si="1088"/>
        <v>-7.6977357821306214E-10</v>
      </c>
      <c r="AF1558" s="53"/>
      <c r="AG1558" s="53">
        <f t="shared" si="1089"/>
        <v>18678.120000000526</v>
      </c>
      <c r="AH1558" s="38"/>
      <c r="AI1558" s="38"/>
      <c r="AJ1558" s="38"/>
      <c r="AK1558" s="54">
        <f t="shared" si="1090"/>
        <v>18678.120000000526</v>
      </c>
      <c r="AL1558" s="53"/>
      <c r="AM1558" s="53">
        <f t="shared" si="1100"/>
        <v>282.6699999999995</v>
      </c>
      <c r="AN1558" s="38"/>
      <c r="AO1558" s="38"/>
      <c r="AP1558" s="38"/>
      <c r="AQ1558" s="54">
        <f t="shared" si="1104"/>
        <v>282.6699999999995</v>
      </c>
      <c r="AR1558" s="53"/>
      <c r="AS1558" s="29">
        <f t="shared" si="1094"/>
        <v>-2135318.4799999986</v>
      </c>
      <c r="AT1558" s="29">
        <f t="shared" si="1095"/>
        <v>0</v>
      </c>
      <c r="AU1558" s="29">
        <f t="shared" si="1096"/>
        <v>0</v>
      </c>
      <c r="AV1558" s="29">
        <f t="shared" si="1097"/>
        <v>0</v>
      </c>
      <c r="AW1558" s="29"/>
      <c r="AX1558" s="29">
        <f t="shared" si="1098"/>
        <v>-2135318.4799999986</v>
      </c>
      <c r="AY1558" s="29">
        <f t="shared" si="1091"/>
        <v>9300000</v>
      </c>
      <c r="AZ1558" s="29">
        <f t="shared" si="1092"/>
        <v>7164681.5200000014</v>
      </c>
    </row>
    <row r="1559" spans="2:52" x14ac:dyDescent="0.3">
      <c r="B1559" s="99">
        <f t="shared" si="1108"/>
        <v>46346</v>
      </c>
      <c r="C1559" s="44">
        <f t="shared" si="1079"/>
        <v>766908.08000000287</v>
      </c>
      <c r="D1559" s="38"/>
      <c r="E1559" s="38"/>
      <c r="F1559" s="38"/>
      <c r="G1559" s="45">
        <f t="shared" si="1080"/>
        <v>766908.08000000287</v>
      </c>
      <c r="H1559" s="44">
        <v>4300000</v>
      </c>
      <c r="I1559" s="46">
        <f t="shared" si="1081"/>
        <v>-2921513.5399999996</v>
      </c>
      <c r="J1559" s="38"/>
      <c r="K1559" s="38"/>
      <c r="L1559" s="38"/>
      <c r="M1559" s="47">
        <f t="shared" si="1082"/>
        <v>-2921513.5399999996</v>
      </c>
      <c r="N1559" s="46">
        <v>5000000</v>
      </c>
      <c r="O1559" s="48">
        <f t="shared" si="1083"/>
        <v>267.77999999932945</v>
      </c>
      <c r="P1559" s="38"/>
      <c r="Q1559" s="38"/>
      <c r="R1559" s="38"/>
      <c r="S1559" s="55">
        <f t="shared" si="1084"/>
        <v>267.77999999932945</v>
      </c>
      <c r="T1559" s="48"/>
      <c r="U1559" s="49">
        <f t="shared" si="1085"/>
        <v>58.409999999403965</v>
      </c>
      <c r="V1559" s="38"/>
      <c r="W1559" s="38"/>
      <c r="X1559" s="38"/>
      <c r="Y1559" s="51">
        <f t="shared" si="1086"/>
        <v>58.409999999403965</v>
      </c>
      <c r="Z1559" s="52"/>
      <c r="AA1559" s="53">
        <f t="shared" si="1087"/>
        <v>-7.6977357821306214E-10</v>
      </c>
      <c r="AB1559" s="38"/>
      <c r="AC1559" s="38"/>
      <c r="AD1559" s="38"/>
      <c r="AE1559" s="54">
        <f t="shared" si="1088"/>
        <v>-7.6977357821306214E-10</v>
      </c>
      <c r="AF1559" s="53"/>
      <c r="AG1559" s="53">
        <f t="shared" si="1089"/>
        <v>18678.120000000526</v>
      </c>
      <c r="AH1559" s="38"/>
      <c r="AI1559" s="38"/>
      <c r="AJ1559" s="38"/>
      <c r="AK1559" s="54">
        <f t="shared" si="1090"/>
        <v>18678.120000000526</v>
      </c>
      <c r="AL1559" s="53"/>
      <c r="AM1559" s="53">
        <f t="shared" si="1100"/>
        <v>282.6699999999995</v>
      </c>
      <c r="AN1559" s="38"/>
      <c r="AO1559" s="38"/>
      <c r="AP1559" s="38"/>
      <c r="AQ1559" s="54">
        <f t="shared" si="1104"/>
        <v>282.6699999999995</v>
      </c>
      <c r="AR1559" s="53"/>
      <c r="AS1559" s="29">
        <f t="shared" si="1094"/>
        <v>-2135318.4799999986</v>
      </c>
      <c r="AT1559" s="29">
        <f t="shared" si="1095"/>
        <v>0</v>
      </c>
      <c r="AU1559" s="29">
        <f t="shared" si="1096"/>
        <v>0</v>
      </c>
      <c r="AV1559" s="29">
        <f t="shared" si="1097"/>
        <v>0</v>
      </c>
      <c r="AW1559" s="29"/>
      <c r="AX1559" s="29">
        <f t="shared" si="1098"/>
        <v>-2135318.4799999986</v>
      </c>
      <c r="AY1559" s="29">
        <f t="shared" si="1091"/>
        <v>9300000</v>
      </c>
      <c r="AZ1559" s="29">
        <f t="shared" si="1092"/>
        <v>7164681.5200000014</v>
      </c>
    </row>
    <row r="1560" spans="2:52" x14ac:dyDescent="0.3">
      <c r="B1560" s="99">
        <f>B1559+3</f>
        <v>46349</v>
      </c>
      <c r="C1560" s="44">
        <f t="shared" si="1079"/>
        <v>766908.08000000287</v>
      </c>
      <c r="D1560" s="38"/>
      <c r="E1560" s="38"/>
      <c r="F1560" s="38"/>
      <c r="G1560" s="45">
        <f t="shared" si="1080"/>
        <v>766908.08000000287</v>
      </c>
      <c r="H1560" s="44">
        <v>4300000</v>
      </c>
      <c r="I1560" s="46">
        <f t="shared" si="1081"/>
        <v>-2921513.5399999996</v>
      </c>
      <c r="J1560" s="38"/>
      <c r="K1560" s="38"/>
      <c r="L1560" s="38"/>
      <c r="M1560" s="47">
        <f t="shared" si="1082"/>
        <v>-2921513.5399999996</v>
      </c>
      <c r="N1560" s="46">
        <v>5000000</v>
      </c>
      <c r="O1560" s="48">
        <f t="shared" si="1083"/>
        <v>267.77999999932945</v>
      </c>
      <c r="P1560" s="38"/>
      <c r="Q1560" s="38"/>
      <c r="R1560" s="38"/>
      <c r="S1560" s="55">
        <f t="shared" si="1084"/>
        <v>267.77999999932945</v>
      </c>
      <c r="T1560" s="48"/>
      <c r="U1560" s="49">
        <f t="shared" si="1085"/>
        <v>58.409999999403965</v>
      </c>
      <c r="V1560" s="38"/>
      <c r="W1560" s="38"/>
      <c r="X1560" s="38"/>
      <c r="Y1560" s="51">
        <f t="shared" si="1086"/>
        <v>58.409999999403965</v>
      </c>
      <c r="Z1560" s="52"/>
      <c r="AA1560" s="53">
        <f t="shared" si="1087"/>
        <v>-7.6977357821306214E-10</v>
      </c>
      <c r="AB1560" s="38"/>
      <c r="AC1560" s="38"/>
      <c r="AD1560" s="38"/>
      <c r="AE1560" s="54">
        <f t="shared" si="1088"/>
        <v>-7.6977357821306214E-10</v>
      </c>
      <c r="AF1560" s="53"/>
      <c r="AG1560" s="53">
        <f t="shared" si="1089"/>
        <v>18678.120000000526</v>
      </c>
      <c r="AH1560" s="38"/>
      <c r="AI1560" s="38"/>
      <c r="AJ1560" s="38"/>
      <c r="AK1560" s="54">
        <f t="shared" si="1090"/>
        <v>18678.120000000526</v>
      </c>
      <c r="AL1560" s="53"/>
      <c r="AM1560" s="53">
        <f t="shared" si="1100"/>
        <v>282.6699999999995</v>
      </c>
      <c r="AN1560" s="38"/>
      <c r="AO1560" s="38"/>
      <c r="AP1560" s="38"/>
      <c r="AQ1560" s="54">
        <f t="shared" si="1104"/>
        <v>282.6699999999995</v>
      </c>
      <c r="AR1560" s="53"/>
      <c r="AS1560" s="29">
        <f t="shared" si="1094"/>
        <v>-2135318.4799999986</v>
      </c>
      <c r="AT1560" s="29">
        <f t="shared" si="1095"/>
        <v>0</v>
      </c>
      <c r="AU1560" s="29">
        <f t="shared" si="1096"/>
        <v>0</v>
      </c>
      <c r="AV1560" s="29">
        <f t="shared" si="1097"/>
        <v>0</v>
      </c>
      <c r="AW1560" s="29"/>
      <c r="AX1560" s="29">
        <f t="shared" si="1098"/>
        <v>-2135318.4799999986</v>
      </c>
      <c r="AY1560" s="29">
        <f t="shared" si="1091"/>
        <v>9300000</v>
      </c>
      <c r="AZ1560" s="29">
        <f t="shared" si="1092"/>
        <v>7164681.5200000014</v>
      </c>
    </row>
    <row r="1561" spans="2:52" x14ac:dyDescent="0.3">
      <c r="B1561" s="99">
        <f t="shared" ref="B1561:B1564" si="1109">B1560+1</f>
        <v>46350</v>
      </c>
      <c r="C1561" s="44">
        <f t="shared" si="1079"/>
        <v>766908.08000000287</v>
      </c>
      <c r="D1561" s="38"/>
      <c r="E1561" s="38"/>
      <c r="F1561" s="38"/>
      <c r="G1561" s="45">
        <f t="shared" si="1080"/>
        <v>766908.08000000287</v>
      </c>
      <c r="H1561" s="44">
        <v>4300000</v>
      </c>
      <c r="I1561" s="46">
        <f t="shared" si="1081"/>
        <v>-2921513.5399999996</v>
      </c>
      <c r="J1561" s="38"/>
      <c r="K1561" s="38"/>
      <c r="L1561" s="38"/>
      <c r="M1561" s="47">
        <f t="shared" si="1082"/>
        <v>-2921513.5399999996</v>
      </c>
      <c r="N1561" s="46">
        <v>5000000</v>
      </c>
      <c r="O1561" s="48">
        <f t="shared" si="1083"/>
        <v>267.77999999932945</v>
      </c>
      <c r="P1561" s="38"/>
      <c r="Q1561" s="38"/>
      <c r="R1561" s="38"/>
      <c r="S1561" s="55">
        <f t="shared" si="1084"/>
        <v>267.77999999932945</v>
      </c>
      <c r="T1561" s="48"/>
      <c r="U1561" s="49">
        <f t="shared" si="1085"/>
        <v>58.409999999403965</v>
      </c>
      <c r="V1561" s="38"/>
      <c r="W1561" s="38"/>
      <c r="X1561" s="38"/>
      <c r="Y1561" s="51">
        <f t="shared" si="1086"/>
        <v>58.409999999403965</v>
      </c>
      <c r="Z1561" s="52"/>
      <c r="AA1561" s="53">
        <f t="shared" si="1087"/>
        <v>-7.6977357821306214E-10</v>
      </c>
      <c r="AB1561" s="38"/>
      <c r="AC1561" s="38"/>
      <c r="AD1561" s="38"/>
      <c r="AE1561" s="54">
        <f t="shared" si="1088"/>
        <v>-7.6977357821306214E-10</v>
      </c>
      <c r="AF1561" s="53"/>
      <c r="AG1561" s="53">
        <f t="shared" si="1089"/>
        <v>18678.120000000526</v>
      </c>
      <c r="AH1561" s="38"/>
      <c r="AI1561" s="38"/>
      <c r="AJ1561" s="38"/>
      <c r="AK1561" s="54">
        <f t="shared" si="1090"/>
        <v>18678.120000000526</v>
      </c>
      <c r="AL1561" s="53"/>
      <c r="AM1561" s="53">
        <f t="shared" si="1100"/>
        <v>282.6699999999995</v>
      </c>
      <c r="AN1561" s="38"/>
      <c r="AO1561" s="38"/>
      <c r="AP1561" s="38"/>
      <c r="AQ1561" s="54">
        <f t="shared" si="1104"/>
        <v>282.6699999999995</v>
      </c>
      <c r="AR1561" s="53"/>
      <c r="AS1561" s="29">
        <f t="shared" si="1094"/>
        <v>-2135318.4799999986</v>
      </c>
      <c r="AT1561" s="29">
        <f t="shared" si="1095"/>
        <v>0</v>
      </c>
      <c r="AU1561" s="29">
        <f t="shared" si="1096"/>
        <v>0</v>
      </c>
      <c r="AV1561" s="29">
        <f t="shared" si="1097"/>
        <v>0</v>
      </c>
      <c r="AW1561" s="29"/>
      <c r="AX1561" s="29">
        <f t="shared" si="1098"/>
        <v>-2135318.4799999986</v>
      </c>
      <c r="AY1561" s="29">
        <f t="shared" si="1091"/>
        <v>9300000</v>
      </c>
      <c r="AZ1561" s="29">
        <f t="shared" si="1092"/>
        <v>7164681.5200000014</v>
      </c>
    </row>
    <row r="1562" spans="2:52" x14ac:dyDescent="0.3">
      <c r="B1562" s="99">
        <f t="shared" si="1109"/>
        <v>46351</v>
      </c>
      <c r="C1562" s="44">
        <f t="shared" si="1079"/>
        <v>766908.08000000287</v>
      </c>
      <c r="D1562" s="38"/>
      <c r="E1562" s="38"/>
      <c r="F1562" s="38"/>
      <c r="G1562" s="45">
        <f t="shared" si="1080"/>
        <v>766908.08000000287</v>
      </c>
      <c r="H1562" s="44">
        <v>4300000</v>
      </c>
      <c r="I1562" s="46">
        <f t="shared" si="1081"/>
        <v>-2921513.5399999996</v>
      </c>
      <c r="J1562" s="38"/>
      <c r="K1562" s="38"/>
      <c r="L1562" s="38"/>
      <c r="M1562" s="47">
        <f t="shared" si="1082"/>
        <v>-2921513.5399999996</v>
      </c>
      <c r="N1562" s="46">
        <v>5000000</v>
      </c>
      <c r="O1562" s="48">
        <f t="shared" si="1083"/>
        <v>267.77999999932945</v>
      </c>
      <c r="P1562" s="38"/>
      <c r="Q1562" s="38"/>
      <c r="R1562" s="38"/>
      <c r="S1562" s="55">
        <f t="shared" si="1084"/>
        <v>267.77999999932945</v>
      </c>
      <c r="T1562" s="48"/>
      <c r="U1562" s="49">
        <f t="shared" si="1085"/>
        <v>58.409999999403965</v>
      </c>
      <c r="V1562" s="38"/>
      <c r="W1562" s="38"/>
      <c r="X1562" s="38"/>
      <c r="Y1562" s="51">
        <f t="shared" si="1086"/>
        <v>58.409999999403965</v>
      </c>
      <c r="Z1562" s="52"/>
      <c r="AA1562" s="53">
        <f t="shared" si="1087"/>
        <v>-7.6977357821306214E-10</v>
      </c>
      <c r="AB1562" s="38"/>
      <c r="AC1562" s="38"/>
      <c r="AD1562" s="38"/>
      <c r="AE1562" s="54">
        <f t="shared" si="1088"/>
        <v>-7.6977357821306214E-10</v>
      </c>
      <c r="AF1562" s="53"/>
      <c r="AG1562" s="53">
        <f t="shared" si="1089"/>
        <v>18678.120000000526</v>
      </c>
      <c r="AH1562" s="38"/>
      <c r="AI1562" s="38"/>
      <c r="AJ1562" s="38"/>
      <c r="AK1562" s="54">
        <f t="shared" si="1090"/>
        <v>18678.120000000526</v>
      </c>
      <c r="AL1562" s="53"/>
      <c r="AM1562" s="53">
        <f t="shared" si="1100"/>
        <v>282.6699999999995</v>
      </c>
      <c r="AN1562" s="38"/>
      <c r="AO1562" s="38"/>
      <c r="AP1562" s="38"/>
      <c r="AQ1562" s="54">
        <f t="shared" si="1104"/>
        <v>282.6699999999995</v>
      </c>
      <c r="AR1562" s="53"/>
      <c r="AS1562" s="29">
        <f t="shared" si="1094"/>
        <v>-2135318.4799999986</v>
      </c>
      <c r="AT1562" s="29">
        <f t="shared" si="1095"/>
        <v>0</v>
      </c>
      <c r="AU1562" s="29">
        <f t="shared" si="1096"/>
        <v>0</v>
      </c>
      <c r="AV1562" s="29">
        <f t="shared" si="1097"/>
        <v>0</v>
      </c>
      <c r="AW1562" s="29"/>
      <c r="AX1562" s="29">
        <f t="shared" si="1098"/>
        <v>-2135318.4799999986</v>
      </c>
      <c r="AY1562" s="29">
        <f t="shared" si="1091"/>
        <v>9300000</v>
      </c>
      <c r="AZ1562" s="29">
        <f t="shared" si="1092"/>
        <v>7164681.5200000014</v>
      </c>
    </row>
    <row r="1563" spans="2:52" x14ac:dyDescent="0.3">
      <c r="B1563" s="99">
        <f t="shared" si="1109"/>
        <v>46352</v>
      </c>
      <c r="C1563" s="44">
        <f t="shared" si="1079"/>
        <v>766908.08000000287</v>
      </c>
      <c r="D1563" s="38"/>
      <c r="E1563" s="38"/>
      <c r="F1563" s="38"/>
      <c r="G1563" s="45">
        <f t="shared" si="1080"/>
        <v>766908.08000000287</v>
      </c>
      <c r="H1563" s="44">
        <v>4300000</v>
      </c>
      <c r="I1563" s="46">
        <f t="shared" si="1081"/>
        <v>-2921513.5399999996</v>
      </c>
      <c r="J1563" s="38"/>
      <c r="K1563" s="38"/>
      <c r="L1563" s="38"/>
      <c r="M1563" s="47">
        <f t="shared" si="1082"/>
        <v>-2921513.5399999996</v>
      </c>
      <c r="N1563" s="46">
        <v>5000000</v>
      </c>
      <c r="O1563" s="48">
        <f t="shared" si="1083"/>
        <v>267.77999999932945</v>
      </c>
      <c r="P1563" s="38"/>
      <c r="Q1563" s="38"/>
      <c r="R1563" s="38"/>
      <c r="S1563" s="55">
        <f t="shared" si="1084"/>
        <v>267.77999999932945</v>
      </c>
      <c r="T1563" s="48"/>
      <c r="U1563" s="49">
        <f t="shared" si="1085"/>
        <v>58.409999999403965</v>
      </c>
      <c r="V1563" s="38"/>
      <c r="W1563" s="38"/>
      <c r="X1563" s="38"/>
      <c r="Y1563" s="51">
        <f t="shared" si="1086"/>
        <v>58.409999999403965</v>
      </c>
      <c r="Z1563" s="52"/>
      <c r="AA1563" s="53">
        <f t="shared" si="1087"/>
        <v>-7.6977357821306214E-10</v>
      </c>
      <c r="AB1563" s="38"/>
      <c r="AC1563" s="38"/>
      <c r="AD1563" s="38"/>
      <c r="AE1563" s="54">
        <f t="shared" si="1088"/>
        <v>-7.6977357821306214E-10</v>
      </c>
      <c r="AF1563" s="53"/>
      <c r="AG1563" s="53">
        <f t="shared" si="1089"/>
        <v>18678.120000000526</v>
      </c>
      <c r="AH1563" s="38"/>
      <c r="AI1563" s="38"/>
      <c r="AJ1563" s="38"/>
      <c r="AK1563" s="54">
        <f t="shared" si="1090"/>
        <v>18678.120000000526</v>
      </c>
      <c r="AL1563" s="53"/>
      <c r="AM1563" s="53">
        <f t="shared" si="1100"/>
        <v>282.6699999999995</v>
      </c>
      <c r="AN1563" s="38"/>
      <c r="AO1563" s="38"/>
      <c r="AP1563" s="38"/>
      <c r="AQ1563" s="54">
        <f t="shared" si="1104"/>
        <v>282.6699999999995</v>
      </c>
      <c r="AR1563" s="53"/>
      <c r="AS1563" s="29">
        <f t="shared" si="1094"/>
        <v>-2135318.4799999986</v>
      </c>
      <c r="AT1563" s="29">
        <f t="shared" si="1095"/>
        <v>0</v>
      </c>
      <c r="AU1563" s="29">
        <f t="shared" si="1096"/>
        <v>0</v>
      </c>
      <c r="AV1563" s="29">
        <f t="shared" si="1097"/>
        <v>0</v>
      </c>
      <c r="AW1563" s="29"/>
      <c r="AX1563" s="29">
        <f t="shared" si="1098"/>
        <v>-2135318.4799999986</v>
      </c>
      <c r="AY1563" s="29">
        <f t="shared" si="1091"/>
        <v>9300000</v>
      </c>
      <c r="AZ1563" s="29">
        <f t="shared" si="1092"/>
        <v>7164681.5200000014</v>
      </c>
    </row>
    <row r="1564" spans="2:52" x14ac:dyDescent="0.3">
      <c r="B1564" s="99">
        <f t="shared" si="1109"/>
        <v>46353</v>
      </c>
      <c r="C1564" s="44">
        <f t="shared" si="1079"/>
        <v>766908.08000000287</v>
      </c>
      <c r="D1564" s="38"/>
      <c r="E1564" s="38"/>
      <c r="F1564" s="38"/>
      <c r="G1564" s="45">
        <f t="shared" si="1080"/>
        <v>766908.08000000287</v>
      </c>
      <c r="H1564" s="44">
        <v>4300000</v>
      </c>
      <c r="I1564" s="46">
        <f t="shared" si="1081"/>
        <v>-2921513.5399999996</v>
      </c>
      <c r="J1564" s="38"/>
      <c r="K1564" s="38"/>
      <c r="L1564" s="38"/>
      <c r="M1564" s="47">
        <f t="shared" si="1082"/>
        <v>-2921513.5399999996</v>
      </c>
      <c r="N1564" s="46">
        <v>5000000</v>
      </c>
      <c r="O1564" s="48">
        <f t="shared" si="1083"/>
        <v>267.77999999932945</v>
      </c>
      <c r="P1564" s="38"/>
      <c r="Q1564" s="38"/>
      <c r="R1564" s="38"/>
      <c r="S1564" s="55">
        <f t="shared" si="1084"/>
        <v>267.77999999932945</v>
      </c>
      <c r="T1564" s="48"/>
      <c r="U1564" s="49">
        <f t="shared" si="1085"/>
        <v>58.409999999403965</v>
      </c>
      <c r="V1564" s="38"/>
      <c r="W1564" s="38"/>
      <c r="X1564" s="38"/>
      <c r="Y1564" s="51">
        <f t="shared" si="1086"/>
        <v>58.409999999403965</v>
      </c>
      <c r="Z1564" s="52"/>
      <c r="AA1564" s="53">
        <f t="shared" si="1087"/>
        <v>-7.6977357821306214E-10</v>
      </c>
      <c r="AB1564" s="38"/>
      <c r="AC1564" s="38"/>
      <c r="AD1564" s="38"/>
      <c r="AE1564" s="54">
        <f t="shared" si="1088"/>
        <v>-7.6977357821306214E-10</v>
      </c>
      <c r="AF1564" s="53"/>
      <c r="AG1564" s="53">
        <f t="shared" si="1089"/>
        <v>18678.120000000526</v>
      </c>
      <c r="AH1564" s="38"/>
      <c r="AI1564" s="38"/>
      <c r="AJ1564" s="38"/>
      <c r="AK1564" s="54">
        <f t="shared" si="1090"/>
        <v>18678.120000000526</v>
      </c>
      <c r="AL1564" s="53"/>
      <c r="AM1564" s="53">
        <f t="shared" si="1100"/>
        <v>282.6699999999995</v>
      </c>
      <c r="AN1564" s="38"/>
      <c r="AO1564" s="38"/>
      <c r="AP1564" s="38"/>
      <c r="AQ1564" s="54">
        <f t="shared" si="1104"/>
        <v>282.6699999999995</v>
      </c>
      <c r="AR1564" s="53"/>
      <c r="AS1564" s="29">
        <f t="shared" si="1094"/>
        <v>-2135318.4799999986</v>
      </c>
      <c r="AT1564" s="29">
        <f t="shared" si="1095"/>
        <v>0</v>
      </c>
      <c r="AU1564" s="29">
        <f t="shared" si="1096"/>
        <v>0</v>
      </c>
      <c r="AV1564" s="29">
        <f t="shared" si="1097"/>
        <v>0</v>
      </c>
      <c r="AW1564" s="29"/>
      <c r="AX1564" s="29">
        <f t="shared" si="1098"/>
        <v>-2135318.4799999986</v>
      </c>
      <c r="AY1564" s="29">
        <f t="shared" si="1091"/>
        <v>9300000</v>
      </c>
      <c r="AZ1564" s="29">
        <f t="shared" si="1092"/>
        <v>7164681.5200000014</v>
      </c>
    </row>
    <row r="1565" spans="2:52" x14ac:dyDescent="0.3">
      <c r="B1565" s="99">
        <f>B1564+3</f>
        <v>46356</v>
      </c>
      <c r="C1565" s="44">
        <f t="shared" si="1079"/>
        <v>766908.08000000287</v>
      </c>
      <c r="D1565" s="38"/>
      <c r="E1565" s="38"/>
      <c r="F1565" s="38"/>
      <c r="G1565" s="45">
        <f t="shared" si="1080"/>
        <v>766908.08000000287</v>
      </c>
      <c r="H1565" s="44">
        <v>4300000</v>
      </c>
      <c r="I1565" s="46">
        <f t="shared" si="1081"/>
        <v>-2921513.5399999996</v>
      </c>
      <c r="J1565" s="38"/>
      <c r="K1565" s="38"/>
      <c r="L1565" s="38"/>
      <c r="M1565" s="47">
        <f t="shared" si="1082"/>
        <v>-2921513.5399999996</v>
      </c>
      <c r="N1565" s="46">
        <v>5000000</v>
      </c>
      <c r="O1565" s="48">
        <f t="shared" si="1083"/>
        <v>267.77999999932945</v>
      </c>
      <c r="P1565" s="38"/>
      <c r="Q1565" s="38"/>
      <c r="R1565" s="38"/>
      <c r="S1565" s="55">
        <f t="shared" si="1084"/>
        <v>267.77999999932945</v>
      </c>
      <c r="T1565" s="48"/>
      <c r="U1565" s="49">
        <f t="shared" si="1085"/>
        <v>58.409999999403965</v>
      </c>
      <c r="V1565" s="38"/>
      <c r="W1565" s="38"/>
      <c r="X1565" s="38"/>
      <c r="Y1565" s="51">
        <f t="shared" si="1086"/>
        <v>58.409999999403965</v>
      </c>
      <c r="Z1565" s="52"/>
      <c r="AA1565" s="53">
        <f t="shared" si="1087"/>
        <v>-7.6977357821306214E-10</v>
      </c>
      <c r="AB1565" s="38"/>
      <c r="AC1565" s="38"/>
      <c r="AD1565" s="38"/>
      <c r="AE1565" s="54">
        <f t="shared" si="1088"/>
        <v>-7.6977357821306214E-10</v>
      </c>
      <c r="AF1565" s="53"/>
      <c r="AG1565" s="53">
        <f t="shared" si="1089"/>
        <v>18678.120000000526</v>
      </c>
      <c r="AH1565" s="38"/>
      <c r="AI1565" s="38"/>
      <c r="AJ1565" s="38"/>
      <c r="AK1565" s="54">
        <f t="shared" si="1090"/>
        <v>18678.120000000526</v>
      </c>
      <c r="AL1565" s="53"/>
      <c r="AM1565" s="53">
        <f t="shared" si="1100"/>
        <v>282.6699999999995</v>
      </c>
      <c r="AN1565" s="38"/>
      <c r="AO1565" s="38"/>
      <c r="AP1565" s="38"/>
      <c r="AQ1565" s="54">
        <f t="shared" si="1104"/>
        <v>282.6699999999995</v>
      </c>
      <c r="AR1565" s="53"/>
      <c r="AS1565" s="29">
        <f t="shared" si="1094"/>
        <v>-2135318.4799999986</v>
      </c>
      <c r="AT1565" s="29">
        <f t="shared" si="1095"/>
        <v>0</v>
      </c>
      <c r="AU1565" s="29">
        <f t="shared" si="1096"/>
        <v>0</v>
      </c>
      <c r="AV1565" s="29">
        <f t="shared" si="1097"/>
        <v>0</v>
      </c>
      <c r="AW1565" s="29"/>
      <c r="AX1565" s="29">
        <f t="shared" si="1098"/>
        <v>-2135318.4799999986</v>
      </c>
      <c r="AY1565" s="29">
        <f t="shared" si="1091"/>
        <v>9300000</v>
      </c>
      <c r="AZ1565" s="29">
        <f t="shared" si="1092"/>
        <v>7164681.5200000014</v>
      </c>
    </row>
    <row r="1566" spans="2:52" x14ac:dyDescent="0.3">
      <c r="B1566" s="99">
        <f t="shared" ref="B1566:B1569" si="1110">B1565+1</f>
        <v>46357</v>
      </c>
      <c r="C1566" s="44">
        <f t="shared" si="1079"/>
        <v>766908.08000000287</v>
      </c>
      <c r="D1566" s="38"/>
      <c r="E1566" s="38"/>
      <c r="F1566" s="38"/>
      <c r="G1566" s="45">
        <f t="shared" si="1080"/>
        <v>766908.08000000287</v>
      </c>
      <c r="H1566" s="44">
        <v>4300000</v>
      </c>
      <c r="I1566" s="46">
        <f t="shared" si="1081"/>
        <v>-2921513.5399999996</v>
      </c>
      <c r="J1566" s="38"/>
      <c r="K1566" s="38"/>
      <c r="L1566" s="38"/>
      <c r="M1566" s="47">
        <f t="shared" si="1082"/>
        <v>-2921513.5399999996</v>
      </c>
      <c r="N1566" s="46">
        <v>5000000</v>
      </c>
      <c r="O1566" s="48">
        <f t="shared" si="1083"/>
        <v>267.77999999932945</v>
      </c>
      <c r="P1566" s="38"/>
      <c r="Q1566" s="38"/>
      <c r="R1566" s="38"/>
      <c r="S1566" s="55">
        <f t="shared" si="1084"/>
        <v>267.77999999932945</v>
      </c>
      <c r="T1566" s="48"/>
      <c r="U1566" s="49">
        <f t="shared" si="1085"/>
        <v>58.409999999403965</v>
      </c>
      <c r="V1566" s="38"/>
      <c r="W1566" s="38"/>
      <c r="X1566" s="38"/>
      <c r="Y1566" s="51">
        <f t="shared" si="1086"/>
        <v>58.409999999403965</v>
      </c>
      <c r="Z1566" s="52"/>
      <c r="AA1566" s="53">
        <f t="shared" si="1087"/>
        <v>-7.6977357821306214E-10</v>
      </c>
      <c r="AB1566" s="38"/>
      <c r="AC1566" s="38"/>
      <c r="AD1566" s="38"/>
      <c r="AE1566" s="54">
        <f t="shared" si="1088"/>
        <v>-7.6977357821306214E-10</v>
      </c>
      <c r="AF1566" s="53"/>
      <c r="AG1566" s="53">
        <f t="shared" si="1089"/>
        <v>18678.120000000526</v>
      </c>
      <c r="AH1566" s="38"/>
      <c r="AI1566" s="38"/>
      <c r="AJ1566" s="38"/>
      <c r="AK1566" s="54">
        <f t="shared" si="1090"/>
        <v>18678.120000000526</v>
      </c>
      <c r="AL1566" s="53"/>
      <c r="AM1566" s="53">
        <f t="shared" si="1100"/>
        <v>282.6699999999995</v>
      </c>
      <c r="AN1566" s="38"/>
      <c r="AO1566" s="38"/>
      <c r="AP1566" s="38"/>
      <c r="AQ1566" s="54">
        <f t="shared" si="1104"/>
        <v>282.6699999999995</v>
      </c>
      <c r="AR1566" s="53"/>
      <c r="AS1566" s="29">
        <f t="shared" si="1094"/>
        <v>-2135318.4799999986</v>
      </c>
      <c r="AT1566" s="29">
        <f t="shared" si="1095"/>
        <v>0</v>
      </c>
      <c r="AU1566" s="29">
        <f t="shared" si="1096"/>
        <v>0</v>
      </c>
      <c r="AV1566" s="29">
        <f t="shared" si="1097"/>
        <v>0</v>
      </c>
      <c r="AW1566" s="29"/>
      <c r="AX1566" s="29">
        <f t="shared" si="1098"/>
        <v>-2135318.4799999986</v>
      </c>
      <c r="AY1566" s="29">
        <f t="shared" si="1091"/>
        <v>9300000</v>
      </c>
      <c r="AZ1566" s="29">
        <f t="shared" si="1092"/>
        <v>7164681.5200000014</v>
      </c>
    </row>
    <row r="1567" spans="2:52" x14ac:dyDescent="0.3">
      <c r="B1567" s="99">
        <f t="shared" si="1110"/>
        <v>46358</v>
      </c>
      <c r="C1567" s="44">
        <f t="shared" si="1079"/>
        <v>766908.08000000287</v>
      </c>
      <c r="D1567" s="38"/>
      <c r="E1567" s="38"/>
      <c r="F1567" s="38"/>
      <c r="G1567" s="45">
        <f t="shared" si="1080"/>
        <v>766908.08000000287</v>
      </c>
      <c r="H1567" s="44">
        <v>4300000</v>
      </c>
      <c r="I1567" s="46">
        <f t="shared" si="1081"/>
        <v>-2921513.5399999996</v>
      </c>
      <c r="J1567" s="38"/>
      <c r="K1567" s="38"/>
      <c r="L1567" s="38"/>
      <c r="M1567" s="47">
        <f t="shared" si="1082"/>
        <v>-2921513.5399999996</v>
      </c>
      <c r="N1567" s="46">
        <v>5000000</v>
      </c>
      <c r="O1567" s="48">
        <f t="shared" si="1083"/>
        <v>267.77999999932945</v>
      </c>
      <c r="P1567" s="38"/>
      <c r="Q1567" s="38"/>
      <c r="R1567" s="38"/>
      <c r="S1567" s="55">
        <f t="shared" si="1084"/>
        <v>267.77999999932945</v>
      </c>
      <c r="T1567" s="48"/>
      <c r="U1567" s="49">
        <f t="shared" si="1085"/>
        <v>58.409999999403965</v>
      </c>
      <c r="V1567" s="38"/>
      <c r="W1567" s="38"/>
      <c r="X1567" s="38"/>
      <c r="Y1567" s="51">
        <f t="shared" si="1086"/>
        <v>58.409999999403965</v>
      </c>
      <c r="Z1567" s="52"/>
      <c r="AA1567" s="53">
        <f t="shared" si="1087"/>
        <v>-7.6977357821306214E-10</v>
      </c>
      <c r="AB1567" s="38"/>
      <c r="AC1567" s="38"/>
      <c r="AD1567" s="38"/>
      <c r="AE1567" s="54">
        <f t="shared" si="1088"/>
        <v>-7.6977357821306214E-10</v>
      </c>
      <c r="AF1567" s="53"/>
      <c r="AG1567" s="53">
        <f t="shared" si="1089"/>
        <v>18678.120000000526</v>
      </c>
      <c r="AH1567" s="38"/>
      <c r="AI1567" s="38"/>
      <c r="AJ1567" s="38"/>
      <c r="AK1567" s="54">
        <f t="shared" si="1090"/>
        <v>18678.120000000526</v>
      </c>
      <c r="AL1567" s="53"/>
      <c r="AM1567" s="53">
        <f t="shared" si="1100"/>
        <v>282.6699999999995</v>
      </c>
      <c r="AN1567" s="38"/>
      <c r="AO1567" s="38"/>
      <c r="AP1567" s="38"/>
      <c r="AQ1567" s="54">
        <f t="shared" si="1104"/>
        <v>282.6699999999995</v>
      </c>
      <c r="AR1567" s="53"/>
      <c r="AS1567" s="29">
        <f t="shared" si="1094"/>
        <v>-2135318.4799999986</v>
      </c>
      <c r="AT1567" s="29">
        <f t="shared" si="1095"/>
        <v>0</v>
      </c>
      <c r="AU1567" s="29">
        <f t="shared" si="1096"/>
        <v>0</v>
      </c>
      <c r="AV1567" s="29">
        <f t="shared" si="1097"/>
        <v>0</v>
      </c>
      <c r="AW1567" s="29"/>
      <c r="AX1567" s="29">
        <f t="shared" si="1098"/>
        <v>-2135318.4799999986</v>
      </c>
      <c r="AY1567" s="29">
        <f t="shared" si="1091"/>
        <v>9300000</v>
      </c>
      <c r="AZ1567" s="29">
        <f t="shared" si="1092"/>
        <v>7164681.5200000014</v>
      </c>
    </row>
    <row r="1568" spans="2:52" x14ac:dyDescent="0.3">
      <c r="B1568" s="99">
        <f t="shared" si="1110"/>
        <v>46359</v>
      </c>
      <c r="C1568" s="44">
        <f t="shared" si="1079"/>
        <v>766908.08000000287</v>
      </c>
      <c r="D1568" s="38"/>
      <c r="E1568" s="38"/>
      <c r="F1568" s="38"/>
      <c r="G1568" s="45">
        <f t="shared" si="1080"/>
        <v>766908.08000000287</v>
      </c>
      <c r="H1568" s="44">
        <v>4300000</v>
      </c>
      <c r="I1568" s="46">
        <f t="shared" si="1081"/>
        <v>-2921513.5399999996</v>
      </c>
      <c r="J1568" s="38"/>
      <c r="K1568" s="38"/>
      <c r="L1568" s="38"/>
      <c r="M1568" s="47">
        <f t="shared" si="1082"/>
        <v>-2921513.5399999996</v>
      </c>
      <c r="N1568" s="46">
        <v>5000000</v>
      </c>
      <c r="O1568" s="48">
        <f t="shared" si="1083"/>
        <v>267.77999999932945</v>
      </c>
      <c r="P1568" s="38"/>
      <c r="Q1568" s="38"/>
      <c r="R1568" s="38"/>
      <c r="S1568" s="55">
        <f t="shared" si="1084"/>
        <v>267.77999999932945</v>
      </c>
      <c r="T1568" s="48"/>
      <c r="U1568" s="49">
        <f t="shared" si="1085"/>
        <v>58.409999999403965</v>
      </c>
      <c r="V1568" s="38"/>
      <c r="W1568" s="38"/>
      <c r="X1568" s="38"/>
      <c r="Y1568" s="51">
        <f t="shared" si="1086"/>
        <v>58.409999999403965</v>
      </c>
      <c r="Z1568" s="52"/>
      <c r="AA1568" s="53">
        <f t="shared" si="1087"/>
        <v>-7.6977357821306214E-10</v>
      </c>
      <c r="AB1568" s="38"/>
      <c r="AC1568" s="38"/>
      <c r="AD1568" s="38"/>
      <c r="AE1568" s="54">
        <f t="shared" si="1088"/>
        <v>-7.6977357821306214E-10</v>
      </c>
      <c r="AF1568" s="53"/>
      <c r="AG1568" s="53">
        <f t="shared" si="1089"/>
        <v>18678.120000000526</v>
      </c>
      <c r="AH1568" s="38"/>
      <c r="AI1568" s="38"/>
      <c r="AJ1568" s="38"/>
      <c r="AK1568" s="54">
        <f t="shared" si="1090"/>
        <v>18678.120000000526</v>
      </c>
      <c r="AL1568" s="53"/>
      <c r="AM1568" s="53">
        <f t="shared" si="1100"/>
        <v>282.6699999999995</v>
      </c>
      <c r="AN1568" s="38"/>
      <c r="AO1568" s="38"/>
      <c r="AP1568" s="38"/>
      <c r="AQ1568" s="54">
        <f t="shared" si="1104"/>
        <v>282.6699999999995</v>
      </c>
      <c r="AR1568" s="53"/>
      <c r="AS1568" s="29">
        <f t="shared" si="1094"/>
        <v>-2135318.4799999986</v>
      </c>
      <c r="AT1568" s="29">
        <f t="shared" si="1095"/>
        <v>0</v>
      </c>
      <c r="AU1568" s="29">
        <f t="shared" si="1096"/>
        <v>0</v>
      </c>
      <c r="AV1568" s="29">
        <f t="shared" si="1097"/>
        <v>0</v>
      </c>
      <c r="AW1568" s="29"/>
      <c r="AX1568" s="29">
        <f t="shared" si="1098"/>
        <v>-2135318.4799999986</v>
      </c>
      <c r="AY1568" s="29">
        <f t="shared" si="1091"/>
        <v>9300000</v>
      </c>
      <c r="AZ1568" s="29">
        <f t="shared" si="1092"/>
        <v>7164681.5200000014</v>
      </c>
    </row>
    <row r="1569" spans="2:52" x14ac:dyDescent="0.3">
      <c r="B1569" s="99">
        <f t="shared" si="1110"/>
        <v>46360</v>
      </c>
      <c r="C1569" s="44">
        <f t="shared" si="1079"/>
        <v>766908.08000000287</v>
      </c>
      <c r="D1569" s="38"/>
      <c r="E1569" s="38"/>
      <c r="F1569" s="38"/>
      <c r="G1569" s="45">
        <f t="shared" si="1080"/>
        <v>766908.08000000287</v>
      </c>
      <c r="H1569" s="44">
        <v>4300000</v>
      </c>
      <c r="I1569" s="46">
        <f t="shared" si="1081"/>
        <v>-2921513.5399999996</v>
      </c>
      <c r="J1569" s="38"/>
      <c r="K1569" s="38"/>
      <c r="L1569" s="38"/>
      <c r="M1569" s="47">
        <f t="shared" si="1082"/>
        <v>-2921513.5399999996</v>
      </c>
      <c r="N1569" s="46">
        <v>5000000</v>
      </c>
      <c r="O1569" s="48">
        <f t="shared" si="1083"/>
        <v>267.77999999932945</v>
      </c>
      <c r="P1569" s="38"/>
      <c r="Q1569" s="38"/>
      <c r="R1569" s="38"/>
      <c r="S1569" s="55">
        <f t="shared" si="1084"/>
        <v>267.77999999932945</v>
      </c>
      <c r="T1569" s="48"/>
      <c r="U1569" s="49">
        <f t="shared" si="1085"/>
        <v>58.409999999403965</v>
      </c>
      <c r="V1569" s="38"/>
      <c r="W1569" s="38"/>
      <c r="X1569" s="38"/>
      <c r="Y1569" s="51">
        <f t="shared" si="1086"/>
        <v>58.409999999403965</v>
      </c>
      <c r="Z1569" s="52"/>
      <c r="AA1569" s="53">
        <f t="shared" si="1087"/>
        <v>-7.6977357821306214E-10</v>
      </c>
      <c r="AB1569" s="38"/>
      <c r="AC1569" s="38"/>
      <c r="AD1569" s="38"/>
      <c r="AE1569" s="54">
        <f t="shared" si="1088"/>
        <v>-7.6977357821306214E-10</v>
      </c>
      <c r="AF1569" s="53"/>
      <c r="AG1569" s="53">
        <f t="shared" si="1089"/>
        <v>18678.120000000526</v>
      </c>
      <c r="AH1569" s="38"/>
      <c r="AI1569" s="38"/>
      <c r="AJ1569" s="38"/>
      <c r="AK1569" s="54">
        <f t="shared" si="1090"/>
        <v>18678.120000000526</v>
      </c>
      <c r="AL1569" s="53"/>
      <c r="AM1569" s="53">
        <f t="shared" si="1100"/>
        <v>282.6699999999995</v>
      </c>
      <c r="AN1569" s="38"/>
      <c r="AO1569" s="38"/>
      <c r="AP1569" s="38"/>
      <c r="AQ1569" s="54">
        <f t="shared" si="1104"/>
        <v>282.6699999999995</v>
      </c>
      <c r="AR1569" s="53"/>
      <c r="AS1569" s="29">
        <f t="shared" si="1094"/>
        <v>-2135318.4799999986</v>
      </c>
      <c r="AT1569" s="29">
        <f t="shared" si="1095"/>
        <v>0</v>
      </c>
      <c r="AU1569" s="29">
        <f t="shared" si="1096"/>
        <v>0</v>
      </c>
      <c r="AV1569" s="29">
        <f t="shared" si="1097"/>
        <v>0</v>
      </c>
      <c r="AW1569" s="29"/>
      <c r="AX1569" s="29">
        <f t="shared" si="1098"/>
        <v>-2135318.4799999986</v>
      </c>
      <c r="AY1569" s="29">
        <f t="shared" si="1091"/>
        <v>9300000</v>
      </c>
      <c r="AZ1569" s="29">
        <f t="shared" si="1092"/>
        <v>7164681.5200000014</v>
      </c>
    </row>
    <row r="1570" spans="2:52" x14ac:dyDescent="0.3">
      <c r="B1570" s="99">
        <f>B1569+3</f>
        <v>46363</v>
      </c>
      <c r="C1570" s="44">
        <f t="shared" si="1079"/>
        <v>766908.08000000287</v>
      </c>
      <c r="D1570" s="38"/>
      <c r="E1570" s="38"/>
      <c r="F1570" s="38"/>
      <c r="G1570" s="45">
        <f t="shared" si="1080"/>
        <v>766908.08000000287</v>
      </c>
      <c r="H1570" s="44">
        <v>4300000</v>
      </c>
      <c r="I1570" s="46">
        <f t="shared" si="1081"/>
        <v>-2921513.5399999996</v>
      </c>
      <c r="J1570" s="38"/>
      <c r="K1570" s="38"/>
      <c r="L1570" s="38"/>
      <c r="M1570" s="47">
        <f t="shared" si="1082"/>
        <v>-2921513.5399999996</v>
      </c>
      <c r="N1570" s="46">
        <v>5000000</v>
      </c>
      <c r="O1570" s="48">
        <f t="shared" si="1083"/>
        <v>267.77999999932945</v>
      </c>
      <c r="P1570" s="38"/>
      <c r="Q1570" s="38"/>
      <c r="R1570" s="38"/>
      <c r="S1570" s="55">
        <f t="shared" si="1084"/>
        <v>267.77999999932945</v>
      </c>
      <c r="T1570" s="48"/>
      <c r="U1570" s="49">
        <f t="shared" si="1085"/>
        <v>58.409999999403965</v>
      </c>
      <c r="V1570" s="38"/>
      <c r="W1570" s="38"/>
      <c r="X1570" s="38"/>
      <c r="Y1570" s="51">
        <f t="shared" si="1086"/>
        <v>58.409999999403965</v>
      </c>
      <c r="Z1570" s="52"/>
      <c r="AA1570" s="53">
        <f t="shared" si="1087"/>
        <v>-7.6977357821306214E-10</v>
      </c>
      <c r="AB1570" s="38"/>
      <c r="AC1570" s="38"/>
      <c r="AD1570" s="38"/>
      <c r="AE1570" s="54">
        <f t="shared" si="1088"/>
        <v>-7.6977357821306214E-10</v>
      </c>
      <c r="AF1570" s="53"/>
      <c r="AG1570" s="53">
        <f t="shared" si="1089"/>
        <v>18678.120000000526</v>
      </c>
      <c r="AH1570" s="38"/>
      <c r="AI1570" s="38"/>
      <c r="AJ1570" s="38"/>
      <c r="AK1570" s="54">
        <f t="shared" si="1090"/>
        <v>18678.120000000526</v>
      </c>
      <c r="AL1570" s="53"/>
      <c r="AM1570" s="53">
        <f t="shared" si="1100"/>
        <v>282.6699999999995</v>
      </c>
      <c r="AN1570" s="38"/>
      <c r="AO1570" s="38"/>
      <c r="AP1570" s="38"/>
      <c r="AQ1570" s="54">
        <f t="shared" si="1104"/>
        <v>282.6699999999995</v>
      </c>
      <c r="AR1570" s="53"/>
      <c r="AS1570" s="29">
        <f t="shared" si="1094"/>
        <v>-2135318.4799999986</v>
      </c>
      <c r="AT1570" s="29">
        <f t="shared" si="1095"/>
        <v>0</v>
      </c>
      <c r="AU1570" s="29">
        <f t="shared" si="1096"/>
        <v>0</v>
      </c>
      <c r="AV1570" s="29">
        <f t="shared" si="1097"/>
        <v>0</v>
      </c>
      <c r="AW1570" s="29"/>
      <c r="AX1570" s="29">
        <f t="shared" si="1098"/>
        <v>-2135318.4799999986</v>
      </c>
      <c r="AY1570" s="29">
        <f t="shared" si="1091"/>
        <v>9300000</v>
      </c>
      <c r="AZ1570" s="29">
        <f t="shared" si="1092"/>
        <v>7164681.5200000014</v>
      </c>
    </row>
    <row r="1571" spans="2:52" x14ac:dyDescent="0.3">
      <c r="B1571" s="99">
        <f t="shared" ref="B1571:B1574" si="1111">B1570+1</f>
        <v>46364</v>
      </c>
      <c r="C1571" s="44">
        <f t="shared" si="1079"/>
        <v>766908.08000000287</v>
      </c>
      <c r="D1571" s="38"/>
      <c r="E1571" s="38"/>
      <c r="F1571" s="38"/>
      <c r="G1571" s="45">
        <f t="shared" si="1080"/>
        <v>766908.08000000287</v>
      </c>
      <c r="H1571" s="44">
        <v>4300000</v>
      </c>
      <c r="I1571" s="46">
        <f t="shared" si="1081"/>
        <v>-2921513.5399999996</v>
      </c>
      <c r="J1571" s="38"/>
      <c r="K1571" s="38"/>
      <c r="L1571" s="38"/>
      <c r="M1571" s="47">
        <f t="shared" si="1082"/>
        <v>-2921513.5399999996</v>
      </c>
      <c r="N1571" s="46">
        <v>5000000</v>
      </c>
      <c r="O1571" s="48">
        <f t="shared" si="1083"/>
        <v>267.77999999932945</v>
      </c>
      <c r="P1571" s="38"/>
      <c r="Q1571" s="38"/>
      <c r="R1571" s="38"/>
      <c r="S1571" s="55">
        <f t="shared" si="1084"/>
        <v>267.77999999932945</v>
      </c>
      <c r="T1571" s="48"/>
      <c r="U1571" s="49">
        <f t="shared" si="1085"/>
        <v>58.409999999403965</v>
      </c>
      <c r="V1571" s="38"/>
      <c r="W1571" s="38"/>
      <c r="X1571" s="38"/>
      <c r="Y1571" s="51">
        <f t="shared" si="1086"/>
        <v>58.409999999403965</v>
      </c>
      <c r="Z1571" s="52"/>
      <c r="AA1571" s="53">
        <f t="shared" si="1087"/>
        <v>-7.6977357821306214E-10</v>
      </c>
      <c r="AB1571" s="38"/>
      <c r="AC1571" s="38"/>
      <c r="AD1571" s="38"/>
      <c r="AE1571" s="54">
        <f t="shared" si="1088"/>
        <v>-7.6977357821306214E-10</v>
      </c>
      <c r="AF1571" s="53"/>
      <c r="AG1571" s="53">
        <f t="shared" si="1089"/>
        <v>18678.120000000526</v>
      </c>
      <c r="AH1571" s="38"/>
      <c r="AI1571" s="38"/>
      <c r="AJ1571" s="38"/>
      <c r="AK1571" s="54">
        <f t="shared" si="1090"/>
        <v>18678.120000000526</v>
      </c>
      <c r="AL1571" s="53"/>
      <c r="AM1571" s="53">
        <f t="shared" si="1100"/>
        <v>282.6699999999995</v>
      </c>
      <c r="AN1571" s="38"/>
      <c r="AO1571" s="38"/>
      <c r="AP1571" s="38"/>
      <c r="AQ1571" s="54">
        <f t="shared" si="1104"/>
        <v>282.6699999999995</v>
      </c>
      <c r="AR1571" s="53"/>
      <c r="AS1571" s="29">
        <f t="shared" si="1094"/>
        <v>-2135318.4799999986</v>
      </c>
      <c r="AT1571" s="29">
        <f t="shared" si="1095"/>
        <v>0</v>
      </c>
      <c r="AU1571" s="29">
        <f t="shared" si="1096"/>
        <v>0</v>
      </c>
      <c r="AV1571" s="29">
        <f t="shared" si="1097"/>
        <v>0</v>
      </c>
      <c r="AW1571" s="29"/>
      <c r="AX1571" s="29">
        <f t="shared" si="1098"/>
        <v>-2135318.4799999986</v>
      </c>
      <c r="AY1571" s="29">
        <f t="shared" si="1091"/>
        <v>9300000</v>
      </c>
      <c r="AZ1571" s="29">
        <f t="shared" si="1092"/>
        <v>7164681.5200000014</v>
      </c>
    </row>
    <row r="1572" spans="2:52" x14ac:dyDescent="0.3">
      <c r="B1572" s="99">
        <f t="shared" si="1111"/>
        <v>46365</v>
      </c>
      <c r="C1572" s="44">
        <f t="shared" si="1079"/>
        <v>766908.08000000287</v>
      </c>
      <c r="D1572" s="38"/>
      <c r="E1572" s="38"/>
      <c r="F1572" s="38"/>
      <c r="G1572" s="45">
        <f t="shared" si="1080"/>
        <v>766908.08000000287</v>
      </c>
      <c r="H1572" s="44">
        <v>4300000</v>
      </c>
      <c r="I1572" s="46">
        <f t="shared" si="1081"/>
        <v>-2921513.5399999996</v>
      </c>
      <c r="J1572" s="38"/>
      <c r="K1572" s="38"/>
      <c r="L1572" s="38"/>
      <c r="M1572" s="47">
        <f t="shared" si="1082"/>
        <v>-2921513.5399999996</v>
      </c>
      <c r="N1572" s="46">
        <v>5000000</v>
      </c>
      <c r="O1572" s="48">
        <f t="shared" si="1083"/>
        <v>267.77999999932945</v>
      </c>
      <c r="P1572" s="38"/>
      <c r="Q1572" s="38"/>
      <c r="R1572" s="38"/>
      <c r="S1572" s="55">
        <f t="shared" si="1084"/>
        <v>267.77999999932945</v>
      </c>
      <c r="T1572" s="48"/>
      <c r="U1572" s="49">
        <f t="shared" si="1085"/>
        <v>58.409999999403965</v>
      </c>
      <c r="V1572" s="38"/>
      <c r="W1572" s="38"/>
      <c r="X1572" s="38"/>
      <c r="Y1572" s="51">
        <f t="shared" si="1086"/>
        <v>58.409999999403965</v>
      </c>
      <c r="Z1572" s="52"/>
      <c r="AA1572" s="53">
        <f t="shared" si="1087"/>
        <v>-7.6977357821306214E-10</v>
      </c>
      <c r="AB1572" s="38"/>
      <c r="AC1572" s="38"/>
      <c r="AD1572" s="38"/>
      <c r="AE1572" s="54">
        <f t="shared" si="1088"/>
        <v>-7.6977357821306214E-10</v>
      </c>
      <c r="AF1572" s="53"/>
      <c r="AG1572" s="53">
        <f t="shared" si="1089"/>
        <v>18678.120000000526</v>
      </c>
      <c r="AH1572" s="38"/>
      <c r="AI1572" s="38"/>
      <c r="AJ1572" s="38"/>
      <c r="AK1572" s="54">
        <f t="shared" si="1090"/>
        <v>18678.120000000526</v>
      </c>
      <c r="AL1572" s="53"/>
      <c r="AM1572" s="53">
        <f t="shared" si="1100"/>
        <v>282.6699999999995</v>
      </c>
      <c r="AN1572" s="38"/>
      <c r="AO1572" s="38"/>
      <c r="AP1572" s="38"/>
      <c r="AQ1572" s="54">
        <f t="shared" si="1104"/>
        <v>282.6699999999995</v>
      </c>
      <c r="AR1572" s="53"/>
      <c r="AS1572" s="29">
        <f t="shared" si="1094"/>
        <v>-2135318.4799999986</v>
      </c>
      <c r="AT1572" s="29">
        <f t="shared" si="1095"/>
        <v>0</v>
      </c>
      <c r="AU1572" s="29">
        <f t="shared" si="1096"/>
        <v>0</v>
      </c>
      <c r="AV1572" s="29">
        <f t="shared" si="1097"/>
        <v>0</v>
      </c>
      <c r="AW1572" s="29"/>
      <c r="AX1572" s="29">
        <f t="shared" si="1098"/>
        <v>-2135318.4799999986</v>
      </c>
      <c r="AY1572" s="29">
        <f t="shared" si="1091"/>
        <v>9300000</v>
      </c>
      <c r="AZ1572" s="29">
        <f t="shared" si="1092"/>
        <v>7164681.5200000014</v>
      </c>
    </row>
    <row r="1573" spans="2:52" x14ac:dyDescent="0.3">
      <c r="B1573" s="99">
        <f t="shared" si="1111"/>
        <v>46366</v>
      </c>
      <c r="C1573" s="44">
        <f t="shared" si="1079"/>
        <v>766908.08000000287</v>
      </c>
      <c r="D1573" s="38"/>
      <c r="E1573" s="38"/>
      <c r="F1573" s="38"/>
      <c r="G1573" s="45">
        <f t="shared" si="1080"/>
        <v>766908.08000000287</v>
      </c>
      <c r="H1573" s="44">
        <v>4300000</v>
      </c>
      <c r="I1573" s="46">
        <f t="shared" si="1081"/>
        <v>-2921513.5399999996</v>
      </c>
      <c r="J1573" s="38"/>
      <c r="K1573" s="38"/>
      <c r="L1573" s="38"/>
      <c r="M1573" s="47">
        <f t="shared" si="1082"/>
        <v>-2921513.5399999996</v>
      </c>
      <c r="N1573" s="46">
        <v>5000000</v>
      </c>
      <c r="O1573" s="48">
        <f t="shared" si="1083"/>
        <v>267.77999999932945</v>
      </c>
      <c r="P1573" s="38"/>
      <c r="Q1573" s="38"/>
      <c r="R1573" s="38"/>
      <c r="S1573" s="55">
        <f t="shared" si="1084"/>
        <v>267.77999999932945</v>
      </c>
      <c r="T1573" s="48"/>
      <c r="U1573" s="49">
        <f t="shared" si="1085"/>
        <v>58.409999999403965</v>
      </c>
      <c r="V1573" s="38"/>
      <c r="W1573" s="38"/>
      <c r="X1573" s="38"/>
      <c r="Y1573" s="51">
        <f t="shared" si="1086"/>
        <v>58.409999999403965</v>
      </c>
      <c r="Z1573" s="52"/>
      <c r="AA1573" s="53">
        <f t="shared" si="1087"/>
        <v>-7.6977357821306214E-10</v>
      </c>
      <c r="AB1573" s="38"/>
      <c r="AC1573" s="38"/>
      <c r="AD1573" s="38"/>
      <c r="AE1573" s="54">
        <f t="shared" si="1088"/>
        <v>-7.6977357821306214E-10</v>
      </c>
      <c r="AF1573" s="53"/>
      <c r="AG1573" s="53">
        <f t="shared" si="1089"/>
        <v>18678.120000000526</v>
      </c>
      <c r="AH1573" s="38"/>
      <c r="AI1573" s="38"/>
      <c r="AJ1573" s="38"/>
      <c r="AK1573" s="54">
        <f t="shared" si="1090"/>
        <v>18678.120000000526</v>
      </c>
      <c r="AL1573" s="53"/>
      <c r="AM1573" s="53">
        <f t="shared" si="1100"/>
        <v>282.6699999999995</v>
      </c>
      <c r="AN1573" s="38"/>
      <c r="AO1573" s="38"/>
      <c r="AP1573" s="38"/>
      <c r="AQ1573" s="54">
        <f t="shared" si="1104"/>
        <v>282.6699999999995</v>
      </c>
      <c r="AR1573" s="53"/>
      <c r="AS1573" s="29">
        <f t="shared" si="1094"/>
        <v>-2135318.4799999986</v>
      </c>
      <c r="AT1573" s="29">
        <f t="shared" si="1095"/>
        <v>0</v>
      </c>
      <c r="AU1573" s="29">
        <f t="shared" si="1096"/>
        <v>0</v>
      </c>
      <c r="AV1573" s="29">
        <f t="shared" si="1097"/>
        <v>0</v>
      </c>
      <c r="AW1573" s="29"/>
      <c r="AX1573" s="29">
        <f t="shared" si="1098"/>
        <v>-2135318.4799999986</v>
      </c>
      <c r="AY1573" s="29">
        <f t="shared" si="1091"/>
        <v>9300000</v>
      </c>
      <c r="AZ1573" s="29">
        <f t="shared" si="1092"/>
        <v>7164681.5200000014</v>
      </c>
    </row>
    <row r="1574" spans="2:52" x14ac:dyDescent="0.3">
      <c r="B1574" s="99">
        <f t="shared" si="1111"/>
        <v>46367</v>
      </c>
      <c r="C1574" s="44">
        <f t="shared" si="1079"/>
        <v>766908.08000000287</v>
      </c>
      <c r="D1574" s="38"/>
      <c r="E1574" s="38"/>
      <c r="F1574" s="38"/>
      <c r="G1574" s="45">
        <f t="shared" si="1080"/>
        <v>766908.08000000287</v>
      </c>
      <c r="H1574" s="44">
        <v>4300000</v>
      </c>
      <c r="I1574" s="46">
        <f t="shared" si="1081"/>
        <v>-2921513.5399999996</v>
      </c>
      <c r="J1574" s="38"/>
      <c r="K1574" s="38"/>
      <c r="L1574" s="38"/>
      <c r="M1574" s="47">
        <f t="shared" si="1082"/>
        <v>-2921513.5399999996</v>
      </c>
      <c r="N1574" s="46">
        <v>5000000</v>
      </c>
      <c r="O1574" s="48">
        <f t="shared" si="1083"/>
        <v>267.77999999932945</v>
      </c>
      <c r="P1574" s="38"/>
      <c r="Q1574" s="38"/>
      <c r="R1574" s="38"/>
      <c r="S1574" s="55">
        <f t="shared" si="1084"/>
        <v>267.77999999932945</v>
      </c>
      <c r="T1574" s="48"/>
      <c r="U1574" s="49">
        <f t="shared" si="1085"/>
        <v>58.409999999403965</v>
      </c>
      <c r="V1574" s="38"/>
      <c r="W1574" s="38"/>
      <c r="X1574" s="38"/>
      <c r="Y1574" s="51">
        <f t="shared" si="1086"/>
        <v>58.409999999403965</v>
      </c>
      <c r="Z1574" s="52"/>
      <c r="AA1574" s="53">
        <f t="shared" si="1087"/>
        <v>-7.6977357821306214E-10</v>
      </c>
      <c r="AB1574" s="38"/>
      <c r="AC1574" s="38"/>
      <c r="AD1574" s="38"/>
      <c r="AE1574" s="54">
        <f t="shared" si="1088"/>
        <v>-7.6977357821306214E-10</v>
      </c>
      <c r="AF1574" s="53"/>
      <c r="AG1574" s="53">
        <f t="shared" si="1089"/>
        <v>18678.120000000526</v>
      </c>
      <c r="AH1574" s="38"/>
      <c r="AI1574" s="38"/>
      <c r="AJ1574" s="38"/>
      <c r="AK1574" s="54">
        <f t="shared" si="1090"/>
        <v>18678.120000000526</v>
      </c>
      <c r="AL1574" s="53"/>
      <c r="AM1574" s="53">
        <f t="shared" si="1100"/>
        <v>282.6699999999995</v>
      </c>
      <c r="AN1574" s="38"/>
      <c r="AO1574" s="38"/>
      <c r="AP1574" s="38"/>
      <c r="AQ1574" s="54">
        <f t="shared" si="1104"/>
        <v>282.6699999999995</v>
      </c>
      <c r="AR1574" s="53"/>
      <c r="AS1574" s="29">
        <f t="shared" si="1094"/>
        <v>-2135318.4799999986</v>
      </c>
      <c r="AT1574" s="29">
        <f t="shared" si="1095"/>
        <v>0</v>
      </c>
      <c r="AU1574" s="29">
        <f t="shared" si="1096"/>
        <v>0</v>
      </c>
      <c r="AV1574" s="29">
        <f t="shared" si="1097"/>
        <v>0</v>
      </c>
      <c r="AW1574" s="29"/>
      <c r="AX1574" s="29">
        <f t="shared" si="1098"/>
        <v>-2135318.4799999986</v>
      </c>
      <c r="AY1574" s="29">
        <f t="shared" si="1091"/>
        <v>9300000</v>
      </c>
      <c r="AZ1574" s="29">
        <f t="shared" si="1092"/>
        <v>7164681.5200000014</v>
      </c>
    </row>
    <row r="1575" spans="2:52" x14ac:dyDescent="0.3">
      <c r="B1575" s="99">
        <f>B1574+3</f>
        <v>46370</v>
      </c>
      <c r="C1575" s="44">
        <f t="shared" si="1079"/>
        <v>766908.08000000287</v>
      </c>
      <c r="D1575" s="38"/>
      <c r="E1575" s="38"/>
      <c r="F1575" s="38"/>
      <c r="G1575" s="45">
        <f t="shared" si="1080"/>
        <v>766908.08000000287</v>
      </c>
      <c r="H1575" s="44">
        <v>4300000</v>
      </c>
      <c r="I1575" s="46">
        <f t="shared" si="1081"/>
        <v>-2921513.5399999996</v>
      </c>
      <c r="J1575" s="38"/>
      <c r="K1575" s="38"/>
      <c r="L1575" s="38"/>
      <c r="M1575" s="47">
        <f t="shared" si="1082"/>
        <v>-2921513.5399999996</v>
      </c>
      <c r="N1575" s="46">
        <v>5000000</v>
      </c>
      <c r="O1575" s="48">
        <f t="shared" si="1083"/>
        <v>267.77999999932945</v>
      </c>
      <c r="P1575" s="38"/>
      <c r="Q1575" s="38"/>
      <c r="R1575" s="38"/>
      <c r="S1575" s="55">
        <f t="shared" si="1084"/>
        <v>267.77999999932945</v>
      </c>
      <c r="T1575" s="48"/>
      <c r="U1575" s="49">
        <f t="shared" si="1085"/>
        <v>58.409999999403965</v>
      </c>
      <c r="V1575" s="38"/>
      <c r="W1575" s="38"/>
      <c r="X1575" s="38"/>
      <c r="Y1575" s="51">
        <f t="shared" si="1086"/>
        <v>58.409999999403965</v>
      </c>
      <c r="Z1575" s="52"/>
      <c r="AA1575" s="53">
        <f t="shared" si="1087"/>
        <v>-7.6977357821306214E-10</v>
      </c>
      <c r="AB1575" s="38"/>
      <c r="AC1575" s="38"/>
      <c r="AD1575" s="38"/>
      <c r="AE1575" s="54">
        <f t="shared" si="1088"/>
        <v>-7.6977357821306214E-10</v>
      </c>
      <c r="AF1575" s="53"/>
      <c r="AG1575" s="53">
        <f t="shared" si="1089"/>
        <v>18678.120000000526</v>
      </c>
      <c r="AH1575" s="38"/>
      <c r="AI1575" s="38"/>
      <c r="AJ1575" s="38"/>
      <c r="AK1575" s="54">
        <f t="shared" si="1090"/>
        <v>18678.120000000526</v>
      </c>
      <c r="AL1575" s="53"/>
      <c r="AM1575" s="53">
        <f t="shared" si="1100"/>
        <v>282.6699999999995</v>
      </c>
      <c r="AN1575" s="38"/>
      <c r="AO1575" s="38"/>
      <c r="AP1575" s="38"/>
      <c r="AQ1575" s="54">
        <f t="shared" si="1104"/>
        <v>282.6699999999995</v>
      </c>
      <c r="AR1575" s="53"/>
      <c r="AS1575" s="29">
        <f t="shared" si="1094"/>
        <v>-2135318.4799999986</v>
      </c>
      <c r="AT1575" s="29">
        <f t="shared" si="1095"/>
        <v>0</v>
      </c>
      <c r="AU1575" s="29">
        <f t="shared" si="1096"/>
        <v>0</v>
      </c>
      <c r="AV1575" s="29">
        <f t="shared" si="1097"/>
        <v>0</v>
      </c>
      <c r="AW1575" s="29"/>
      <c r="AX1575" s="29">
        <f t="shared" si="1098"/>
        <v>-2135318.4799999986</v>
      </c>
      <c r="AY1575" s="29">
        <f t="shared" si="1091"/>
        <v>9300000</v>
      </c>
      <c r="AZ1575" s="29">
        <f t="shared" si="1092"/>
        <v>7164681.5200000014</v>
      </c>
    </row>
    <row r="1576" spans="2:52" x14ac:dyDescent="0.3">
      <c r="B1576" s="99">
        <f t="shared" ref="B1576:B1579" si="1112">B1575+1</f>
        <v>46371</v>
      </c>
      <c r="C1576" s="44">
        <f t="shared" si="1079"/>
        <v>766908.08000000287</v>
      </c>
      <c r="D1576" s="38"/>
      <c r="E1576" s="38"/>
      <c r="F1576" s="38"/>
      <c r="G1576" s="45">
        <f t="shared" si="1080"/>
        <v>766908.08000000287</v>
      </c>
      <c r="H1576" s="44">
        <v>4300000</v>
      </c>
      <c r="I1576" s="46">
        <f t="shared" si="1081"/>
        <v>-2921513.5399999996</v>
      </c>
      <c r="J1576" s="38"/>
      <c r="K1576" s="38"/>
      <c r="L1576" s="38"/>
      <c r="M1576" s="47">
        <f t="shared" si="1082"/>
        <v>-2921513.5399999996</v>
      </c>
      <c r="N1576" s="46">
        <v>5000000</v>
      </c>
      <c r="O1576" s="48">
        <f t="shared" si="1083"/>
        <v>267.77999999932945</v>
      </c>
      <c r="P1576" s="38"/>
      <c r="Q1576" s="38"/>
      <c r="R1576" s="38"/>
      <c r="S1576" s="55">
        <f t="shared" si="1084"/>
        <v>267.77999999932945</v>
      </c>
      <c r="T1576" s="48"/>
      <c r="U1576" s="49">
        <f t="shared" si="1085"/>
        <v>58.409999999403965</v>
      </c>
      <c r="V1576" s="38"/>
      <c r="W1576" s="38"/>
      <c r="X1576" s="38"/>
      <c r="Y1576" s="51">
        <f t="shared" si="1086"/>
        <v>58.409999999403965</v>
      </c>
      <c r="Z1576" s="52"/>
      <c r="AA1576" s="53">
        <f t="shared" si="1087"/>
        <v>-7.6977357821306214E-10</v>
      </c>
      <c r="AB1576" s="38"/>
      <c r="AC1576" s="38"/>
      <c r="AD1576" s="38"/>
      <c r="AE1576" s="54">
        <f t="shared" si="1088"/>
        <v>-7.6977357821306214E-10</v>
      </c>
      <c r="AF1576" s="53"/>
      <c r="AG1576" s="53">
        <f t="shared" si="1089"/>
        <v>18678.120000000526</v>
      </c>
      <c r="AH1576" s="38"/>
      <c r="AI1576" s="38"/>
      <c r="AJ1576" s="38"/>
      <c r="AK1576" s="54">
        <f t="shared" si="1090"/>
        <v>18678.120000000526</v>
      </c>
      <c r="AL1576" s="53"/>
      <c r="AM1576" s="53">
        <f t="shared" si="1100"/>
        <v>282.6699999999995</v>
      </c>
      <c r="AN1576" s="38"/>
      <c r="AO1576" s="38"/>
      <c r="AP1576" s="38"/>
      <c r="AQ1576" s="54">
        <f t="shared" si="1104"/>
        <v>282.6699999999995</v>
      </c>
      <c r="AR1576" s="53"/>
      <c r="AS1576" s="29">
        <f t="shared" si="1094"/>
        <v>-2135318.4799999986</v>
      </c>
      <c r="AT1576" s="29">
        <f t="shared" si="1095"/>
        <v>0</v>
      </c>
      <c r="AU1576" s="29">
        <f t="shared" si="1096"/>
        <v>0</v>
      </c>
      <c r="AV1576" s="29">
        <f t="shared" si="1097"/>
        <v>0</v>
      </c>
      <c r="AW1576" s="29"/>
      <c r="AX1576" s="29">
        <f t="shared" si="1098"/>
        <v>-2135318.4799999986</v>
      </c>
      <c r="AY1576" s="29">
        <f t="shared" si="1091"/>
        <v>9300000</v>
      </c>
      <c r="AZ1576" s="29">
        <f t="shared" si="1092"/>
        <v>7164681.5200000014</v>
      </c>
    </row>
    <row r="1577" spans="2:52" x14ac:dyDescent="0.3">
      <c r="B1577" s="99">
        <f t="shared" si="1112"/>
        <v>46372</v>
      </c>
      <c r="C1577" s="44">
        <f t="shared" si="1079"/>
        <v>766908.08000000287</v>
      </c>
      <c r="D1577" s="38"/>
      <c r="E1577" s="38"/>
      <c r="F1577" s="38"/>
      <c r="G1577" s="45">
        <f t="shared" si="1080"/>
        <v>766908.08000000287</v>
      </c>
      <c r="H1577" s="44">
        <v>4300000</v>
      </c>
      <c r="I1577" s="46">
        <f t="shared" si="1081"/>
        <v>-2921513.5399999996</v>
      </c>
      <c r="J1577" s="38"/>
      <c r="K1577" s="38"/>
      <c r="L1577" s="38"/>
      <c r="M1577" s="47">
        <f t="shared" si="1082"/>
        <v>-2921513.5399999996</v>
      </c>
      <c r="N1577" s="46">
        <v>5000000</v>
      </c>
      <c r="O1577" s="48">
        <f t="shared" si="1083"/>
        <v>267.77999999932945</v>
      </c>
      <c r="P1577" s="38"/>
      <c r="Q1577" s="38"/>
      <c r="R1577" s="38"/>
      <c r="S1577" s="55">
        <f t="shared" si="1084"/>
        <v>267.77999999932945</v>
      </c>
      <c r="T1577" s="48"/>
      <c r="U1577" s="49">
        <f t="shared" si="1085"/>
        <v>58.409999999403965</v>
      </c>
      <c r="V1577" s="38"/>
      <c r="W1577" s="38"/>
      <c r="X1577" s="38"/>
      <c r="Y1577" s="51">
        <f t="shared" si="1086"/>
        <v>58.409999999403965</v>
      </c>
      <c r="Z1577" s="52"/>
      <c r="AA1577" s="53">
        <f t="shared" si="1087"/>
        <v>-7.6977357821306214E-10</v>
      </c>
      <c r="AB1577" s="38"/>
      <c r="AC1577" s="38"/>
      <c r="AD1577" s="38"/>
      <c r="AE1577" s="54">
        <f t="shared" si="1088"/>
        <v>-7.6977357821306214E-10</v>
      </c>
      <c r="AF1577" s="53"/>
      <c r="AG1577" s="53">
        <f t="shared" si="1089"/>
        <v>18678.120000000526</v>
      </c>
      <c r="AH1577" s="38"/>
      <c r="AI1577" s="38"/>
      <c r="AJ1577" s="38"/>
      <c r="AK1577" s="54">
        <f t="shared" si="1090"/>
        <v>18678.120000000526</v>
      </c>
      <c r="AL1577" s="53"/>
      <c r="AM1577" s="53">
        <f t="shared" si="1100"/>
        <v>282.6699999999995</v>
      </c>
      <c r="AN1577" s="38"/>
      <c r="AO1577" s="38"/>
      <c r="AP1577" s="38"/>
      <c r="AQ1577" s="54">
        <f t="shared" si="1104"/>
        <v>282.6699999999995</v>
      </c>
      <c r="AR1577" s="53"/>
      <c r="AS1577" s="29">
        <f t="shared" si="1094"/>
        <v>-2135318.4799999986</v>
      </c>
      <c r="AT1577" s="29">
        <f t="shared" si="1095"/>
        <v>0</v>
      </c>
      <c r="AU1577" s="29">
        <f t="shared" si="1096"/>
        <v>0</v>
      </c>
      <c r="AV1577" s="29">
        <f t="shared" si="1097"/>
        <v>0</v>
      </c>
      <c r="AW1577" s="29"/>
      <c r="AX1577" s="29">
        <f t="shared" si="1098"/>
        <v>-2135318.4799999986</v>
      </c>
      <c r="AY1577" s="29">
        <f t="shared" si="1091"/>
        <v>9300000</v>
      </c>
      <c r="AZ1577" s="29">
        <f t="shared" si="1092"/>
        <v>7164681.5200000014</v>
      </c>
    </row>
    <row r="1578" spans="2:52" x14ac:dyDescent="0.3">
      <c r="B1578" s="99">
        <f t="shared" si="1112"/>
        <v>46373</v>
      </c>
      <c r="C1578" s="44">
        <f t="shared" si="1079"/>
        <v>766908.08000000287</v>
      </c>
      <c r="D1578" s="38"/>
      <c r="E1578" s="38"/>
      <c r="F1578" s="38"/>
      <c r="G1578" s="45">
        <f t="shared" si="1080"/>
        <v>766908.08000000287</v>
      </c>
      <c r="H1578" s="44">
        <v>4300000</v>
      </c>
      <c r="I1578" s="46">
        <f t="shared" si="1081"/>
        <v>-2921513.5399999996</v>
      </c>
      <c r="J1578" s="38"/>
      <c r="K1578" s="38"/>
      <c r="L1578" s="38"/>
      <c r="M1578" s="47">
        <f t="shared" si="1082"/>
        <v>-2921513.5399999996</v>
      </c>
      <c r="N1578" s="46">
        <v>5000000</v>
      </c>
      <c r="O1578" s="48">
        <f t="shared" si="1083"/>
        <v>267.77999999932945</v>
      </c>
      <c r="P1578" s="38"/>
      <c r="Q1578" s="38"/>
      <c r="R1578" s="38"/>
      <c r="S1578" s="55">
        <f t="shared" si="1084"/>
        <v>267.77999999932945</v>
      </c>
      <c r="T1578" s="48"/>
      <c r="U1578" s="49">
        <f t="shared" si="1085"/>
        <v>58.409999999403965</v>
      </c>
      <c r="V1578" s="38"/>
      <c r="W1578" s="38"/>
      <c r="X1578" s="38"/>
      <c r="Y1578" s="51">
        <f t="shared" si="1086"/>
        <v>58.409999999403965</v>
      </c>
      <c r="Z1578" s="52"/>
      <c r="AA1578" s="53">
        <f t="shared" si="1087"/>
        <v>-7.6977357821306214E-10</v>
      </c>
      <c r="AB1578" s="38"/>
      <c r="AC1578" s="38"/>
      <c r="AD1578" s="38"/>
      <c r="AE1578" s="54">
        <f t="shared" si="1088"/>
        <v>-7.6977357821306214E-10</v>
      </c>
      <c r="AF1578" s="53"/>
      <c r="AG1578" s="53">
        <f t="shared" si="1089"/>
        <v>18678.120000000526</v>
      </c>
      <c r="AH1578" s="38"/>
      <c r="AI1578" s="38"/>
      <c r="AJ1578" s="38"/>
      <c r="AK1578" s="54">
        <f t="shared" si="1090"/>
        <v>18678.120000000526</v>
      </c>
      <c r="AL1578" s="53"/>
      <c r="AM1578" s="53">
        <f t="shared" si="1100"/>
        <v>282.6699999999995</v>
      </c>
      <c r="AN1578" s="38"/>
      <c r="AO1578" s="38"/>
      <c r="AP1578" s="38"/>
      <c r="AQ1578" s="54">
        <f t="shared" si="1104"/>
        <v>282.6699999999995</v>
      </c>
      <c r="AR1578" s="53"/>
      <c r="AS1578" s="29">
        <f t="shared" si="1094"/>
        <v>-2135318.4799999986</v>
      </c>
      <c r="AT1578" s="29">
        <f t="shared" si="1095"/>
        <v>0</v>
      </c>
      <c r="AU1578" s="29">
        <f t="shared" si="1096"/>
        <v>0</v>
      </c>
      <c r="AV1578" s="29">
        <f t="shared" si="1097"/>
        <v>0</v>
      </c>
      <c r="AW1578" s="29"/>
      <c r="AX1578" s="29">
        <f t="shared" si="1098"/>
        <v>-2135318.4799999986</v>
      </c>
      <c r="AY1578" s="29">
        <f t="shared" si="1091"/>
        <v>9300000</v>
      </c>
      <c r="AZ1578" s="29">
        <f t="shared" si="1092"/>
        <v>7164681.5200000014</v>
      </c>
    </row>
    <row r="1579" spans="2:52" x14ac:dyDescent="0.3">
      <c r="B1579" s="99">
        <f t="shared" si="1112"/>
        <v>46374</v>
      </c>
      <c r="C1579" s="44">
        <f t="shared" ref="C1579:C1634" si="1113">G1578</f>
        <v>766908.08000000287</v>
      </c>
      <c r="D1579" s="38"/>
      <c r="E1579" s="38"/>
      <c r="F1579" s="38"/>
      <c r="G1579" s="45">
        <f t="shared" ref="G1579:G1634" si="1114">SUM(C1579:F1579)</f>
        <v>766908.08000000287</v>
      </c>
      <c r="H1579" s="44">
        <v>4300000</v>
      </c>
      <c r="I1579" s="46">
        <f t="shared" ref="I1579:I1634" si="1115">M1578</f>
        <v>-2921513.5399999996</v>
      </c>
      <c r="J1579" s="38"/>
      <c r="K1579" s="38"/>
      <c r="L1579" s="38"/>
      <c r="M1579" s="47">
        <f t="shared" ref="M1579:M1634" si="1116">SUM(I1579:L1579)</f>
        <v>-2921513.5399999996</v>
      </c>
      <c r="N1579" s="46">
        <v>5000000</v>
      </c>
      <c r="O1579" s="48">
        <f t="shared" ref="O1579:O1634" si="1117">S1578</f>
        <v>267.77999999932945</v>
      </c>
      <c r="P1579" s="38"/>
      <c r="Q1579" s="38"/>
      <c r="R1579" s="38"/>
      <c r="S1579" s="55">
        <f t="shared" ref="S1579:S1634" si="1118">SUM(O1579:R1579)</f>
        <v>267.77999999932945</v>
      </c>
      <c r="T1579" s="48"/>
      <c r="U1579" s="49">
        <f t="shared" ref="U1579:U1634" si="1119">Y1578</f>
        <v>58.409999999403965</v>
      </c>
      <c r="V1579" s="38"/>
      <c r="W1579" s="38"/>
      <c r="X1579" s="38"/>
      <c r="Y1579" s="51">
        <f t="shared" ref="Y1579:Y1634" si="1120">SUM(U1579:X1579)</f>
        <v>58.409999999403965</v>
      </c>
      <c r="Z1579" s="52"/>
      <c r="AA1579" s="53">
        <f t="shared" ref="AA1579:AA1634" si="1121">AE1578</f>
        <v>-7.6977357821306214E-10</v>
      </c>
      <c r="AB1579" s="38"/>
      <c r="AC1579" s="38"/>
      <c r="AD1579" s="38"/>
      <c r="AE1579" s="54">
        <f t="shared" ref="AE1579:AE1634" si="1122">SUM(AA1579:AD1579)</f>
        <v>-7.6977357821306214E-10</v>
      </c>
      <c r="AF1579" s="53"/>
      <c r="AG1579" s="53">
        <f t="shared" ref="AG1579:AG1634" si="1123">AK1578</f>
        <v>18678.120000000526</v>
      </c>
      <c r="AH1579" s="38"/>
      <c r="AI1579" s="38"/>
      <c r="AJ1579" s="38"/>
      <c r="AK1579" s="54">
        <f t="shared" ref="AK1579:AK1634" si="1124">SUM(AG1579:AJ1579)</f>
        <v>18678.120000000526</v>
      </c>
      <c r="AL1579" s="53"/>
      <c r="AM1579" s="53">
        <f t="shared" si="1100"/>
        <v>282.6699999999995</v>
      </c>
      <c r="AN1579" s="38"/>
      <c r="AO1579" s="38"/>
      <c r="AP1579" s="38"/>
      <c r="AQ1579" s="54">
        <f t="shared" si="1104"/>
        <v>282.6699999999995</v>
      </c>
      <c r="AR1579" s="53"/>
      <c r="AS1579" s="29">
        <f t="shared" si="1094"/>
        <v>-2135318.4799999986</v>
      </c>
      <c r="AT1579" s="29">
        <f t="shared" si="1095"/>
        <v>0</v>
      </c>
      <c r="AU1579" s="29">
        <f t="shared" si="1096"/>
        <v>0</v>
      </c>
      <c r="AV1579" s="29">
        <f t="shared" si="1097"/>
        <v>0</v>
      </c>
      <c r="AW1579" s="29"/>
      <c r="AX1579" s="29">
        <f t="shared" si="1098"/>
        <v>-2135318.4799999986</v>
      </c>
      <c r="AY1579" s="29">
        <f t="shared" ref="AY1579:AY1634" si="1125">SUM(H1579,N1579,T1579,Z1579,AF1579,AL1579)</f>
        <v>9300000</v>
      </c>
      <c r="AZ1579" s="29">
        <f t="shared" ref="AZ1579:AZ1634" si="1126">AX1579+AY1579</f>
        <v>7164681.5200000014</v>
      </c>
    </row>
    <row r="1580" spans="2:52" x14ac:dyDescent="0.3">
      <c r="B1580" s="99">
        <f>B1579+3</f>
        <v>46377</v>
      </c>
      <c r="C1580" s="44">
        <f t="shared" si="1113"/>
        <v>766908.08000000287</v>
      </c>
      <c r="D1580" s="38"/>
      <c r="E1580" s="38"/>
      <c r="F1580" s="38"/>
      <c r="G1580" s="45">
        <f t="shared" si="1114"/>
        <v>766908.08000000287</v>
      </c>
      <c r="H1580" s="44">
        <v>4300000</v>
      </c>
      <c r="I1580" s="46">
        <f t="shared" si="1115"/>
        <v>-2921513.5399999996</v>
      </c>
      <c r="J1580" s="38"/>
      <c r="K1580" s="38"/>
      <c r="L1580" s="38"/>
      <c r="M1580" s="47">
        <f t="shared" si="1116"/>
        <v>-2921513.5399999996</v>
      </c>
      <c r="N1580" s="46">
        <v>5000000</v>
      </c>
      <c r="O1580" s="48">
        <f t="shared" si="1117"/>
        <v>267.77999999932945</v>
      </c>
      <c r="P1580" s="38"/>
      <c r="Q1580" s="38"/>
      <c r="R1580" s="38"/>
      <c r="S1580" s="55">
        <f t="shared" si="1118"/>
        <v>267.77999999932945</v>
      </c>
      <c r="T1580" s="48"/>
      <c r="U1580" s="49">
        <f t="shared" si="1119"/>
        <v>58.409999999403965</v>
      </c>
      <c r="V1580" s="38"/>
      <c r="W1580" s="38"/>
      <c r="X1580" s="38"/>
      <c r="Y1580" s="51">
        <f t="shared" si="1120"/>
        <v>58.409999999403965</v>
      </c>
      <c r="Z1580" s="52"/>
      <c r="AA1580" s="53">
        <f t="shared" si="1121"/>
        <v>-7.6977357821306214E-10</v>
      </c>
      <c r="AB1580" s="38"/>
      <c r="AC1580" s="38"/>
      <c r="AD1580" s="38"/>
      <c r="AE1580" s="54">
        <f t="shared" si="1122"/>
        <v>-7.6977357821306214E-10</v>
      </c>
      <c r="AF1580" s="53"/>
      <c r="AG1580" s="53">
        <f t="shared" si="1123"/>
        <v>18678.120000000526</v>
      </c>
      <c r="AH1580" s="38"/>
      <c r="AI1580" s="38"/>
      <c r="AJ1580" s="38"/>
      <c r="AK1580" s="54">
        <f t="shared" si="1124"/>
        <v>18678.120000000526</v>
      </c>
      <c r="AL1580" s="53"/>
      <c r="AM1580" s="53">
        <f t="shared" si="1100"/>
        <v>282.6699999999995</v>
      </c>
      <c r="AN1580" s="38"/>
      <c r="AO1580" s="38"/>
      <c r="AP1580" s="38"/>
      <c r="AQ1580" s="54">
        <f t="shared" si="1104"/>
        <v>282.6699999999995</v>
      </c>
      <c r="AR1580" s="53"/>
      <c r="AS1580" s="29">
        <f t="shared" si="1094"/>
        <v>-2135318.4799999986</v>
      </c>
      <c r="AT1580" s="29">
        <f t="shared" si="1095"/>
        <v>0</v>
      </c>
      <c r="AU1580" s="29">
        <f t="shared" si="1096"/>
        <v>0</v>
      </c>
      <c r="AV1580" s="29">
        <f t="shared" si="1097"/>
        <v>0</v>
      </c>
      <c r="AW1580" s="29"/>
      <c r="AX1580" s="29">
        <f t="shared" si="1098"/>
        <v>-2135318.4799999986</v>
      </c>
      <c r="AY1580" s="29">
        <f t="shared" si="1125"/>
        <v>9300000</v>
      </c>
      <c r="AZ1580" s="29">
        <f t="shared" si="1126"/>
        <v>7164681.5200000014</v>
      </c>
    </row>
    <row r="1581" spans="2:52" x14ac:dyDescent="0.3">
      <c r="B1581" s="99">
        <f t="shared" ref="B1581:B1584" si="1127">B1580+1</f>
        <v>46378</v>
      </c>
      <c r="C1581" s="44">
        <f t="shared" si="1113"/>
        <v>766908.08000000287</v>
      </c>
      <c r="D1581" s="38"/>
      <c r="E1581" s="38"/>
      <c r="F1581" s="38"/>
      <c r="G1581" s="45">
        <f t="shared" si="1114"/>
        <v>766908.08000000287</v>
      </c>
      <c r="H1581" s="44">
        <v>4300000</v>
      </c>
      <c r="I1581" s="46">
        <f t="shared" si="1115"/>
        <v>-2921513.5399999996</v>
      </c>
      <c r="J1581" s="38"/>
      <c r="K1581" s="38"/>
      <c r="L1581" s="38"/>
      <c r="M1581" s="47">
        <f t="shared" si="1116"/>
        <v>-2921513.5399999996</v>
      </c>
      <c r="N1581" s="46">
        <v>5000000</v>
      </c>
      <c r="O1581" s="48">
        <f t="shared" si="1117"/>
        <v>267.77999999932945</v>
      </c>
      <c r="P1581" s="38"/>
      <c r="Q1581" s="38"/>
      <c r="R1581" s="38"/>
      <c r="S1581" s="55">
        <f t="shared" si="1118"/>
        <v>267.77999999932945</v>
      </c>
      <c r="T1581" s="48"/>
      <c r="U1581" s="49">
        <f t="shared" si="1119"/>
        <v>58.409999999403965</v>
      </c>
      <c r="V1581" s="38"/>
      <c r="W1581" s="38"/>
      <c r="X1581" s="38"/>
      <c r="Y1581" s="51">
        <f t="shared" si="1120"/>
        <v>58.409999999403965</v>
      </c>
      <c r="Z1581" s="52"/>
      <c r="AA1581" s="53">
        <f t="shared" si="1121"/>
        <v>-7.6977357821306214E-10</v>
      </c>
      <c r="AB1581" s="38"/>
      <c r="AC1581" s="38"/>
      <c r="AD1581" s="38"/>
      <c r="AE1581" s="54">
        <f t="shared" si="1122"/>
        <v>-7.6977357821306214E-10</v>
      </c>
      <c r="AF1581" s="53"/>
      <c r="AG1581" s="53">
        <f t="shared" si="1123"/>
        <v>18678.120000000526</v>
      </c>
      <c r="AH1581" s="38"/>
      <c r="AI1581" s="38"/>
      <c r="AJ1581" s="38"/>
      <c r="AK1581" s="54">
        <f t="shared" si="1124"/>
        <v>18678.120000000526</v>
      </c>
      <c r="AL1581" s="53"/>
      <c r="AM1581" s="53">
        <f t="shared" si="1100"/>
        <v>282.6699999999995</v>
      </c>
      <c r="AN1581" s="38"/>
      <c r="AO1581" s="38"/>
      <c r="AP1581" s="38"/>
      <c r="AQ1581" s="54">
        <f t="shared" si="1104"/>
        <v>282.6699999999995</v>
      </c>
      <c r="AR1581" s="53"/>
      <c r="AS1581" s="29">
        <f t="shared" si="1094"/>
        <v>-2135318.4799999986</v>
      </c>
      <c r="AT1581" s="29">
        <f t="shared" si="1095"/>
        <v>0</v>
      </c>
      <c r="AU1581" s="29">
        <f t="shared" si="1096"/>
        <v>0</v>
      </c>
      <c r="AV1581" s="29">
        <f t="shared" si="1097"/>
        <v>0</v>
      </c>
      <c r="AW1581" s="29"/>
      <c r="AX1581" s="29">
        <f t="shared" si="1098"/>
        <v>-2135318.4799999986</v>
      </c>
      <c r="AY1581" s="29">
        <f t="shared" si="1125"/>
        <v>9300000</v>
      </c>
      <c r="AZ1581" s="29">
        <f t="shared" si="1126"/>
        <v>7164681.5200000014</v>
      </c>
    </row>
    <row r="1582" spans="2:52" x14ac:dyDescent="0.3">
      <c r="B1582" s="99">
        <f t="shared" si="1127"/>
        <v>46379</v>
      </c>
      <c r="C1582" s="44">
        <f t="shared" si="1113"/>
        <v>766908.08000000287</v>
      </c>
      <c r="D1582" s="38"/>
      <c r="E1582" s="38"/>
      <c r="F1582" s="38"/>
      <c r="G1582" s="45">
        <f t="shared" si="1114"/>
        <v>766908.08000000287</v>
      </c>
      <c r="H1582" s="44">
        <v>4300000</v>
      </c>
      <c r="I1582" s="46">
        <f t="shared" si="1115"/>
        <v>-2921513.5399999996</v>
      </c>
      <c r="J1582" s="38"/>
      <c r="K1582" s="38"/>
      <c r="L1582" s="38"/>
      <c r="M1582" s="47">
        <f t="shared" si="1116"/>
        <v>-2921513.5399999996</v>
      </c>
      <c r="N1582" s="46">
        <v>5000000</v>
      </c>
      <c r="O1582" s="48">
        <f t="shared" si="1117"/>
        <v>267.77999999932945</v>
      </c>
      <c r="P1582" s="38"/>
      <c r="Q1582" s="38"/>
      <c r="R1582" s="38"/>
      <c r="S1582" s="55">
        <f t="shared" si="1118"/>
        <v>267.77999999932945</v>
      </c>
      <c r="T1582" s="48"/>
      <c r="U1582" s="49">
        <f t="shared" si="1119"/>
        <v>58.409999999403965</v>
      </c>
      <c r="V1582" s="38"/>
      <c r="W1582" s="38"/>
      <c r="X1582" s="38"/>
      <c r="Y1582" s="51">
        <f t="shared" si="1120"/>
        <v>58.409999999403965</v>
      </c>
      <c r="Z1582" s="52"/>
      <c r="AA1582" s="53">
        <f t="shared" si="1121"/>
        <v>-7.6977357821306214E-10</v>
      </c>
      <c r="AB1582" s="38"/>
      <c r="AC1582" s="38"/>
      <c r="AD1582" s="38"/>
      <c r="AE1582" s="54">
        <f t="shared" si="1122"/>
        <v>-7.6977357821306214E-10</v>
      </c>
      <c r="AF1582" s="53"/>
      <c r="AG1582" s="53">
        <f t="shared" si="1123"/>
        <v>18678.120000000526</v>
      </c>
      <c r="AH1582" s="38"/>
      <c r="AI1582" s="38"/>
      <c r="AJ1582" s="38"/>
      <c r="AK1582" s="54">
        <f t="shared" si="1124"/>
        <v>18678.120000000526</v>
      </c>
      <c r="AL1582" s="53"/>
      <c r="AM1582" s="53">
        <f t="shared" si="1100"/>
        <v>282.6699999999995</v>
      </c>
      <c r="AN1582" s="38"/>
      <c r="AO1582" s="38"/>
      <c r="AP1582" s="38"/>
      <c r="AQ1582" s="54">
        <f t="shared" si="1104"/>
        <v>282.6699999999995</v>
      </c>
      <c r="AR1582" s="53"/>
      <c r="AS1582" s="29">
        <f t="shared" ref="AS1582:AS1634" si="1128">SUM(C1582,I1582,O1582,U1582,AA1582,AG1582,AM1582)</f>
        <v>-2135318.4799999986</v>
      </c>
      <c r="AT1582" s="29">
        <f t="shared" ref="AT1582:AT1634" si="1129">SUM(D1582,J1582,P1582,V1582,AB1582,AH1582,AN1582)</f>
        <v>0</v>
      </c>
      <c r="AU1582" s="29">
        <f t="shared" ref="AU1582:AU1634" si="1130">SUM(E1582,K1582,Q1582,W1582,AC1582,AI1582,AO1582)</f>
        <v>0</v>
      </c>
      <c r="AV1582" s="29">
        <f t="shared" ref="AV1582:AV1634" si="1131">SUM(F1582,L1582,R1582,X1582,AD1582,AJ1582,AP1582)</f>
        <v>0</v>
      </c>
      <c r="AW1582" s="29"/>
      <c r="AX1582" s="29">
        <f t="shared" ref="AX1582:AX1634" si="1132">SUM(G1582,M1582,S1582,Y1582,AE1582,AK1582,AQ1582)</f>
        <v>-2135318.4799999986</v>
      </c>
      <c r="AY1582" s="29">
        <f t="shared" si="1125"/>
        <v>9300000</v>
      </c>
      <c r="AZ1582" s="29">
        <f t="shared" si="1126"/>
        <v>7164681.5200000014</v>
      </c>
    </row>
    <row r="1583" spans="2:52" x14ac:dyDescent="0.3">
      <c r="B1583" s="99">
        <f t="shared" si="1127"/>
        <v>46380</v>
      </c>
      <c r="C1583" s="44">
        <f t="shared" si="1113"/>
        <v>766908.08000000287</v>
      </c>
      <c r="D1583" s="38"/>
      <c r="E1583" s="38"/>
      <c r="F1583" s="38"/>
      <c r="G1583" s="45">
        <f t="shared" si="1114"/>
        <v>766908.08000000287</v>
      </c>
      <c r="H1583" s="44">
        <v>4300000</v>
      </c>
      <c r="I1583" s="46">
        <f t="shared" si="1115"/>
        <v>-2921513.5399999996</v>
      </c>
      <c r="J1583" s="38"/>
      <c r="K1583" s="38"/>
      <c r="L1583" s="38"/>
      <c r="M1583" s="47">
        <f t="shared" si="1116"/>
        <v>-2921513.5399999996</v>
      </c>
      <c r="N1583" s="46">
        <v>5000000</v>
      </c>
      <c r="O1583" s="48">
        <f t="shared" si="1117"/>
        <v>267.77999999932945</v>
      </c>
      <c r="P1583" s="38"/>
      <c r="Q1583" s="38"/>
      <c r="R1583" s="38"/>
      <c r="S1583" s="55">
        <f t="shared" si="1118"/>
        <v>267.77999999932945</v>
      </c>
      <c r="T1583" s="48"/>
      <c r="U1583" s="49">
        <f t="shared" si="1119"/>
        <v>58.409999999403965</v>
      </c>
      <c r="V1583" s="38"/>
      <c r="W1583" s="38"/>
      <c r="X1583" s="38"/>
      <c r="Y1583" s="51">
        <f t="shared" si="1120"/>
        <v>58.409999999403965</v>
      </c>
      <c r="Z1583" s="52"/>
      <c r="AA1583" s="53">
        <f t="shared" si="1121"/>
        <v>-7.6977357821306214E-10</v>
      </c>
      <c r="AB1583" s="38"/>
      <c r="AC1583" s="38"/>
      <c r="AD1583" s="38"/>
      <c r="AE1583" s="54">
        <f t="shared" si="1122"/>
        <v>-7.6977357821306214E-10</v>
      </c>
      <c r="AF1583" s="53"/>
      <c r="AG1583" s="53">
        <f t="shared" si="1123"/>
        <v>18678.120000000526</v>
      </c>
      <c r="AH1583" s="38"/>
      <c r="AI1583" s="38"/>
      <c r="AJ1583" s="38"/>
      <c r="AK1583" s="54">
        <f t="shared" si="1124"/>
        <v>18678.120000000526</v>
      </c>
      <c r="AL1583" s="53"/>
      <c r="AM1583" s="53">
        <f t="shared" si="1100"/>
        <v>282.6699999999995</v>
      </c>
      <c r="AN1583" s="38"/>
      <c r="AO1583" s="38"/>
      <c r="AP1583" s="38"/>
      <c r="AQ1583" s="54">
        <f t="shared" si="1104"/>
        <v>282.6699999999995</v>
      </c>
      <c r="AR1583" s="53"/>
      <c r="AS1583" s="29">
        <f t="shared" si="1128"/>
        <v>-2135318.4799999986</v>
      </c>
      <c r="AT1583" s="29">
        <f t="shared" si="1129"/>
        <v>0</v>
      </c>
      <c r="AU1583" s="29">
        <f t="shared" si="1130"/>
        <v>0</v>
      </c>
      <c r="AV1583" s="29">
        <f t="shared" si="1131"/>
        <v>0</v>
      </c>
      <c r="AW1583" s="29"/>
      <c r="AX1583" s="29">
        <f t="shared" si="1132"/>
        <v>-2135318.4799999986</v>
      </c>
      <c r="AY1583" s="29">
        <f t="shared" si="1125"/>
        <v>9300000</v>
      </c>
      <c r="AZ1583" s="29">
        <f t="shared" si="1126"/>
        <v>7164681.5200000014</v>
      </c>
    </row>
    <row r="1584" spans="2:52" x14ac:dyDescent="0.3">
      <c r="B1584" s="99">
        <f t="shared" si="1127"/>
        <v>46381</v>
      </c>
      <c r="C1584" s="44">
        <f t="shared" si="1113"/>
        <v>766908.08000000287</v>
      </c>
      <c r="D1584" s="38"/>
      <c r="E1584" s="38"/>
      <c r="F1584" s="38"/>
      <c r="G1584" s="45">
        <f t="shared" si="1114"/>
        <v>766908.08000000287</v>
      </c>
      <c r="H1584" s="44">
        <v>4300000</v>
      </c>
      <c r="I1584" s="46">
        <f t="shared" si="1115"/>
        <v>-2921513.5399999996</v>
      </c>
      <c r="J1584" s="38"/>
      <c r="K1584" s="38"/>
      <c r="L1584" s="38"/>
      <c r="M1584" s="47">
        <f t="shared" si="1116"/>
        <v>-2921513.5399999996</v>
      </c>
      <c r="N1584" s="46">
        <v>5000000</v>
      </c>
      <c r="O1584" s="48">
        <f t="shared" si="1117"/>
        <v>267.77999999932945</v>
      </c>
      <c r="P1584" s="38"/>
      <c r="Q1584" s="38"/>
      <c r="R1584" s="38"/>
      <c r="S1584" s="55">
        <f t="shared" si="1118"/>
        <v>267.77999999932945</v>
      </c>
      <c r="T1584" s="48"/>
      <c r="U1584" s="49">
        <f t="shared" si="1119"/>
        <v>58.409999999403965</v>
      </c>
      <c r="V1584" s="38"/>
      <c r="W1584" s="38"/>
      <c r="X1584" s="38"/>
      <c r="Y1584" s="51">
        <f t="shared" si="1120"/>
        <v>58.409999999403965</v>
      </c>
      <c r="Z1584" s="52"/>
      <c r="AA1584" s="53">
        <f t="shared" si="1121"/>
        <v>-7.6977357821306214E-10</v>
      </c>
      <c r="AB1584" s="38"/>
      <c r="AC1584" s="38"/>
      <c r="AD1584" s="38"/>
      <c r="AE1584" s="54">
        <f t="shared" si="1122"/>
        <v>-7.6977357821306214E-10</v>
      </c>
      <c r="AF1584" s="53"/>
      <c r="AG1584" s="53">
        <f t="shared" si="1123"/>
        <v>18678.120000000526</v>
      </c>
      <c r="AH1584" s="38"/>
      <c r="AI1584" s="38"/>
      <c r="AJ1584" s="38"/>
      <c r="AK1584" s="54">
        <f t="shared" si="1124"/>
        <v>18678.120000000526</v>
      </c>
      <c r="AL1584" s="53"/>
      <c r="AM1584" s="53">
        <f t="shared" si="1100"/>
        <v>282.6699999999995</v>
      </c>
      <c r="AN1584" s="38"/>
      <c r="AO1584" s="38"/>
      <c r="AP1584" s="38"/>
      <c r="AQ1584" s="54">
        <f t="shared" si="1104"/>
        <v>282.6699999999995</v>
      </c>
      <c r="AR1584" s="53"/>
      <c r="AS1584" s="29">
        <f t="shared" si="1128"/>
        <v>-2135318.4799999986</v>
      </c>
      <c r="AT1584" s="29">
        <f t="shared" si="1129"/>
        <v>0</v>
      </c>
      <c r="AU1584" s="29">
        <f t="shared" si="1130"/>
        <v>0</v>
      </c>
      <c r="AV1584" s="29">
        <f t="shared" si="1131"/>
        <v>0</v>
      </c>
      <c r="AW1584" s="29"/>
      <c r="AX1584" s="29">
        <f t="shared" si="1132"/>
        <v>-2135318.4799999986</v>
      </c>
      <c r="AY1584" s="29">
        <f t="shared" si="1125"/>
        <v>9300000</v>
      </c>
      <c r="AZ1584" s="29">
        <f t="shared" si="1126"/>
        <v>7164681.5200000014</v>
      </c>
    </row>
    <row r="1585" spans="2:52" x14ac:dyDescent="0.3">
      <c r="B1585" s="99">
        <f>B1584+3</f>
        <v>46384</v>
      </c>
      <c r="C1585" s="44">
        <f t="shared" si="1113"/>
        <v>766908.08000000287</v>
      </c>
      <c r="D1585" s="38"/>
      <c r="E1585" s="38"/>
      <c r="F1585" s="38"/>
      <c r="G1585" s="45">
        <f t="shared" si="1114"/>
        <v>766908.08000000287</v>
      </c>
      <c r="H1585" s="44">
        <v>4300000</v>
      </c>
      <c r="I1585" s="46">
        <f t="shared" si="1115"/>
        <v>-2921513.5399999996</v>
      </c>
      <c r="J1585" s="38"/>
      <c r="K1585" s="38"/>
      <c r="L1585" s="38"/>
      <c r="M1585" s="47">
        <f t="shared" si="1116"/>
        <v>-2921513.5399999996</v>
      </c>
      <c r="N1585" s="46">
        <v>5000000</v>
      </c>
      <c r="O1585" s="48">
        <f t="shared" si="1117"/>
        <v>267.77999999932945</v>
      </c>
      <c r="P1585" s="38"/>
      <c r="Q1585" s="38"/>
      <c r="R1585" s="38"/>
      <c r="S1585" s="55">
        <f t="shared" si="1118"/>
        <v>267.77999999932945</v>
      </c>
      <c r="T1585" s="48"/>
      <c r="U1585" s="49">
        <f t="shared" si="1119"/>
        <v>58.409999999403965</v>
      </c>
      <c r="V1585" s="38"/>
      <c r="W1585" s="38"/>
      <c r="X1585" s="38"/>
      <c r="Y1585" s="51">
        <f t="shared" si="1120"/>
        <v>58.409999999403965</v>
      </c>
      <c r="Z1585" s="52"/>
      <c r="AA1585" s="53">
        <f t="shared" si="1121"/>
        <v>-7.6977357821306214E-10</v>
      </c>
      <c r="AB1585" s="38"/>
      <c r="AC1585" s="38"/>
      <c r="AD1585" s="38"/>
      <c r="AE1585" s="54">
        <f t="shared" si="1122"/>
        <v>-7.6977357821306214E-10</v>
      </c>
      <c r="AF1585" s="53"/>
      <c r="AG1585" s="53">
        <f t="shared" si="1123"/>
        <v>18678.120000000526</v>
      </c>
      <c r="AH1585" s="38"/>
      <c r="AI1585" s="38"/>
      <c r="AJ1585" s="38"/>
      <c r="AK1585" s="54">
        <f t="shared" si="1124"/>
        <v>18678.120000000526</v>
      </c>
      <c r="AL1585" s="53"/>
      <c r="AM1585" s="53">
        <f t="shared" si="1100"/>
        <v>282.6699999999995</v>
      </c>
      <c r="AN1585" s="38"/>
      <c r="AO1585" s="38"/>
      <c r="AP1585" s="38"/>
      <c r="AQ1585" s="54">
        <f t="shared" si="1104"/>
        <v>282.6699999999995</v>
      </c>
      <c r="AR1585" s="53"/>
      <c r="AS1585" s="29">
        <f t="shared" si="1128"/>
        <v>-2135318.4799999986</v>
      </c>
      <c r="AT1585" s="29">
        <f t="shared" si="1129"/>
        <v>0</v>
      </c>
      <c r="AU1585" s="29">
        <f t="shared" si="1130"/>
        <v>0</v>
      </c>
      <c r="AV1585" s="29">
        <f t="shared" si="1131"/>
        <v>0</v>
      </c>
      <c r="AW1585" s="29"/>
      <c r="AX1585" s="29">
        <f t="shared" si="1132"/>
        <v>-2135318.4799999986</v>
      </c>
      <c r="AY1585" s="29">
        <f t="shared" si="1125"/>
        <v>9300000</v>
      </c>
      <c r="AZ1585" s="29">
        <f t="shared" si="1126"/>
        <v>7164681.5200000014</v>
      </c>
    </row>
    <row r="1586" spans="2:52" x14ac:dyDescent="0.3">
      <c r="B1586" s="99">
        <f t="shared" ref="B1586:B1589" si="1133">B1585+1</f>
        <v>46385</v>
      </c>
      <c r="C1586" s="44">
        <f t="shared" si="1113"/>
        <v>766908.08000000287</v>
      </c>
      <c r="D1586" s="38"/>
      <c r="E1586" s="38"/>
      <c r="F1586" s="38"/>
      <c r="G1586" s="45">
        <f t="shared" si="1114"/>
        <v>766908.08000000287</v>
      </c>
      <c r="H1586" s="44">
        <v>4300000</v>
      </c>
      <c r="I1586" s="46">
        <f t="shared" si="1115"/>
        <v>-2921513.5399999996</v>
      </c>
      <c r="J1586" s="38"/>
      <c r="K1586" s="38"/>
      <c r="L1586" s="38"/>
      <c r="M1586" s="47">
        <f t="shared" si="1116"/>
        <v>-2921513.5399999996</v>
      </c>
      <c r="N1586" s="46">
        <v>5000000</v>
      </c>
      <c r="O1586" s="48">
        <f t="shared" si="1117"/>
        <v>267.77999999932945</v>
      </c>
      <c r="P1586" s="38"/>
      <c r="Q1586" s="38"/>
      <c r="R1586" s="38"/>
      <c r="S1586" s="55">
        <f t="shared" si="1118"/>
        <v>267.77999999932945</v>
      </c>
      <c r="T1586" s="48"/>
      <c r="U1586" s="49">
        <f t="shared" si="1119"/>
        <v>58.409999999403965</v>
      </c>
      <c r="V1586" s="38"/>
      <c r="W1586" s="38"/>
      <c r="X1586" s="38"/>
      <c r="Y1586" s="51">
        <f t="shared" si="1120"/>
        <v>58.409999999403965</v>
      </c>
      <c r="Z1586" s="52"/>
      <c r="AA1586" s="53">
        <f t="shared" si="1121"/>
        <v>-7.6977357821306214E-10</v>
      </c>
      <c r="AB1586" s="38"/>
      <c r="AC1586" s="38"/>
      <c r="AD1586" s="38"/>
      <c r="AE1586" s="54">
        <f t="shared" si="1122"/>
        <v>-7.6977357821306214E-10</v>
      </c>
      <c r="AF1586" s="53"/>
      <c r="AG1586" s="53">
        <f t="shared" si="1123"/>
        <v>18678.120000000526</v>
      </c>
      <c r="AH1586" s="38"/>
      <c r="AI1586" s="38"/>
      <c r="AJ1586" s="38"/>
      <c r="AK1586" s="54">
        <f t="shared" si="1124"/>
        <v>18678.120000000526</v>
      </c>
      <c r="AL1586" s="53"/>
      <c r="AM1586" s="53">
        <f t="shared" si="1100"/>
        <v>282.6699999999995</v>
      </c>
      <c r="AN1586" s="38"/>
      <c r="AO1586" s="38"/>
      <c r="AP1586" s="38"/>
      <c r="AQ1586" s="54">
        <f t="shared" si="1104"/>
        <v>282.6699999999995</v>
      </c>
      <c r="AR1586" s="53"/>
      <c r="AS1586" s="29">
        <f t="shared" si="1128"/>
        <v>-2135318.4799999986</v>
      </c>
      <c r="AT1586" s="29">
        <f t="shared" si="1129"/>
        <v>0</v>
      </c>
      <c r="AU1586" s="29">
        <f t="shared" si="1130"/>
        <v>0</v>
      </c>
      <c r="AV1586" s="29">
        <f t="shared" si="1131"/>
        <v>0</v>
      </c>
      <c r="AW1586" s="29"/>
      <c r="AX1586" s="29">
        <f t="shared" si="1132"/>
        <v>-2135318.4799999986</v>
      </c>
      <c r="AY1586" s="29">
        <f t="shared" si="1125"/>
        <v>9300000</v>
      </c>
      <c r="AZ1586" s="29">
        <f t="shared" si="1126"/>
        <v>7164681.5200000014</v>
      </c>
    </row>
    <row r="1587" spans="2:52" x14ac:dyDescent="0.3">
      <c r="B1587" s="99">
        <f t="shared" si="1133"/>
        <v>46386</v>
      </c>
      <c r="C1587" s="44">
        <f t="shared" si="1113"/>
        <v>766908.08000000287</v>
      </c>
      <c r="D1587" s="38"/>
      <c r="E1587" s="38"/>
      <c r="F1587" s="38"/>
      <c r="G1587" s="45">
        <f t="shared" si="1114"/>
        <v>766908.08000000287</v>
      </c>
      <c r="H1587" s="44">
        <v>4300000</v>
      </c>
      <c r="I1587" s="46">
        <f t="shared" si="1115"/>
        <v>-2921513.5399999996</v>
      </c>
      <c r="J1587" s="38"/>
      <c r="K1587" s="38"/>
      <c r="L1587" s="38"/>
      <c r="M1587" s="47">
        <f t="shared" si="1116"/>
        <v>-2921513.5399999996</v>
      </c>
      <c r="N1587" s="46">
        <v>5000000</v>
      </c>
      <c r="O1587" s="48">
        <f t="shared" si="1117"/>
        <v>267.77999999932945</v>
      </c>
      <c r="P1587" s="38"/>
      <c r="Q1587" s="38"/>
      <c r="R1587" s="38"/>
      <c r="S1587" s="55">
        <f t="shared" si="1118"/>
        <v>267.77999999932945</v>
      </c>
      <c r="T1587" s="48"/>
      <c r="U1587" s="49">
        <f t="shared" si="1119"/>
        <v>58.409999999403965</v>
      </c>
      <c r="V1587" s="38"/>
      <c r="W1587" s="38"/>
      <c r="X1587" s="38"/>
      <c r="Y1587" s="51">
        <f t="shared" si="1120"/>
        <v>58.409999999403965</v>
      </c>
      <c r="Z1587" s="52"/>
      <c r="AA1587" s="53">
        <f t="shared" si="1121"/>
        <v>-7.6977357821306214E-10</v>
      </c>
      <c r="AB1587" s="38"/>
      <c r="AC1587" s="38"/>
      <c r="AD1587" s="38"/>
      <c r="AE1587" s="54">
        <f t="shared" si="1122"/>
        <v>-7.6977357821306214E-10</v>
      </c>
      <c r="AF1587" s="53"/>
      <c r="AG1587" s="53">
        <f t="shared" si="1123"/>
        <v>18678.120000000526</v>
      </c>
      <c r="AH1587" s="38"/>
      <c r="AI1587" s="38"/>
      <c r="AJ1587" s="38"/>
      <c r="AK1587" s="54">
        <f t="shared" si="1124"/>
        <v>18678.120000000526</v>
      </c>
      <c r="AL1587" s="53"/>
      <c r="AM1587" s="53">
        <f t="shared" si="1100"/>
        <v>282.6699999999995</v>
      </c>
      <c r="AN1587" s="38"/>
      <c r="AO1587" s="38"/>
      <c r="AP1587" s="38"/>
      <c r="AQ1587" s="54">
        <f t="shared" si="1104"/>
        <v>282.6699999999995</v>
      </c>
      <c r="AR1587" s="53"/>
      <c r="AS1587" s="29">
        <f t="shared" si="1128"/>
        <v>-2135318.4799999986</v>
      </c>
      <c r="AT1587" s="29">
        <f t="shared" si="1129"/>
        <v>0</v>
      </c>
      <c r="AU1587" s="29">
        <f t="shared" si="1130"/>
        <v>0</v>
      </c>
      <c r="AV1587" s="29">
        <f t="shared" si="1131"/>
        <v>0</v>
      </c>
      <c r="AW1587" s="29"/>
      <c r="AX1587" s="29">
        <f t="shared" si="1132"/>
        <v>-2135318.4799999986</v>
      </c>
      <c r="AY1587" s="29">
        <f t="shared" si="1125"/>
        <v>9300000</v>
      </c>
      <c r="AZ1587" s="29">
        <f t="shared" si="1126"/>
        <v>7164681.5200000014</v>
      </c>
    </row>
    <row r="1588" spans="2:52" x14ac:dyDescent="0.3">
      <c r="B1588" s="99">
        <f t="shared" si="1133"/>
        <v>46387</v>
      </c>
      <c r="C1588" s="44">
        <f t="shared" si="1113"/>
        <v>766908.08000000287</v>
      </c>
      <c r="D1588" s="38"/>
      <c r="E1588" s="38"/>
      <c r="F1588" s="38"/>
      <c r="G1588" s="45">
        <f t="shared" si="1114"/>
        <v>766908.08000000287</v>
      </c>
      <c r="H1588" s="44">
        <v>4300000</v>
      </c>
      <c r="I1588" s="46">
        <f t="shared" si="1115"/>
        <v>-2921513.5399999996</v>
      </c>
      <c r="J1588" s="38"/>
      <c r="K1588" s="38"/>
      <c r="L1588" s="38"/>
      <c r="M1588" s="47">
        <f t="shared" si="1116"/>
        <v>-2921513.5399999996</v>
      </c>
      <c r="N1588" s="46">
        <v>5000000</v>
      </c>
      <c r="O1588" s="48">
        <f t="shared" si="1117"/>
        <v>267.77999999932945</v>
      </c>
      <c r="P1588" s="38"/>
      <c r="Q1588" s="38"/>
      <c r="R1588" s="38"/>
      <c r="S1588" s="55">
        <f t="shared" si="1118"/>
        <v>267.77999999932945</v>
      </c>
      <c r="T1588" s="48"/>
      <c r="U1588" s="49">
        <f t="shared" si="1119"/>
        <v>58.409999999403965</v>
      </c>
      <c r="V1588" s="38"/>
      <c r="W1588" s="38"/>
      <c r="X1588" s="38"/>
      <c r="Y1588" s="51">
        <f t="shared" si="1120"/>
        <v>58.409999999403965</v>
      </c>
      <c r="Z1588" s="52"/>
      <c r="AA1588" s="53">
        <f t="shared" si="1121"/>
        <v>-7.6977357821306214E-10</v>
      </c>
      <c r="AB1588" s="38"/>
      <c r="AC1588" s="38"/>
      <c r="AD1588" s="38"/>
      <c r="AE1588" s="54">
        <f t="shared" si="1122"/>
        <v>-7.6977357821306214E-10</v>
      </c>
      <c r="AF1588" s="53"/>
      <c r="AG1588" s="53">
        <f t="shared" si="1123"/>
        <v>18678.120000000526</v>
      </c>
      <c r="AH1588" s="38"/>
      <c r="AI1588" s="38"/>
      <c r="AJ1588" s="38"/>
      <c r="AK1588" s="54">
        <f t="shared" si="1124"/>
        <v>18678.120000000526</v>
      </c>
      <c r="AL1588" s="53"/>
      <c r="AM1588" s="53">
        <f t="shared" si="1100"/>
        <v>282.6699999999995</v>
      </c>
      <c r="AN1588" s="38"/>
      <c r="AO1588" s="38"/>
      <c r="AP1588" s="38"/>
      <c r="AQ1588" s="54">
        <f t="shared" si="1104"/>
        <v>282.6699999999995</v>
      </c>
      <c r="AR1588" s="53"/>
      <c r="AS1588" s="29">
        <f t="shared" si="1128"/>
        <v>-2135318.4799999986</v>
      </c>
      <c r="AT1588" s="29">
        <f t="shared" si="1129"/>
        <v>0</v>
      </c>
      <c r="AU1588" s="29">
        <f t="shared" si="1130"/>
        <v>0</v>
      </c>
      <c r="AV1588" s="29">
        <f t="shared" si="1131"/>
        <v>0</v>
      </c>
      <c r="AW1588" s="29"/>
      <c r="AX1588" s="29">
        <f t="shared" si="1132"/>
        <v>-2135318.4799999986</v>
      </c>
      <c r="AY1588" s="29">
        <f t="shared" si="1125"/>
        <v>9300000</v>
      </c>
      <c r="AZ1588" s="29">
        <f t="shared" si="1126"/>
        <v>7164681.5200000014</v>
      </c>
    </row>
    <row r="1589" spans="2:52" x14ac:dyDescent="0.3">
      <c r="B1589" s="99">
        <f t="shared" si="1133"/>
        <v>46388</v>
      </c>
      <c r="C1589" s="44">
        <f t="shared" si="1113"/>
        <v>766908.08000000287</v>
      </c>
      <c r="D1589" s="38"/>
      <c r="E1589" s="38"/>
      <c r="F1589" s="38"/>
      <c r="G1589" s="45">
        <f t="shared" si="1114"/>
        <v>766908.08000000287</v>
      </c>
      <c r="H1589" s="44">
        <v>4300000</v>
      </c>
      <c r="I1589" s="46">
        <f t="shared" si="1115"/>
        <v>-2921513.5399999996</v>
      </c>
      <c r="J1589" s="38"/>
      <c r="K1589" s="38"/>
      <c r="L1589" s="38"/>
      <c r="M1589" s="47">
        <f t="shared" si="1116"/>
        <v>-2921513.5399999996</v>
      </c>
      <c r="N1589" s="46">
        <v>5000000</v>
      </c>
      <c r="O1589" s="48">
        <f t="shared" si="1117"/>
        <v>267.77999999932945</v>
      </c>
      <c r="P1589" s="38"/>
      <c r="Q1589" s="38"/>
      <c r="R1589" s="38"/>
      <c r="S1589" s="55">
        <f t="shared" si="1118"/>
        <v>267.77999999932945</v>
      </c>
      <c r="T1589" s="48"/>
      <c r="U1589" s="49">
        <f t="shared" si="1119"/>
        <v>58.409999999403965</v>
      </c>
      <c r="V1589" s="38"/>
      <c r="W1589" s="38"/>
      <c r="X1589" s="38"/>
      <c r="Y1589" s="51">
        <f t="shared" si="1120"/>
        <v>58.409999999403965</v>
      </c>
      <c r="Z1589" s="52"/>
      <c r="AA1589" s="53">
        <f t="shared" si="1121"/>
        <v>-7.6977357821306214E-10</v>
      </c>
      <c r="AB1589" s="38"/>
      <c r="AC1589" s="38"/>
      <c r="AD1589" s="38"/>
      <c r="AE1589" s="54">
        <f t="shared" si="1122"/>
        <v>-7.6977357821306214E-10</v>
      </c>
      <c r="AF1589" s="53"/>
      <c r="AG1589" s="53">
        <f t="shared" si="1123"/>
        <v>18678.120000000526</v>
      </c>
      <c r="AH1589" s="38"/>
      <c r="AI1589" s="38"/>
      <c r="AJ1589" s="38"/>
      <c r="AK1589" s="54">
        <f t="shared" si="1124"/>
        <v>18678.120000000526</v>
      </c>
      <c r="AL1589" s="53"/>
      <c r="AM1589" s="53">
        <f t="shared" ref="AM1589:AM1634" si="1134">AQ1588</f>
        <v>282.6699999999995</v>
      </c>
      <c r="AN1589" s="38"/>
      <c r="AO1589" s="38"/>
      <c r="AP1589" s="38"/>
      <c r="AQ1589" s="54">
        <f t="shared" si="1104"/>
        <v>282.6699999999995</v>
      </c>
      <c r="AR1589" s="53"/>
      <c r="AS1589" s="29">
        <f t="shared" si="1128"/>
        <v>-2135318.4799999986</v>
      </c>
      <c r="AT1589" s="29">
        <f t="shared" si="1129"/>
        <v>0</v>
      </c>
      <c r="AU1589" s="29">
        <f t="shared" si="1130"/>
        <v>0</v>
      </c>
      <c r="AV1589" s="29">
        <f t="shared" si="1131"/>
        <v>0</v>
      </c>
      <c r="AW1589" s="29"/>
      <c r="AX1589" s="29">
        <f t="shared" si="1132"/>
        <v>-2135318.4799999986</v>
      </c>
      <c r="AY1589" s="29">
        <f t="shared" si="1125"/>
        <v>9300000</v>
      </c>
      <c r="AZ1589" s="29">
        <f t="shared" si="1126"/>
        <v>7164681.5200000014</v>
      </c>
    </row>
    <row r="1590" spans="2:52" x14ac:dyDescent="0.3">
      <c r="B1590" s="99">
        <f>B1589+3</f>
        <v>46391</v>
      </c>
      <c r="C1590" s="44">
        <f t="shared" si="1113"/>
        <v>766908.08000000287</v>
      </c>
      <c r="D1590" s="38"/>
      <c r="E1590" s="38"/>
      <c r="F1590" s="38"/>
      <c r="G1590" s="45">
        <f t="shared" si="1114"/>
        <v>766908.08000000287</v>
      </c>
      <c r="H1590" s="44">
        <v>4300000</v>
      </c>
      <c r="I1590" s="46">
        <f t="shared" si="1115"/>
        <v>-2921513.5399999996</v>
      </c>
      <c r="J1590" s="38"/>
      <c r="K1590" s="38"/>
      <c r="L1590" s="38"/>
      <c r="M1590" s="47">
        <f t="shared" si="1116"/>
        <v>-2921513.5399999996</v>
      </c>
      <c r="N1590" s="46">
        <v>5000000</v>
      </c>
      <c r="O1590" s="48">
        <f t="shared" si="1117"/>
        <v>267.77999999932945</v>
      </c>
      <c r="P1590" s="38"/>
      <c r="Q1590" s="38"/>
      <c r="R1590" s="38"/>
      <c r="S1590" s="55">
        <f t="shared" si="1118"/>
        <v>267.77999999932945</v>
      </c>
      <c r="T1590" s="48"/>
      <c r="U1590" s="49">
        <f t="shared" si="1119"/>
        <v>58.409999999403965</v>
      </c>
      <c r="V1590" s="38"/>
      <c r="W1590" s="38"/>
      <c r="X1590" s="38"/>
      <c r="Y1590" s="51">
        <f t="shared" si="1120"/>
        <v>58.409999999403965</v>
      </c>
      <c r="Z1590" s="52"/>
      <c r="AA1590" s="53">
        <f t="shared" si="1121"/>
        <v>-7.6977357821306214E-10</v>
      </c>
      <c r="AB1590" s="38"/>
      <c r="AC1590" s="38"/>
      <c r="AD1590" s="38"/>
      <c r="AE1590" s="54">
        <f t="shared" si="1122"/>
        <v>-7.6977357821306214E-10</v>
      </c>
      <c r="AF1590" s="53"/>
      <c r="AG1590" s="53">
        <f t="shared" si="1123"/>
        <v>18678.120000000526</v>
      </c>
      <c r="AH1590" s="38"/>
      <c r="AI1590" s="38"/>
      <c r="AJ1590" s="38"/>
      <c r="AK1590" s="54">
        <f t="shared" si="1124"/>
        <v>18678.120000000526</v>
      </c>
      <c r="AL1590" s="53"/>
      <c r="AM1590" s="53">
        <f t="shared" si="1134"/>
        <v>282.6699999999995</v>
      </c>
      <c r="AN1590" s="38"/>
      <c r="AO1590" s="38"/>
      <c r="AP1590" s="38"/>
      <c r="AQ1590" s="54">
        <f t="shared" si="1104"/>
        <v>282.6699999999995</v>
      </c>
      <c r="AR1590" s="53"/>
      <c r="AS1590" s="29">
        <f t="shared" si="1128"/>
        <v>-2135318.4799999986</v>
      </c>
      <c r="AT1590" s="29">
        <f t="shared" si="1129"/>
        <v>0</v>
      </c>
      <c r="AU1590" s="29">
        <f t="shared" si="1130"/>
        <v>0</v>
      </c>
      <c r="AV1590" s="29">
        <f t="shared" si="1131"/>
        <v>0</v>
      </c>
      <c r="AW1590" s="29"/>
      <c r="AX1590" s="29">
        <f t="shared" si="1132"/>
        <v>-2135318.4799999986</v>
      </c>
      <c r="AY1590" s="29">
        <f t="shared" si="1125"/>
        <v>9300000</v>
      </c>
      <c r="AZ1590" s="29">
        <f t="shared" si="1126"/>
        <v>7164681.5200000014</v>
      </c>
    </row>
    <row r="1591" spans="2:52" x14ac:dyDescent="0.3">
      <c r="B1591" s="99">
        <f t="shared" ref="B1591:B1594" si="1135">B1590+1</f>
        <v>46392</v>
      </c>
      <c r="C1591" s="44">
        <f t="shared" si="1113"/>
        <v>766908.08000000287</v>
      </c>
      <c r="D1591" s="38"/>
      <c r="E1591" s="38"/>
      <c r="F1591" s="38"/>
      <c r="G1591" s="45">
        <f t="shared" si="1114"/>
        <v>766908.08000000287</v>
      </c>
      <c r="H1591" s="44">
        <v>4300000</v>
      </c>
      <c r="I1591" s="46">
        <f t="shared" si="1115"/>
        <v>-2921513.5399999996</v>
      </c>
      <c r="J1591" s="38"/>
      <c r="K1591" s="38"/>
      <c r="L1591" s="38"/>
      <c r="M1591" s="47">
        <f t="shared" si="1116"/>
        <v>-2921513.5399999996</v>
      </c>
      <c r="N1591" s="46">
        <v>5000000</v>
      </c>
      <c r="O1591" s="48">
        <f t="shared" si="1117"/>
        <v>267.77999999932945</v>
      </c>
      <c r="P1591" s="38"/>
      <c r="Q1591" s="38"/>
      <c r="R1591" s="38"/>
      <c r="S1591" s="55">
        <f t="shared" si="1118"/>
        <v>267.77999999932945</v>
      </c>
      <c r="T1591" s="48"/>
      <c r="U1591" s="49">
        <f t="shared" si="1119"/>
        <v>58.409999999403965</v>
      </c>
      <c r="V1591" s="38"/>
      <c r="W1591" s="38"/>
      <c r="X1591" s="38"/>
      <c r="Y1591" s="51">
        <f t="shared" si="1120"/>
        <v>58.409999999403965</v>
      </c>
      <c r="Z1591" s="52"/>
      <c r="AA1591" s="53">
        <f t="shared" si="1121"/>
        <v>-7.6977357821306214E-10</v>
      </c>
      <c r="AB1591" s="38"/>
      <c r="AC1591" s="38"/>
      <c r="AD1591" s="38"/>
      <c r="AE1591" s="54">
        <f t="shared" si="1122"/>
        <v>-7.6977357821306214E-10</v>
      </c>
      <c r="AF1591" s="53"/>
      <c r="AG1591" s="53">
        <f t="shared" si="1123"/>
        <v>18678.120000000526</v>
      </c>
      <c r="AH1591" s="38"/>
      <c r="AI1591" s="38"/>
      <c r="AJ1591" s="38"/>
      <c r="AK1591" s="54">
        <f t="shared" si="1124"/>
        <v>18678.120000000526</v>
      </c>
      <c r="AL1591" s="53"/>
      <c r="AM1591" s="53">
        <f t="shared" si="1134"/>
        <v>282.6699999999995</v>
      </c>
      <c r="AN1591" s="38"/>
      <c r="AO1591" s="38"/>
      <c r="AP1591" s="38"/>
      <c r="AQ1591" s="54">
        <f t="shared" si="1104"/>
        <v>282.6699999999995</v>
      </c>
      <c r="AR1591" s="53"/>
      <c r="AS1591" s="29">
        <f t="shared" si="1128"/>
        <v>-2135318.4799999986</v>
      </c>
      <c r="AT1591" s="29">
        <f t="shared" si="1129"/>
        <v>0</v>
      </c>
      <c r="AU1591" s="29">
        <f t="shared" si="1130"/>
        <v>0</v>
      </c>
      <c r="AV1591" s="29">
        <f t="shared" si="1131"/>
        <v>0</v>
      </c>
      <c r="AW1591" s="29"/>
      <c r="AX1591" s="29">
        <f t="shared" si="1132"/>
        <v>-2135318.4799999986</v>
      </c>
      <c r="AY1591" s="29">
        <f t="shared" si="1125"/>
        <v>9300000</v>
      </c>
      <c r="AZ1591" s="29">
        <f t="shared" si="1126"/>
        <v>7164681.5200000014</v>
      </c>
    </row>
    <row r="1592" spans="2:52" x14ac:dyDescent="0.3">
      <c r="B1592" s="99">
        <f t="shared" si="1135"/>
        <v>46393</v>
      </c>
      <c r="C1592" s="44">
        <f t="shared" si="1113"/>
        <v>766908.08000000287</v>
      </c>
      <c r="D1592" s="38"/>
      <c r="E1592" s="38"/>
      <c r="F1592" s="38"/>
      <c r="G1592" s="45">
        <f t="shared" si="1114"/>
        <v>766908.08000000287</v>
      </c>
      <c r="H1592" s="44">
        <v>4300000</v>
      </c>
      <c r="I1592" s="46">
        <f t="shared" si="1115"/>
        <v>-2921513.5399999996</v>
      </c>
      <c r="J1592" s="38"/>
      <c r="K1592" s="38"/>
      <c r="L1592" s="38"/>
      <c r="M1592" s="47">
        <f t="shared" si="1116"/>
        <v>-2921513.5399999996</v>
      </c>
      <c r="N1592" s="46">
        <v>5000000</v>
      </c>
      <c r="O1592" s="48">
        <f t="shared" si="1117"/>
        <v>267.77999999932945</v>
      </c>
      <c r="P1592" s="38"/>
      <c r="Q1592" s="38"/>
      <c r="R1592" s="38"/>
      <c r="S1592" s="55">
        <f t="shared" si="1118"/>
        <v>267.77999999932945</v>
      </c>
      <c r="T1592" s="48"/>
      <c r="U1592" s="49">
        <f t="shared" si="1119"/>
        <v>58.409999999403965</v>
      </c>
      <c r="V1592" s="38"/>
      <c r="W1592" s="38"/>
      <c r="X1592" s="38"/>
      <c r="Y1592" s="51">
        <f t="shared" si="1120"/>
        <v>58.409999999403965</v>
      </c>
      <c r="Z1592" s="52"/>
      <c r="AA1592" s="53">
        <f t="shared" si="1121"/>
        <v>-7.6977357821306214E-10</v>
      </c>
      <c r="AB1592" s="38"/>
      <c r="AC1592" s="38"/>
      <c r="AD1592" s="38"/>
      <c r="AE1592" s="54">
        <f t="shared" si="1122"/>
        <v>-7.6977357821306214E-10</v>
      </c>
      <c r="AF1592" s="53"/>
      <c r="AG1592" s="53">
        <f t="shared" si="1123"/>
        <v>18678.120000000526</v>
      </c>
      <c r="AH1592" s="38"/>
      <c r="AI1592" s="38"/>
      <c r="AJ1592" s="38"/>
      <c r="AK1592" s="54">
        <f t="shared" si="1124"/>
        <v>18678.120000000526</v>
      </c>
      <c r="AL1592" s="53"/>
      <c r="AM1592" s="53">
        <f t="shared" si="1134"/>
        <v>282.6699999999995</v>
      </c>
      <c r="AN1592" s="38"/>
      <c r="AO1592" s="38"/>
      <c r="AP1592" s="38"/>
      <c r="AQ1592" s="54">
        <f t="shared" si="1104"/>
        <v>282.6699999999995</v>
      </c>
      <c r="AR1592" s="53"/>
      <c r="AS1592" s="29">
        <f t="shared" si="1128"/>
        <v>-2135318.4799999986</v>
      </c>
      <c r="AT1592" s="29">
        <f t="shared" si="1129"/>
        <v>0</v>
      </c>
      <c r="AU1592" s="29">
        <f t="shared" si="1130"/>
        <v>0</v>
      </c>
      <c r="AV1592" s="29">
        <f t="shared" si="1131"/>
        <v>0</v>
      </c>
      <c r="AW1592" s="29"/>
      <c r="AX1592" s="29">
        <f t="shared" si="1132"/>
        <v>-2135318.4799999986</v>
      </c>
      <c r="AY1592" s="29">
        <f t="shared" si="1125"/>
        <v>9300000</v>
      </c>
      <c r="AZ1592" s="29">
        <f t="shared" si="1126"/>
        <v>7164681.5200000014</v>
      </c>
    </row>
    <row r="1593" spans="2:52" x14ac:dyDescent="0.3">
      <c r="B1593" s="99">
        <f t="shared" si="1135"/>
        <v>46394</v>
      </c>
      <c r="C1593" s="44">
        <f t="shared" si="1113"/>
        <v>766908.08000000287</v>
      </c>
      <c r="D1593" s="38"/>
      <c r="E1593" s="38"/>
      <c r="F1593" s="38"/>
      <c r="G1593" s="45">
        <f t="shared" si="1114"/>
        <v>766908.08000000287</v>
      </c>
      <c r="H1593" s="44">
        <v>4300000</v>
      </c>
      <c r="I1593" s="46">
        <f t="shared" si="1115"/>
        <v>-2921513.5399999996</v>
      </c>
      <c r="J1593" s="38"/>
      <c r="K1593" s="38"/>
      <c r="L1593" s="38"/>
      <c r="M1593" s="47">
        <f t="shared" si="1116"/>
        <v>-2921513.5399999996</v>
      </c>
      <c r="N1593" s="46">
        <v>5000000</v>
      </c>
      <c r="O1593" s="48">
        <f t="shared" si="1117"/>
        <v>267.77999999932945</v>
      </c>
      <c r="P1593" s="38"/>
      <c r="Q1593" s="38"/>
      <c r="R1593" s="38"/>
      <c r="S1593" s="55">
        <f t="shared" si="1118"/>
        <v>267.77999999932945</v>
      </c>
      <c r="T1593" s="48"/>
      <c r="U1593" s="49">
        <f t="shared" si="1119"/>
        <v>58.409999999403965</v>
      </c>
      <c r="V1593" s="38"/>
      <c r="W1593" s="38"/>
      <c r="X1593" s="38"/>
      <c r="Y1593" s="51">
        <f t="shared" si="1120"/>
        <v>58.409999999403965</v>
      </c>
      <c r="Z1593" s="52"/>
      <c r="AA1593" s="53">
        <f t="shared" si="1121"/>
        <v>-7.6977357821306214E-10</v>
      </c>
      <c r="AB1593" s="38"/>
      <c r="AC1593" s="38"/>
      <c r="AD1593" s="38"/>
      <c r="AE1593" s="54">
        <f t="shared" si="1122"/>
        <v>-7.6977357821306214E-10</v>
      </c>
      <c r="AF1593" s="53"/>
      <c r="AG1593" s="53">
        <f t="shared" si="1123"/>
        <v>18678.120000000526</v>
      </c>
      <c r="AH1593" s="38"/>
      <c r="AI1593" s="38"/>
      <c r="AJ1593" s="38"/>
      <c r="AK1593" s="54">
        <f t="shared" si="1124"/>
        <v>18678.120000000526</v>
      </c>
      <c r="AL1593" s="53"/>
      <c r="AM1593" s="53">
        <f t="shared" si="1134"/>
        <v>282.6699999999995</v>
      </c>
      <c r="AN1593" s="38"/>
      <c r="AO1593" s="38"/>
      <c r="AP1593" s="38"/>
      <c r="AQ1593" s="54">
        <f t="shared" si="1104"/>
        <v>282.6699999999995</v>
      </c>
      <c r="AR1593" s="53"/>
      <c r="AS1593" s="29">
        <f t="shared" si="1128"/>
        <v>-2135318.4799999986</v>
      </c>
      <c r="AT1593" s="29">
        <f t="shared" si="1129"/>
        <v>0</v>
      </c>
      <c r="AU1593" s="29">
        <f t="shared" si="1130"/>
        <v>0</v>
      </c>
      <c r="AV1593" s="29">
        <f t="shared" si="1131"/>
        <v>0</v>
      </c>
      <c r="AW1593" s="29"/>
      <c r="AX1593" s="29">
        <f t="shared" si="1132"/>
        <v>-2135318.4799999986</v>
      </c>
      <c r="AY1593" s="29">
        <f t="shared" si="1125"/>
        <v>9300000</v>
      </c>
      <c r="AZ1593" s="29">
        <f t="shared" si="1126"/>
        <v>7164681.5200000014</v>
      </c>
    </row>
    <row r="1594" spans="2:52" x14ac:dyDescent="0.3">
      <c r="B1594" s="99">
        <f t="shared" si="1135"/>
        <v>46395</v>
      </c>
      <c r="C1594" s="44">
        <f t="shared" si="1113"/>
        <v>766908.08000000287</v>
      </c>
      <c r="D1594" s="38"/>
      <c r="E1594" s="38"/>
      <c r="F1594" s="38"/>
      <c r="G1594" s="45">
        <f t="shared" si="1114"/>
        <v>766908.08000000287</v>
      </c>
      <c r="H1594" s="44">
        <v>4300000</v>
      </c>
      <c r="I1594" s="46">
        <f t="shared" si="1115"/>
        <v>-2921513.5399999996</v>
      </c>
      <c r="J1594" s="38"/>
      <c r="K1594" s="38"/>
      <c r="L1594" s="38"/>
      <c r="M1594" s="47">
        <f t="shared" si="1116"/>
        <v>-2921513.5399999996</v>
      </c>
      <c r="N1594" s="46">
        <v>5000000</v>
      </c>
      <c r="O1594" s="48">
        <f t="shared" si="1117"/>
        <v>267.77999999932945</v>
      </c>
      <c r="P1594" s="38"/>
      <c r="Q1594" s="38"/>
      <c r="R1594" s="38"/>
      <c r="S1594" s="55">
        <f t="shared" si="1118"/>
        <v>267.77999999932945</v>
      </c>
      <c r="T1594" s="48"/>
      <c r="U1594" s="49">
        <f t="shared" si="1119"/>
        <v>58.409999999403965</v>
      </c>
      <c r="V1594" s="38"/>
      <c r="W1594" s="38"/>
      <c r="X1594" s="38"/>
      <c r="Y1594" s="51">
        <f t="shared" si="1120"/>
        <v>58.409999999403965</v>
      </c>
      <c r="Z1594" s="52"/>
      <c r="AA1594" s="53">
        <f t="shared" si="1121"/>
        <v>-7.6977357821306214E-10</v>
      </c>
      <c r="AB1594" s="38"/>
      <c r="AC1594" s="38"/>
      <c r="AD1594" s="38"/>
      <c r="AE1594" s="54">
        <f t="shared" si="1122"/>
        <v>-7.6977357821306214E-10</v>
      </c>
      <c r="AF1594" s="53"/>
      <c r="AG1594" s="53">
        <f t="shared" si="1123"/>
        <v>18678.120000000526</v>
      </c>
      <c r="AH1594" s="38"/>
      <c r="AI1594" s="38"/>
      <c r="AJ1594" s="38"/>
      <c r="AK1594" s="54">
        <f t="shared" si="1124"/>
        <v>18678.120000000526</v>
      </c>
      <c r="AL1594" s="53"/>
      <c r="AM1594" s="53">
        <f t="shared" si="1134"/>
        <v>282.6699999999995</v>
      </c>
      <c r="AN1594" s="38"/>
      <c r="AO1594" s="38"/>
      <c r="AP1594" s="38"/>
      <c r="AQ1594" s="54">
        <f t="shared" si="1104"/>
        <v>282.6699999999995</v>
      </c>
      <c r="AR1594" s="53"/>
      <c r="AS1594" s="29">
        <f t="shared" si="1128"/>
        <v>-2135318.4799999986</v>
      </c>
      <c r="AT1594" s="29">
        <f t="shared" si="1129"/>
        <v>0</v>
      </c>
      <c r="AU1594" s="29">
        <f t="shared" si="1130"/>
        <v>0</v>
      </c>
      <c r="AV1594" s="29">
        <f t="shared" si="1131"/>
        <v>0</v>
      </c>
      <c r="AW1594" s="29"/>
      <c r="AX1594" s="29">
        <f t="shared" si="1132"/>
        <v>-2135318.4799999986</v>
      </c>
      <c r="AY1594" s="29">
        <f t="shared" si="1125"/>
        <v>9300000</v>
      </c>
      <c r="AZ1594" s="29">
        <f t="shared" si="1126"/>
        <v>7164681.5200000014</v>
      </c>
    </row>
    <row r="1595" spans="2:52" x14ac:dyDescent="0.3">
      <c r="B1595" s="99">
        <f>B1594+3</f>
        <v>46398</v>
      </c>
      <c r="C1595" s="44">
        <f t="shared" si="1113"/>
        <v>766908.08000000287</v>
      </c>
      <c r="D1595" s="38"/>
      <c r="E1595" s="38"/>
      <c r="F1595" s="38"/>
      <c r="G1595" s="45">
        <f t="shared" si="1114"/>
        <v>766908.08000000287</v>
      </c>
      <c r="H1595" s="44">
        <v>4300000</v>
      </c>
      <c r="I1595" s="46">
        <f t="shared" si="1115"/>
        <v>-2921513.5399999996</v>
      </c>
      <c r="J1595" s="38"/>
      <c r="K1595" s="38"/>
      <c r="L1595" s="38"/>
      <c r="M1595" s="47">
        <f t="shared" si="1116"/>
        <v>-2921513.5399999996</v>
      </c>
      <c r="N1595" s="46">
        <v>5000000</v>
      </c>
      <c r="O1595" s="48">
        <f t="shared" si="1117"/>
        <v>267.77999999932945</v>
      </c>
      <c r="P1595" s="38"/>
      <c r="Q1595" s="38"/>
      <c r="R1595" s="38"/>
      <c r="S1595" s="55">
        <f t="shared" si="1118"/>
        <v>267.77999999932945</v>
      </c>
      <c r="T1595" s="48"/>
      <c r="U1595" s="49">
        <f t="shared" si="1119"/>
        <v>58.409999999403965</v>
      </c>
      <c r="V1595" s="38"/>
      <c r="W1595" s="38"/>
      <c r="X1595" s="38"/>
      <c r="Y1595" s="51">
        <f t="shared" si="1120"/>
        <v>58.409999999403965</v>
      </c>
      <c r="Z1595" s="52"/>
      <c r="AA1595" s="53">
        <f t="shared" si="1121"/>
        <v>-7.6977357821306214E-10</v>
      </c>
      <c r="AB1595" s="38"/>
      <c r="AC1595" s="38"/>
      <c r="AD1595" s="38"/>
      <c r="AE1595" s="54">
        <f t="shared" si="1122"/>
        <v>-7.6977357821306214E-10</v>
      </c>
      <c r="AF1595" s="53"/>
      <c r="AG1595" s="53">
        <f t="shared" si="1123"/>
        <v>18678.120000000526</v>
      </c>
      <c r="AH1595" s="38"/>
      <c r="AI1595" s="38"/>
      <c r="AJ1595" s="38"/>
      <c r="AK1595" s="54">
        <f t="shared" si="1124"/>
        <v>18678.120000000526</v>
      </c>
      <c r="AL1595" s="53"/>
      <c r="AM1595" s="53">
        <f t="shared" si="1134"/>
        <v>282.6699999999995</v>
      </c>
      <c r="AN1595" s="38"/>
      <c r="AO1595" s="38"/>
      <c r="AP1595" s="38"/>
      <c r="AQ1595" s="54">
        <f t="shared" si="1104"/>
        <v>282.6699999999995</v>
      </c>
      <c r="AR1595" s="53"/>
      <c r="AS1595" s="29">
        <f t="shared" si="1128"/>
        <v>-2135318.4799999986</v>
      </c>
      <c r="AT1595" s="29">
        <f t="shared" si="1129"/>
        <v>0</v>
      </c>
      <c r="AU1595" s="29">
        <f t="shared" si="1130"/>
        <v>0</v>
      </c>
      <c r="AV1595" s="29">
        <f t="shared" si="1131"/>
        <v>0</v>
      </c>
      <c r="AW1595" s="29"/>
      <c r="AX1595" s="29">
        <f t="shared" si="1132"/>
        <v>-2135318.4799999986</v>
      </c>
      <c r="AY1595" s="29">
        <f t="shared" si="1125"/>
        <v>9300000</v>
      </c>
      <c r="AZ1595" s="29">
        <f t="shared" si="1126"/>
        <v>7164681.5200000014</v>
      </c>
    </row>
    <row r="1596" spans="2:52" x14ac:dyDescent="0.3">
      <c r="B1596" s="99">
        <f t="shared" ref="B1596:B1599" si="1136">B1595+1</f>
        <v>46399</v>
      </c>
      <c r="C1596" s="44">
        <f t="shared" si="1113"/>
        <v>766908.08000000287</v>
      </c>
      <c r="D1596" s="38"/>
      <c r="E1596" s="38"/>
      <c r="F1596" s="38"/>
      <c r="G1596" s="45">
        <f t="shared" si="1114"/>
        <v>766908.08000000287</v>
      </c>
      <c r="H1596" s="44">
        <v>4300000</v>
      </c>
      <c r="I1596" s="46">
        <f t="shared" si="1115"/>
        <v>-2921513.5399999996</v>
      </c>
      <c r="J1596" s="38"/>
      <c r="K1596" s="38"/>
      <c r="L1596" s="38"/>
      <c r="M1596" s="47">
        <f t="shared" si="1116"/>
        <v>-2921513.5399999996</v>
      </c>
      <c r="N1596" s="46">
        <v>5000000</v>
      </c>
      <c r="O1596" s="48">
        <f t="shared" si="1117"/>
        <v>267.77999999932945</v>
      </c>
      <c r="P1596" s="38"/>
      <c r="Q1596" s="38"/>
      <c r="R1596" s="38"/>
      <c r="S1596" s="55">
        <f t="shared" si="1118"/>
        <v>267.77999999932945</v>
      </c>
      <c r="T1596" s="48"/>
      <c r="U1596" s="49">
        <f t="shared" si="1119"/>
        <v>58.409999999403965</v>
      </c>
      <c r="V1596" s="38"/>
      <c r="W1596" s="38"/>
      <c r="X1596" s="38"/>
      <c r="Y1596" s="51">
        <f t="shared" si="1120"/>
        <v>58.409999999403965</v>
      </c>
      <c r="Z1596" s="52"/>
      <c r="AA1596" s="53">
        <f t="shared" si="1121"/>
        <v>-7.6977357821306214E-10</v>
      </c>
      <c r="AB1596" s="38"/>
      <c r="AC1596" s="38"/>
      <c r="AD1596" s="38"/>
      <c r="AE1596" s="54">
        <f t="shared" si="1122"/>
        <v>-7.6977357821306214E-10</v>
      </c>
      <c r="AF1596" s="53"/>
      <c r="AG1596" s="53">
        <f t="shared" si="1123"/>
        <v>18678.120000000526</v>
      </c>
      <c r="AH1596" s="38"/>
      <c r="AI1596" s="38"/>
      <c r="AJ1596" s="38"/>
      <c r="AK1596" s="54">
        <f t="shared" si="1124"/>
        <v>18678.120000000526</v>
      </c>
      <c r="AL1596" s="53"/>
      <c r="AM1596" s="53">
        <f t="shared" si="1134"/>
        <v>282.6699999999995</v>
      </c>
      <c r="AN1596" s="38"/>
      <c r="AO1596" s="38"/>
      <c r="AP1596" s="38"/>
      <c r="AQ1596" s="54">
        <f t="shared" si="1104"/>
        <v>282.6699999999995</v>
      </c>
      <c r="AR1596" s="53"/>
      <c r="AS1596" s="29">
        <f t="shared" si="1128"/>
        <v>-2135318.4799999986</v>
      </c>
      <c r="AT1596" s="29">
        <f t="shared" si="1129"/>
        <v>0</v>
      </c>
      <c r="AU1596" s="29">
        <f t="shared" si="1130"/>
        <v>0</v>
      </c>
      <c r="AV1596" s="29">
        <f t="shared" si="1131"/>
        <v>0</v>
      </c>
      <c r="AW1596" s="29"/>
      <c r="AX1596" s="29">
        <f t="shared" si="1132"/>
        <v>-2135318.4799999986</v>
      </c>
      <c r="AY1596" s="29">
        <f t="shared" si="1125"/>
        <v>9300000</v>
      </c>
      <c r="AZ1596" s="29">
        <f t="shared" si="1126"/>
        <v>7164681.5200000014</v>
      </c>
    </row>
    <row r="1597" spans="2:52" x14ac:dyDescent="0.3">
      <c r="B1597" s="99">
        <f t="shared" si="1136"/>
        <v>46400</v>
      </c>
      <c r="C1597" s="44">
        <f t="shared" si="1113"/>
        <v>766908.08000000287</v>
      </c>
      <c r="D1597" s="38"/>
      <c r="E1597" s="38"/>
      <c r="F1597" s="38"/>
      <c r="G1597" s="45">
        <f t="shared" si="1114"/>
        <v>766908.08000000287</v>
      </c>
      <c r="H1597" s="44">
        <v>4300000</v>
      </c>
      <c r="I1597" s="46">
        <f t="shared" si="1115"/>
        <v>-2921513.5399999996</v>
      </c>
      <c r="J1597" s="38"/>
      <c r="K1597" s="38"/>
      <c r="L1597" s="38"/>
      <c r="M1597" s="47">
        <f t="shared" si="1116"/>
        <v>-2921513.5399999996</v>
      </c>
      <c r="N1597" s="46">
        <v>5000000</v>
      </c>
      <c r="O1597" s="48">
        <f t="shared" si="1117"/>
        <v>267.77999999932945</v>
      </c>
      <c r="P1597" s="38"/>
      <c r="Q1597" s="38"/>
      <c r="R1597" s="38"/>
      <c r="S1597" s="55">
        <f t="shared" si="1118"/>
        <v>267.77999999932945</v>
      </c>
      <c r="T1597" s="48"/>
      <c r="U1597" s="49">
        <f t="shared" si="1119"/>
        <v>58.409999999403965</v>
      </c>
      <c r="V1597" s="38"/>
      <c r="W1597" s="38"/>
      <c r="X1597" s="38"/>
      <c r="Y1597" s="51">
        <f t="shared" si="1120"/>
        <v>58.409999999403965</v>
      </c>
      <c r="Z1597" s="52"/>
      <c r="AA1597" s="53">
        <f t="shared" si="1121"/>
        <v>-7.6977357821306214E-10</v>
      </c>
      <c r="AB1597" s="38"/>
      <c r="AC1597" s="38"/>
      <c r="AD1597" s="38"/>
      <c r="AE1597" s="54">
        <f t="shared" si="1122"/>
        <v>-7.6977357821306214E-10</v>
      </c>
      <c r="AF1597" s="53"/>
      <c r="AG1597" s="53">
        <f t="shared" si="1123"/>
        <v>18678.120000000526</v>
      </c>
      <c r="AH1597" s="38"/>
      <c r="AI1597" s="38"/>
      <c r="AJ1597" s="38"/>
      <c r="AK1597" s="54">
        <f t="shared" si="1124"/>
        <v>18678.120000000526</v>
      </c>
      <c r="AL1597" s="53"/>
      <c r="AM1597" s="53">
        <f t="shared" si="1134"/>
        <v>282.6699999999995</v>
      </c>
      <c r="AN1597" s="38"/>
      <c r="AO1597" s="38"/>
      <c r="AP1597" s="38"/>
      <c r="AQ1597" s="54">
        <f t="shared" si="1104"/>
        <v>282.6699999999995</v>
      </c>
      <c r="AR1597" s="53"/>
      <c r="AS1597" s="29">
        <f t="shared" si="1128"/>
        <v>-2135318.4799999986</v>
      </c>
      <c r="AT1597" s="29">
        <f t="shared" si="1129"/>
        <v>0</v>
      </c>
      <c r="AU1597" s="29">
        <f t="shared" si="1130"/>
        <v>0</v>
      </c>
      <c r="AV1597" s="29">
        <f t="shared" si="1131"/>
        <v>0</v>
      </c>
      <c r="AW1597" s="29"/>
      <c r="AX1597" s="29">
        <f t="shared" si="1132"/>
        <v>-2135318.4799999986</v>
      </c>
      <c r="AY1597" s="29">
        <f t="shared" si="1125"/>
        <v>9300000</v>
      </c>
      <c r="AZ1597" s="29">
        <f t="shared" si="1126"/>
        <v>7164681.5200000014</v>
      </c>
    </row>
    <row r="1598" spans="2:52" x14ac:dyDescent="0.3">
      <c r="B1598" s="99">
        <f t="shared" si="1136"/>
        <v>46401</v>
      </c>
      <c r="C1598" s="44">
        <f t="shared" si="1113"/>
        <v>766908.08000000287</v>
      </c>
      <c r="D1598" s="38"/>
      <c r="E1598" s="38"/>
      <c r="F1598" s="38"/>
      <c r="G1598" s="45">
        <f t="shared" si="1114"/>
        <v>766908.08000000287</v>
      </c>
      <c r="H1598" s="44">
        <v>4300000</v>
      </c>
      <c r="I1598" s="46">
        <f t="shared" si="1115"/>
        <v>-2921513.5399999996</v>
      </c>
      <c r="J1598" s="38"/>
      <c r="K1598" s="38"/>
      <c r="L1598" s="38"/>
      <c r="M1598" s="47">
        <f t="shared" si="1116"/>
        <v>-2921513.5399999996</v>
      </c>
      <c r="N1598" s="46">
        <v>5000000</v>
      </c>
      <c r="O1598" s="48">
        <f t="shared" si="1117"/>
        <v>267.77999999932945</v>
      </c>
      <c r="P1598" s="38"/>
      <c r="Q1598" s="38"/>
      <c r="R1598" s="38"/>
      <c r="S1598" s="55">
        <f t="shared" si="1118"/>
        <v>267.77999999932945</v>
      </c>
      <c r="T1598" s="48"/>
      <c r="U1598" s="49">
        <f t="shared" si="1119"/>
        <v>58.409999999403965</v>
      </c>
      <c r="V1598" s="38"/>
      <c r="W1598" s="38"/>
      <c r="X1598" s="38"/>
      <c r="Y1598" s="51">
        <f t="shared" si="1120"/>
        <v>58.409999999403965</v>
      </c>
      <c r="Z1598" s="52"/>
      <c r="AA1598" s="53">
        <f t="shared" si="1121"/>
        <v>-7.6977357821306214E-10</v>
      </c>
      <c r="AB1598" s="38"/>
      <c r="AC1598" s="38"/>
      <c r="AD1598" s="38"/>
      <c r="AE1598" s="54">
        <f t="shared" si="1122"/>
        <v>-7.6977357821306214E-10</v>
      </c>
      <c r="AF1598" s="53"/>
      <c r="AG1598" s="53">
        <f t="shared" si="1123"/>
        <v>18678.120000000526</v>
      </c>
      <c r="AH1598" s="38"/>
      <c r="AI1598" s="38"/>
      <c r="AJ1598" s="38"/>
      <c r="AK1598" s="54">
        <f t="shared" si="1124"/>
        <v>18678.120000000526</v>
      </c>
      <c r="AL1598" s="53"/>
      <c r="AM1598" s="53">
        <f t="shared" si="1134"/>
        <v>282.6699999999995</v>
      </c>
      <c r="AN1598" s="38"/>
      <c r="AO1598" s="38"/>
      <c r="AP1598" s="38"/>
      <c r="AQ1598" s="54">
        <f t="shared" si="1104"/>
        <v>282.6699999999995</v>
      </c>
      <c r="AR1598" s="53"/>
      <c r="AS1598" s="29">
        <f t="shared" si="1128"/>
        <v>-2135318.4799999986</v>
      </c>
      <c r="AT1598" s="29">
        <f t="shared" si="1129"/>
        <v>0</v>
      </c>
      <c r="AU1598" s="29">
        <f t="shared" si="1130"/>
        <v>0</v>
      </c>
      <c r="AV1598" s="29">
        <f t="shared" si="1131"/>
        <v>0</v>
      </c>
      <c r="AW1598" s="29"/>
      <c r="AX1598" s="29">
        <f t="shared" si="1132"/>
        <v>-2135318.4799999986</v>
      </c>
      <c r="AY1598" s="29">
        <f t="shared" si="1125"/>
        <v>9300000</v>
      </c>
      <c r="AZ1598" s="29">
        <f t="shared" si="1126"/>
        <v>7164681.5200000014</v>
      </c>
    </row>
    <row r="1599" spans="2:52" x14ac:dyDescent="0.3">
      <c r="B1599" s="99">
        <f t="shared" si="1136"/>
        <v>46402</v>
      </c>
      <c r="C1599" s="44">
        <f t="shared" si="1113"/>
        <v>766908.08000000287</v>
      </c>
      <c r="D1599" s="38"/>
      <c r="E1599" s="38"/>
      <c r="F1599" s="38"/>
      <c r="G1599" s="45">
        <f t="shared" si="1114"/>
        <v>766908.08000000287</v>
      </c>
      <c r="H1599" s="44">
        <v>4300000</v>
      </c>
      <c r="I1599" s="46">
        <f t="shared" si="1115"/>
        <v>-2921513.5399999996</v>
      </c>
      <c r="J1599" s="38"/>
      <c r="K1599" s="38"/>
      <c r="L1599" s="38"/>
      <c r="M1599" s="47">
        <f t="shared" si="1116"/>
        <v>-2921513.5399999996</v>
      </c>
      <c r="N1599" s="46">
        <v>5000000</v>
      </c>
      <c r="O1599" s="48">
        <f t="shared" si="1117"/>
        <v>267.77999999932945</v>
      </c>
      <c r="P1599" s="38"/>
      <c r="Q1599" s="38"/>
      <c r="R1599" s="38"/>
      <c r="S1599" s="55">
        <f t="shared" si="1118"/>
        <v>267.77999999932945</v>
      </c>
      <c r="T1599" s="48"/>
      <c r="U1599" s="49">
        <f t="shared" si="1119"/>
        <v>58.409999999403965</v>
      </c>
      <c r="V1599" s="38"/>
      <c r="W1599" s="38"/>
      <c r="X1599" s="38"/>
      <c r="Y1599" s="51">
        <f t="shared" si="1120"/>
        <v>58.409999999403965</v>
      </c>
      <c r="Z1599" s="52"/>
      <c r="AA1599" s="53">
        <f t="shared" si="1121"/>
        <v>-7.6977357821306214E-10</v>
      </c>
      <c r="AB1599" s="38"/>
      <c r="AC1599" s="38"/>
      <c r="AD1599" s="38"/>
      <c r="AE1599" s="54">
        <f t="shared" si="1122"/>
        <v>-7.6977357821306214E-10</v>
      </c>
      <c r="AF1599" s="53"/>
      <c r="AG1599" s="53">
        <f t="shared" si="1123"/>
        <v>18678.120000000526</v>
      </c>
      <c r="AH1599" s="38"/>
      <c r="AI1599" s="38"/>
      <c r="AJ1599" s="38"/>
      <c r="AK1599" s="54">
        <f t="shared" si="1124"/>
        <v>18678.120000000526</v>
      </c>
      <c r="AL1599" s="53"/>
      <c r="AM1599" s="53">
        <f t="shared" si="1134"/>
        <v>282.6699999999995</v>
      </c>
      <c r="AN1599" s="38"/>
      <c r="AO1599" s="38"/>
      <c r="AP1599" s="38"/>
      <c r="AQ1599" s="54">
        <f t="shared" si="1104"/>
        <v>282.6699999999995</v>
      </c>
      <c r="AR1599" s="53"/>
      <c r="AS1599" s="29">
        <f t="shared" si="1128"/>
        <v>-2135318.4799999986</v>
      </c>
      <c r="AT1599" s="29">
        <f t="shared" si="1129"/>
        <v>0</v>
      </c>
      <c r="AU1599" s="29">
        <f t="shared" si="1130"/>
        <v>0</v>
      </c>
      <c r="AV1599" s="29">
        <f t="shared" si="1131"/>
        <v>0</v>
      </c>
      <c r="AW1599" s="29"/>
      <c r="AX1599" s="29">
        <f t="shared" si="1132"/>
        <v>-2135318.4799999986</v>
      </c>
      <c r="AY1599" s="29">
        <f t="shared" si="1125"/>
        <v>9300000</v>
      </c>
      <c r="AZ1599" s="29">
        <f t="shared" si="1126"/>
        <v>7164681.5200000014</v>
      </c>
    </row>
    <row r="1600" spans="2:52" x14ac:dyDescent="0.3">
      <c r="B1600" s="99">
        <f>B1599+3</f>
        <v>46405</v>
      </c>
      <c r="C1600" s="44">
        <f t="shared" si="1113"/>
        <v>766908.08000000287</v>
      </c>
      <c r="D1600" s="38"/>
      <c r="E1600" s="38"/>
      <c r="F1600" s="38"/>
      <c r="G1600" s="45">
        <f t="shared" si="1114"/>
        <v>766908.08000000287</v>
      </c>
      <c r="H1600" s="44">
        <v>4300000</v>
      </c>
      <c r="I1600" s="46">
        <f t="shared" si="1115"/>
        <v>-2921513.5399999996</v>
      </c>
      <c r="J1600" s="38"/>
      <c r="K1600" s="38"/>
      <c r="L1600" s="38"/>
      <c r="M1600" s="47">
        <f t="shared" si="1116"/>
        <v>-2921513.5399999996</v>
      </c>
      <c r="N1600" s="46">
        <v>5000000</v>
      </c>
      <c r="O1600" s="48">
        <f t="shared" si="1117"/>
        <v>267.77999999932945</v>
      </c>
      <c r="P1600" s="38"/>
      <c r="Q1600" s="38"/>
      <c r="R1600" s="38"/>
      <c r="S1600" s="55">
        <f t="shared" si="1118"/>
        <v>267.77999999932945</v>
      </c>
      <c r="T1600" s="48"/>
      <c r="U1600" s="49">
        <f t="shared" si="1119"/>
        <v>58.409999999403965</v>
      </c>
      <c r="V1600" s="38"/>
      <c r="W1600" s="38"/>
      <c r="X1600" s="38"/>
      <c r="Y1600" s="51">
        <f t="shared" si="1120"/>
        <v>58.409999999403965</v>
      </c>
      <c r="Z1600" s="52"/>
      <c r="AA1600" s="53">
        <f t="shared" si="1121"/>
        <v>-7.6977357821306214E-10</v>
      </c>
      <c r="AB1600" s="38"/>
      <c r="AC1600" s="38"/>
      <c r="AD1600" s="38"/>
      <c r="AE1600" s="54">
        <f t="shared" si="1122"/>
        <v>-7.6977357821306214E-10</v>
      </c>
      <c r="AF1600" s="53"/>
      <c r="AG1600" s="53">
        <f t="shared" si="1123"/>
        <v>18678.120000000526</v>
      </c>
      <c r="AH1600" s="38"/>
      <c r="AI1600" s="38"/>
      <c r="AJ1600" s="38"/>
      <c r="AK1600" s="54">
        <f t="shared" si="1124"/>
        <v>18678.120000000526</v>
      </c>
      <c r="AL1600" s="53"/>
      <c r="AM1600" s="53">
        <f t="shared" si="1134"/>
        <v>282.6699999999995</v>
      </c>
      <c r="AN1600" s="38"/>
      <c r="AO1600" s="38"/>
      <c r="AP1600" s="38"/>
      <c r="AQ1600" s="54">
        <f t="shared" si="1104"/>
        <v>282.6699999999995</v>
      </c>
      <c r="AR1600" s="53"/>
      <c r="AS1600" s="29">
        <f t="shared" si="1128"/>
        <v>-2135318.4799999986</v>
      </c>
      <c r="AT1600" s="29">
        <f t="shared" si="1129"/>
        <v>0</v>
      </c>
      <c r="AU1600" s="29">
        <f t="shared" si="1130"/>
        <v>0</v>
      </c>
      <c r="AV1600" s="29">
        <f t="shared" si="1131"/>
        <v>0</v>
      </c>
      <c r="AW1600" s="29"/>
      <c r="AX1600" s="29">
        <f t="shared" si="1132"/>
        <v>-2135318.4799999986</v>
      </c>
      <c r="AY1600" s="29">
        <f t="shared" si="1125"/>
        <v>9300000</v>
      </c>
      <c r="AZ1600" s="29">
        <f t="shared" si="1126"/>
        <v>7164681.5200000014</v>
      </c>
    </row>
    <row r="1601" spans="2:52" x14ac:dyDescent="0.3">
      <c r="B1601" s="99">
        <f t="shared" ref="B1601:B1604" si="1137">B1600+1</f>
        <v>46406</v>
      </c>
      <c r="C1601" s="44">
        <f t="shared" si="1113"/>
        <v>766908.08000000287</v>
      </c>
      <c r="D1601" s="38"/>
      <c r="E1601" s="38"/>
      <c r="F1601" s="38"/>
      <c r="G1601" s="45">
        <f t="shared" si="1114"/>
        <v>766908.08000000287</v>
      </c>
      <c r="H1601" s="44">
        <v>4300000</v>
      </c>
      <c r="I1601" s="46">
        <f t="shared" si="1115"/>
        <v>-2921513.5399999996</v>
      </c>
      <c r="J1601" s="38"/>
      <c r="K1601" s="38"/>
      <c r="L1601" s="38"/>
      <c r="M1601" s="47">
        <f t="shared" si="1116"/>
        <v>-2921513.5399999996</v>
      </c>
      <c r="N1601" s="46">
        <v>5000000</v>
      </c>
      <c r="O1601" s="48">
        <f t="shared" si="1117"/>
        <v>267.77999999932945</v>
      </c>
      <c r="P1601" s="38"/>
      <c r="Q1601" s="38"/>
      <c r="R1601" s="38"/>
      <c r="S1601" s="55">
        <f t="shared" si="1118"/>
        <v>267.77999999932945</v>
      </c>
      <c r="T1601" s="48"/>
      <c r="U1601" s="49">
        <f t="shared" si="1119"/>
        <v>58.409999999403965</v>
      </c>
      <c r="V1601" s="38"/>
      <c r="W1601" s="38"/>
      <c r="X1601" s="38"/>
      <c r="Y1601" s="51">
        <f t="shared" si="1120"/>
        <v>58.409999999403965</v>
      </c>
      <c r="Z1601" s="52"/>
      <c r="AA1601" s="53">
        <f t="shared" si="1121"/>
        <v>-7.6977357821306214E-10</v>
      </c>
      <c r="AB1601" s="38"/>
      <c r="AC1601" s="38"/>
      <c r="AD1601" s="38"/>
      <c r="AE1601" s="54">
        <f t="shared" si="1122"/>
        <v>-7.6977357821306214E-10</v>
      </c>
      <c r="AF1601" s="53"/>
      <c r="AG1601" s="53">
        <f t="shared" si="1123"/>
        <v>18678.120000000526</v>
      </c>
      <c r="AH1601" s="38"/>
      <c r="AI1601" s="38"/>
      <c r="AJ1601" s="38"/>
      <c r="AK1601" s="54">
        <f t="shared" si="1124"/>
        <v>18678.120000000526</v>
      </c>
      <c r="AL1601" s="53"/>
      <c r="AM1601" s="53">
        <f t="shared" si="1134"/>
        <v>282.6699999999995</v>
      </c>
      <c r="AN1601" s="38"/>
      <c r="AO1601" s="38"/>
      <c r="AP1601" s="38"/>
      <c r="AQ1601" s="54">
        <f t="shared" ref="AQ1601:AQ1634" si="1138">SUM(AL1601:AP1601)</f>
        <v>282.6699999999995</v>
      </c>
      <c r="AR1601" s="53"/>
      <c r="AS1601" s="29">
        <f t="shared" si="1128"/>
        <v>-2135318.4799999986</v>
      </c>
      <c r="AT1601" s="29">
        <f t="shared" si="1129"/>
        <v>0</v>
      </c>
      <c r="AU1601" s="29">
        <f t="shared" si="1130"/>
        <v>0</v>
      </c>
      <c r="AV1601" s="29">
        <f t="shared" si="1131"/>
        <v>0</v>
      </c>
      <c r="AW1601" s="29"/>
      <c r="AX1601" s="29">
        <f t="shared" si="1132"/>
        <v>-2135318.4799999986</v>
      </c>
      <c r="AY1601" s="29">
        <f t="shared" si="1125"/>
        <v>9300000</v>
      </c>
      <c r="AZ1601" s="29">
        <f t="shared" si="1126"/>
        <v>7164681.5200000014</v>
      </c>
    </row>
    <row r="1602" spans="2:52" x14ac:dyDescent="0.3">
      <c r="B1602" s="99">
        <f t="shared" si="1137"/>
        <v>46407</v>
      </c>
      <c r="C1602" s="44">
        <f t="shared" si="1113"/>
        <v>766908.08000000287</v>
      </c>
      <c r="D1602" s="38"/>
      <c r="E1602" s="38"/>
      <c r="F1602" s="38"/>
      <c r="G1602" s="45">
        <f t="shared" si="1114"/>
        <v>766908.08000000287</v>
      </c>
      <c r="H1602" s="44">
        <v>4300000</v>
      </c>
      <c r="I1602" s="46">
        <f t="shared" si="1115"/>
        <v>-2921513.5399999996</v>
      </c>
      <c r="J1602" s="38"/>
      <c r="K1602" s="38"/>
      <c r="L1602" s="38"/>
      <c r="M1602" s="47">
        <f t="shared" si="1116"/>
        <v>-2921513.5399999996</v>
      </c>
      <c r="N1602" s="46">
        <v>5000000</v>
      </c>
      <c r="O1602" s="48">
        <f t="shared" si="1117"/>
        <v>267.77999999932945</v>
      </c>
      <c r="P1602" s="38"/>
      <c r="Q1602" s="38"/>
      <c r="R1602" s="38"/>
      <c r="S1602" s="55">
        <f t="shared" si="1118"/>
        <v>267.77999999932945</v>
      </c>
      <c r="T1602" s="48"/>
      <c r="U1602" s="49">
        <f t="shared" si="1119"/>
        <v>58.409999999403965</v>
      </c>
      <c r="V1602" s="38"/>
      <c r="W1602" s="38"/>
      <c r="X1602" s="38"/>
      <c r="Y1602" s="51">
        <f t="shared" si="1120"/>
        <v>58.409999999403965</v>
      </c>
      <c r="Z1602" s="52"/>
      <c r="AA1602" s="53">
        <f t="shared" si="1121"/>
        <v>-7.6977357821306214E-10</v>
      </c>
      <c r="AB1602" s="38"/>
      <c r="AC1602" s="38"/>
      <c r="AD1602" s="38"/>
      <c r="AE1602" s="54">
        <f t="shared" si="1122"/>
        <v>-7.6977357821306214E-10</v>
      </c>
      <c r="AF1602" s="53"/>
      <c r="AG1602" s="53">
        <f t="shared" si="1123"/>
        <v>18678.120000000526</v>
      </c>
      <c r="AH1602" s="38"/>
      <c r="AI1602" s="38"/>
      <c r="AJ1602" s="38"/>
      <c r="AK1602" s="54">
        <f t="shared" si="1124"/>
        <v>18678.120000000526</v>
      </c>
      <c r="AL1602" s="53"/>
      <c r="AM1602" s="53">
        <f t="shared" si="1134"/>
        <v>282.6699999999995</v>
      </c>
      <c r="AN1602" s="38"/>
      <c r="AO1602" s="38"/>
      <c r="AP1602" s="38"/>
      <c r="AQ1602" s="54">
        <f t="shared" si="1138"/>
        <v>282.6699999999995</v>
      </c>
      <c r="AR1602" s="53"/>
      <c r="AS1602" s="29">
        <f t="shared" si="1128"/>
        <v>-2135318.4799999986</v>
      </c>
      <c r="AT1602" s="29">
        <f t="shared" si="1129"/>
        <v>0</v>
      </c>
      <c r="AU1602" s="29">
        <f t="shared" si="1130"/>
        <v>0</v>
      </c>
      <c r="AV1602" s="29">
        <f t="shared" si="1131"/>
        <v>0</v>
      </c>
      <c r="AW1602" s="29"/>
      <c r="AX1602" s="29">
        <f t="shared" si="1132"/>
        <v>-2135318.4799999986</v>
      </c>
      <c r="AY1602" s="29">
        <f t="shared" si="1125"/>
        <v>9300000</v>
      </c>
      <c r="AZ1602" s="29">
        <f t="shared" si="1126"/>
        <v>7164681.5200000014</v>
      </c>
    </row>
    <row r="1603" spans="2:52" x14ac:dyDescent="0.3">
      <c r="B1603" s="99">
        <f t="shared" si="1137"/>
        <v>46408</v>
      </c>
      <c r="C1603" s="44">
        <f t="shared" si="1113"/>
        <v>766908.08000000287</v>
      </c>
      <c r="D1603" s="38"/>
      <c r="E1603" s="38"/>
      <c r="F1603" s="38"/>
      <c r="G1603" s="45">
        <f t="shared" si="1114"/>
        <v>766908.08000000287</v>
      </c>
      <c r="H1603" s="44">
        <v>4300000</v>
      </c>
      <c r="I1603" s="46">
        <f t="shared" si="1115"/>
        <v>-2921513.5399999996</v>
      </c>
      <c r="J1603" s="38"/>
      <c r="K1603" s="38"/>
      <c r="L1603" s="38"/>
      <c r="M1603" s="47">
        <f t="shared" si="1116"/>
        <v>-2921513.5399999996</v>
      </c>
      <c r="N1603" s="46">
        <v>5000000</v>
      </c>
      <c r="O1603" s="48">
        <f t="shared" si="1117"/>
        <v>267.77999999932945</v>
      </c>
      <c r="P1603" s="38"/>
      <c r="Q1603" s="38"/>
      <c r="R1603" s="38"/>
      <c r="S1603" s="55">
        <f t="shared" si="1118"/>
        <v>267.77999999932945</v>
      </c>
      <c r="T1603" s="48"/>
      <c r="U1603" s="49">
        <f t="shared" si="1119"/>
        <v>58.409999999403965</v>
      </c>
      <c r="V1603" s="38"/>
      <c r="W1603" s="38"/>
      <c r="X1603" s="38"/>
      <c r="Y1603" s="51">
        <f t="shared" si="1120"/>
        <v>58.409999999403965</v>
      </c>
      <c r="Z1603" s="52"/>
      <c r="AA1603" s="53">
        <f t="shared" si="1121"/>
        <v>-7.6977357821306214E-10</v>
      </c>
      <c r="AB1603" s="38"/>
      <c r="AC1603" s="38"/>
      <c r="AD1603" s="38"/>
      <c r="AE1603" s="54">
        <f t="shared" si="1122"/>
        <v>-7.6977357821306214E-10</v>
      </c>
      <c r="AF1603" s="53"/>
      <c r="AG1603" s="53">
        <f t="shared" si="1123"/>
        <v>18678.120000000526</v>
      </c>
      <c r="AH1603" s="38"/>
      <c r="AI1603" s="38"/>
      <c r="AJ1603" s="38"/>
      <c r="AK1603" s="54">
        <f t="shared" si="1124"/>
        <v>18678.120000000526</v>
      </c>
      <c r="AL1603" s="53"/>
      <c r="AM1603" s="53">
        <f t="shared" si="1134"/>
        <v>282.6699999999995</v>
      </c>
      <c r="AN1603" s="38"/>
      <c r="AO1603" s="38"/>
      <c r="AP1603" s="38"/>
      <c r="AQ1603" s="54">
        <f t="shared" si="1138"/>
        <v>282.6699999999995</v>
      </c>
      <c r="AR1603" s="53"/>
      <c r="AS1603" s="29">
        <f t="shared" si="1128"/>
        <v>-2135318.4799999986</v>
      </c>
      <c r="AT1603" s="29">
        <f t="shared" si="1129"/>
        <v>0</v>
      </c>
      <c r="AU1603" s="29">
        <f t="shared" si="1130"/>
        <v>0</v>
      </c>
      <c r="AV1603" s="29">
        <f t="shared" si="1131"/>
        <v>0</v>
      </c>
      <c r="AW1603" s="29"/>
      <c r="AX1603" s="29">
        <f t="shared" si="1132"/>
        <v>-2135318.4799999986</v>
      </c>
      <c r="AY1603" s="29">
        <f t="shared" si="1125"/>
        <v>9300000</v>
      </c>
      <c r="AZ1603" s="29">
        <f t="shared" si="1126"/>
        <v>7164681.5200000014</v>
      </c>
    </row>
    <row r="1604" spans="2:52" x14ac:dyDescent="0.3">
      <c r="B1604" s="99">
        <f t="shared" si="1137"/>
        <v>46409</v>
      </c>
      <c r="C1604" s="44">
        <f t="shared" si="1113"/>
        <v>766908.08000000287</v>
      </c>
      <c r="D1604" s="38"/>
      <c r="E1604" s="38"/>
      <c r="F1604" s="38"/>
      <c r="G1604" s="45">
        <f t="shared" si="1114"/>
        <v>766908.08000000287</v>
      </c>
      <c r="H1604" s="44">
        <v>4300000</v>
      </c>
      <c r="I1604" s="46">
        <f t="shared" si="1115"/>
        <v>-2921513.5399999996</v>
      </c>
      <c r="J1604" s="38"/>
      <c r="K1604" s="38"/>
      <c r="L1604" s="38"/>
      <c r="M1604" s="47">
        <f t="shared" si="1116"/>
        <v>-2921513.5399999996</v>
      </c>
      <c r="N1604" s="46">
        <v>5000000</v>
      </c>
      <c r="O1604" s="48">
        <f t="shared" si="1117"/>
        <v>267.77999999932945</v>
      </c>
      <c r="P1604" s="38"/>
      <c r="Q1604" s="38"/>
      <c r="R1604" s="38"/>
      <c r="S1604" s="55">
        <f t="shared" si="1118"/>
        <v>267.77999999932945</v>
      </c>
      <c r="T1604" s="48"/>
      <c r="U1604" s="49">
        <f t="shared" si="1119"/>
        <v>58.409999999403965</v>
      </c>
      <c r="V1604" s="38"/>
      <c r="W1604" s="38"/>
      <c r="X1604" s="38"/>
      <c r="Y1604" s="51">
        <f t="shared" si="1120"/>
        <v>58.409999999403965</v>
      </c>
      <c r="Z1604" s="52"/>
      <c r="AA1604" s="53">
        <f t="shared" si="1121"/>
        <v>-7.6977357821306214E-10</v>
      </c>
      <c r="AB1604" s="38"/>
      <c r="AC1604" s="38"/>
      <c r="AD1604" s="38"/>
      <c r="AE1604" s="54">
        <f t="shared" si="1122"/>
        <v>-7.6977357821306214E-10</v>
      </c>
      <c r="AF1604" s="53"/>
      <c r="AG1604" s="53">
        <f t="shared" si="1123"/>
        <v>18678.120000000526</v>
      </c>
      <c r="AH1604" s="38"/>
      <c r="AI1604" s="38"/>
      <c r="AJ1604" s="38"/>
      <c r="AK1604" s="54">
        <f t="shared" si="1124"/>
        <v>18678.120000000526</v>
      </c>
      <c r="AL1604" s="53"/>
      <c r="AM1604" s="53">
        <f t="shared" si="1134"/>
        <v>282.6699999999995</v>
      </c>
      <c r="AN1604" s="38"/>
      <c r="AO1604" s="38"/>
      <c r="AP1604" s="38"/>
      <c r="AQ1604" s="54">
        <f t="shared" si="1138"/>
        <v>282.6699999999995</v>
      </c>
      <c r="AR1604" s="53"/>
      <c r="AS1604" s="29">
        <f t="shared" si="1128"/>
        <v>-2135318.4799999986</v>
      </c>
      <c r="AT1604" s="29">
        <f t="shared" si="1129"/>
        <v>0</v>
      </c>
      <c r="AU1604" s="29">
        <f t="shared" si="1130"/>
        <v>0</v>
      </c>
      <c r="AV1604" s="29">
        <f t="shared" si="1131"/>
        <v>0</v>
      </c>
      <c r="AW1604" s="29"/>
      <c r="AX1604" s="29">
        <f t="shared" si="1132"/>
        <v>-2135318.4799999986</v>
      </c>
      <c r="AY1604" s="29">
        <f t="shared" si="1125"/>
        <v>9300000</v>
      </c>
      <c r="AZ1604" s="29">
        <f t="shared" si="1126"/>
        <v>7164681.5200000014</v>
      </c>
    </row>
    <row r="1605" spans="2:52" x14ac:dyDescent="0.3">
      <c r="B1605" s="99">
        <f>B1604+3</f>
        <v>46412</v>
      </c>
      <c r="C1605" s="44">
        <f t="shared" si="1113"/>
        <v>766908.08000000287</v>
      </c>
      <c r="D1605" s="38"/>
      <c r="E1605" s="38"/>
      <c r="F1605" s="38"/>
      <c r="G1605" s="45">
        <f t="shared" si="1114"/>
        <v>766908.08000000287</v>
      </c>
      <c r="H1605" s="44">
        <v>4300000</v>
      </c>
      <c r="I1605" s="46">
        <f t="shared" si="1115"/>
        <v>-2921513.5399999996</v>
      </c>
      <c r="J1605" s="38"/>
      <c r="K1605" s="38"/>
      <c r="L1605" s="38"/>
      <c r="M1605" s="47">
        <f t="shared" si="1116"/>
        <v>-2921513.5399999996</v>
      </c>
      <c r="N1605" s="46">
        <v>5000000</v>
      </c>
      <c r="O1605" s="48">
        <f t="shared" si="1117"/>
        <v>267.77999999932945</v>
      </c>
      <c r="P1605" s="38"/>
      <c r="Q1605" s="38"/>
      <c r="R1605" s="38"/>
      <c r="S1605" s="55">
        <f t="shared" si="1118"/>
        <v>267.77999999932945</v>
      </c>
      <c r="T1605" s="48"/>
      <c r="U1605" s="49">
        <f t="shared" si="1119"/>
        <v>58.409999999403965</v>
      </c>
      <c r="V1605" s="38"/>
      <c r="W1605" s="38"/>
      <c r="X1605" s="38"/>
      <c r="Y1605" s="51">
        <f t="shared" si="1120"/>
        <v>58.409999999403965</v>
      </c>
      <c r="Z1605" s="52"/>
      <c r="AA1605" s="53">
        <f t="shared" si="1121"/>
        <v>-7.6977357821306214E-10</v>
      </c>
      <c r="AB1605" s="38"/>
      <c r="AC1605" s="38"/>
      <c r="AD1605" s="38"/>
      <c r="AE1605" s="54">
        <f t="shared" si="1122"/>
        <v>-7.6977357821306214E-10</v>
      </c>
      <c r="AF1605" s="53"/>
      <c r="AG1605" s="53">
        <f t="shared" si="1123"/>
        <v>18678.120000000526</v>
      </c>
      <c r="AH1605" s="38"/>
      <c r="AI1605" s="38"/>
      <c r="AJ1605" s="38"/>
      <c r="AK1605" s="54">
        <f t="shared" si="1124"/>
        <v>18678.120000000526</v>
      </c>
      <c r="AL1605" s="53"/>
      <c r="AM1605" s="53">
        <f t="shared" si="1134"/>
        <v>282.6699999999995</v>
      </c>
      <c r="AN1605" s="38"/>
      <c r="AO1605" s="38"/>
      <c r="AP1605" s="38"/>
      <c r="AQ1605" s="54">
        <f t="shared" si="1138"/>
        <v>282.6699999999995</v>
      </c>
      <c r="AR1605" s="53"/>
      <c r="AS1605" s="29">
        <f t="shared" si="1128"/>
        <v>-2135318.4799999986</v>
      </c>
      <c r="AT1605" s="29">
        <f t="shared" si="1129"/>
        <v>0</v>
      </c>
      <c r="AU1605" s="29">
        <f t="shared" si="1130"/>
        <v>0</v>
      </c>
      <c r="AV1605" s="29">
        <f t="shared" si="1131"/>
        <v>0</v>
      </c>
      <c r="AW1605" s="29"/>
      <c r="AX1605" s="29">
        <f t="shared" si="1132"/>
        <v>-2135318.4799999986</v>
      </c>
      <c r="AY1605" s="29">
        <f t="shared" si="1125"/>
        <v>9300000</v>
      </c>
      <c r="AZ1605" s="29">
        <f t="shared" si="1126"/>
        <v>7164681.5200000014</v>
      </c>
    </row>
    <row r="1606" spans="2:52" x14ac:dyDescent="0.3">
      <c r="B1606" s="99">
        <f t="shared" ref="B1606:B1609" si="1139">B1605+1</f>
        <v>46413</v>
      </c>
      <c r="C1606" s="44">
        <f t="shared" si="1113"/>
        <v>766908.08000000287</v>
      </c>
      <c r="D1606" s="38"/>
      <c r="E1606" s="38"/>
      <c r="F1606" s="38"/>
      <c r="G1606" s="45">
        <f t="shared" si="1114"/>
        <v>766908.08000000287</v>
      </c>
      <c r="H1606" s="44">
        <v>4300000</v>
      </c>
      <c r="I1606" s="46">
        <f t="shared" si="1115"/>
        <v>-2921513.5399999996</v>
      </c>
      <c r="J1606" s="38"/>
      <c r="K1606" s="38"/>
      <c r="L1606" s="38"/>
      <c r="M1606" s="47">
        <f t="shared" si="1116"/>
        <v>-2921513.5399999996</v>
      </c>
      <c r="N1606" s="46">
        <v>5000000</v>
      </c>
      <c r="O1606" s="48">
        <f t="shared" si="1117"/>
        <v>267.77999999932945</v>
      </c>
      <c r="P1606" s="38"/>
      <c r="Q1606" s="38"/>
      <c r="R1606" s="38"/>
      <c r="S1606" s="55">
        <f t="shared" si="1118"/>
        <v>267.77999999932945</v>
      </c>
      <c r="T1606" s="48"/>
      <c r="U1606" s="49">
        <f t="shared" si="1119"/>
        <v>58.409999999403965</v>
      </c>
      <c r="V1606" s="38"/>
      <c r="W1606" s="38"/>
      <c r="X1606" s="38"/>
      <c r="Y1606" s="51">
        <f t="shared" si="1120"/>
        <v>58.409999999403965</v>
      </c>
      <c r="Z1606" s="52"/>
      <c r="AA1606" s="53">
        <f t="shared" si="1121"/>
        <v>-7.6977357821306214E-10</v>
      </c>
      <c r="AB1606" s="38"/>
      <c r="AC1606" s="38"/>
      <c r="AD1606" s="38"/>
      <c r="AE1606" s="54">
        <f t="shared" si="1122"/>
        <v>-7.6977357821306214E-10</v>
      </c>
      <c r="AF1606" s="53"/>
      <c r="AG1606" s="53">
        <f t="shared" si="1123"/>
        <v>18678.120000000526</v>
      </c>
      <c r="AH1606" s="38"/>
      <c r="AI1606" s="38"/>
      <c r="AJ1606" s="38"/>
      <c r="AK1606" s="54">
        <f t="shared" si="1124"/>
        <v>18678.120000000526</v>
      </c>
      <c r="AL1606" s="53"/>
      <c r="AM1606" s="53">
        <f t="shared" si="1134"/>
        <v>282.6699999999995</v>
      </c>
      <c r="AN1606" s="38"/>
      <c r="AO1606" s="38"/>
      <c r="AP1606" s="38"/>
      <c r="AQ1606" s="54">
        <f t="shared" si="1138"/>
        <v>282.6699999999995</v>
      </c>
      <c r="AR1606" s="53"/>
      <c r="AS1606" s="29">
        <f t="shared" si="1128"/>
        <v>-2135318.4799999986</v>
      </c>
      <c r="AT1606" s="29">
        <f t="shared" si="1129"/>
        <v>0</v>
      </c>
      <c r="AU1606" s="29">
        <f t="shared" si="1130"/>
        <v>0</v>
      </c>
      <c r="AV1606" s="29">
        <f t="shared" si="1131"/>
        <v>0</v>
      </c>
      <c r="AW1606" s="29"/>
      <c r="AX1606" s="29">
        <f t="shared" si="1132"/>
        <v>-2135318.4799999986</v>
      </c>
      <c r="AY1606" s="29">
        <f t="shared" si="1125"/>
        <v>9300000</v>
      </c>
      <c r="AZ1606" s="29">
        <f t="shared" si="1126"/>
        <v>7164681.5200000014</v>
      </c>
    </row>
    <row r="1607" spans="2:52" x14ac:dyDescent="0.3">
      <c r="B1607" s="99">
        <f t="shared" si="1139"/>
        <v>46414</v>
      </c>
      <c r="C1607" s="44">
        <f t="shared" si="1113"/>
        <v>766908.08000000287</v>
      </c>
      <c r="D1607" s="38"/>
      <c r="E1607" s="38"/>
      <c r="F1607" s="38"/>
      <c r="G1607" s="45">
        <f t="shared" si="1114"/>
        <v>766908.08000000287</v>
      </c>
      <c r="H1607" s="44">
        <v>4300000</v>
      </c>
      <c r="I1607" s="46">
        <f t="shared" si="1115"/>
        <v>-2921513.5399999996</v>
      </c>
      <c r="J1607" s="38"/>
      <c r="K1607" s="38"/>
      <c r="L1607" s="38"/>
      <c r="M1607" s="47">
        <f t="shared" si="1116"/>
        <v>-2921513.5399999996</v>
      </c>
      <c r="N1607" s="46">
        <v>5000000</v>
      </c>
      <c r="O1607" s="48">
        <f t="shared" si="1117"/>
        <v>267.77999999932945</v>
      </c>
      <c r="P1607" s="38"/>
      <c r="Q1607" s="38"/>
      <c r="R1607" s="38"/>
      <c r="S1607" s="55">
        <f t="shared" si="1118"/>
        <v>267.77999999932945</v>
      </c>
      <c r="T1607" s="48"/>
      <c r="U1607" s="49">
        <f t="shared" si="1119"/>
        <v>58.409999999403965</v>
      </c>
      <c r="V1607" s="38"/>
      <c r="W1607" s="38"/>
      <c r="X1607" s="38"/>
      <c r="Y1607" s="51">
        <f t="shared" si="1120"/>
        <v>58.409999999403965</v>
      </c>
      <c r="Z1607" s="52"/>
      <c r="AA1607" s="53">
        <f t="shared" si="1121"/>
        <v>-7.6977357821306214E-10</v>
      </c>
      <c r="AB1607" s="38"/>
      <c r="AC1607" s="38"/>
      <c r="AD1607" s="38"/>
      <c r="AE1607" s="54">
        <f t="shared" si="1122"/>
        <v>-7.6977357821306214E-10</v>
      </c>
      <c r="AF1607" s="53"/>
      <c r="AG1607" s="53">
        <f t="shared" si="1123"/>
        <v>18678.120000000526</v>
      </c>
      <c r="AH1607" s="38"/>
      <c r="AI1607" s="38"/>
      <c r="AJ1607" s="38"/>
      <c r="AK1607" s="54">
        <f t="shared" si="1124"/>
        <v>18678.120000000526</v>
      </c>
      <c r="AL1607" s="53"/>
      <c r="AM1607" s="53">
        <f t="shared" si="1134"/>
        <v>282.6699999999995</v>
      </c>
      <c r="AN1607" s="38"/>
      <c r="AO1607" s="38"/>
      <c r="AP1607" s="38"/>
      <c r="AQ1607" s="54">
        <f t="shared" si="1138"/>
        <v>282.6699999999995</v>
      </c>
      <c r="AR1607" s="53"/>
      <c r="AS1607" s="29">
        <f t="shared" si="1128"/>
        <v>-2135318.4799999986</v>
      </c>
      <c r="AT1607" s="29">
        <f t="shared" si="1129"/>
        <v>0</v>
      </c>
      <c r="AU1607" s="29">
        <f t="shared" si="1130"/>
        <v>0</v>
      </c>
      <c r="AV1607" s="29">
        <f t="shared" si="1131"/>
        <v>0</v>
      </c>
      <c r="AW1607" s="29"/>
      <c r="AX1607" s="29">
        <f t="shared" si="1132"/>
        <v>-2135318.4799999986</v>
      </c>
      <c r="AY1607" s="29">
        <f t="shared" si="1125"/>
        <v>9300000</v>
      </c>
      <c r="AZ1607" s="29">
        <f t="shared" si="1126"/>
        <v>7164681.5200000014</v>
      </c>
    </row>
    <row r="1608" spans="2:52" x14ac:dyDescent="0.3">
      <c r="B1608" s="99">
        <f t="shared" si="1139"/>
        <v>46415</v>
      </c>
      <c r="C1608" s="44">
        <f t="shared" si="1113"/>
        <v>766908.08000000287</v>
      </c>
      <c r="D1608" s="38"/>
      <c r="E1608" s="38"/>
      <c r="F1608" s="38"/>
      <c r="G1608" s="45">
        <f t="shared" si="1114"/>
        <v>766908.08000000287</v>
      </c>
      <c r="H1608" s="44">
        <v>4300000</v>
      </c>
      <c r="I1608" s="46">
        <f t="shared" si="1115"/>
        <v>-2921513.5399999996</v>
      </c>
      <c r="J1608" s="38"/>
      <c r="K1608" s="38"/>
      <c r="L1608" s="38"/>
      <c r="M1608" s="47">
        <f t="shared" si="1116"/>
        <v>-2921513.5399999996</v>
      </c>
      <c r="N1608" s="46">
        <v>5000000</v>
      </c>
      <c r="O1608" s="48">
        <f t="shared" si="1117"/>
        <v>267.77999999932945</v>
      </c>
      <c r="P1608" s="38"/>
      <c r="Q1608" s="38"/>
      <c r="R1608" s="38"/>
      <c r="S1608" s="55">
        <f t="shared" si="1118"/>
        <v>267.77999999932945</v>
      </c>
      <c r="T1608" s="48"/>
      <c r="U1608" s="49">
        <f t="shared" si="1119"/>
        <v>58.409999999403965</v>
      </c>
      <c r="V1608" s="38"/>
      <c r="W1608" s="38"/>
      <c r="X1608" s="38"/>
      <c r="Y1608" s="51">
        <f t="shared" si="1120"/>
        <v>58.409999999403965</v>
      </c>
      <c r="Z1608" s="52"/>
      <c r="AA1608" s="53">
        <f t="shared" si="1121"/>
        <v>-7.6977357821306214E-10</v>
      </c>
      <c r="AB1608" s="38"/>
      <c r="AC1608" s="38"/>
      <c r="AD1608" s="38"/>
      <c r="AE1608" s="54">
        <f t="shared" si="1122"/>
        <v>-7.6977357821306214E-10</v>
      </c>
      <c r="AF1608" s="53"/>
      <c r="AG1608" s="53">
        <f t="shared" si="1123"/>
        <v>18678.120000000526</v>
      </c>
      <c r="AH1608" s="38"/>
      <c r="AI1608" s="38"/>
      <c r="AJ1608" s="38"/>
      <c r="AK1608" s="54">
        <f t="shared" si="1124"/>
        <v>18678.120000000526</v>
      </c>
      <c r="AL1608" s="53"/>
      <c r="AM1608" s="53">
        <f t="shared" si="1134"/>
        <v>282.6699999999995</v>
      </c>
      <c r="AN1608" s="38"/>
      <c r="AO1608" s="38"/>
      <c r="AP1608" s="38"/>
      <c r="AQ1608" s="54">
        <f t="shared" si="1138"/>
        <v>282.6699999999995</v>
      </c>
      <c r="AR1608" s="53"/>
      <c r="AS1608" s="29">
        <f t="shared" si="1128"/>
        <v>-2135318.4799999986</v>
      </c>
      <c r="AT1608" s="29">
        <f t="shared" si="1129"/>
        <v>0</v>
      </c>
      <c r="AU1608" s="29">
        <f t="shared" si="1130"/>
        <v>0</v>
      </c>
      <c r="AV1608" s="29">
        <f t="shared" si="1131"/>
        <v>0</v>
      </c>
      <c r="AW1608" s="29"/>
      <c r="AX1608" s="29">
        <f t="shared" si="1132"/>
        <v>-2135318.4799999986</v>
      </c>
      <c r="AY1608" s="29">
        <f t="shared" si="1125"/>
        <v>9300000</v>
      </c>
      <c r="AZ1608" s="29">
        <f t="shared" si="1126"/>
        <v>7164681.5200000014</v>
      </c>
    </row>
    <row r="1609" spans="2:52" x14ac:dyDescent="0.3">
      <c r="B1609" s="99">
        <f t="shared" si="1139"/>
        <v>46416</v>
      </c>
      <c r="C1609" s="44">
        <f t="shared" si="1113"/>
        <v>766908.08000000287</v>
      </c>
      <c r="D1609" s="38"/>
      <c r="E1609" s="38"/>
      <c r="F1609" s="38"/>
      <c r="G1609" s="45">
        <f t="shared" si="1114"/>
        <v>766908.08000000287</v>
      </c>
      <c r="H1609" s="44">
        <v>4300000</v>
      </c>
      <c r="I1609" s="46">
        <f t="shared" si="1115"/>
        <v>-2921513.5399999996</v>
      </c>
      <c r="J1609" s="38"/>
      <c r="K1609" s="38"/>
      <c r="L1609" s="38"/>
      <c r="M1609" s="47">
        <f t="shared" si="1116"/>
        <v>-2921513.5399999996</v>
      </c>
      <c r="N1609" s="46">
        <v>5000000</v>
      </c>
      <c r="O1609" s="48">
        <f t="shared" si="1117"/>
        <v>267.77999999932945</v>
      </c>
      <c r="P1609" s="38"/>
      <c r="Q1609" s="38"/>
      <c r="R1609" s="38"/>
      <c r="S1609" s="55">
        <f t="shared" si="1118"/>
        <v>267.77999999932945</v>
      </c>
      <c r="T1609" s="48"/>
      <c r="U1609" s="49">
        <f t="shared" si="1119"/>
        <v>58.409999999403965</v>
      </c>
      <c r="V1609" s="38"/>
      <c r="W1609" s="38"/>
      <c r="X1609" s="38"/>
      <c r="Y1609" s="51">
        <f t="shared" si="1120"/>
        <v>58.409999999403965</v>
      </c>
      <c r="Z1609" s="52"/>
      <c r="AA1609" s="53">
        <f t="shared" si="1121"/>
        <v>-7.6977357821306214E-10</v>
      </c>
      <c r="AB1609" s="38"/>
      <c r="AC1609" s="38"/>
      <c r="AD1609" s="38"/>
      <c r="AE1609" s="54">
        <f t="shared" si="1122"/>
        <v>-7.6977357821306214E-10</v>
      </c>
      <c r="AF1609" s="53"/>
      <c r="AG1609" s="53">
        <f t="shared" si="1123"/>
        <v>18678.120000000526</v>
      </c>
      <c r="AH1609" s="38"/>
      <c r="AI1609" s="38"/>
      <c r="AJ1609" s="38"/>
      <c r="AK1609" s="54">
        <f t="shared" si="1124"/>
        <v>18678.120000000526</v>
      </c>
      <c r="AL1609" s="53"/>
      <c r="AM1609" s="53">
        <f t="shared" si="1134"/>
        <v>282.6699999999995</v>
      </c>
      <c r="AN1609" s="38"/>
      <c r="AO1609" s="38"/>
      <c r="AP1609" s="38"/>
      <c r="AQ1609" s="54">
        <f t="shared" si="1138"/>
        <v>282.6699999999995</v>
      </c>
      <c r="AR1609" s="53"/>
      <c r="AS1609" s="29">
        <f t="shared" si="1128"/>
        <v>-2135318.4799999986</v>
      </c>
      <c r="AT1609" s="29">
        <f t="shared" si="1129"/>
        <v>0</v>
      </c>
      <c r="AU1609" s="29">
        <f t="shared" si="1130"/>
        <v>0</v>
      </c>
      <c r="AV1609" s="29">
        <f t="shared" si="1131"/>
        <v>0</v>
      </c>
      <c r="AW1609" s="29"/>
      <c r="AX1609" s="29">
        <f t="shared" si="1132"/>
        <v>-2135318.4799999986</v>
      </c>
      <c r="AY1609" s="29">
        <f t="shared" si="1125"/>
        <v>9300000</v>
      </c>
      <c r="AZ1609" s="29">
        <f t="shared" si="1126"/>
        <v>7164681.5200000014</v>
      </c>
    </row>
    <row r="1610" spans="2:52" x14ac:dyDescent="0.3">
      <c r="B1610" s="99">
        <f>B1609+3</f>
        <v>46419</v>
      </c>
      <c r="C1610" s="44">
        <f t="shared" si="1113"/>
        <v>766908.08000000287</v>
      </c>
      <c r="D1610" s="38"/>
      <c r="E1610" s="38"/>
      <c r="F1610" s="38"/>
      <c r="G1610" s="45">
        <f t="shared" si="1114"/>
        <v>766908.08000000287</v>
      </c>
      <c r="H1610" s="44">
        <v>4300000</v>
      </c>
      <c r="I1610" s="46">
        <f t="shared" si="1115"/>
        <v>-2921513.5399999996</v>
      </c>
      <c r="J1610" s="38"/>
      <c r="K1610" s="38"/>
      <c r="L1610" s="38"/>
      <c r="M1610" s="47">
        <f t="shared" si="1116"/>
        <v>-2921513.5399999996</v>
      </c>
      <c r="N1610" s="46">
        <v>5000000</v>
      </c>
      <c r="O1610" s="48">
        <f t="shared" si="1117"/>
        <v>267.77999999932945</v>
      </c>
      <c r="P1610" s="38"/>
      <c r="Q1610" s="38"/>
      <c r="R1610" s="38"/>
      <c r="S1610" s="55">
        <f t="shared" si="1118"/>
        <v>267.77999999932945</v>
      </c>
      <c r="T1610" s="48"/>
      <c r="U1610" s="49">
        <f t="shared" si="1119"/>
        <v>58.409999999403965</v>
      </c>
      <c r="V1610" s="38"/>
      <c r="W1610" s="38"/>
      <c r="X1610" s="38"/>
      <c r="Y1610" s="51">
        <f t="shared" si="1120"/>
        <v>58.409999999403965</v>
      </c>
      <c r="Z1610" s="52"/>
      <c r="AA1610" s="53">
        <f t="shared" si="1121"/>
        <v>-7.6977357821306214E-10</v>
      </c>
      <c r="AB1610" s="38"/>
      <c r="AC1610" s="38"/>
      <c r="AD1610" s="38"/>
      <c r="AE1610" s="54">
        <f t="shared" si="1122"/>
        <v>-7.6977357821306214E-10</v>
      </c>
      <c r="AF1610" s="53"/>
      <c r="AG1610" s="53">
        <f t="shared" si="1123"/>
        <v>18678.120000000526</v>
      </c>
      <c r="AH1610" s="38"/>
      <c r="AI1610" s="38"/>
      <c r="AJ1610" s="38"/>
      <c r="AK1610" s="54">
        <f t="shared" si="1124"/>
        <v>18678.120000000526</v>
      </c>
      <c r="AL1610" s="53"/>
      <c r="AM1610" s="53">
        <f t="shared" si="1134"/>
        <v>282.6699999999995</v>
      </c>
      <c r="AN1610" s="38"/>
      <c r="AO1610" s="38"/>
      <c r="AP1610" s="38"/>
      <c r="AQ1610" s="54">
        <f t="shared" si="1138"/>
        <v>282.6699999999995</v>
      </c>
      <c r="AR1610" s="53"/>
      <c r="AS1610" s="29">
        <f t="shared" si="1128"/>
        <v>-2135318.4799999986</v>
      </c>
      <c r="AT1610" s="29">
        <f t="shared" si="1129"/>
        <v>0</v>
      </c>
      <c r="AU1610" s="29">
        <f t="shared" si="1130"/>
        <v>0</v>
      </c>
      <c r="AV1610" s="29">
        <f t="shared" si="1131"/>
        <v>0</v>
      </c>
      <c r="AW1610" s="29"/>
      <c r="AX1610" s="29">
        <f t="shared" si="1132"/>
        <v>-2135318.4799999986</v>
      </c>
      <c r="AY1610" s="29">
        <f t="shared" si="1125"/>
        <v>9300000</v>
      </c>
      <c r="AZ1610" s="29">
        <f t="shared" si="1126"/>
        <v>7164681.5200000014</v>
      </c>
    </row>
    <row r="1611" spans="2:52" x14ac:dyDescent="0.3">
      <c r="B1611" s="99">
        <f t="shared" ref="B1611:B1614" si="1140">B1610+1</f>
        <v>46420</v>
      </c>
      <c r="C1611" s="44">
        <f t="shared" si="1113"/>
        <v>766908.08000000287</v>
      </c>
      <c r="D1611" s="38"/>
      <c r="E1611" s="38"/>
      <c r="F1611" s="38"/>
      <c r="G1611" s="45">
        <f t="shared" si="1114"/>
        <v>766908.08000000287</v>
      </c>
      <c r="H1611" s="44">
        <v>4300000</v>
      </c>
      <c r="I1611" s="46">
        <f t="shared" si="1115"/>
        <v>-2921513.5399999996</v>
      </c>
      <c r="J1611" s="38"/>
      <c r="K1611" s="38"/>
      <c r="L1611" s="38"/>
      <c r="M1611" s="47">
        <f t="shared" si="1116"/>
        <v>-2921513.5399999996</v>
      </c>
      <c r="N1611" s="46">
        <v>5000000</v>
      </c>
      <c r="O1611" s="48">
        <f t="shared" si="1117"/>
        <v>267.77999999932945</v>
      </c>
      <c r="P1611" s="38"/>
      <c r="Q1611" s="38"/>
      <c r="R1611" s="38"/>
      <c r="S1611" s="55">
        <f t="shared" si="1118"/>
        <v>267.77999999932945</v>
      </c>
      <c r="T1611" s="48"/>
      <c r="U1611" s="49">
        <f t="shared" si="1119"/>
        <v>58.409999999403965</v>
      </c>
      <c r="V1611" s="38"/>
      <c r="W1611" s="38"/>
      <c r="X1611" s="38"/>
      <c r="Y1611" s="51">
        <f t="shared" si="1120"/>
        <v>58.409999999403965</v>
      </c>
      <c r="Z1611" s="52"/>
      <c r="AA1611" s="53">
        <f t="shared" si="1121"/>
        <v>-7.6977357821306214E-10</v>
      </c>
      <c r="AB1611" s="38"/>
      <c r="AC1611" s="38"/>
      <c r="AD1611" s="38"/>
      <c r="AE1611" s="54">
        <f t="shared" si="1122"/>
        <v>-7.6977357821306214E-10</v>
      </c>
      <c r="AF1611" s="53"/>
      <c r="AG1611" s="53">
        <f t="shared" si="1123"/>
        <v>18678.120000000526</v>
      </c>
      <c r="AH1611" s="38"/>
      <c r="AI1611" s="38"/>
      <c r="AJ1611" s="38"/>
      <c r="AK1611" s="54">
        <f t="shared" si="1124"/>
        <v>18678.120000000526</v>
      </c>
      <c r="AL1611" s="53"/>
      <c r="AM1611" s="53">
        <f t="shared" si="1134"/>
        <v>282.6699999999995</v>
      </c>
      <c r="AN1611" s="38"/>
      <c r="AO1611" s="38"/>
      <c r="AP1611" s="38"/>
      <c r="AQ1611" s="54">
        <f t="shared" si="1138"/>
        <v>282.6699999999995</v>
      </c>
      <c r="AR1611" s="53"/>
      <c r="AS1611" s="29">
        <f t="shared" si="1128"/>
        <v>-2135318.4799999986</v>
      </c>
      <c r="AT1611" s="29">
        <f t="shared" si="1129"/>
        <v>0</v>
      </c>
      <c r="AU1611" s="29">
        <f t="shared" si="1130"/>
        <v>0</v>
      </c>
      <c r="AV1611" s="29">
        <f t="shared" si="1131"/>
        <v>0</v>
      </c>
      <c r="AW1611" s="29"/>
      <c r="AX1611" s="29">
        <f t="shared" si="1132"/>
        <v>-2135318.4799999986</v>
      </c>
      <c r="AY1611" s="29">
        <f t="shared" si="1125"/>
        <v>9300000</v>
      </c>
      <c r="AZ1611" s="29">
        <f t="shared" si="1126"/>
        <v>7164681.5200000014</v>
      </c>
    </row>
    <row r="1612" spans="2:52" x14ac:dyDescent="0.3">
      <c r="B1612" s="99">
        <f t="shared" si="1140"/>
        <v>46421</v>
      </c>
      <c r="C1612" s="44">
        <f t="shared" si="1113"/>
        <v>766908.08000000287</v>
      </c>
      <c r="D1612" s="38"/>
      <c r="E1612" s="38"/>
      <c r="F1612" s="38"/>
      <c r="G1612" s="45">
        <f t="shared" si="1114"/>
        <v>766908.08000000287</v>
      </c>
      <c r="H1612" s="44">
        <v>4300000</v>
      </c>
      <c r="I1612" s="46">
        <f t="shared" si="1115"/>
        <v>-2921513.5399999996</v>
      </c>
      <c r="J1612" s="38"/>
      <c r="K1612" s="38"/>
      <c r="L1612" s="38"/>
      <c r="M1612" s="47">
        <f t="shared" si="1116"/>
        <v>-2921513.5399999996</v>
      </c>
      <c r="N1612" s="46">
        <v>5000000</v>
      </c>
      <c r="O1612" s="48">
        <f t="shared" si="1117"/>
        <v>267.77999999932945</v>
      </c>
      <c r="P1612" s="38"/>
      <c r="Q1612" s="38"/>
      <c r="R1612" s="38"/>
      <c r="S1612" s="55">
        <f t="shared" si="1118"/>
        <v>267.77999999932945</v>
      </c>
      <c r="T1612" s="48"/>
      <c r="U1612" s="49">
        <f t="shared" si="1119"/>
        <v>58.409999999403965</v>
      </c>
      <c r="V1612" s="38"/>
      <c r="W1612" s="38"/>
      <c r="X1612" s="38"/>
      <c r="Y1612" s="51">
        <f t="shared" si="1120"/>
        <v>58.409999999403965</v>
      </c>
      <c r="Z1612" s="52"/>
      <c r="AA1612" s="53">
        <f t="shared" si="1121"/>
        <v>-7.6977357821306214E-10</v>
      </c>
      <c r="AB1612" s="38"/>
      <c r="AC1612" s="38"/>
      <c r="AD1612" s="38"/>
      <c r="AE1612" s="54">
        <f t="shared" si="1122"/>
        <v>-7.6977357821306214E-10</v>
      </c>
      <c r="AF1612" s="53"/>
      <c r="AG1612" s="53">
        <f t="shared" si="1123"/>
        <v>18678.120000000526</v>
      </c>
      <c r="AH1612" s="38"/>
      <c r="AI1612" s="38"/>
      <c r="AJ1612" s="38"/>
      <c r="AK1612" s="54">
        <f t="shared" si="1124"/>
        <v>18678.120000000526</v>
      </c>
      <c r="AL1612" s="53"/>
      <c r="AM1612" s="53">
        <f t="shared" si="1134"/>
        <v>282.6699999999995</v>
      </c>
      <c r="AN1612" s="38"/>
      <c r="AO1612" s="38"/>
      <c r="AP1612" s="38"/>
      <c r="AQ1612" s="54">
        <f t="shared" si="1138"/>
        <v>282.6699999999995</v>
      </c>
      <c r="AR1612" s="53"/>
      <c r="AS1612" s="29">
        <f t="shared" si="1128"/>
        <v>-2135318.4799999986</v>
      </c>
      <c r="AT1612" s="29">
        <f t="shared" si="1129"/>
        <v>0</v>
      </c>
      <c r="AU1612" s="29">
        <f t="shared" si="1130"/>
        <v>0</v>
      </c>
      <c r="AV1612" s="29">
        <f t="shared" si="1131"/>
        <v>0</v>
      </c>
      <c r="AW1612" s="29"/>
      <c r="AX1612" s="29">
        <f t="shared" si="1132"/>
        <v>-2135318.4799999986</v>
      </c>
      <c r="AY1612" s="29">
        <f t="shared" si="1125"/>
        <v>9300000</v>
      </c>
      <c r="AZ1612" s="29">
        <f t="shared" si="1126"/>
        <v>7164681.5200000014</v>
      </c>
    </row>
    <row r="1613" spans="2:52" x14ac:dyDescent="0.3">
      <c r="B1613" s="99">
        <f t="shared" si="1140"/>
        <v>46422</v>
      </c>
      <c r="C1613" s="44">
        <f t="shared" si="1113"/>
        <v>766908.08000000287</v>
      </c>
      <c r="D1613" s="38"/>
      <c r="E1613" s="38"/>
      <c r="F1613" s="38"/>
      <c r="G1613" s="45">
        <f t="shared" si="1114"/>
        <v>766908.08000000287</v>
      </c>
      <c r="H1613" s="44">
        <v>4300000</v>
      </c>
      <c r="I1613" s="46">
        <f t="shared" si="1115"/>
        <v>-2921513.5399999996</v>
      </c>
      <c r="J1613" s="38"/>
      <c r="K1613" s="38"/>
      <c r="L1613" s="38"/>
      <c r="M1613" s="47">
        <f t="shared" si="1116"/>
        <v>-2921513.5399999996</v>
      </c>
      <c r="N1613" s="46">
        <v>5000000</v>
      </c>
      <c r="O1613" s="48">
        <f t="shared" si="1117"/>
        <v>267.77999999932945</v>
      </c>
      <c r="P1613" s="38"/>
      <c r="Q1613" s="38"/>
      <c r="R1613" s="38"/>
      <c r="S1613" s="55">
        <f t="shared" si="1118"/>
        <v>267.77999999932945</v>
      </c>
      <c r="T1613" s="48"/>
      <c r="U1613" s="49">
        <f t="shared" si="1119"/>
        <v>58.409999999403965</v>
      </c>
      <c r="V1613" s="38"/>
      <c r="W1613" s="38"/>
      <c r="X1613" s="38"/>
      <c r="Y1613" s="51">
        <f t="shared" si="1120"/>
        <v>58.409999999403965</v>
      </c>
      <c r="Z1613" s="52"/>
      <c r="AA1613" s="53">
        <f t="shared" si="1121"/>
        <v>-7.6977357821306214E-10</v>
      </c>
      <c r="AB1613" s="38"/>
      <c r="AC1613" s="38"/>
      <c r="AD1613" s="38"/>
      <c r="AE1613" s="54">
        <f t="shared" si="1122"/>
        <v>-7.6977357821306214E-10</v>
      </c>
      <c r="AF1613" s="53"/>
      <c r="AG1613" s="53">
        <f t="shared" si="1123"/>
        <v>18678.120000000526</v>
      </c>
      <c r="AH1613" s="38"/>
      <c r="AI1613" s="38"/>
      <c r="AJ1613" s="38"/>
      <c r="AK1613" s="54">
        <f t="shared" si="1124"/>
        <v>18678.120000000526</v>
      </c>
      <c r="AL1613" s="53"/>
      <c r="AM1613" s="53">
        <f t="shared" si="1134"/>
        <v>282.6699999999995</v>
      </c>
      <c r="AN1613" s="38"/>
      <c r="AO1613" s="38"/>
      <c r="AP1613" s="38"/>
      <c r="AQ1613" s="54">
        <f t="shared" si="1138"/>
        <v>282.6699999999995</v>
      </c>
      <c r="AR1613" s="53"/>
      <c r="AS1613" s="29">
        <f t="shared" si="1128"/>
        <v>-2135318.4799999986</v>
      </c>
      <c r="AT1613" s="29">
        <f t="shared" si="1129"/>
        <v>0</v>
      </c>
      <c r="AU1613" s="29">
        <f t="shared" si="1130"/>
        <v>0</v>
      </c>
      <c r="AV1613" s="29">
        <f t="shared" si="1131"/>
        <v>0</v>
      </c>
      <c r="AW1613" s="29"/>
      <c r="AX1613" s="29">
        <f t="shared" si="1132"/>
        <v>-2135318.4799999986</v>
      </c>
      <c r="AY1613" s="29">
        <f t="shared" si="1125"/>
        <v>9300000</v>
      </c>
      <c r="AZ1613" s="29">
        <f t="shared" si="1126"/>
        <v>7164681.5200000014</v>
      </c>
    </row>
    <row r="1614" spans="2:52" x14ac:dyDescent="0.3">
      <c r="B1614" s="99">
        <f t="shared" si="1140"/>
        <v>46423</v>
      </c>
      <c r="C1614" s="44">
        <f t="shared" si="1113"/>
        <v>766908.08000000287</v>
      </c>
      <c r="D1614" s="38"/>
      <c r="E1614" s="38"/>
      <c r="F1614" s="38"/>
      <c r="G1614" s="45">
        <f t="shared" si="1114"/>
        <v>766908.08000000287</v>
      </c>
      <c r="H1614" s="44">
        <v>4300000</v>
      </c>
      <c r="I1614" s="46">
        <f t="shared" si="1115"/>
        <v>-2921513.5399999996</v>
      </c>
      <c r="J1614" s="38"/>
      <c r="K1614" s="38"/>
      <c r="L1614" s="38"/>
      <c r="M1614" s="47">
        <f t="shared" si="1116"/>
        <v>-2921513.5399999996</v>
      </c>
      <c r="N1614" s="46">
        <v>5000000</v>
      </c>
      <c r="O1614" s="48">
        <f t="shared" si="1117"/>
        <v>267.77999999932945</v>
      </c>
      <c r="P1614" s="38"/>
      <c r="Q1614" s="38"/>
      <c r="R1614" s="38"/>
      <c r="S1614" s="55">
        <f t="shared" si="1118"/>
        <v>267.77999999932945</v>
      </c>
      <c r="T1614" s="48"/>
      <c r="U1614" s="49">
        <f t="shared" si="1119"/>
        <v>58.409999999403965</v>
      </c>
      <c r="V1614" s="38"/>
      <c r="W1614" s="38"/>
      <c r="X1614" s="38"/>
      <c r="Y1614" s="51">
        <f t="shared" si="1120"/>
        <v>58.409999999403965</v>
      </c>
      <c r="Z1614" s="52"/>
      <c r="AA1614" s="53">
        <f t="shared" si="1121"/>
        <v>-7.6977357821306214E-10</v>
      </c>
      <c r="AB1614" s="38"/>
      <c r="AC1614" s="38"/>
      <c r="AD1614" s="38"/>
      <c r="AE1614" s="54">
        <f t="shared" si="1122"/>
        <v>-7.6977357821306214E-10</v>
      </c>
      <c r="AF1614" s="53"/>
      <c r="AG1614" s="53">
        <f t="shared" si="1123"/>
        <v>18678.120000000526</v>
      </c>
      <c r="AH1614" s="38"/>
      <c r="AI1614" s="38"/>
      <c r="AJ1614" s="38"/>
      <c r="AK1614" s="54">
        <f t="shared" si="1124"/>
        <v>18678.120000000526</v>
      </c>
      <c r="AL1614" s="53"/>
      <c r="AM1614" s="53">
        <f t="shared" si="1134"/>
        <v>282.6699999999995</v>
      </c>
      <c r="AN1614" s="38"/>
      <c r="AO1614" s="38"/>
      <c r="AP1614" s="38"/>
      <c r="AQ1614" s="54">
        <f t="shared" si="1138"/>
        <v>282.6699999999995</v>
      </c>
      <c r="AR1614" s="53"/>
      <c r="AS1614" s="29">
        <f t="shared" si="1128"/>
        <v>-2135318.4799999986</v>
      </c>
      <c r="AT1614" s="29">
        <f t="shared" si="1129"/>
        <v>0</v>
      </c>
      <c r="AU1614" s="29">
        <f t="shared" si="1130"/>
        <v>0</v>
      </c>
      <c r="AV1614" s="29">
        <f t="shared" si="1131"/>
        <v>0</v>
      </c>
      <c r="AW1614" s="29"/>
      <c r="AX1614" s="29">
        <f t="shared" si="1132"/>
        <v>-2135318.4799999986</v>
      </c>
      <c r="AY1614" s="29">
        <f t="shared" si="1125"/>
        <v>9300000</v>
      </c>
      <c r="AZ1614" s="29">
        <f t="shared" si="1126"/>
        <v>7164681.5200000014</v>
      </c>
    </row>
    <row r="1615" spans="2:52" x14ac:dyDescent="0.3">
      <c r="B1615" s="99">
        <f>B1614+3</f>
        <v>46426</v>
      </c>
      <c r="C1615" s="44">
        <f t="shared" si="1113"/>
        <v>766908.08000000287</v>
      </c>
      <c r="D1615" s="38"/>
      <c r="E1615" s="38"/>
      <c r="F1615" s="38"/>
      <c r="G1615" s="45">
        <f t="shared" si="1114"/>
        <v>766908.08000000287</v>
      </c>
      <c r="H1615" s="44">
        <v>4300000</v>
      </c>
      <c r="I1615" s="46">
        <f t="shared" si="1115"/>
        <v>-2921513.5399999996</v>
      </c>
      <c r="J1615" s="38"/>
      <c r="K1615" s="38"/>
      <c r="L1615" s="38"/>
      <c r="M1615" s="47">
        <f t="shared" si="1116"/>
        <v>-2921513.5399999996</v>
      </c>
      <c r="N1615" s="46">
        <v>5000000</v>
      </c>
      <c r="O1615" s="48">
        <f t="shared" si="1117"/>
        <v>267.77999999932945</v>
      </c>
      <c r="P1615" s="38"/>
      <c r="Q1615" s="38"/>
      <c r="R1615" s="38"/>
      <c r="S1615" s="55">
        <f t="shared" si="1118"/>
        <v>267.77999999932945</v>
      </c>
      <c r="T1615" s="48"/>
      <c r="U1615" s="49">
        <f t="shared" si="1119"/>
        <v>58.409999999403965</v>
      </c>
      <c r="V1615" s="38"/>
      <c r="W1615" s="38"/>
      <c r="X1615" s="38"/>
      <c r="Y1615" s="51">
        <f t="shared" si="1120"/>
        <v>58.409999999403965</v>
      </c>
      <c r="Z1615" s="52"/>
      <c r="AA1615" s="53">
        <f t="shared" si="1121"/>
        <v>-7.6977357821306214E-10</v>
      </c>
      <c r="AB1615" s="38"/>
      <c r="AC1615" s="38"/>
      <c r="AD1615" s="38"/>
      <c r="AE1615" s="54">
        <f t="shared" si="1122"/>
        <v>-7.6977357821306214E-10</v>
      </c>
      <c r="AF1615" s="53"/>
      <c r="AG1615" s="53">
        <f t="shared" si="1123"/>
        <v>18678.120000000526</v>
      </c>
      <c r="AH1615" s="38"/>
      <c r="AI1615" s="38"/>
      <c r="AJ1615" s="38"/>
      <c r="AK1615" s="54">
        <f t="shared" si="1124"/>
        <v>18678.120000000526</v>
      </c>
      <c r="AL1615" s="53"/>
      <c r="AM1615" s="53">
        <f t="shared" si="1134"/>
        <v>282.6699999999995</v>
      </c>
      <c r="AN1615" s="38"/>
      <c r="AO1615" s="38"/>
      <c r="AP1615" s="38"/>
      <c r="AQ1615" s="54">
        <f t="shared" si="1138"/>
        <v>282.6699999999995</v>
      </c>
      <c r="AR1615" s="53"/>
      <c r="AS1615" s="29">
        <f t="shared" si="1128"/>
        <v>-2135318.4799999986</v>
      </c>
      <c r="AT1615" s="29">
        <f t="shared" si="1129"/>
        <v>0</v>
      </c>
      <c r="AU1615" s="29">
        <f t="shared" si="1130"/>
        <v>0</v>
      </c>
      <c r="AV1615" s="29">
        <f t="shared" si="1131"/>
        <v>0</v>
      </c>
      <c r="AW1615" s="29"/>
      <c r="AX1615" s="29">
        <f t="shared" si="1132"/>
        <v>-2135318.4799999986</v>
      </c>
      <c r="AY1615" s="29">
        <f t="shared" si="1125"/>
        <v>9300000</v>
      </c>
      <c r="AZ1615" s="29">
        <f t="shared" si="1126"/>
        <v>7164681.5200000014</v>
      </c>
    </row>
    <row r="1616" spans="2:52" x14ac:dyDescent="0.3">
      <c r="B1616" s="99">
        <f t="shared" ref="B1616:B1619" si="1141">B1615+1</f>
        <v>46427</v>
      </c>
      <c r="C1616" s="44">
        <f t="shared" si="1113"/>
        <v>766908.08000000287</v>
      </c>
      <c r="D1616" s="38"/>
      <c r="E1616" s="38"/>
      <c r="F1616" s="38"/>
      <c r="G1616" s="45">
        <f t="shared" si="1114"/>
        <v>766908.08000000287</v>
      </c>
      <c r="H1616" s="44">
        <v>4300000</v>
      </c>
      <c r="I1616" s="46">
        <f t="shared" si="1115"/>
        <v>-2921513.5399999996</v>
      </c>
      <c r="J1616" s="38"/>
      <c r="K1616" s="38"/>
      <c r="L1616" s="38"/>
      <c r="M1616" s="47">
        <f t="shared" si="1116"/>
        <v>-2921513.5399999996</v>
      </c>
      <c r="N1616" s="46">
        <v>5000000</v>
      </c>
      <c r="O1616" s="48">
        <f t="shared" si="1117"/>
        <v>267.77999999932945</v>
      </c>
      <c r="P1616" s="38"/>
      <c r="Q1616" s="38"/>
      <c r="R1616" s="38"/>
      <c r="S1616" s="55">
        <f t="shared" si="1118"/>
        <v>267.77999999932945</v>
      </c>
      <c r="T1616" s="48"/>
      <c r="U1616" s="49">
        <f t="shared" si="1119"/>
        <v>58.409999999403965</v>
      </c>
      <c r="V1616" s="38"/>
      <c r="W1616" s="38"/>
      <c r="X1616" s="38"/>
      <c r="Y1616" s="51">
        <f t="shared" si="1120"/>
        <v>58.409999999403965</v>
      </c>
      <c r="Z1616" s="52"/>
      <c r="AA1616" s="53">
        <f t="shared" si="1121"/>
        <v>-7.6977357821306214E-10</v>
      </c>
      <c r="AB1616" s="38"/>
      <c r="AC1616" s="38"/>
      <c r="AD1616" s="38"/>
      <c r="AE1616" s="54">
        <f t="shared" si="1122"/>
        <v>-7.6977357821306214E-10</v>
      </c>
      <c r="AF1616" s="53"/>
      <c r="AG1616" s="53">
        <f t="shared" si="1123"/>
        <v>18678.120000000526</v>
      </c>
      <c r="AH1616" s="38"/>
      <c r="AI1616" s="38"/>
      <c r="AJ1616" s="38"/>
      <c r="AK1616" s="54">
        <f t="shared" si="1124"/>
        <v>18678.120000000526</v>
      </c>
      <c r="AL1616" s="53"/>
      <c r="AM1616" s="53">
        <f t="shared" si="1134"/>
        <v>282.6699999999995</v>
      </c>
      <c r="AN1616" s="38"/>
      <c r="AO1616" s="38"/>
      <c r="AP1616" s="38"/>
      <c r="AQ1616" s="54">
        <f t="shared" si="1138"/>
        <v>282.6699999999995</v>
      </c>
      <c r="AR1616" s="53"/>
      <c r="AS1616" s="29">
        <f t="shared" si="1128"/>
        <v>-2135318.4799999986</v>
      </c>
      <c r="AT1616" s="29">
        <f t="shared" si="1129"/>
        <v>0</v>
      </c>
      <c r="AU1616" s="29">
        <f t="shared" si="1130"/>
        <v>0</v>
      </c>
      <c r="AV1616" s="29">
        <f t="shared" si="1131"/>
        <v>0</v>
      </c>
      <c r="AW1616" s="29"/>
      <c r="AX1616" s="29">
        <f t="shared" si="1132"/>
        <v>-2135318.4799999986</v>
      </c>
      <c r="AY1616" s="29">
        <f t="shared" si="1125"/>
        <v>9300000</v>
      </c>
      <c r="AZ1616" s="29">
        <f t="shared" si="1126"/>
        <v>7164681.5200000014</v>
      </c>
    </row>
    <row r="1617" spans="2:52" x14ac:dyDescent="0.3">
      <c r="B1617" s="99">
        <f t="shared" si="1141"/>
        <v>46428</v>
      </c>
      <c r="C1617" s="44">
        <f t="shared" si="1113"/>
        <v>766908.08000000287</v>
      </c>
      <c r="D1617" s="38"/>
      <c r="E1617" s="38"/>
      <c r="F1617" s="38"/>
      <c r="G1617" s="45">
        <f t="shared" si="1114"/>
        <v>766908.08000000287</v>
      </c>
      <c r="H1617" s="44">
        <v>4300000</v>
      </c>
      <c r="I1617" s="46">
        <f t="shared" si="1115"/>
        <v>-2921513.5399999996</v>
      </c>
      <c r="J1617" s="38"/>
      <c r="K1617" s="38"/>
      <c r="L1617" s="38"/>
      <c r="M1617" s="47">
        <f t="shared" si="1116"/>
        <v>-2921513.5399999996</v>
      </c>
      <c r="N1617" s="46">
        <v>5000000</v>
      </c>
      <c r="O1617" s="48">
        <f t="shared" si="1117"/>
        <v>267.77999999932945</v>
      </c>
      <c r="P1617" s="38"/>
      <c r="Q1617" s="38"/>
      <c r="R1617" s="38"/>
      <c r="S1617" s="55">
        <f t="shared" si="1118"/>
        <v>267.77999999932945</v>
      </c>
      <c r="T1617" s="48"/>
      <c r="U1617" s="49">
        <f t="shared" si="1119"/>
        <v>58.409999999403965</v>
      </c>
      <c r="V1617" s="38"/>
      <c r="W1617" s="38"/>
      <c r="X1617" s="38"/>
      <c r="Y1617" s="51">
        <f t="shared" si="1120"/>
        <v>58.409999999403965</v>
      </c>
      <c r="Z1617" s="52"/>
      <c r="AA1617" s="53">
        <f t="shared" si="1121"/>
        <v>-7.6977357821306214E-10</v>
      </c>
      <c r="AB1617" s="38"/>
      <c r="AC1617" s="38"/>
      <c r="AD1617" s="38"/>
      <c r="AE1617" s="54">
        <f t="shared" si="1122"/>
        <v>-7.6977357821306214E-10</v>
      </c>
      <c r="AF1617" s="53"/>
      <c r="AG1617" s="53">
        <f t="shared" si="1123"/>
        <v>18678.120000000526</v>
      </c>
      <c r="AH1617" s="38"/>
      <c r="AI1617" s="38"/>
      <c r="AJ1617" s="38"/>
      <c r="AK1617" s="54">
        <f t="shared" si="1124"/>
        <v>18678.120000000526</v>
      </c>
      <c r="AL1617" s="53"/>
      <c r="AM1617" s="53">
        <f t="shared" si="1134"/>
        <v>282.6699999999995</v>
      </c>
      <c r="AN1617" s="38"/>
      <c r="AO1617" s="38"/>
      <c r="AP1617" s="38"/>
      <c r="AQ1617" s="54">
        <f t="shared" si="1138"/>
        <v>282.6699999999995</v>
      </c>
      <c r="AR1617" s="53"/>
      <c r="AS1617" s="29">
        <f t="shared" si="1128"/>
        <v>-2135318.4799999986</v>
      </c>
      <c r="AT1617" s="29">
        <f t="shared" si="1129"/>
        <v>0</v>
      </c>
      <c r="AU1617" s="29">
        <f t="shared" si="1130"/>
        <v>0</v>
      </c>
      <c r="AV1617" s="29">
        <f t="shared" si="1131"/>
        <v>0</v>
      </c>
      <c r="AW1617" s="29"/>
      <c r="AX1617" s="29">
        <f t="shared" si="1132"/>
        <v>-2135318.4799999986</v>
      </c>
      <c r="AY1617" s="29">
        <f t="shared" si="1125"/>
        <v>9300000</v>
      </c>
      <c r="AZ1617" s="29">
        <f t="shared" si="1126"/>
        <v>7164681.5200000014</v>
      </c>
    </row>
    <row r="1618" spans="2:52" x14ac:dyDescent="0.3">
      <c r="B1618" s="99">
        <f t="shared" si="1141"/>
        <v>46429</v>
      </c>
      <c r="C1618" s="44">
        <f t="shared" si="1113"/>
        <v>766908.08000000287</v>
      </c>
      <c r="D1618" s="38"/>
      <c r="E1618" s="38"/>
      <c r="F1618" s="38"/>
      <c r="G1618" s="45">
        <f t="shared" si="1114"/>
        <v>766908.08000000287</v>
      </c>
      <c r="H1618" s="44">
        <v>4300000</v>
      </c>
      <c r="I1618" s="46">
        <f t="shared" si="1115"/>
        <v>-2921513.5399999996</v>
      </c>
      <c r="J1618" s="38"/>
      <c r="K1618" s="38"/>
      <c r="L1618" s="38"/>
      <c r="M1618" s="47">
        <f t="shared" si="1116"/>
        <v>-2921513.5399999996</v>
      </c>
      <c r="N1618" s="46">
        <v>5000000</v>
      </c>
      <c r="O1618" s="48">
        <f t="shared" si="1117"/>
        <v>267.77999999932945</v>
      </c>
      <c r="P1618" s="38"/>
      <c r="Q1618" s="38"/>
      <c r="R1618" s="38"/>
      <c r="S1618" s="55">
        <f t="shared" si="1118"/>
        <v>267.77999999932945</v>
      </c>
      <c r="T1618" s="48"/>
      <c r="U1618" s="49">
        <f t="shared" si="1119"/>
        <v>58.409999999403965</v>
      </c>
      <c r="V1618" s="38"/>
      <c r="W1618" s="38"/>
      <c r="X1618" s="38"/>
      <c r="Y1618" s="51">
        <f t="shared" si="1120"/>
        <v>58.409999999403965</v>
      </c>
      <c r="Z1618" s="52"/>
      <c r="AA1618" s="53">
        <f t="shared" si="1121"/>
        <v>-7.6977357821306214E-10</v>
      </c>
      <c r="AB1618" s="38"/>
      <c r="AC1618" s="38"/>
      <c r="AD1618" s="38"/>
      <c r="AE1618" s="54">
        <f t="shared" si="1122"/>
        <v>-7.6977357821306214E-10</v>
      </c>
      <c r="AF1618" s="53"/>
      <c r="AG1618" s="53">
        <f t="shared" si="1123"/>
        <v>18678.120000000526</v>
      </c>
      <c r="AH1618" s="38"/>
      <c r="AI1618" s="38"/>
      <c r="AJ1618" s="38"/>
      <c r="AK1618" s="54">
        <f t="shared" si="1124"/>
        <v>18678.120000000526</v>
      </c>
      <c r="AL1618" s="53"/>
      <c r="AM1618" s="53">
        <f t="shared" si="1134"/>
        <v>282.6699999999995</v>
      </c>
      <c r="AN1618" s="38"/>
      <c r="AO1618" s="38"/>
      <c r="AP1618" s="38"/>
      <c r="AQ1618" s="54">
        <f t="shared" si="1138"/>
        <v>282.6699999999995</v>
      </c>
      <c r="AR1618" s="53"/>
      <c r="AS1618" s="29">
        <f t="shared" si="1128"/>
        <v>-2135318.4799999986</v>
      </c>
      <c r="AT1618" s="29">
        <f t="shared" si="1129"/>
        <v>0</v>
      </c>
      <c r="AU1618" s="29">
        <f t="shared" si="1130"/>
        <v>0</v>
      </c>
      <c r="AV1618" s="29">
        <f t="shared" si="1131"/>
        <v>0</v>
      </c>
      <c r="AW1618" s="29"/>
      <c r="AX1618" s="29">
        <f t="shared" si="1132"/>
        <v>-2135318.4799999986</v>
      </c>
      <c r="AY1618" s="29">
        <f t="shared" si="1125"/>
        <v>9300000</v>
      </c>
      <c r="AZ1618" s="29">
        <f t="shared" si="1126"/>
        <v>7164681.5200000014</v>
      </c>
    </row>
    <row r="1619" spans="2:52" x14ac:dyDescent="0.3">
      <c r="B1619" s="99">
        <f t="shared" si="1141"/>
        <v>46430</v>
      </c>
      <c r="C1619" s="44">
        <f t="shared" si="1113"/>
        <v>766908.08000000287</v>
      </c>
      <c r="D1619" s="38"/>
      <c r="E1619" s="38"/>
      <c r="F1619" s="38"/>
      <c r="G1619" s="45">
        <f t="shared" si="1114"/>
        <v>766908.08000000287</v>
      </c>
      <c r="H1619" s="44">
        <v>4300000</v>
      </c>
      <c r="I1619" s="46">
        <f t="shared" si="1115"/>
        <v>-2921513.5399999996</v>
      </c>
      <c r="J1619" s="38"/>
      <c r="K1619" s="38"/>
      <c r="L1619" s="38"/>
      <c r="M1619" s="47">
        <f t="shared" si="1116"/>
        <v>-2921513.5399999996</v>
      </c>
      <c r="N1619" s="46">
        <v>5000000</v>
      </c>
      <c r="O1619" s="48">
        <f t="shared" si="1117"/>
        <v>267.77999999932945</v>
      </c>
      <c r="P1619" s="38"/>
      <c r="Q1619" s="38"/>
      <c r="R1619" s="38"/>
      <c r="S1619" s="55">
        <f t="shared" si="1118"/>
        <v>267.77999999932945</v>
      </c>
      <c r="T1619" s="48"/>
      <c r="U1619" s="49">
        <f t="shared" si="1119"/>
        <v>58.409999999403965</v>
      </c>
      <c r="V1619" s="38"/>
      <c r="W1619" s="38"/>
      <c r="X1619" s="38"/>
      <c r="Y1619" s="51">
        <f t="shared" si="1120"/>
        <v>58.409999999403965</v>
      </c>
      <c r="Z1619" s="52"/>
      <c r="AA1619" s="53">
        <f t="shared" si="1121"/>
        <v>-7.6977357821306214E-10</v>
      </c>
      <c r="AB1619" s="38"/>
      <c r="AC1619" s="38"/>
      <c r="AD1619" s="38"/>
      <c r="AE1619" s="54">
        <f t="shared" si="1122"/>
        <v>-7.6977357821306214E-10</v>
      </c>
      <c r="AF1619" s="53"/>
      <c r="AG1619" s="53">
        <f t="shared" si="1123"/>
        <v>18678.120000000526</v>
      </c>
      <c r="AH1619" s="38"/>
      <c r="AI1619" s="38"/>
      <c r="AJ1619" s="38"/>
      <c r="AK1619" s="54">
        <f t="shared" si="1124"/>
        <v>18678.120000000526</v>
      </c>
      <c r="AL1619" s="53"/>
      <c r="AM1619" s="53">
        <f t="shared" si="1134"/>
        <v>282.6699999999995</v>
      </c>
      <c r="AN1619" s="38"/>
      <c r="AO1619" s="38"/>
      <c r="AP1619" s="38"/>
      <c r="AQ1619" s="54">
        <f t="shared" si="1138"/>
        <v>282.6699999999995</v>
      </c>
      <c r="AR1619" s="53"/>
      <c r="AS1619" s="29">
        <f t="shared" si="1128"/>
        <v>-2135318.4799999986</v>
      </c>
      <c r="AT1619" s="29">
        <f t="shared" si="1129"/>
        <v>0</v>
      </c>
      <c r="AU1619" s="29">
        <f t="shared" si="1130"/>
        <v>0</v>
      </c>
      <c r="AV1619" s="29">
        <f t="shared" si="1131"/>
        <v>0</v>
      </c>
      <c r="AW1619" s="29"/>
      <c r="AX1619" s="29">
        <f t="shared" si="1132"/>
        <v>-2135318.4799999986</v>
      </c>
      <c r="AY1619" s="29">
        <f t="shared" si="1125"/>
        <v>9300000</v>
      </c>
      <c r="AZ1619" s="29">
        <f t="shared" si="1126"/>
        <v>7164681.5200000014</v>
      </c>
    </row>
    <row r="1620" spans="2:52" x14ac:dyDescent="0.3">
      <c r="B1620" s="99">
        <f>B1619+3</f>
        <v>46433</v>
      </c>
      <c r="C1620" s="44">
        <f t="shared" si="1113"/>
        <v>766908.08000000287</v>
      </c>
      <c r="D1620" s="38"/>
      <c r="E1620" s="38"/>
      <c r="F1620" s="38"/>
      <c r="G1620" s="45">
        <f t="shared" si="1114"/>
        <v>766908.08000000287</v>
      </c>
      <c r="H1620" s="44">
        <v>4300000</v>
      </c>
      <c r="I1620" s="46">
        <f t="shared" si="1115"/>
        <v>-2921513.5399999996</v>
      </c>
      <c r="J1620" s="38"/>
      <c r="K1620" s="38"/>
      <c r="L1620" s="38"/>
      <c r="M1620" s="47">
        <f t="shared" si="1116"/>
        <v>-2921513.5399999996</v>
      </c>
      <c r="N1620" s="46">
        <v>5000000</v>
      </c>
      <c r="O1620" s="48">
        <f t="shared" si="1117"/>
        <v>267.77999999932945</v>
      </c>
      <c r="P1620" s="38"/>
      <c r="Q1620" s="38"/>
      <c r="R1620" s="38"/>
      <c r="S1620" s="55">
        <f t="shared" si="1118"/>
        <v>267.77999999932945</v>
      </c>
      <c r="T1620" s="48"/>
      <c r="U1620" s="49">
        <f t="shared" si="1119"/>
        <v>58.409999999403965</v>
      </c>
      <c r="V1620" s="38"/>
      <c r="W1620" s="38"/>
      <c r="X1620" s="38"/>
      <c r="Y1620" s="51">
        <f t="shared" si="1120"/>
        <v>58.409999999403965</v>
      </c>
      <c r="Z1620" s="52"/>
      <c r="AA1620" s="53">
        <f t="shared" si="1121"/>
        <v>-7.6977357821306214E-10</v>
      </c>
      <c r="AB1620" s="38"/>
      <c r="AC1620" s="38"/>
      <c r="AD1620" s="38"/>
      <c r="AE1620" s="54">
        <f t="shared" si="1122"/>
        <v>-7.6977357821306214E-10</v>
      </c>
      <c r="AF1620" s="53"/>
      <c r="AG1620" s="53">
        <f t="shared" si="1123"/>
        <v>18678.120000000526</v>
      </c>
      <c r="AH1620" s="38"/>
      <c r="AI1620" s="38"/>
      <c r="AJ1620" s="38"/>
      <c r="AK1620" s="54">
        <f t="shared" si="1124"/>
        <v>18678.120000000526</v>
      </c>
      <c r="AL1620" s="53"/>
      <c r="AM1620" s="53">
        <f t="shared" si="1134"/>
        <v>282.6699999999995</v>
      </c>
      <c r="AN1620" s="38"/>
      <c r="AO1620" s="38"/>
      <c r="AP1620" s="38"/>
      <c r="AQ1620" s="54">
        <f t="shared" si="1138"/>
        <v>282.6699999999995</v>
      </c>
      <c r="AR1620" s="53"/>
      <c r="AS1620" s="29">
        <f t="shared" si="1128"/>
        <v>-2135318.4799999986</v>
      </c>
      <c r="AT1620" s="29">
        <f t="shared" si="1129"/>
        <v>0</v>
      </c>
      <c r="AU1620" s="29">
        <f t="shared" si="1130"/>
        <v>0</v>
      </c>
      <c r="AV1620" s="29">
        <f t="shared" si="1131"/>
        <v>0</v>
      </c>
      <c r="AW1620" s="29"/>
      <c r="AX1620" s="29">
        <f t="shared" si="1132"/>
        <v>-2135318.4799999986</v>
      </c>
      <c r="AY1620" s="29">
        <f t="shared" si="1125"/>
        <v>9300000</v>
      </c>
      <c r="AZ1620" s="29">
        <f t="shared" si="1126"/>
        <v>7164681.5200000014</v>
      </c>
    </row>
    <row r="1621" spans="2:52" x14ac:dyDescent="0.3">
      <c r="B1621" s="99">
        <f t="shared" ref="B1621:B1624" si="1142">B1620+1</f>
        <v>46434</v>
      </c>
      <c r="C1621" s="44">
        <f t="shared" si="1113"/>
        <v>766908.08000000287</v>
      </c>
      <c r="D1621" s="38"/>
      <c r="E1621" s="38"/>
      <c r="F1621" s="38"/>
      <c r="G1621" s="45">
        <f t="shared" si="1114"/>
        <v>766908.08000000287</v>
      </c>
      <c r="H1621" s="44">
        <v>4300000</v>
      </c>
      <c r="I1621" s="46">
        <f t="shared" si="1115"/>
        <v>-2921513.5399999996</v>
      </c>
      <c r="J1621" s="38"/>
      <c r="K1621" s="38"/>
      <c r="L1621" s="38"/>
      <c r="M1621" s="47">
        <f t="shared" si="1116"/>
        <v>-2921513.5399999996</v>
      </c>
      <c r="N1621" s="46">
        <v>5000000</v>
      </c>
      <c r="O1621" s="48">
        <f t="shared" si="1117"/>
        <v>267.77999999932945</v>
      </c>
      <c r="P1621" s="38"/>
      <c r="Q1621" s="38"/>
      <c r="R1621" s="38"/>
      <c r="S1621" s="55">
        <f t="shared" si="1118"/>
        <v>267.77999999932945</v>
      </c>
      <c r="T1621" s="48"/>
      <c r="U1621" s="49">
        <f t="shared" si="1119"/>
        <v>58.409999999403965</v>
      </c>
      <c r="V1621" s="38"/>
      <c r="W1621" s="38"/>
      <c r="X1621" s="38"/>
      <c r="Y1621" s="51">
        <f t="shared" si="1120"/>
        <v>58.409999999403965</v>
      </c>
      <c r="Z1621" s="52"/>
      <c r="AA1621" s="53">
        <f t="shared" si="1121"/>
        <v>-7.6977357821306214E-10</v>
      </c>
      <c r="AB1621" s="38"/>
      <c r="AC1621" s="38"/>
      <c r="AD1621" s="38"/>
      <c r="AE1621" s="54">
        <f t="shared" si="1122"/>
        <v>-7.6977357821306214E-10</v>
      </c>
      <c r="AF1621" s="53"/>
      <c r="AG1621" s="53">
        <f t="shared" si="1123"/>
        <v>18678.120000000526</v>
      </c>
      <c r="AH1621" s="38"/>
      <c r="AI1621" s="38"/>
      <c r="AJ1621" s="38"/>
      <c r="AK1621" s="54">
        <f t="shared" si="1124"/>
        <v>18678.120000000526</v>
      </c>
      <c r="AL1621" s="53"/>
      <c r="AM1621" s="53">
        <f t="shared" si="1134"/>
        <v>282.6699999999995</v>
      </c>
      <c r="AN1621" s="38"/>
      <c r="AO1621" s="38"/>
      <c r="AP1621" s="38"/>
      <c r="AQ1621" s="54">
        <f t="shared" si="1138"/>
        <v>282.6699999999995</v>
      </c>
      <c r="AR1621" s="53"/>
      <c r="AS1621" s="29">
        <f t="shared" si="1128"/>
        <v>-2135318.4799999986</v>
      </c>
      <c r="AT1621" s="29">
        <f t="shared" si="1129"/>
        <v>0</v>
      </c>
      <c r="AU1621" s="29">
        <f t="shared" si="1130"/>
        <v>0</v>
      </c>
      <c r="AV1621" s="29">
        <f t="shared" si="1131"/>
        <v>0</v>
      </c>
      <c r="AW1621" s="29"/>
      <c r="AX1621" s="29">
        <f t="shared" si="1132"/>
        <v>-2135318.4799999986</v>
      </c>
      <c r="AY1621" s="29">
        <f t="shared" si="1125"/>
        <v>9300000</v>
      </c>
      <c r="AZ1621" s="29">
        <f t="shared" si="1126"/>
        <v>7164681.5200000014</v>
      </c>
    </row>
    <row r="1622" spans="2:52" x14ac:dyDescent="0.3">
      <c r="B1622" s="99">
        <f t="shared" si="1142"/>
        <v>46435</v>
      </c>
      <c r="C1622" s="44">
        <f t="shared" si="1113"/>
        <v>766908.08000000287</v>
      </c>
      <c r="D1622" s="38"/>
      <c r="E1622" s="38"/>
      <c r="F1622" s="38"/>
      <c r="G1622" s="45">
        <f t="shared" si="1114"/>
        <v>766908.08000000287</v>
      </c>
      <c r="H1622" s="44">
        <v>4300000</v>
      </c>
      <c r="I1622" s="46">
        <f t="shared" si="1115"/>
        <v>-2921513.5399999996</v>
      </c>
      <c r="J1622" s="38"/>
      <c r="K1622" s="38"/>
      <c r="L1622" s="38"/>
      <c r="M1622" s="47">
        <f t="shared" si="1116"/>
        <v>-2921513.5399999996</v>
      </c>
      <c r="N1622" s="46">
        <v>5000000</v>
      </c>
      <c r="O1622" s="48">
        <f t="shared" si="1117"/>
        <v>267.77999999932945</v>
      </c>
      <c r="P1622" s="38"/>
      <c r="Q1622" s="38"/>
      <c r="R1622" s="38"/>
      <c r="S1622" s="55">
        <f t="shared" si="1118"/>
        <v>267.77999999932945</v>
      </c>
      <c r="T1622" s="48"/>
      <c r="U1622" s="49">
        <f t="shared" si="1119"/>
        <v>58.409999999403965</v>
      </c>
      <c r="V1622" s="38"/>
      <c r="W1622" s="38"/>
      <c r="X1622" s="38"/>
      <c r="Y1622" s="51">
        <f t="shared" si="1120"/>
        <v>58.409999999403965</v>
      </c>
      <c r="Z1622" s="52"/>
      <c r="AA1622" s="53">
        <f t="shared" si="1121"/>
        <v>-7.6977357821306214E-10</v>
      </c>
      <c r="AB1622" s="38"/>
      <c r="AC1622" s="38"/>
      <c r="AD1622" s="38"/>
      <c r="AE1622" s="54">
        <f t="shared" si="1122"/>
        <v>-7.6977357821306214E-10</v>
      </c>
      <c r="AF1622" s="53"/>
      <c r="AG1622" s="53">
        <f t="shared" si="1123"/>
        <v>18678.120000000526</v>
      </c>
      <c r="AH1622" s="38"/>
      <c r="AI1622" s="38"/>
      <c r="AJ1622" s="38"/>
      <c r="AK1622" s="54">
        <f t="shared" si="1124"/>
        <v>18678.120000000526</v>
      </c>
      <c r="AL1622" s="53"/>
      <c r="AM1622" s="53">
        <f t="shared" si="1134"/>
        <v>282.6699999999995</v>
      </c>
      <c r="AN1622" s="38"/>
      <c r="AO1622" s="38"/>
      <c r="AP1622" s="38"/>
      <c r="AQ1622" s="54">
        <f t="shared" si="1138"/>
        <v>282.6699999999995</v>
      </c>
      <c r="AR1622" s="53"/>
      <c r="AS1622" s="29">
        <f t="shared" si="1128"/>
        <v>-2135318.4799999986</v>
      </c>
      <c r="AT1622" s="29">
        <f t="shared" si="1129"/>
        <v>0</v>
      </c>
      <c r="AU1622" s="29">
        <f t="shared" si="1130"/>
        <v>0</v>
      </c>
      <c r="AV1622" s="29">
        <f t="shared" si="1131"/>
        <v>0</v>
      </c>
      <c r="AW1622" s="29"/>
      <c r="AX1622" s="29">
        <f t="shared" si="1132"/>
        <v>-2135318.4799999986</v>
      </c>
      <c r="AY1622" s="29">
        <f t="shared" si="1125"/>
        <v>9300000</v>
      </c>
      <c r="AZ1622" s="29">
        <f t="shared" si="1126"/>
        <v>7164681.5200000014</v>
      </c>
    </row>
    <row r="1623" spans="2:52" x14ac:dyDescent="0.3">
      <c r="B1623" s="99">
        <f t="shared" si="1142"/>
        <v>46436</v>
      </c>
      <c r="C1623" s="44">
        <f t="shared" si="1113"/>
        <v>766908.08000000287</v>
      </c>
      <c r="D1623" s="38"/>
      <c r="E1623" s="38"/>
      <c r="F1623" s="38"/>
      <c r="G1623" s="45">
        <f t="shared" si="1114"/>
        <v>766908.08000000287</v>
      </c>
      <c r="H1623" s="44">
        <v>4300000</v>
      </c>
      <c r="I1623" s="46">
        <f t="shared" si="1115"/>
        <v>-2921513.5399999996</v>
      </c>
      <c r="J1623" s="38"/>
      <c r="K1623" s="38"/>
      <c r="L1623" s="38"/>
      <c r="M1623" s="47">
        <f t="shared" si="1116"/>
        <v>-2921513.5399999996</v>
      </c>
      <c r="N1623" s="46">
        <v>5000000</v>
      </c>
      <c r="O1623" s="48">
        <f t="shared" si="1117"/>
        <v>267.77999999932945</v>
      </c>
      <c r="P1623" s="38"/>
      <c r="Q1623" s="38"/>
      <c r="R1623" s="38"/>
      <c r="S1623" s="55">
        <f t="shared" si="1118"/>
        <v>267.77999999932945</v>
      </c>
      <c r="T1623" s="48"/>
      <c r="U1623" s="49">
        <f t="shared" si="1119"/>
        <v>58.409999999403965</v>
      </c>
      <c r="V1623" s="38"/>
      <c r="W1623" s="38"/>
      <c r="X1623" s="38"/>
      <c r="Y1623" s="51">
        <f t="shared" si="1120"/>
        <v>58.409999999403965</v>
      </c>
      <c r="Z1623" s="52"/>
      <c r="AA1623" s="53">
        <f t="shared" si="1121"/>
        <v>-7.6977357821306214E-10</v>
      </c>
      <c r="AB1623" s="38"/>
      <c r="AC1623" s="38"/>
      <c r="AD1623" s="38"/>
      <c r="AE1623" s="54">
        <f t="shared" si="1122"/>
        <v>-7.6977357821306214E-10</v>
      </c>
      <c r="AF1623" s="53"/>
      <c r="AG1623" s="53">
        <f t="shared" si="1123"/>
        <v>18678.120000000526</v>
      </c>
      <c r="AH1623" s="38"/>
      <c r="AI1623" s="38"/>
      <c r="AJ1623" s="38"/>
      <c r="AK1623" s="54">
        <f t="shared" si="1124"/>
        <v>18678.120000000526</v>
      </c>
      <c r="AL1623" s="53"/>
      <c r="AM1623" s="53">
        <f t="shared" si="1134"/>
        <v>282.6699999999995</v>
      </c>
      <c r="AN1623" s="38"/>
      <c r="AO1623" s="38"/>
      <c r="AP1623" s="38"/>
      <c r="AQ1623" s="54">
        <f t="shared" si="1138"/>
        <v>282.6699999999995</v>
      </c>
      <c r="AR1623" s="53"/>
      <c r="AS1623" s="29">
        <f t="shared" si="1128"/>
        <v>-2135318.4799999986</v>
      </c>
      <c r="AT1623" s="29">
        <f t="shared" si="1129"/>
        <v>0</v>
      </c>
      <c r="AU1623" s="29">
        <f t="shared" si="1130"/>
        <v>0</v>
      </c>
      <c r="AV1623" s="29">
        <f t="shared" si="1131"/>
        <v>0</v>
      </c>
      <c r="AW1623" s="29"/>
      <c r="AX1623" s="29">
        <f t="shared" si="1132"/>
        <v>-2135318.4799999986</v>
      </c>
      <c r="AY1623" s="29">
        <f t="shared" si="1125"/>
        <v>9300000</v>
      </c>
      <c r="AZ1623" s="29">
        <f t="shared" si="1126"/>
        <v>7164681.5200000014</v>
      </c>
    </row>
    <row r="1624" spans="2:52" x14ac:dyDescent="0.3">
      <c r="B1624" s="99">
        <f t="shared" si="1142"/>
        <v>46437</v>
      </c>
      <c r="C1624" s="44">
        <f t="shared" si="1113"/>
        <v>766908.08000000287</v>
      </c>
      <c r="D1624" s="38"/>
      <c r="E1624" s="38"/>
      <c r="F1624" s="38"/>
      <c r="G1624" s="45">
        <f t="shared" si="1114"/>
        <v>766908.08000000287</v>
      </c>
      <c r="H1624" s="44">
        <v>4300000</v>
      </c>
      <c r="I1624" s="46">
        <f t="shared" si="1115"/>
        <v>-2921513.5399999996</v>
      </c>
      <c r="J1624" s="38"/>
      <c r="K1624" s="38"/>
      <c r="L1624" s="38"/>
      <c r="M1624" s="47">
        <f t="shared" si="1116"/>
        <v>-2921513.5399999996</v>
      </c>
      <c r="N1624" s="46">
        <v>5000000</v>
      </c>
      <c r="O1624" s="48">
        <f t="shared" si="1117"/>
        <v>267.77999999932945</v>
      </c>
      <c r="P1624" s="38"/>
      <c r="Q1624" s="38"/>
      <c r="R1624" s="38"/>
      <c r="S1624" s="55">
        <f t="shared" si="1118"/>
        <v>267.77999999932945</v>
      </c>
      <c r="T1624" s="48"/>
      <c r="U1624" s="49">
        <f t="shared" si="1119"/>
        <v>58.409999999403965</v>
      </c>
      <c r="V1624" s="38"/>
      <c r="W1624" s="38"/>
      <c r="X1624" s="38"/>
      <c r="Y1624" s="51">
        <f t="shared" si="1120"/>
        <v>58.409999999403965</v>
      </c>
      <c r="Z1624" s="52"/>
      <c r="AA1624" s="53">
        <f t="shared" si="1121"/>
        <v>-7.6977357821306214E-10</v>
      </c>
      <c r="AB1624" s="38"/>
      <c r="AC1624" s="38"/>
      <c r="AD1624" s="38"/>
      <c r="AE1624" s="54">
        <f t="shared" si="1122"/>
        <v>-7.6977357821306214E-10</v>
      </c>
      <c r="AF1624" s="53"/>
      <c r="AG1624" s="53">
        <f t="shared" si="1123"/>
        <v>18678.120000000526</v>
      </c>
      <c r="AH1624" s="38"/>
      <c r="AI1624" s="38"/>
      <c r="AJ1624" s="38"/>
      <c r="AK1624" s="54">
        <f t="shared" si="1124"/>
        <v>18678.120000000526</v>
      </c>
      <c r="AL1624" s="53"/>
      <c r="AM1624" s="53">
        <f t="shared" si="1134"/>
        <v>282.6699999999995</v>
      </c>
      <c r="AN1624" s="38"/>
      <c r="AO1624" s="38"/>
      <c r="AP1624" s="38"/>
      <c r="AQ1624" s="54">
        <f t="shared" si="1138"/>
        <v>282.6699999999995</v>
      </c>
      <c r="AR1624" s="53"/>
      <c r="AS1624" s="29">
        <f t="shared" si="1128"/>
        <v>-2135318.4799999986</v>
      </c>
      <c r="AT1624" s="29">
        <f t="shared" si="1129"/>
        <v>0</v>
      </c>
      <c r="AU1624" s="29">
        <f t="shared" si="1130"/>
        <v>0</v>
      </c>
      <c r="AV1624" s="29">
        <f t="shared" si="1131"/>
        <v>0</v>
      </c>
      <c r="AW1624" s="29"/>
      <c r="AX1624" s="29">
        <f t="shared" si="1132"/>
        <v>-2135318.4799999986</v>
      </c>
      <c r="AY1624" s="29">
        <f t="shared" si="1125"/>
        <v>9300000</v>
      </c>
      <c r="AZ1624" s="29">
        <f t="shared" si="1126"/>
        <v>7164681.5200000014</v>
      </c>
    </row>
    <row r="1625" spans="2:52" x14ac:dyDescent="0.3">
      <c r="B1625" s="99">
        <f>B1624+3</f>
        <v>46440</v>
      </c>
      <c r="C1625" s="44">
        <f t="shared" si="1113"/>
        <v>766908.08000000287</v>
      </c>
      <c r="D1625" s="38"/>
      <c r="E1625" s="38"/>
      <c r="F1625" s="38"/>
      <c r="G1625" s="45">
        <f t="shared" si="1114"/>
        <v>766908.08000000287</v>
      </c>
      <c r="H1625" s="44">
        <v>4300000</v>
      </c>
      <c r="I1625" s="46">
        <f t="shared" si="1115"/>
        <v>-2921513.5399999996</v>
      </c>
      <c r="J1625" s="38"/>
      <c r="K1625" s="38"/>
      <c r="L1625" s="38"/>
      <c r="M1625" s="47">
        <f t="shared" si="1116"/>
        <v>-2921513.5399999996</v>
      </c>
      <c r="N1625" s="46">
        <v>5000000</v>
      </c>
      <c r="O1625" s="48">
        <f t="shared" si="1117"/>
        <v>267.77999999932945</v>
      </c>
      <c r="P1625" s="38"/>
      <c r="Q1625" s="38"/>
      <c r="R1625" s="38"/>
      <c r="S1625" s="55">
        <f t="shared" si="1118"/>
        <v>267.77999999932945</v>
      </c>
      <c r="T1625" s="48"/>
      <c r="U1625" s="49">
        <f t="shared" si="1119"/>
        <v>58.409999999403965</v>
      </c>
      <c r="V1625" s="38"/>
      <c r="W1625" s="38"/>
      <c r="X1625" s="38"/>
      <c r="Y1625" s="51">
        <f t="shared" si="1120"/>
        <v>58.409999999403965</v>
      </c>
      <c r="Z1625" s="52"/>
      <c r="AA1625" s="53">
        <f t="shared" si="1121"/>
        <v>-7.6977357821306214E-10</v>
      </c>
      <c r="AB1625" s="38"/>
      <c r="AC1625" s="38"/>
      <c r="AD1625" s="38"/>
      <c r="AE1625" s="54">
        <f t="shared" si="1122"/>
        <v>-7.6977357821306214E-10</v>
      </c>
      <c r="AF1625" s="53"/>
      <c r="AG1625" s="53">
        <f t="shared" si="1123"/>
        <v>18678.120000000526</v>
      </c>
      <c r="AH1625" s="38"/>
      <c r="AI1625" s="38"/>
      <c r="AJ1625" s="38"/>
      <c r="AK1625" s="54">
        <f t="shared" si="1124"/>
        <v>18678.120000000526</v>
      </c>
      <c r="AL1625" s="53"/>
      <c r="AM1625" s="53">
        <f t="shared" si="1134"/>
        <v>282.6699999999995</v>
      </c>
      <c r="AN1625" s="38"/>
      <c r="AO1625" s="38"/>
      <c r="AP1625" s="38"/>
      <c r="AQ1625" s="54">
        <f t="shared" si="1138"/>
        <v>282.6699999999995</v>
      </c>
      <c r="AR1625" s="53"/>
      <c r="AS1625" s="29">
        <f t="shared" si="1128"/>
        <v>-2135318.4799999986</v>
      </c>
      <c r="AT1625" s="29">
        <f t="shared" si="1129"/>
        <v>0</v>
      </c>
      <c r="AU1625" s="29">
        <f t="shared" si="1130"/>
        <v>0</v>
      </c>
      <c r="AV1625" s="29">
        <f t="shared" si="1131"/>
        <v>0</v>
      </c>
      <c r="AW1625" s="29"/>
      <c r="AX1625" s="29">
        <f t="shared" si="1132"/>
        <v>-2135318.4799999986</v>
      </c>
      <c r="AY1625" s="29">
        <f t="shared" si="1125"/>
        <v>9300000</v>
      </c>
      <c r="AZ1625" s="29">
        <f t="shared" si="1126"/>
        <v>7164681.5200000014</v>
      </c>
    </row>
    <row r="1626" spans="2:52" x14ac:dyDescent="0.3">
      <c r="B1626" s="99">
        <f t="shared" ref="B1626:B1629" si="1143">B1625+1</f>
        <v>46441</v>
      </c>
      <c r="C1626" s="44">
        <f t="shared" si="1113"/>
        <v>766908.08000000287</v>
      </c>
      <c r="D1626" s="38"/>
      <c r="E1626" s="38"/>
      <c r="F1626" s="38"/>
      <c r="G1626" s="45">
        <f t="shared" si="1114"/>
        <v>766908.08000000287</v>
      </c>
      <c r="H1626" s="44">
        <v>4300000</v>
      </c>
      <c r="I1626" s="46">
        <f t="shared" si="1115"/>
        <v>-2921513.5399999996</v>
      </c>
      <c r="J1626" s="38"/>
      <c r="K1626" s="38"/>
      <c r="L1626" s="38"/>
      <c r="M1626" s="47">
        <f t="shared" si="1116"/>
        <v>-2921513.5399999996</v>
      </c>
      <c r="N1626" s="46">
        <v>5000000</v>
      </c>
      <c r="O1626" s="48">
        <f t="shared" si="1117"/>
        <v>267.77999999932945</v>
      </c>
      <c r="P1626" s="38"/>
      <c r="Q1626" s="38"/>
      <c r="R1626" s="38"/>
      <c r="S1626" s="55">
        <f t="shared" si="1118"/>
        <v>267.77999999932945</v>
      </c>
      <c r="T1626" s="48"/>
      <c r="U1626" s="49">
        <f t="shared" si="1119"/>
        <v>58.409999999403965</v>
      </c>
      <c r="V1626" s="38"/>
      <c r="W1626" s="38"/>
      <c r="X1626" s="38"/>
      <c r="Y1626" s="51">
        <f t="shared" si="1120"/>
        <v>58.409999999403965</v>
      </c>
      <c r="Z1626" s="52"/>
      <c r="AA1626" s="53">
        <f t="shared" si="1121"/>
        <v>-7.6977357821306214E-10</v>
      </c>
      <c r="AB1626" s="38"/>
      <c r="AC1626" s="38"/>
      <c r="AD1626" s="38"/>
      <c r="AE1626" s="54">
        <f t="shared" si="1122"/>
        <v>-7.6977357821306214E-10</v>
      </c>
      <c r="AF1626" s="53"/>
      <c r="AG1626" s="53">
        <f t="shared" si="1123"/>
        <v>18678.120000000526</v>
      </c>
      <c r="AH1626" s="38"/>
      <c r="AI1626" s="38"/>
      <c r="AJ1626" s="38"/>
      <c r="AK1626" s="54">
        <f t="shared" si="1124"/>
        <v>18678.120000000526</v>
      </c>
      <c r="AL1626" s="53"/>
      <c r="AM1626" s="53">
        <f t="shared" si="1134"/>
        <v>282.6699999999995</v>
      </c>
      <c r="AN1626" s="38"/>
      <c r="AO1626" s="38"/>
      <c r="AP1626" s="38"/>
      <c r="AQ1626" s="54">
        <f t="shared" si="1138"/>
        <v>282.6699999999995</v>
      </c>
      <c r="AR1626" s="53"/>
      <c r="AS1626" s="29">
        <f t="shared" si="1128"/>
        <v>-2135318.4799999986</v>
      </c>
      <c r="AT1626" s="29">
        <f t="shared" si="1129"/>
        <v>0</v>
      </c>
      <c r="AU1626" s="29">
        <f t="shared" si="1130"/>
        <v>0</v>
      </c>
      <c r="AV1626" s="29">
        <f t="shared" si="1131"/>
        <v>0</v>
      </c>
      <c r="AW1626" s="29"/>
      <c r="AX1626" s="29">
        <f t="shared" si="1132"/>
        <v>-2135318.4799999986</v>
      </c>
      <c r="AY1626" s="29">
        <f t="shared" si="1125"/>
        <v>9300000</v>
      </c>
      <c r="AZ1626" s="29">
        <f t="shared" si="1126"/>
        <v>7164681.5200000014</v>
      </c>
    </row>
    <row r="1627" spans="2:52" x14ac:dyDescent="0.3">
      <c r="B1627" s="99">
        <f t="shared" si="1143"/>
        <v>46442</v>
      </c>
      <c r="C1627" s="44">
        <f t="shared" si="1113"/>
        <v>766908.08000000287</v>
      </c>
      <c r="D1627" s="38"/>
      <c r="E1627" s="38"/>
      <c r="F1627" s="38"/>
      <c r="G1627" s="45">
        <f t="shared" si="1114"/>
        <v>766908.08000000287</v>
      </c>
      <c r="H1627" s="44">
        <v>4300000</v>
      </c>
      <c r="I1627" s="46">
        <f t="shared" si="1115"/>
        <v>-2921513.5399999996</v>
      </c>
      <c r="J1627" s="38"/>
      <c r="K1627" s="38"/>
      <c r="L1627" s="38"/>
      <c r="M1627" s="47">
        <f t="shared" si="1116"/>
        <v>-2921513.5399999996</v>
      </c>
      <c r="N1627" s="46">
        <v>5000000</v>
      </c>
      <c r="O1627" s="48">
        <f t="shared" si="1117"/>
        <v>267.77999999932945</v>
      </c>
      <c r="P1627" s="38"/>
      <c r="Q1627" s="38"/>
      <c r="R1627" s="38"/>
      <c r="S1627" s="55">
        <f t="shared" si="1118"/>
        <v>267.77999999932945</v>
      </c>
      <c r="T1627" s="48"/>
      <c r="U1627" s="49">
        <f t="shared" si="1119"/>
        <v>58.409999999403965</v>
      </c>
      <c r="V1627" s="38"/>
      <c r="W1627" s="38"/>
      <c r="X1627" s="38"/>
      <c r="Y1627" s="51">
        <f t="shared" si="1120"/>
        <v>58.409999999403965</v>
      </c>
      <c r="Z1627" s="52"/>
      <c r="AA1627" s="53">
        <f t="shared" si="1121"/>
        <v>-7.6977357821306214E-10</v>
      </c>
      <c r="AB1627" s="38"/>
      <c r="AC1627" s="38"/>
      <c r="AD1627" s="38"/>
      <c r="AE1627" s="54">
        <f t="shared" si="1122"/>
        <v>-7.6977357821306214E-10</v>
      </c>
      <c r="AF1627" s="53"/>
      <c r="AG1627" s="53">
        <f t="shared" si="1123"/>
        <v>18678.120000000526</v>
      </c>
      <c r="AH1627" s="38"/>
      <c r="AI1627" s="38"/>
      <c r="AJ1627" s="38"/>
      <c r="AK1627" s="54">
        <f t="shared" si="1124"/>
        <v>18678.120000000526</v>
      </c>
      <c r="AL1627" s="53"/>
      <c r="AM1627" s="53">
        <f t="shared" si="1134"/>
        <v>282.6699999999995</v>
      </c>
      <c r="AN1627" s="38"/>
      <c r="AO1627" s="38"/>
      <c r="AP1627" s="38"/>
      <c r="AQ1627" s="54">
        <f t="shared" si="1138"/>
        <v>282.6699999999995</v>
      </c>
      <c r="AR1627" s="53"/>
      <c r="AS1627" s="29">
        <f t="shared" si="1128"/>
        <v>-2135318.4799999986</v>
      </c>
      <c r="AT1627" s="29">
        <f t="shared" si="1129"/>
        <v>0</v>
      </c>
      <c r="AU1627" s="29">
        <f t="shared" si="1130"/>
        <v>0</v>
      </c>
      <c r="AV1627" s="29">
        <f t="shared" si="1131"/>
        <v>0</v>
      </c>
      <c r="AW1627" s="29"/>
      <c r="AX1627" s="29">
        <f t="shared" si="1132"/>
        <v>-2135318.4799999986</v>
      </c>
      <c r="AY1627" s="29">
        <f t="shared" si="1125"/>
        <v>9300000</v>
      </c>
      <c r="AZ1627" s="29">
        <f t="shared" si="1126"/>
        <v>7164681.5200000014</v>
      </c>
    </row>
    <row r="1628" spans="2:52" x14ac:dyDescent="0.3">
      <c r="B1628" s="99">
        <f t="shared" si="1143"/>
        <v>46443</v>
      </c>
      <c r="C1628" s="44">
        <f t="shared" si="1113"/>
        <v>766908.08000000287</v>
      </c>
      <c r="D1628" s="38"/>
      <c r="E1628" s="38"/>
      <c r="F1628" s="38"/>
      <c r="G1628" s="45">
        <f t="shared" si="1114"/>
        <v>766908.08000000287</v>
      </c>
      <c r="H1628" s="44">
        <v>4300000</v>
      </c>
      <c r="I1628" s="46">
        <f t="shared" si="1115"/>
        <v>-2921513.5399999996</v>
      </c>
      <c r="J1628" s="38"/>
      <c r="K1628" s="38"/>
      <c r="L1628" s="38"/>
      <c r="M1628" s="47">
        <f t="shared" si="1116"/>
        <v>-2921513.5399999996</v>
      </c>
      <c r="N1628" s="46">
        <v>5000000</v>
      </c>
      <c r="O1628" s="48">
        <f t="shared" si="1117"/>
        <v>267.77999999932945</v>
      </c>
      <c r="P1628" s="38"/>
      <c r="Q1628" s="38"/>
      <c r="R1628" s="38"/>
      <c r="S1628" s="55">
        <f t="shared" si="1118"/>
        <v>267.77999999932945</v>
      </c>
      <c r="T1628" s="48"/>
      <c r="U1628" s="49">
        <f t="shared" si="1119"/>
        <v>58.409999999403965</v>
      </c>
      <c r="V1628" s="38"/>
      <c r="W1628" s="38"/>
      <c r="X1628" s="38"/>
      <c r="Y1628" s="51">
        <f t="shared" si="1120"/>
        <v>58.409999999403965</v>
      </c>
      <c r="Z1628" s="52"/>
      <c r="AA1628" s="53">
        <f t="shared" si="1121"/>
        <v>-7.6977357821306214E-10</v>
      </c>
      <c r="AB1628" s="38"/>
      <c r="AC1628" s="38"/>
      <c r="AD1628" s="38"/>
      <c r="AE1628" s="54">
        <f t="shared" si="1122"/>
        <v>-7.6977357821306214E-10</v>
      </c>
      <c r="AF1628" s="53"/>
      <c r="AG1628" s="53">
        <f t="shared" si="1123"/>
        <v>18678.120000000526</v>
      </c>
      <c r="AH1628" s="38"/>
      <c r="AI1628" s="38"/>
      <c r="AJ1628" s="38"/>
      <c r="AK1628" s="54">
        <f t="shared" si="1124"/>
        <v>18678.120000000526</v>
      </c>
      <c r="AL1628" s="53"/>
      <c r="AM1628" s="53">
        <f t="shared" si="1134"/>
        <v>282.6699999999995</v>
      </c>
      <c r="AN1628" s="38"/>
      <c r="AO1628" s="38"/>
      <c r="AP1628" s="38"/>
      <c r="AQ1628" s="54">
        <f t="shared" si="1138"/>
        <v>282.6699999999995</v>
      </c>
      <c r="AR1628" s="53"/>
      <c r="AS1628" s="29">
        <f t="shared" si="1128"/>
        <v>-2135318.4799999986</v>
      </c>
      <c r="AT1628" s="29">
        <f t="shared" si="1129"/>
        <v>0</v>
      </c>
      <c r="AU1628" s="29">
        <f t="shared" si="1130"/>
        <v>0</v>
      </c>
      <c r="AV1628" s="29">
        <f t="shared" si="1131"/>
        <v>0</v>
      </c>
      <c r="AW1628" s="29"/>
      <c r="AX1628" s="29">
        <f t="shared" si="1132"/>
        <v>-2135318.4799999986</v>
      </c>
      <c r="AY1628" s="29">
        <f t="shared" si="1125"/>
        <v>9300000</v>
      </c>
      <c r="AZ1628" s="29">
        <f t="shared" si="1126"/>
        <v>7164681.5200000014</v>
      </c>
    </row>
    <row r="1629" spans="2:52" x14ac:dyDescent="0.3">
      <c r="B1629" s="99">
        <f t="shared" si="1143"/>
        <v>46444</v>
      </c>
      <c r="C1629" s="44">
        <f t="shared" si="1113"/>
        <v>766908.08000000287</v>
      </c>
      <c r="D1629" s="38"/>
      <c r="E1629" s="38"/>
      <c r="F1629" s="38"/>
      <c r="G1629" s="45">
        <f t="shared" si="1114"/>
        <v>766908.08000000287</v>
      </c>
      <c r="H1629" s="44">
        <v>4300000</v>
      </c>
      <c r="I1629" s="46">
        <f t="shared" si="1115"/>
        <v>-2921513.5399999996</v>
      </c>
      <c r="J1629" s="38"/>
      <c r="K1629" s="38"/>
      <c r="L1629" s="38"/>
      <c r="M1629" s="47">
        <f t="shared" si="1116"/>
        <v>-2921513.5399999996</v>
      </c>
      <c r="N1629" s="46">
        <v>5000000</v>
      </c>
      <c r="O1629" s="48">
        <f t="shared" si="1117"/>
        <v>267.77999999932945</v>
      </c>
      <c r="P1629" s="38"/>
      <c r="Q1629" s="38"/>
      <c r="R1629" s="38"/>
      <c r="S1629" s="55">
        <f t="shared" si="1118"/>
        <v>267.77999999932945</v>
      </c>
      <c r="T1629" s="48"/>
      <c r="U1629" s="49">
        <f t="shared" si="1119"/>
        <v>58.409999999403965</v>
      </c>
      <c r="V1629" s="38"/>
      <c r="W1629" s="38"/>
      <c r="X1629" s="38"/>
      <c r="Y1629" s="51">
        <f t="shared" si="1120"/>
        <v>58.409999999403965</v>
      </c>
      <c r="Z1629" s="52"/>
      <c r="AA1629" s="53">
        <f t="shared" si="1121"/>
        <v>-7.6977357821306214E-10</v>
      </c>
      <c r="AB1629" s="38"/>
      <c r="AC1629" s="38"/>
      <c r="AD1629" s="38"/>
      <c r="AE1629" s="54">
        <f t="shared" si="1122"/>
        <v>-7.6977357821306214E-10</v>
      </c>
      <c r="AF1629" s="53"/>
      <c r="AG1629" s="53">
        <f t="shared" si="1123"/>
        <v>18678.120000000526</v>
      </c>
      <c r="AH1629" s="38"/>
      <c r="AI1629" s="38"/>
      <c r="AJ1629" s="38"/>
      <c r="AK1629" s="54">
        <f t="shared" si="1124"/>
        <v>18678.120000000526</v>
      </c>
      <c r="AL1629" s="53"/>
      <c r="AM1629" s="53">
        <f t="shared" si="1134"/>
        <v>282.6699999999995</v>
      </c>
      <c r="AN1629" s="38"/>
      <c r="AO1629" s="38"/>
      <c r="AP1629" s="38"/>
      <c r="AQ1629" s="54">
        <f t="shared" si="1138"/>
        <v>282.6699999999995</v>
      </c>
      <c r="AR1629" s="53"/>
      <c r="AS1629" s="29">
        <f t="shared" si="1128"/>
        <v>-2135318.4799999986</v>
      </c>
      <c r="AT1629" s="29">
        <f t="shared" si="1129"/>
        <v>0</v>
      </c>
      <c r="AU1629" s="29">
        <f t="shared" si="1130"/>
        <v>0</v>
      </c>
      <c r="AV1629" s="29">
        <f t="shared" si="1131"/>
        <v>0</v>
      </c>
      <c r="AW1629" s="29"/>
      <c r="AX1629" s="29">
        <f t="shared" si="1132"/>
        <v>-2135318.4799999986</v>
      </c>
      <c r="AY1629" s="29">
        <f t="shared" si="1125"/>
        <v>9300000</v>
      </c>
      <c r="AZ1629" s="29">
        <f t="shared" si="1126"/>
        <v>7164681.5200000014</v>
      </c>
    </row>
    <row r="1630" spans="2:52" x14ac:dyDescent="0.3">
      <c r="B1630" s="99">
        <f>B1629+3</f>
        <v>46447</v>
      </c>
      <c r="C1630" s="44">
        <f t="shared" si="1113"/>
        <v>766908.08000000287</v>
      </c>
      <c r="D1630" s="38"/>
      <c r="E1630" s="38"/>
      <c r="F1630" s="38"/>
      <c r="G1630" s="45">
        <f t="shared" si="1114"/>
        <v>766908.08000000287</v>
      </c>
      <c r="H1630" s="44">
        <v>4300000</v>
      </c>
      <c r="I1630" s="46">
        <f t="shared" si="1115"/>
        <v>-2921513.5399999996</v>
      </c>
      <c r="J1630" s="38"/>
      <c r="K1630" s="38"/>
      <c r="L1630" s="38"/>
      <c r="M1630" s="47">
        <f t="shared" si="1116"/>
        <v>-2921513.5399999996</v>
      </c>
      <c r="N1630" s="46">
        <v>5000000</v>
      </c>
      <c r="O1630" s="48">
        <f t="shared" si="1117"/>
        <v>267.77999999932945</v>
      </c>
      <c r="P1630" s="38"/>
      <c r="Q1630" s="38"/>
      <c r="R1630" s="38"/>
      <c r="S1630" s="55">
        <f t="shared" si="1118"/>
        <v>267.77999999932945</v>
      </c>
      <c r="T1630" s="48"/>
      <c r="U1630" s="49">
        <f t="shared" si="1119"/>
        <v>58.409999999403965</v>
      </c>
      <c r="V1630" s="38"/>
      <c r="W1630" s="38"/>
      <c r="X1630" s="38"/>
      <c r="Y1630" s="51">
        <f t="shared" si="1120"/>
        <v>58.409999999403965</v>
      </c>
      <c r="Z1630" s="52"/>
      <c r="AA1630" s="53">
        <f t="shared" si="1121"/>
        <v>-7.6977357821306214E-10</v>
      </c>
      <c r="AB1630" s="38"/>
      <c r="AC1630" s="38"/>
      <c r="AD1630" s="38"/>
      <c r="AE1630" s="54">
        <f t="shared" si="1122"/>
        <v>-7.6977357821306214E-10</v>
      </c>
      <c r="AF1630" s="53"/>
      <c r="AG1630" s="53">
        <f t="shared" si="1123"/>
        <v>18678.120000000526</v>
      </c>
      <c r="AH1630" s="38"/>
      <c r="AI1630" s="38"/>
      <c r="AJ1630" s="38"/>
      <c r="AK1630" s="54">
        <f t="shared" si="1124"/>
        <v>18678.120000000526</v>
      </c>
      <c r="AL1630" s="53"/>
      <c r="AM1630" s="53">
        <f t="shared" si="1134"/>
        <v>282.6699999999995</v>
      </c>
      <c r="AN1630" s="38"/>
      <c r="AO1630" s="38"/>
      <c r="AP1630" s="38"/>
      <c r="AQ1630" s="54">
        <f t="shared" si="1138"/>
        <v>282.6699999999995</v>
      </c>
      <c r="AR1630" s="53"/>
      <c r="AS1630" s="29">
        <f t="shared" si="1128"/>
        <v>-2135318.4799999986</v>
      </c>
      <c r="AT1630" s="29">
        <f t="shared" si="1129"/>
        <v>0</v>
      </c>
      <c r="AU1630" s="29">
        <f t="shared" si="1130"/>
        <v>0</v>
      </c>
      <c r="AV1630" s="29">
        <f t="shared" si="1131"/>
        <v>0</v>
      </c>
      <c r="AW1630" s="29"/>
      <c r="AX1630" s="29">
        <f t="shared" si="1132"/>
        <v>-2135318.4799999986</v>
      </c>
      <c r="AY1630" s="29">
        <f t="shared" si="1125"/>
        <v>9300000</v>
      </c>
      <c r="AZ1630" s="29">
        <f t="shared" si="1126"/>
        <v>7164681.5200000014</v>
      </c>
    </row>
    <row r="1631" spans="2:52" x14ac:dyDescent="0.3">
      <c r="B1631" s="99">
        <f t="shared" ref="B1631:B1634" si="1144">B1630+1</f>
        <v>46448</v>
      </c>
      <c r="C1631" s="44">
        <f t="shared" si="1113"/>
        <v>766908.08000000287</v>
      </c>
      <c r="D1631" s="38"/>
      <c r="E1631" s="38"/>
      <c r="F1631" s="38"/>
      <c r="G1631" s="45">
        <f t="shared" si="1114"/>
        <v>766908.08000000287</v>
      </c>
      <c r="H1631" s="44">
        <v>4300000</v>
      </c>
      <c r="I1631" s="46">
        <f t="shared" si="1115"/>
        <v>-2921513.5399999996</v>
      </c>
      <c r="J1631" s="38"/>
      <c r="K1631" s="38"/>
      <c r="L1631" s="38"/>
      <c r="M1631" s="47">
        <f t="shared" si="1116"/>
        <v>-2921513.5399999996</v>
      </c>
      <c r="N1631" s="46">
        <v>5000000</v>
      </c>
      <c r="O1631" s="48">
        <f t="shared" si="1117"/>
        <v>267.77999999932945</v>
      </c>
      <c r="P1631" s="38"/>
      <c r="Q1631" s="38"/>
      <c r="R1631" s="38"/>
      <c r="S1631" s="55">
        <f t="shared" si="1118"/>
        <v>267.77999999932945</v>
      </c>
      <c r="T1631" s="48"/>
      <c r="U1631" s="49">
        <f t="shared" si="1119"/>
        <v>58.409999999403965</v>
      </c>
      <c r="V1631" s="38"/>
      <c r="W1631" s="38"/>
      <c r="X1631" s="38"/>
      <c r="Y1631" s="51">
        <f t="shared" si="1120"/>
        <v>58.409999999403965</v>
      </c>
      <c r="Z1631" s="52"/>
      <c r="AA1631" s="53">
        <f t="shared" si="1121"/>
        <v>-7.6977357821306214E-10</v>
      </c>
      <c r="AB1631" s="38"/>
      <c r="AC1631" s="38"/>
      <c r="AD1631" s="38"/>
      <c r="AE1631" s="54">
        <f t="shared" si="1122"/>
        <v>-7.6977357821306214E-10</v>
      </c>
      <c r="AF1631" s="53"/>
      <c r="AG1631" s="53">
        <f t="shared" si="1123"/>
        <v>18678.120000000526</v>
      </c>
      <c r="AH1631" s="38"/>
      <c r="AI1631" s="38"/>
      <c r="AJ1631" s="38"/>
      <c r="AK1631" s="54">
        <f t="shared" si="1124"/>
        <v>18678.120000000526</v>
      </c>
      <c r="AL1631" s="53"/>
      <c r="AM1631" s="53">
        <f t="shared" si="1134"/>
        <v>282.6699999999995</v>
      </c>
      <c r="AN1631" s="38"/>
      <c r="AO1631" s="38"/>
      <c r="AP1631" s="38"/>
      <c r="AQ1631" s="54">
        <f t="shared" si="1138"/>
        <v>282.6699999999995</v>
      </c>
      <c r="AR1631" s="53"/>
      <c r="AS1631" s="29">
        <f t="shared" si="1128"/>
        <v>-2135318.4799999986</v>
      </c>
      <c r="AT1631" s="29">
        <f t="shared" si="1129"/>
        <v>0</v>
      </c>
      <c r="AU1631" s="29">
        <f t="shared" si="1130"/>
        <v>0</v>
      </c>
      <c r="AV1631" s="29">
        <f t="shared" si="1131"/>
        <v>0</v>
      </c>
      <c r="AW1631" s="29"/>
      <c r="AX1631" s="29">
        <f t="shared" si="1132"/>
        <v>-2135318.4799999986</v>
      </c>
      <c r="AY1631" s="29">
        <f t="shared" si="1125"/>
        <v>9300000</v>
      </c>
      <c r="AZ1631" s="29">
        <f t="shared" si="1126"/>
        <v>7164681.5200000014</v>
      </c>
    </row>
    <row r="1632" spans="2:52" x14ac:dyDescent="0.3">
      <c r="B1632" s="99">
        <f t="shared" si="1144"/>
        <v>46449</v>
      </c>
      <c r="C1632" s="44">
        <f t="shared" si="1113"/>
        <v>766908.08000000287</v>
      </c>
      <c r="D1632" s="38"/>
      <c r="E1632" s="38"/>
      <c r="F1632" s="38"/>
      <c r="G1632" s="45">
        <f t="shared" si="1114"/>
        <v>766908.08000000287</v>
      </c>
      <c r="H1632" s="44">
        <v>4300000</v>
      </c>
      <c r="I1632" s="46">
        <f t="shared" si="1115"/>
        <v>-2921513.5399999996</v>
      </c>
      <c r="J1632" s="38"/>
      <c r="K1632" s="38"/>
      <c r="L1632" s="38"/>
      <c r="M1632" s="47">
        <f t="shared" si="1116"/>
        <v>-2921513.5399999996</v>
      </c>
      <c r="N1632" s="46">
        <v>5000000</v>
      </c>
      <c r="O1632" s="48">
        <f t="shared" si="1117"/>
        <v>267.77999999932945</v>
      </c>
      <c r="P1632" s="38"/>
      <c r="Q1632" s="38"/>
      <c r="R1632" s="38"/>
      <c r="S1632" s="55">
        <f t="shared" si="1118"/>
        <v>267.77999999932945</v>
      </c>
      <c r="T1632" s="48"/>
      <c r="U1632" s="49">
        <f t="shared" si="1119"/>
        <v>58.409999999403965</v>
      </c>
      <c r="V1632" s="38"/>
      <c r="W1632" s="38"/>
      <c r="X1632" s="38"/>
      <c r="Y1632" s="51">
        <f t="shared" si="1120"/>
        <v>58.409999999403965</v>
      </c>
      <c r="Z1632" s="52"/>
      <c r="AA1632" s="53">
        <f t="shared" si="1121"/>
        <v>-7.6977357821306214E-10</v>
      </c>
      <c r="AB1632" s="38"/>
      <c r="AC1632" s="38"/>
      <c r="AD1632" s="38"/>
      <c r="AE1632" s="54">
        <f t="shared" si="1122"/>
        <v>-7.6977357821306214E-10</v>
      </c>
      <c r="AF1632" s="53"/>
      <c r="AG1632" s="53">
        <f t="shared" si="1123"/>
        <v>18678.120000000526</v>
      </c>
      <c r="AH1632" s="38"/>
      <c r="AI1632" s="38"/>
      <c r="AJ1632" s="38"/>
      <c r="AK1632" s="54">
        <f t="shared" si="1124"/>
        <v>18678.120000000526</v>
      </c>
      <c r="AL1632" s="53"/>
      <c r="AM1632" s="53">
        <f t="shared" si="1134"/>
        <v>282.6699999999995</v>
      </c>
      <c r="AN1632" s="38"/>
      <c r="AO1632" s="38"/>
      <c r="AP1632" s="38"/>
      <c r="AQ1632" s="54">
        <f t="shared" si="1138"/>
        <v>282.6699999999995</v>
      </c>
      <c r="AR1632" s="53"/>
      <c r="AS1632" s="29">
        <f t="shared" si="1128"/>
        <v>-2135318.4799999986</v>
      </c>
      <c r="AT1632" s="29">
        <f t="shared" si="1129"/>
        <v>0</v>
      </c>
      <c r="AU1632" s="29">
        <f t="shared" si="1130"/>
        <v>0</v>
      </c>
      <c r="AV1632" s="29">
        <f t="shared" si="1131"/>
        <v>0</v>
      </c>
      <c r="AW1632" s="29"/>
      <c r="AX1632" s="29">
        <f t="shared" si="1132"/>
        <v>-2135318.4799999986</v>
      </c>
      <c r="AY1632" s="29">
        <f t="shared" si="1125"/>
        <v>9300000</v>
      </c>
      <c r="AZ1632" s="29">
        <f t="shared" si="1126"/>
        <v>7164681.5200000014</v>
      </c>
    </row>
    <row r="1633" spans="2:52" x14ac:dyDescent="0.3">
      <c r="B1633" s="99">
        <f t="shared" si="1144"/>
        <v>46450</v>
      </c>
      <c r="C1633" s="44">
        <f t="shared" si="1113"/>
        <v>766908.08000000287</v>
      </c>
      <c r="D1633" s="38"/>
      <c r="E1633" s="38"/>
      <c r="F1633" s="38"/>
      <c r="G1633" s="45">
        <f t="shared" si="1114"/>
        <v>766908.08000000287</v>
      </c>
      <c r="H1633" s="44">
        <v>4300000</v>
      </c>
      <c r="I1633" s="46">
        <f t="shared" si="1115"/>
        <v>-2921513.5399999996</v>
      </c>
      <c r="J1633" s="38"/>
      <c r="K1633" s="38"/>
      <c r="L1633" s="38"/>
      <c r="M1633" s="47">
        <f t="shared" si="1116"/>
        <v>-2921513.5399999996</v>
      </c>
      <c r="N1633" s="46">
        <v>5000000</v>
      </c>
      <c r="O1633" s="48">
        <f t="shared" si="1117"/>
        <v>267.77999999932945</v>
      </c>
      <c r="P1633" s="38"/>
      <c r="Q1633" s="38"/>
      <c r="R1633" s="38"/>
      <c r="S1633" s="55">
        <f t="shared" si="1118"/>
        <v>267.77999999932945</v>
      </c>
      <c r="T1633" s="48"/>
      <c r="U1633" s="49">
        <f t="shared" si="1119"/>
        <v>58.409999999403965</v>
      </c>
      <c r="V1633" s="38"/>
      <c r="W1633" s="38"/>
      <c r="X1633" s="38"/>
      <c r="Y1633" s="51">
        <f t="shared" si="1120"/>
        <v>58.409999999403965</v>
      </c>
      <c r="Z1633" s="52"/>
      <c r="AA1633" s="53">
        <f t="shared" si="1121"/>
        <v>-7.6977357821306214E-10</v>
      </c>
      <c r="AB1633" s="38"/>
      <c r="AC1633" s="38"/>
      <c r="AD1633" s="38"/>
      <c r="AE1633" s="54">
        <f t="shared" si="1122"/>
        <v>-7.6977357821306214E-10</v>
      </c>
      <c r="AF1633" s="53"/>
      <c r="AG1633" s="53">
        <f t="shared" si="1123"/>
        <v>18678.120000000526</v>
      </c>
      <c r="AH1633" s="38"/>
      <c r="AI1633" s="38"/>
      <c r="AJ1633" s="38"/>
      <c r="AK1633" s="54">
        <f t="shared" si="1124"/>
        <v>18678.120000000526</v>
      </c>
      <c r="AL1633" s="53"/>
      <c r="AM1633" s="53">
        <f t="shared" si="1134"/>
        <v>282.6699999999995</v>
      </c>
      <c r="AN1633" s="38"/>
      <c r="AO1633" s="38"/>
      <c r="AP1633" s="38"/>
      <c r="AQ1633" s="54">
        <f t="shared" si="1138"/>
        <v>282.6699999999995</v>
      </c>
      <c r="AR1633" s="53"/>
      <c r="AS1633" s="29">
        <f t="shared" si="1128"/>
        <v>-2135318.4799999986</v>
      </c>
      <c r="AT1633" s="29">
        <f t="shared" si="1129"/>
        <v>0</v>
      </c>
      <c r="AU1633" s="29">
        <f t="shared" si="1130"/>
        <v>0</v>
      </c>
      <c r="AV1633" s="29">
        <f t="shared" si="1131"/>
        <v>0</v>
      </c>
      <c r="AW1633" s="29"/>
      <c r="AX1633" s="29">
        <f t="shared" si="1132"/>
        <v>-2135318.4799999986</v>
      </c>
      <c r="AY1633" s="29">
        <f t="shared" si="1125"/>
        <v>9300000</v>
      </c>
      <c r="AZ1633" s="29">
        <f t="shared" si="1126"/>
        <v>7164681.5200000014</v>
      </c>
    </row>
    <row r="1634" spans="2:52" x14ac:dyDescent="0.3">
      <c r="B1634" s="99">
        <f t="shared" si="1144"/>
        <v>46451</v>
      </c>
      <c r="C1634" s="44">
        <f t="shared" si="1113"/>
        <v>766908.08000000287</v>
      </c>
      <c r="D1634" s="38"/>
      <c r="E1634" s="38"/>
      <c r="F1634" s="38"/>
      <c r="G1634" s="45">
        <f t="shared" si="1114"/>
        <v>766908.08000000287</v>
      </c>
      <c r="H1634" s="44">
        <v>4300000</v>
      </c>
      <c r="I1634" s="46">
        <f t="shared" si="1115"/>
        <v>-2921513.5399999996</v>
      </c>
      <c r="J1634" s="38"/>
      <c r="K1634" s="38"/>
      <c r="L1634" s="38"/>
      <c r="M1634" s="47">
        <f t="shared" si="1116"/>
        <v>-2921513.5399999996</v>
      </c>
      <c r="N1634" s="46">
        <v>5000000</v>
      </c>
      <c r="O1634" s="48">
        <f t="shared" si="1117"/>
        <v>267.77999999932945</v>
      </c>
      <c r="P1634" s="38"/>
      <c r="Q1634" s="38"/>
      <c r="R1634" s="38"/>
      <c r="S1634" s="55">
        <f t="shared" si="1118"/>
        <v>267.77999999932945</v>
      </c>
      <c r="T1634" s="48"/>
      <c r="U1634" s="49">
        <f t="shared" si="1119"/>
        <v>58.409999999403965</v>
      </c>
      <c r="V1634" s="38"/>
      <c r="W1634" s="38"/>
      <c r="X1634" s="38"/>
      <c r="Y1634" s="51">
        <f t="shared" si="1120"/>
        <v>58.409999999403965</v>
      </c>
      <c r="Z1634" s="52"/>
      <c r="AA1634" s="53">
        <f t="shared" si="1121"/>
        <v>-7.6977357821306214E-10</v>
      </c>
      <c r="AB1634" s="38"/>
      <c r="AC1634" s="38"/>
      <c r="AD1634" s="38"/>
      <c r="AE1634" s="54">
        <f t="shared" si="1122"/>
        <v>-7.6977357821306214E-10</v>
      </c>
      <c r="AF1634" s="53"/>
      <c r="AG1634" s="53">
        <f t="shared" si="1123"/>
        <v>18678.120000000526</v>
      </c>
      <c r="AH1634" s="38"/>
      <c r="AI1634" s="38"/>
      <c r="AJ1634" s="38"/>
      <c r="AK1634" s="54">
        <f t="shared" si="1124"/>
        <v>18678.120000000526</v>
      </c>
      <c r="AL1634" s="53"/>
      <c r="AM1634" s="53">
        <f t="shared" si="1134"/>
        <v>282.6699999999995</v>
      </c>
      <c r="AN1634" s="38"/>
      <c r="AO1634" s="38"/>
      <c r="AP1634" s="38"/>
      <c r="AQ1634" s="54">
        <f t="shared" si="1138"/>
        <v>282.6699999999995</v>
      </c>
      <c r="AR1634" s="53"/>
      <c r="AS1634" s="29">
        <f t="shared" si="1128"/>
        <v>-2135318.4799999986</v>
      </c>
      <c r="AT1634" s="29">
        <f t="shared" si="1129"/>
        <v>0</v>
      </c>
      <c r="AU1634" s="29">
        <f t="shared" si="1130"/>
        <v>0</v>
      </c>
      <c r="AV1634" s="29">
        <f t="shared" si="1131"/>
        <v>0</v>
      </c>
      <c r="AW1634" s="29"/>
      <c r="AX1634" s="29">
        <f t="shared" si="1132"/>
        <v>-2135318.4799999986</v>
      </c>
      <c r="AY1634" s="29">
        <f t="shared" si="1125"/>
        <v>9300000</v>
      </c>
      <c r="AZ1634" s="29">
        <f t="shared" si="1126"/>
        <v>7164681.5200000014</v>
      </c>
    </row>
  </sheetData>
  <autoFilter ref="B3:AZ1634" xr:uid="{F2F6C373-83F6-489A-A59E-987DBF1C24AA}"/>
  <mergeCells count="8">
    <mergeCell ref="AG2:AL2"/>
    <mergeCell ref="AS2:BB2"/>
    <mergeCell ref="C2:G2"/>
    <mergeCell ref="I2:N2"/>
    <mergeCell ref="O2:T2"/>
    <mergeCell ref="AA2:AF2"/>
    <mergeCell ref="U2:Z2"/>
    <mergeCell ref="AM2:AR2"/>
  </mergeCells>
  <conditionalFormatting sqref="A4:A10">
    <cfRule type="cellIs" dxfId="0" priority="13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CC8897E8ACDA4994CEEF9048054FF6" ma:contentTypeVersion="4" ma:contentTypeDescription="Crie um novo documento." ma:contentTypeScope="" ma:versionID="451d3233920fb42f45c4a749e3649d98">
  <xsd:schema xmlns:xsd="http://www.w3.org/2001/XMLSchema" xmlns:xs="http://www.w3.org/2001/XMLSchema" xmlns:p="http://schemas.microsoft.com/office/2006/metadata/properties" xmlns:ns2="d1396c55-5d17-4dda-8ced-80def1a81f00" targetNamespace="http://schemas.microsoft.com/office/2006/metadata/properties" ma:root="true" ma:fieldsID="c82e825168d92d7b72b91d0806a88909" ns2:_="">
    <xsd:import namespace="d1396c55-5d17-4dda-8ced-80def1a81f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96c55-5d17-4dda-8ced-80def1a81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D0F88F-A7FD-4C80-83C2-266A8A275D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396c55-5d17-4dda-8ced-80def1a81f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19C76C-2A1B-4D27-A8EE-2C375E7338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9903B7-9C2A-470C-8E8F-9B8A70C9E004}">
  <ds:schemaRefs>
    <ds:schemaRef ds:uri="http://purl.org/dc/dcmitype/"/>
    <ds:schemaRef ds:uri="d1396c55-5d17-4dda-8ced-80def1a81f00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c5dade78-23ca-4c48-86c5-ab8a9cdf6d79}" enabled="0" method="" siteId="{c5dade78-23ca-4c48-86c5-ab8a9cdf6d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8</vt:i4>
      </vt:variant>
    </vt:vector>
  </HeadingPairs>
  <TitlesOfParts>
    <vt:vector size="11" baseType="lpstr">
      <vt:lpstr>PLANO DE CONTA</vt:lpstr>
      <vt:lpstr>RELATÓRIO</vt:lpstr>
      <vt:lpstr>Fluxo do Banco</vt:lpstr>
      <vt:lpstr>RELATÓRIO!Area_de_impressao</vt:lpstr>
      <vt:lpstr>DNOPE</vt:lpstr>
      <vt:lpstr>DOPE</vt:lpstr>
      <vt:lpstr>DRH</vt:lpstr>
      <vt:lpstr>IMP</vt:lpstr>
      <vt:lpstr>RNOP</vt:lpstr>
      <vt:lpstr>RPROD</vt:lpstr>
      <vt:lpstr>RSERV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Gisele Cerqueira Conceicao</dc:creator>
  <cp:keywords/>
  <dc:description/>
  <cp:lastModifiedBy>Vitor Guimaraes Esteves</cp:lastModifiedBy>
  <cp:revision/>
  <dcterms:created xsi:type="dcterms:W3CDTF">2020-12-01T19:10:05Z</dcterms:created>
  <dcterms:modified xsi:type="dcterms:W3CDTF">2026-07-16T18:17:28Z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0x010100F0CC8897E8ACDA4994CEEF9048054FF6</vt:lpwstr>
  </property>
</Properties>
</file>
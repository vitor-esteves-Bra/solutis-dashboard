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tor.esteves\Downloads\Claude\Fluxo\BRs\"/>
    </mc:Choice>
  </mc:AlternateContent>
  <xr:revisionPtr revIDLastSave="0" documentId="13_ncr:1_{73EB6C5D-214B-4F60-A0FB-BF969BA7C13F}" xr6:coauthVersionLast="47" xr6:coauthVersionMax="47" xr10:uidLastSave="{00000000-0000-0000-0000-000000000000}"/>
  <bookViews>
    <workbookView xWindow="28680" yWindow="-120" windowWidth="29040" windowHeight="15720" xr2:uid="{5173B063-9E7D-40B7-92DC-6812C6744B77}"/>
  </bookViews>
  <sheets>
    <sheet name="Forecast Outubro" sheetId="1" r:id="rId1"/>
  </sheets>
  <externalReferences>
    <externalReference r:id="rId2"/>
  </externalReferences>
  <definedNames>
    <definedName name="_xlnm._FilterDatabase" localSheetId="0" hidden="1">'Forecast Outubro'!$A$1:$J$51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4" i="1" l="1"/>
  <c r="C53" i="1"/>
  <c r="C52" i="1"/>
  <c r="C51" i="1"/>
  <c r="C50" i="1"/>
  <c r="C49" i="1"/>
  <c r="J48" i="1"/>
  <c r="C48" i="1"/>
  <c r="J47" i="1"/>
  <c r="C47" i="1"/>
  <c r="C46" i="1"/>
  <c r="J45" i="1"/>
  <c r="C45" i="1"/>
  <c r="C44" i="1"/>
  <c r="C43" i="1"/>
  <c r="J42" i="1"/>
  <c r="C42" i="1"/>
  <c r="J41" i="1"/>
  <c r="C41" i="1"/>
  <c r="C40" i="1"/>
  <c r="J39" i="1"/>
  <c r="C39" i="1"/>
  <c r="J38" i="1"/>
  <c r="C38" i="1"/>
  <c r="J37" i="1"/>
  <c r="C37" i="1"/>
  <c r="J36" i="1"/>
  <c r="C36" i="1"/>
  <c r="J35" i="1"/>
  <c r="C35" i="1"/>
  <c r="J34" i="1"/>
  <c r="C34" i="1"/>
  <c r="J33" i="1"/>
  <c r="C33" i="1"/>
  <c r="C32" i="1"/>
  <c r="J31" i="1"/>
  <c r="C31" i="1"/>
  <c r="J30" i="1"/>
  <c r="C30" i="1"/>
  <c r="J29" i="1"/>
  <c r="C29" i="1"/>
  <c r="J28" i="1"/>
  <c r="C28" i="1"/>
  <c r="J27" i="1"/>
  <c r="C27" i="1"/>
  <c r="J26" i="1"/>
  <c r="C26" i="1"/>
  <c r="J25" i="1"/>
  <c r="C25" i="1"/>
  <c r="J24" i="1"/>
  <c r="J23" i="1"/>
  <c r="C23" i="1"/>
  <c r="J22" i="1"/>
  <c r="C22" i="1"/>
  <c r="J21" i="1"/>
  <c r="C21" i="1"/>
  <c r="J20" i="1"/>
  <c r="C20" i="1"/>
  <c r="J19" i="1"/>
  <c r="C19" i="1"/>
  <c r="J18" i="1"/>
  <c r="C18" i="1"/>
  <c r="J17" i="1"/>
  <c r="C17" i="1"/>
  <c r="J16" i="1"/>
  <c r="C16" i="1"/>
  <c r="J15" i="1"/>
  <c r="C15" i="1"/>
  <c r="J14" i="1"/>
  <c r="C14" i="1"/>
  <c r="J13" i="1"/>
  <c r="C13" i="1"/>
  <c r="J12" i="1"/>
  <c r="C12" i="1"/>
  <c r="J11" i="1"/>
  <c r="C11" i="1"/>
  <c r="C10" i="1"/>
  <c r="J9" i="1"/>
  <c r="C9" i="1"/>
  <c r="J8" i="1"/>
  <c r="C8" i="1"/>
  <c r="J7" i="1"/>
  <c r="C7" i="1"/>
  <c r="J6" i="1"/>
  <c r="C6" i="1"/>
  <c r="J5" i="1"/>
  <c r="C5" i="1"/>
  <c r="J4" i="1"/>
  <c r="C4" i="1"/>
  <c r="J3" i="1"/>
  <c r="C3" i="1"/>
  <c r="J2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tc={387FA29F-1826-4E84-AEB0-57D8580111C3}</author>
  </authors>
  <commentList>
    <comment ref="I35" authorId="0" shapeId="0" xr:uid="{387FA29F-1826-4E84-AEB0-57D8580111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 4,90%</t>
      </text>
    </comment>
  </commentList>
</comments>
</file>

<file path=xl/sharedStrings.xml><?xml version="1.0" encoding="utf-8"?>
<sst xmlns="http://schemas.openxmlformats.org/spreadsheetml/2006/main" count="324" uniqueCount="107">
  <si>
    <t>CC</t>
  </si>
  <si>
    <t>DETALHES</t>
  </si>
  <si>
    <t>GRUPO</t>
  </si>
  <si>
    <t>CONTRATO</t>
  </si>
  <si>
    <t>Executivo</t>
  </si>
  <si>
    <t>BU</t>
  </si>
  <si>
    <t>VERTICAL</t>
  </si>
  <si>
    <t>CONTA</t>
  </si>
  <si>
    <t>OP</t>
  </si>
  <si>
    <t>TJ -BA DIGITAL SUPPORT</t>
  </si>
  <si>
    <t>TJ - BA DIGITAL SUPPORT (1273)</t>
  </si>
  <si>
    <t>LIZANDRA PIMENTA</t>
  </si>
  <si>
    <t>CSA</t>
  </si>
  <si>
    <t>PS</t>
  </si>
  <si>
    <t>Receita Bruta</t>
  </si>
  <si>
    <t>DPE - BA Digital Center (1476)</t>
  </si>
  <si>
    <t>ADS</t>
  </si>
  <si>
    <t>INEMA N3</t>
  </si>
  <si>
    <t>ROGERIO GORDILHO</t>
  </si>
  <si>
    <t>OI - DIGITAL SUPORT (1390)</t>
  </si>
  <si>
    <t>INEMA N3 (1358)</t>
  </si>
  <si>
    <t>SEFAZ-BA DIGITAL CENTER</t>
  </si>
  <si>
    <t>JOSÉ NETO COELHO</t>
  </si>
  <si>
    <t>UT</t>
  </si>
  <si>
    <t>SEFAZ - BA DIGITAL CENTER (1394)</t>
  </si>
  <si>
    <t>ANTONIO ALVES</t>
  </si>
  <si>
    <t>Sabesp Netcontrol</t>
  </si>
  <si>
    <t>SEFAZ - BA ADS (1518)</t>
  </si>
  <si>
    <t>SABESP - MICROSOFT NOVO (1400)</t>
  </si>
  <si>
    <t>SABESP - NETCONTROL (1388)</t>
  </si>
  <si>
    <t>CYRO SALVATORE</t>
  </si>
  <si>
    <t>SABESP - SD 2025</t>
  </si>
  <si>
    <t>SEC-SD NOVO</t>
  </si>
  <si>
    <t>SABESP - SD 2025 (1501)</t>
  </si>
  <si>
    <t>SEC SISTEMAS</t>
  </si>
  <si>
    <t>SEC SD (1271)</t>
  </si>
  <si>
    <t>SEC-N3 NOVO</t>
  </si>
  <si>
    <t>SEC BA SISTEMAS  (1288)</t>
  </si>
  <si>
    <t>SEC SIGEDUC (1299)</t>
  </si>
  <si>
    <t>SEC N3 NOVO (1289)</t>
  </si>
  <si>
    <t>SEBRAE-SP DC NOVO (1298)</t>
  </si>
  <si>
    <t>EMBASA Monitoramento</t>
  </si>
  <si>
    <t>EMBASA - NOVO (1290)</t>
  </si>
  <si>
    <t>BRADESCO - DS 2 (1294)</t>
  </si>
  <si>
    <t>EMBASA - Sustentação ITSM (1490)</t>
  </si>
  <si>
    <t>BRADESCO - DS 1 (1391)</t>
  </si>
  <si>
    <t>SANTANDER ADS Fabrica</t>
  </si>
  <si>
    <t>RITA ANDRADE</t>
  </si>
  <si>
    <t>FS</t>
  </si>
  <si>
    <t>BRADESCO - DS (1391)</t>
  </si>
  <si>
    <t>BANCO SANTANDER Agile Studio (1268)</t>
  </si>
  <si>
    <t>RODRIGO CORUMBA</t>
  </si>
  <si>
    <t>PETZ</t>
  </si>
  <si>
    <t>BV Rendimento</t>
  </si>
  <si>
    <t>BANCO SAFRA Alocações (1357)</t>
  </si>
  <si>
    <t>Banco Rendimento CSA</t>
  </si>
  <si>
    <t>PETZ - ADS (1260)</t>
  </si>
  <si>
    <t>MS</t>
  </si>
  <si>
    <t>VR - Salesforce (1479)</t>
  </si>
  <si>
    <t>SF - FUNCEF</t>
  </si>
  <si>
    <t>ELETROBRAS RS NOVO (1300)</t>
  </si>
  <si>
    <t>BANCO RENDIMENTO ADS (1262)</t>
  </si>
  <si>
    <t>BANCO RENDIMENTO MONITORING CSA (1269)</t>
  </si>
  <si>
    <t>BPS</t>
  </si>
  <si>
    <t>Atakarejo</t>
  </si>
  <si>
    <t>SF – FUNCEF (1378)</t>
  </si>
  <si>
    <t>DETRAN</t>
  </si>
  <si>
    <t>BRADESCO - SEGUROS (1292)</t>
  </si>
  <si>
    <t>ELETROBRAS - AXIA N3 (1515)</t>
  </si>
  <si>
    <t>BRADESCO SEGUROS BPS</t>
  </si>
  <si>
    <t>ELETROBRAS - AXIA Monitoramento (1519)</t>
  </si>
  <si>
    <t>ATAKAREJO N3 (1455)</t>
  </si>
  <si>
    <t>DETRAN - N3 (1393)</t>
  </si>
  <si>
    <t>FICO</t>
  </si>
  <si>
    <t>BRADESCO - SEGUROS (BPS) (1484)</t>
  </si>
  <si>
    <t>UNIPAR (1483)</t>
  </si>
  <si>
    <t>RADESCO SEGUROS (ADS) – BS2 (1507)</t>
  </si>
  <si>
    <t>OP2</t>
  </si>
  <si>
    <t>BRADESCO SEGUROS (CSA) – BS2 (1512)</t>
  </si>
  <si>
    <t>BANCO CARREFOUR (1489)</t>
  </si>
  <si>
    <t>FICO (1472)</t>
  </si>
  <si>
    <t>REAL GRANDEZA (1482)</t>
  </si>
  <si>
    <t>OP1</t>
  </si>
  <si>
    <t>GNC (1470)</t>
  </si>
  <si>
    <t>UNIPAR_SD-OPS (1533)</t>
  </si>
  <si>
    <t>FAPESB Sustentação (1475)</t>
  </si>
  <si>
    <t>IBAMETRO DS (1525)</t>
  </si>
  <si>
    <t xml:space="preserve">TJ - BA SISTEMAS </t>
  </si>
  <si>
    <t>TJ - BA SISTEMAS EMERGENCIAL (1514)</t>
  </si>
  <si>
    <t>MP - BA NOVO</t>
  </si>
  <si>
    <t>MP - BA I (1473)</t>
  </si>
  <si>
    <t>SERASA APLIC</t>
  </si>
  <si>
    <t>SERASA EXPERIAN (1360)</t>
  </si>
  <si>
    <t>SERASA DC</t>
  </si>
  <si>
    <t>SERASA DC (1387)</t>
  </si>
  <si>
    <t>TJBA CPROD</t>
  </si>
  <si>
    <t>TJ - BA CPROD (1277)</t>
  </si>
  <si>
    <t>OP3</t>
  </si>
  <si>
    <t>OP4</t>
  </si>
  <si>
    <t>Santander</t>
  </si>
  <si>
    <t>DPE ADS PROJETOS (1538)</t>
  </si>
  <si>
    <t>SEFAZ - BA OBSERVABILIDADE (1543)</t>
  </si>
  <si>
    <t>BANCO SANTANDER ORACLE (1356)</t>
  </si>
  <si>
    <t>BANCO RENDIMENTO MONITORAMENTO N1 INFRAESTRUTURA NOC-CSA (1541)</t>
  </si>
  <si>
    <t>PORTO SEGURO – BPS – DYNAMICS (1506)</t>
  </si>
  <si>
    <t>ADAB - Digital Center (1544)</t>
  </si>
  <si>
    <t>FAPESB CSA (1536)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</si>
</sst>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9"/>
      <name val="Aptos Narrow"/>
      <family val="2"/>
      <scheme val="minor"/>
    </font>
    <font>
      <sz val="10"/>
      <name val="Arial"/>
      <family val="2"/>
    </font>
    <font>
      <sz val="9"/>
      <color theme="3" tint="-0.499984740745262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color rgb="FF222B35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9"/>
      <color theme="3" tint="-0.499984740745262"/>
      <name val="Aptos Narrow"/>
      <family val="2"/>
      <scheme val="minor"/>
    </font>
    <font>
      <sz val="9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theme="4" tint="0.39994506668294322"/>
      </left>
      <right/>
      <top/>
      <bottom style="thin">
        <color theme="4" tint="0.39997558519241921"/>
      </bottom>
      <diagonal/>
    </border>
    <border>
      <left style="thin">
        <color theme="4" tint="0.39991454817346722"/>
      </left>
      <right style="thin">
        <color theme="4" tint="0.39991454817346722"/>
      </right>
      <top/>
      <bottom style="thin">
        <color theme="4" tint="0.39997558519241921"/>
      </bottom>
      <diagonal/>
    </border>
    <border>
      <left style="thin">
        <color theme="4" tint="0.39991454817346722"/>
      </left>
      <right/>
      <top/>
      <bottom style="thin">
        <color theme="4" tint="0.39997558519241921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 style="thin">
        <color theme="4" tint="0.39994506668294322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3" fontId="8" fillId="0" borderId="0" applyFont="0" applyFill="0" applyBorder="0" applyAlignment="0" applyProtection="0"/>
  </cellStyleXfs>
  <cellXfs count="28">
    <xf numFmtId="0" fontId="0" fillId="0" borderId="0" xfId="0"/>
    <xf numFmtId="17" fontId="2" fillId="3" borderId="0" xfId="1" quotePrefix="1" applyNumberFormat="1" applyFont="1" applyFill="1" applyAlignment="1" applyProtection="1">
      <alignment horizontal="center"/>
      <protection locked="0"/>
    </xf>
    <xf numFmtId="17" fontId="2" fillId="3" borderId="0" xfId="1" applyNumberFormat="1" applyFont="1" applyFill="1" applyAlignment="1" applyProtection="1">
      <alignment horizontal="center"/>
      <protection locked="0"/>
    </xf>
    <xf numFmtId="17" fontId="3" fillId="3" borderId="0" xfId="1" applyNumberFormat="1" applyFont="1" applyFill="1" applyAlignment="1" applyProtection="1">
      <alignment horizontal="center"/>
      <protection locked="0"/>
    </xf>
    <xf numFmtId="17" fontId="2" fillId="3" borderId="1" xfId="1" applyNumberFormat="1" applyFont="1" applyFill="1" applyBorder="1" applyAlignment="1" applyProtection="1">
      <alignment horizontal="center"/>
      <protection locked="0"/>
    </xf>
    <xf numFmtId="17" fontId="2" fillId="3" borderId="0" xfId="1" applyNumberFormat="1" applyFont="1" applyFill="1" applyBorder="1" applyAlignment="1" applyProtection="1">
      <alignment horizontal="center"/>
      <protection locked="0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5" borderId="0" xfId="0" applyFont="1" applyFill="1" applyAlignment="1" applyProtection="1">
      <alignment horizontal="left"/>
      <protection locked="0"/>
    </xf>
    <xf numFmtId="0" fontId="5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7" fillId="4" borderId="2" xfId="0" applyFont="1" applyFill="1" applyBorder="1" applyAlignment="1">
      <alignment horizontal="left" shrinkToFit="1"/>
    </xf>
    <xf numFmtId="164" fontId="9" fillId="4" borderId="3" xfId="2" applyNumberFormat="1" applyFont="1" applyFill="1" applyBorder="1" applyAlignment="1" applyProtection="1">
      <alignment shrinkToFit="1"/>
    </xf>
    <xf numFmtId="164" fontId="9" fillId="6" borderId="3" xfId="2" applyNumberFormat="1" applyFont="1" applyFill="1" applyBorder="1" applyAlignment="1" applyProtection="1">
      <alignment shrinkToFit="1"/>
    </xf>
    <xf numFmtId="0" fontId="10" fillId="5" borderId="0" xfId="0" applyFont="1" applyFill="1" applyAlignment="1">
      <alignment horizontal="left"/>
    </xf>
    <xf numFmtId="164" fontId="9" fillId="4" borderId="4" xfId="2" applyNumberFormat="1" applyFont="1" applyFill="1" applyBorder="1" applyAlignment="1" applyProtection="1">
      <alignment shrinkToFit="1"/>
    </xf>
    <xf numFmtId="3" fontId="11" fillId="7" borderId="5" xfId="0" applyNumberFormat="1" applyFont="1" applyFill="1" applyBorder="1"/>
    <xf numFmtId="0" fontId="4" fillId="8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164" fontId="12" fillId="4" borderId="4" xfId="2" applyNumberFormat="1" applyFont="1" applyFill="1" applyBorder="1" applyAlignment="1" applyProtection="1">
      <alignment shrinkToFit="1"/>
    </xf>
    <xf numFmtId="164" fontId="13" fillId="4" borderId="6" xfId="2" applyNumberFormat="1" applyFont="1" applyFill="1" applyBorder="1" applyAlignment="1" applyProtection="1">
      <alignment shrinkToFit="1"/>
    </xf>
    <xf numFmtId="164" fontId="9" fillId="4" borderId="3" xfId="2" applyNumberFormat="1" applyFont="1" applyFill="1" applyBorder="1" applyAlignment="1" applyProtection="1">
      <alignment horizontal="right" shrinkToFit="1"/>
    </xf>
    <xf numFmtId="164" fontId="12" fillId="4" borderId="3" xfId="2" applyNumberFormat="1" applyFont="1" applyFill="1" applyBorder="1" applyAlignment="1" applyProtection="1">
      <alignment shrinkToFit="1"/>
    </xf>
    <xf numFmtId="164" fontId="9" fillId="4" borderId="4" xfId="2" applyNumberFormat="1" applyFont="1" applyFill="1" applyBorder="1" applyAlignment="1" applyProtection="1">
      <alignment horizontal="right" wrapText="1" shrinkToFit="1"/>
    </xf>
    <xf numFmtId="164" fontId="9" fillId="4" borderId="6" xfId="2" applyNumberFormat="1" applyFont="1" applyFill="1" applyBorder="1" applyAlignment="1" applyProtection="1">
      <alignment shrinkToFit="1"/>
    </xf>
    <xf numFmtId="164" fontId="9" fillId="4" borderId="3" xfId="2" applyNumberFormat="1" applyFont="1" applyFill="1" applyBorder="1" applyAlignment="1" applyProtection="1">
      <alignment horizontal="right" wrapText="1" shrinkToFit="1"/>
    </xf>
    <xf numFmtId="0" fontId="7" fillId="4" borderId="0" xfId="0" applyFont="1" applyFill="1" applyAlignment="1">
      <alignment horizontal="left" shrinkToFit="1"/>
    </xf>
    <xf numFmtId="164" fontId="13" fillId="4" borderId="7" xfId="2" applyNumberFormat="1" applyFont="1" applyFill="1" applyBorder="1" applyAlignment="1" applyProtection="1">
      <alignment shrinkToFit="1"/>
    </xf>
  </cellXfs>
  <cellStyles count="3">
    <cellStyle name="60% - Ênfase5" xfId="1" builtinId="48"/>
    <cellStyle name="Normal" xfId="0" builtinId="0"/>
    <cellStyle name="Vírgula 2 13" xfId="2" xr:uid="{E67652FF-82E6-4385-850D-F77A885237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luxo%20de%20recebimento%20(Outubro26).xlsx" TargetMode="External"/><Relationship Id="rId2" Type="http://schemas.openxmlformats.org/officeDocument/2006/relationships/externalLinkPath" Target="file:///C:\Users\vitor.esteves\Downloads\Claude\Fluxo\Fluxo%20de%20recebimento%20(Outubro26).xlsx" TargetMode="External"/><Relationship Id="rId1" Type="http://schemas.openxmlformats.org/officeDocument/2006/relationships/externalLinkPath" Target="/Users/vitor.esteves/Downloads/Claude/Fluxo/Fluxo%20de%20recebimento%20(Outubro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R"/>
      <sheetName val="Local"/>
      <sheetName val="Fluxo25xRealizado25"/>
      <sheetName val="Executivo"/>
      <sheetName val="Planilha2"/>
      <sheetName val="Recebido"/>
      <sheetName val="Relatorio"/>
      <sheetName val="Planilha5"/>
      <sheetName val="INFO_26 (2)"/>
      <sheetName val="INFO_26"/>
      <sheetName val="INsights"/>
      <sheetName val="Planilha1"/>
      <sheetName val="INFO_BR_JAN_26"/>
      <sheetName val="Projeção Contabil"/>
      <sheetName val="CC"/>
      <sheetName val="INFO"/>
      <sheetName val="CT A RECEBER"/>
      <sheetName val="Planilha4"/>
      <sheetName val="Planilha6"/>
      <sheetName val="Planilha3"/>
      <sheetName val="Cronograma Financeiro"/>
      <sheetName val="Dados Clientes "/>
    </sheetNames>
    <sheetDataSet>
      <sheetData sheetId="0"/>
      <sheetData sheetId="1">
        <row r="1">
          <cell r="A1" t="str">
            <v>CC</v>
          </cell>
          <cell r="B1" t="str">
            <v>Excecutivo</v>
          </cell>
          <cell r="C1" t="str">
            <v>Grupo Cliente</v>
          </cell>
          <cell r="D1" t="str">
            <v>CLIENTE</v>
          </cell>
          <cell r="E1" t="str">
            <v>Faturamento</v>
          </cell>
        </row>
        <row r="2">
          <cell r="A2">
            <v>1413</v>
          </cell>
          <cell r="B2" t="str">
            <v>ROGERIO</v>
          </cell>
          <cell r="C2" t="str">
            <v xml:space="preserve">ARENAS </v>
          </cell>
          <cell r="D2" t="str">
            <v>ARENAS PE</v>
          </cell>
          <cell r="E2" t="str">
            <v>MATRIZ</v>
          </cell>
        </row>
        <row r="3">
          <cell r="A3">
            <v>1455</v>
          </cell>
          <cell r="B3" t="str">
            <v>ANTONIO</v>
          </cell>
          <cell r="C3" t="str">
            <v>ATAKAREJO</v>
          </cell>
          <cell r="D3" t="str">
            <v>ATAKAREJO</v>
          </cell>
          <cell r="E3" t="str">
            <v>MATRIZ</v>
          </cell>
        </row>
        <row r="4">
          <cell r="A4">
            <v>1497</v>
          </cell>
          <cell r="B4" t="str">
            <v>ANTONIO</v>
          </cell>
          <cell r="C4" t="str">
            <v>ATAKAREJO</v>
          </cell>
          <cell r="D4" t="str">
            <v>ATAKAREJO - PROJETOS</v>
          </cell>
          <cell r="E4" t="str">
            <v>MATRIZ</v>
          </cell>
        </row>
        <row r="5">
          <cell r="A5">
            <v>1482</v>
          </cell>
          <cell r="B5" t="str">
            <v>JOSÉ NETO</v>
          </cell>
          <cell r="C5" t="str">
            <v>AXIA</v>
          </cell>
          <cell r="D5" t="str">
            <v>AXIA</v>
          </cell>
          <cell r="E5" t="str">
            <v>MATRIZ</v>
          </cell>
        </row>
        <row r="6">
          <cell r="A6">
            <v>1296</v>
          </cell>
          <cell r="B6" t="str">
            <v>AXIA</v>
          </cell>
          <cell r="C6" t="str">
            <v>AXIA</v>
          </cell>
          <cell r="D6" t="str">
            <v>AXIA</v>
          </cell>
          <cell r="E6" t="str">
            <v>MATRIZ</v>
          </cell>
        </row>
        <row r="7">
          <cell r="A7">
            <v>1489</v>
          </cell>
          <cell r="B7" t="str">
            <v>NIVALDO</v>
          </cell>
          <cell r="C7" t="str">
            <v>CARREFOUR</v>
          </cell>
          <cell r="D7" t="str">
            <v>BANCO CARREFOUR</v>
          </cell>
          <cell r="E7" t="str">
            <v>SP</v>
          </cell>
        </row>
        <row r="8">
          <cell r="A8">
            <v>1463</v>
          </cell>
          <cell r="B8" t="str">
            <v>NIVALDO</v>
          </cell>
          <cell r="C8" t="str">
            <v>Banco Master</v>
          </cell>
          <cell r="D8" t="str">
            <v xml:space="preserve"> MASTER FINANCIAL MARKETING CLOUD</v>
          </cell>
          <cell r="E8" t="str">
            <v>HUB</v>
          </cell>
        </row>
        <row r="9">
          <cell r="A9">
            <v>1464</v>
          </cell>
          <cell r="B9" t="str">
            <v>NIVALDO</v>
          </cell>
          <cell r="C9" t="str">
            <v>Banco Master</v>
          </cell>
          <cell r="D9" t="str">
            <v>MASTER ATENDIMENTO SERVICE CLOUD</v>
          </cell>
          <cell r="E9" t="str">
            <v>HUB</v>
          </cell>
        </row>
        <row r="10">
          <cell r="A10">
            <v>1461</v>
          </cell>
          <cell r="B10" t="str">
            <v>NIVALDO</v>
          </cell>
          <cell r="C10" t="str">
            <v>Banco Master</v>
          </cell>
          <cell r="D10" t="str">
            <v>MASTER FINANCIAL SERVICE CLOUD</v>
          </cell>
          <cell r="E10" t="str">
            <v>HUB</v>
          </cell>
        </row>
        <row r="11">
          <cell r="A11">
            <v>1465</v>
          </cell>
          <cell r="B11" t="str">
            <v>NIVALDO</v>
          </cell>
          <cell r="C11" t="str">
            <v>Banco Master</v>
          </cell>
          <cell r="D11" t="str">
            <v>MASTER FINANCIAL SERVICE CLOUD</v>
          </cell>
          <cell r="E11" t="str">
            <v>HUB</v>
          </cell>
        </row>
        <row r="12">
          <cell r="A12">
            <v>1357</v>
          </cell>
          <cell r="B12" t="str">
            <v>CYRO</v>
          </cell>
          <cell r="C12" t="str">
            <v>SAFRA</v>
          </cell>
          <cell r="D12" t="str">
            <v xml:space="preserve">BANCO SAFRA - ADS </v>
          </cell>
          <cell r="E12" t="str">
            <v>SP</v>
          </cell>
        </row>
        <row r="13">
          <cell r="A13">
            <v>1478</v>
          </cell>
          <cell r="B13" t="str">
            <v>RITA ANDRADE</v>
          </cell>
          <cell r="C13" t="str">
            <v>BANKLY</v>
          </cell>
          <cell r="D13" t="str">
            <v>BANKLY</v>
          </cell>
          <cell r="E13" t="str">
            <v>SP</v>
          </cell>
        </row>
        <row r="14">
          <cell r="A14">
            <v>1491</v>
          </cell>
          <cell r="B14" t="str">
            <v>CYRO</v>
          </cell>
          <cell r="C14" t="str">
            <v>BNP Cardif</v>
          </cell>
          <cell r="D14" t="str">
            <v>BNP Cardif</v>
          </cell>
          <cell r="E14" t="str">
            <v>SP</v>
          </cell>
        </row>
        <row r="15">
          <cell r="A15">
            <v>1499</v>
          </cell>
          <cell r="B15" t="str">
            <v>LIZANDRA</v>
          </cell>
          <cell r="C15" t="str">
            <v>BRACELL</v>
          </cell>
          <cell r="D15" t="str">
            <v>BRACELL</v>
          </cell>
          <cell r="E15" t="str">
            <v>MATRIZ</v>
          </cell>
        </row>
        <row r="16">
          <cell r="A16">
            <v>1391</v>
          </cell>
          <cell r="B16" t="str">
            <v>RITA ANDRADE</v>
          </cell>
          <cell r="C16" t="str">
            <v>BRADESCO</v>
          </cell>
          <cell r="D16" t="str">
            <v>Bradesco DS 1</v>
          </cell>
          <cell r="E16" t="str">
            <v>SP</v>
          </cell>
        </row>
        <row r="17">
          <cell r="A17">
            <v>1294</v>
          </cell>
          <cell r="B17" t="str">
            <v>RITA ANDRADE</v>
          </cell>
          <cell r="C17" t="str">
            <v>BRADESCO</v>
          </cell>
          <cell r="D17" t="str">
            <v>Bradesco DS 2</v>
          </cell>
          <cell r="E17" t="str">
            <v>SP</v>
          </cell>
        </row>
        <row r="18">
          <cell r="A18">
            <v>1474</v>
          </cell>
          <cell r="B18" t="str">
            <v>RITA ANDRADE</v>
          </cell>
          <cell r="C18" t="str">
            <v>BRADESCO</v>
          </cell>
          <cell r="D18" t="str">
            <v>BRADESCO DS2 (CSA)</v>
          </cell>
          <cell r="E18" t="str">
            <v>SP</v>
          </cell>
        </row>
        <row r="19">
          <cell r="A19">
            <v>1285</v>
          </cell>
          <cell r="B19" t="str">
            <v>RITA ANDRADE</v>
          </cell>
          <cell r="C19" t="str">
            <v>BRADESCO</v>
          </cell>
          <cell r="D19" t="str">
            <v>Bradesco Experience</v>
          </cell>
          <cell r="E19" t="str">
            <v>SP</v>
          </cell>
        </row>
        <row r="20">
          <cell r="A20">
            <v>1354</v>
          </cell>
          <cell r="B20" t="str">
            <v>RITA ANDRADE</v>
          </cell>
          <cell r="C20" t="str">
            <v>BRADESCO</v>
          </cell>
          <cell r="D20" t="str">
            <v>Bradesco Mobile</v>
          </cell>
          <cell r="E20" t="str">
            <v>SP</v>
          </cell>
        </row>
        <row r="21">
          <cell r="A21">
            <v>1274</v>
          </cell>
          <cell r="B21" t="str">
            <v>RITA ANDRADE</v>
          </cell>
          <cell r="C21" t="str">
            <v>BRADESCO</v>
          </cell>
          <cell r="D21" t="str">
            <v>Bradesco_Projetos</v>
          </cell>
          <cell r="E21" t="str">
            <v>SP</v>
          </cell>
        </row>
        <row r="22">
          <cell r="A22">
            <v>1484</v>
          </cell>
          <cell r="B22" t="str">
            <v>RITA ANDRADE</v>
          </cell>
          <cell r="C22" t="str">
            <v>BRADESCO_SEGUROS</v>
          </cell>
          <cell r="D22" t="str">
            <v>BRADESCO - SEGUROS (BPS)</v>
          </cell>
          <cell r="E22" t="str">
            <v>SP</v>
          </cell>
        </row>
        <row r="23">
          <cell r="A23">
            <v>1292</v>
          </cell>
          <cell r="B23" t="str">
            <v>RITA ANDRADE</v>
          </cell>
          <cell r="C23" t="str">
            <v>BRADESCO_SEGUROS</v>
          </cell>
          <cell r="D23" t="str">
            <v>Bradesco Seguros</v>
          </cell>
          <cell r="E23" t="str">
            <v>SP</v>
          </cell>
        </row>
        <row r="24">
          <cell r="A24">
            <v>1507</v>
          </cell>
          <cell r="B24" t="str">
            <v>RITA ANDRADE</v>
          </cell>
          <cell r="C24" t="str">
            <v>BRADESCO_SEGUROS</v>
          </cell>
          <cell r="D24" t="str">
            <v>BRADESCO SEGUROS (ADS) – BS2</v>
          </cell>
          <cell r="E24" t="str">
            <v>SP</v>
          </cell>
        </row>
        <row r="25">
          <cell r="A25">
            <v>1512</v>
          </cell>
          <cell r="B25" t="str">
            <v>RITA ANDRADE</v>
          </cell>
          <cell r="C25" t="str">
            <v>BRADESCO_SEGUROS</v>
          </cell>
          <cell r="D25" t="str">
            <v>BRADESCO SEGUROS (CSA) – BS2</v>
          </cell>
          <cell r="E25" t="str">
            <v>SP</v>
          </cell>
        </row>
        <row r="26">
          <cell r="A26">
            <v>1508</v>
          </cell>
          <cell r="B26" t="str">
            <v>RITA ANDRADE</v>
          </cell>
          <cell r="C26" t="str">
            <v>BRADESCO_SEGUROS</v>
          </cell>
          <cell r="D26" t="str">
            <v>BRADESCO SEGUROS (BPS) – BS2</v>
          </cell>
          <cell r="E26" t="str">
            <v>SP</v>
          </cell>
        </row>
        <row r="27">
          <cell r="A27">
            <v>1269</v>
          </cell>
          <cell r="B27" t="str">
            <v>RITA ANDRADE</v>
          </cell>
          <cell r="C27" t="str">
            <v>RENDIMENTO</v>
          </cell>
          <cell r="D27" t="str">
            <v>BV MONITORING</v>
          </cell>
          <cell r="E27" t="str">
            <v>SP</v>
          </cell>
        </row>
        <row r="28">
          <cell r="A28">
            <v>1262</v>
          </cell>
          <cell r="B28" t="str">
            <v>RITA ANDRADE</v>
          </cell>
          <cell r="C28" t="str">
            <v>RENDIMENTO</v>
          </cell>
          <cell r="D28" t="str">
            <v>BV Rendimento</v>
          </cell>
          <cell r="E28" t="str">
            <v>SP</v>
          </cell>
        </row>
        <row r="29">
          <cell r="A29">
            <v>1389</v>
          </cell>
          <cell r="B29" t="str">
            <v>EVANDRO</v>
          </cell>
          <cell r="C29" t="str">
            <v>CLOUD SERVICES</v>
          </cell>
          <cell r="D29" t="str">
            <v>TD SYNNEX BRASIL</v>
          </cell>
          <cell r="E29" t="str">
            <v>MATRIZ</v>
          </cell>
        </row>
        <row r="30">
          <cell r="A30">
            <v>1398</v>
          </cell>
          <cell r="B30" t="str">
            <v>CYRO</v>
          </cell>
          <cell r="C30" t="str">
            <v>Compass</v>
          </cell>
          <cell r="D30" t="str">
            <v>COMPASS</v>
          </cell>
          <cell r="E30" t="str">
            <v>MATRIZ</v>
          </cell>
        </row>
        <row r="31">
          <cell r="A31">
            <v>1393</v>
          </cell>
          <cell r="B31" t="str">
            <v>ROGERIO</v>
          </cell>
          <cell r="C31" t="str">
            <v xml:space="preserve">DETRAN-BA </v>
          </cell>
          <cell r="D31" t="str">
            <v>DETRAN</v>
          </cell>
          <cell r="E31" t="str">
            <v>MATRIZ</v>
          </cell>
        </row>
        <row r="32">
          <cell r="A32">
            <v>1476</v>
          </cell>
          <cell r="B32" t="str">
            <v>ANTONIO</v>
          </cell>
          <cell r="C32" t="str">
            <v>DPE</v>
          </cell>
          <cell r="D32" t="str">
            <v xml:space="preserve">DPE - BA Digital Center </v>
          </cell>
          <cell r="E32" t="str">
            <v>MATRIZ</v>
          </cell>
        </row>
        <row r="33">
          <cell r="A33">
            <v>1515</v>
          </cell>
          <cell r="B33" t="str">
            <v>JOSÉ NETO</v>
          </cell>
          <cell r="C33" t="str">
            <v>AXIA</v>
          </cell>
          <cell r="D33" t="str">
            <v>AXIA N3</v>
          </cell>
          <cell r="E33" t="str">
            <v>HUB</v>
          </cell>
        </row>
        <row r="34">
          <cell r="A34">
            <v>1519</v>
          </cell>
          <cell r="B34" t="str">
            <v>JOSÉ NETO</v>
          </cell>
          <cell r="C34" t="str">
            <v>AXIA</v>
          </cell>
          <cell r="D34" t="str">
            <v>ELETROBRAS - AXIA Monitoramento</v>
          </cell>
          <cell r="E34" t="str">
            <v>HUB</v>
          </cell>
        </row>
        <row r="35">
          <cell r="A35">
            <v>1291</v>
          </cell>
          <cell r="B35" t="str">
            <v>JOSÉ NETO</v>
          </cell>
          <cell r="C35" t="str">
            <v>AXIA</v>
          </cell>
          <cell r="D35" t="str">
            <v>Eletrobras</v>
          </cell>
          <cell r="E35" t="str">
            <v>HUB</v>
          </cell>
        </row>
        <row r="36">
          <cell r="A36">
            <v>1300</v>
          </cell>
          <cell r="B36" t="str">
            <v>JOSÉ NETO</v>
          </cell>
          <cell r="C36" t="str">
            <v>AXIA</v>
          </cell>
          <cell r="D36" t="str">
            <v>Eletrobras_RS_ Novo</v>
          </cell>
          <cell r="E36" t="str">
            <v>HUB</v>
          </cell>
        </row>
        <row r="37">
          <cell r="A37">
            <v>1290</v>
          </cell>
          <cell r="B37" t="str">
            <v>ANTONIO</v>
          </cell>
          <cell r="C37" t="str">
            <v>EMBASA</v>
          </cell>
          <cell r="D37" t="str">
            <v>Embasa Novo</v>
          </cell>
          <cell r="E37" t="str">
            <v>MATRIZ</v>
          </cell>
        </row>
        <row r="38">
          <cell r="A38">
            <v>1490</v>
          </cell>
          <cell r="B38" t="str">
            <v>ANTONIO</v>
          </cell>
          <cell r="C38" t="str">
            <v>EMBASA</v>
          </cell>
          <cell r="D38" t="str">
            <v>Embasa Sustentação ISTM</v>
          </cell>
          <cell r="E38" t="str">
            <v>MATRIZ</v>
          </cell>
        </row>
        <row r="39">
          <cell r="A39">
            <v>1480</v>
          </cell>
          <cell r="B39" t="str">
            <v>ROGERIO TEIXEIRA</v>
          </cell>
          <cell r="C39" t="str">
            <v>ENTREPAY</v>
          </cell>
          <cell r="D39" t="str">
            <v>ENTREPAY</v>
          </cell>
          <cell r="E39" t="str">
            <v>SP</v>
          </cell>
        </row>
        <row r="40">
          <cell r="A40">
            <v>1284</v>
          </cell>
          <cell r="B40" t="str">
            <v>RITA ANDRADE</v>
          </cell>
          <cell r="C40" t="str">
            <v>Europ</v>
          </cell>
          <cell r="D40" t="str">
            <v>EUROP ASSISTENCE DC</v>
          </cell>
          <cell r="E40" t="str">
            <v>SP</v>
          </cell>
        </row>
        <row r="41">
          <cell r="A41">
            <v>1511</v>
          </cell>
          <cell r="B41" t="str">
            <v>EVANDRO</v>
          </cell>
          <cell r="C41" t="str">
            <v>EXE AUCTIONS</v>
          </cell>
          <cell r="D41" t="str">
            <v>EXE AUCTIONS</v>
          </cell>
          <cell r="E41" t="str">
            <v>MATRIZ</v>
          </cell>
        </row>
        <row r="42">
          <cell r="A42">
            <v>1230</v>
          </cell>
          <cell r="B42" t="str">
            <v>LIZANDRA</v>
          </cell>
          <cell r="C42" t="str">
            <v>Fapesb</v>
          </cell>
          <cell r="D42" t="str">
            <v>FAPESB</v>
          </cell>
          <cell r="E42" t="str">
            <v>MATRIZ</v>
          </cell>
        </row>
        <row r="43">
          <cell r="A43">
            <v>1475</v>
          </cell>
          <cell r="B43" t="str">
            <v>LIZANDRA</v>
          </cell>
          <cell r="C43" t="str">
            <v>FAPESB</v>
          </cell>
          <cell r="D43" t="str">
            <v>FAPESB Sustentação</v>
          </cell>
          <cell r="E43" t="str">
            <v>MATRIZ</v>
          </cell>
        </row>
        <row r="44">
          <cell r="A44">
            <v>1472</v>
          </cell>
          <cell r="B44" t="str">
            <v>NIVALDO</v>
          </cell>
          <cell r="C44" t="str">
            <v>FICO</v>
          </cell>
          <cell r="D44" t="str">
            <v>FICO</v>
          </cell>
          <cell r="E44" t="str">
            <v>SP</v>
          </cell>
        </row>
        <row r="45">
          <cell r="A45">
            <v>1496</v>
          </cell>
          <cell r="B45" t="str">
            <v>NIVALDO</v>
          </cell>
          <cell r="C45" t="str">
            <v>FICO</v>
          </cell>
          <cell r="D45" t="str">
            <v xml:space="preserve">FICO - ITAÚ </v>
          </cell>
          <cell r="E45" t="str">
            <v>SP</v>
          </cell>
        </row>
        <row r="46">
          <cell r="A46">
            <v>1378</v>
          </cell>
          <cell r="B46" t="str">
            <v>LUANA</v>
          </cell>
          <cell r="C46" t="str">
            <v xml:space="preserve"> FUNCEF</v>
          </cell>
          <cell r="D46" t="str">
            <v>Funcef</v>
          </cell>
          <cell r="E46" t="str">
            <v>MATRIZ</v>
          </cell>
        </row>
        <row r="47">
          <cell r="A47">
            <v>1364</v>
          </cell>
          <cell r="B47" t="str">
            <v>JOSÉ NETO</v>
          </cell>
          <cell r="C47" t="str">
            <v>AXIA</v>
          </cell>
          <cell r="D47" t="str">
            <v xml:space="preserve">FURNAS CSC N2 </v>
          </cell>
          <cell r="E47" t="str">
            <v>MATRIZ</v>
          </cell>
        </row>
        <row r="48">
          <cell r="A48">
            <v>1321</v>
          </cell>
          <cell r="B48" t="str">
            <v>JOSÉ NETO</v>
          </cell>
          <cell r="C48" t="str">
            <v>AXIA</v>
          </cell>
          <cell r="D48" t="str">
            <v>FURNAS DS</v>
          </cell>
          <cell r="E48" t="str">
            <v>MATRIZ</v>
          </cell>
        </row>
        <row r="49">
          <cell r="A49">
            <v>1361</v>
          </cell>
          <cell r="B49" t="str">
            <v>JOSÉ NETO</v>
          </cell>
          <cell r="C49" t="str">
            <v>AXIA</v>
          </cell>
          <cell r="D49" t="str">
            <v>FURNAS DS</v>
          </cell>
          <cell r="E49" t="str">
            <v>MATRIZ</v>
          </cell>
        </row>
        <row r="50">
          <cell r="A50">
            <v>1339</v>
          </cell>
          <cell r="B50" t="str">
            <v>JOSÉ NETO</v>
          </cell>
          <cell r="C50" t="str">
            <v>AXIA</v>
          </cell>
          <cell r="D50" t="str">
            <v>FURNAS -FSW</v>
          </cell>
          <cell r="E50" t="str">
            <v>MATRIZ</v>
          </cell>
        </row>
        <row r="51">
          <cell r="A51">
            <v>1462</v>
          </cell>
          <cell r="B51" t="str">
            <v>EVANDRO</v>
          </cell>
          <cell r="C51" t="str">
            <v>Compass</v>
          </cell>
          <cell r="D51" t="str">
            <v>NECTA</v>
          </cell>
          <cell r="E51" t="str">
            <v>MATRIZ</v>
          </cell>
        </row>
        <row r="52">
          <cell r="A52">
            <v>1470</v>
          </cell>
          <cell r="B52" t="str">
            <v>EVANDRO</v>
          </cell>
          <cell r="C52" t="str">
            <v>GNC</v>
          </cell>
          <cell r="D52" t="str">
            <v>TERRA FORTE</v>
          </cell>
          <cell r="E52" t="str">
            <v>MATRIZ</v>
          </cell>
        </row>
        <row r="53">
          <cell r="A53">
            <v>1247</v>
          </cell>
          <cell r="B53" t="str">
            <v>ROGERIO</v>
          </cell>
          <cell r="C53" t="str">
            <v>IBAMETRO</v>
          </cell>
          <cell r="D53" t="str">
            <v>IBAMETRO</v>
          </cell>
          <cell r="E53" t="str">
            <v>MATRIZ</v>
          </cell>
        </row>
        <row r="54">
          <cell r="A54">
            <v>1525</v>
          </cell>
          <cell r="B54" t="str">
            <v>ROGERIO</v>
          </cell>
          <cell r="C54" t="str">
            <v>IBAMETRO</v>
          </cell>
          <cell r="D54" t="str">
            <v>IBAMETRO DS (1525)</v>
          </cell>
          <cell r="E54" t="str">
            <v>MATRIZ</v>
          </cell>
        </row>
        <row r="55">
          <cell r="A55">
            <v>1358</v>
          </cell>
          <cell r="B55" t="str">
            <v>ROGERIO</v>
          </cell>
          <cell r="C55" t="str">
            <v>INEMA</v>
          </cell>
          <cell r="D55" t="str">
            <v>INEMA N3</v>
          </cell>
          <cell r="E55" t="str">
            <v>MATRIZ</v>
          </cell>
        </row>
        <row r="56">
          <cell r="A56">
            <v>1458</v>
          </cell>
          <cell r="B56" t="str">
            <v>LUANA</v>
          </cell>
          <cell r="C56" t="str">
            <v>ITAU</v>
          </cell>
          <cell r="D56" t="str">
            <v>ITAU</v>
          </cell>
          <cell r="E56" t="str">
            <v>SP</v>
          </cell>
        </row>
        <row r="57">
          <cell r="A57">
            <v>1466</v>
          </cell>
          <cell r="B57" t="str">
            <v>NIVALDO</v>
          </cell>
          <cell r="C57" t="str">
            <v>ITAU</v>
          </cell>
          <cell r="D57" t="str">
            <v>ITAU SALES CLOUD</v>
          </cell>
          <cell r="E57" t="str">
            <v>SP</v>
          </cell>
        </row>
        <row r="58">
          <cell r="A58">
            <v>1454</v>
          </cell>
          <cell r="B58" t="str">
            <v>ROGERIO</v>
          </cell>
          <cell r="C58" t="str">
            <v>LE BISCUIT</v>
          </cell>
          <cell r="D58" t="str">
            <v>LE BISCUIT - ATENDIMENTO SAC</v>
          </cell>
          <cell r="E58" t="str">
            <v>HUB</v>
          </cell>
        </row>
        <row r="59">
          <cell r="A59">
            <v>1279</v>
          </cell>
          <cell r="B59" t="str">
            <v>ROGERIO</v>
          </cell>
          <cell r="C59" t="str">
            <v>LE BISCUIT</v>
          </cell>
          <cell r="D59" t="str">
            <v>LE BISCUIT - CONSULTORIA SALESFORCE</v>
          </cell>
          <cell r="E59" t="str">
            <v>HUB</v>
          </cell>
        </row>
        <row r="60">
          <cell r="A60">
            <v>1438</v>
          </cell>
          <cell r="B60" t="str">
            <v>ROGERIO</v>
          </cell>
          <cell r="C60" t="str">
            <v>LE BISCUIT</v>
          </cell>
          <cell r="D60" t="str">
            <v>LE BISCUIT – RPA</v>
          </cell>
          <cell r="E60" t="str">
            <v>HUB</v>
          </cell>
        </row>
        <row r="61">
          <cell r="A61">
            <v>1261</v>
          </cell>
          <cell r="B61" t="str">
            <v>ROGERIO</v>
          </cell>
          <cell r="C61" t="str">
            <v>LE BISCUIT</v>
          </cell>
          <cell r="D61" t="str">
            <v>LE BISCUIT SD</v>
          </cell>
          <cell r="E61" t="str">
            <v>HUB</v>
          </cell>
        </row>
        <row r="62">
          <cell r="A62">
            <v>1379</v>
          </cell>
          <cell r="B62" t="str">
            <v>LUANA</v>
          </cell>
          <cell r="C62" t="str">
            <v>Milena</v>
          </cell>
          <cell r="D62" t="str">
            <v>Milena - Service Cloud</v>
          </cell>
          <cell r="E62" t="str">
            <v>HUB</v>
          </cell>
        </row>
        <row r="63">
          <cell r="A63">
            <v>1348</v>
          </cell>
          <cell r="B63" t="str">
            <v>LIZANDRA</v>
          </cell>
          <cell r="C63" t="str">
            <v>MP_BA</v>
          </cell>
          <cell r="D63" t="str">
            <v>MP-BA</v>
          </cell>
          <cell r="E63" t="str">
            <v>MATRIZ</v>
          </cell>
        </row>
        <row r="64">
          <cell r="A64">
            <v>1473</v>
          </cell>
          <cell r="B64" t="str">
            <v>LIZANDRA</v>
          </cell>
          <cell r="C64" t="str">
            <v>MP_BA</v>
          </cell>
          <cell r="D64" t="str">
            <v>MP-BA</v>
          </cell>
          <cell r="E64" t="str">
            <v>MATRIZ</v>
          </cell>
        </row>
        <row r="65">
          <cell r="A65">
            <v>1278</v>
          </cell>
          <cell r="B65" t="str">
            <v>JOSÉ NETO</v>
          </cell>
          <cell r="C65" t="str">
            <v>MP-RJ</v>
          </cell>
          <cell r="D65" t="str">
            <v>MP-RIO</v>
          </cell>
          <cell r="E65" t="str">
            <v>HUB</v>
          </cell>
        </row>
        <row r="66">
          <cell r="A66">
            <v>1282</v>
          </cell>
          <cell r="B66" t="str">
            <v>ROGERIO</v>
          </cell>
          <cell r="C66" t="str">
            <v>MV</v>
          </cell>
          <cell r="D66" t="str">
            <v>MV</v>
          </cell>
          <cell r="E66" t="str">
            <v>HUB</v>
          </cell>
        </row>
        <row r="67">
          <cell r="A67">
            <v>1281</v>
          </cell>
          <cell r="B67" t="str">
            <v>ROGERIO</v>
          </cell>
          <cell r="C67" t="str">
            <v>MV</v>
          </cell>
          <cell r="D67" t="str">
            <v>MV RPA</v>
          </cell>
          <cell r="E67" t="str">
            <v>HUB</v>
          </cell>
        </row>
        <row r="68">
          <cell r="A68">
            <v>1423</v>
          </cell>
          <cell r="B68" t="str">
            <v>RITA ANDRADE</v>
          </cell>
          <cell r="C68" t="str">
            <v>Nextia</v>
          </cell>
          <cell r="D68" t="str">
            <v>Nextia</v>
          </cell>
          <cell r="E68" t="str">
            <v>MATRIZ</v>
          </cell>
        </row>
        <row r="69">
          <cell r="A69">
            <v>1390</v>
          </cell>
          <cell r="B69" t="str">
            <v>JOSÉ NETO</v>
          </cell>
          <cell r="C69" t="str">
            <v>Oi</v>
          </cell>
          <cell r="D69" t="str">
            <v>OI BA</v>
          </cell>
          <cell r="E69" t="str">
            <v>HUB</v>
          </cell>
        </row>
        <row r="70">
          <cell r="A70">
            <v>1313</v>
          </cell>
          <cell r="B70" t="str">
            <v>ANDRÉ MOTA</v>
          </cell>
          <cell r="C70" t="str">
            <v>Oi</v>
          </cell>
          <cell r="D70" t="str">
            <v>OI SERGIPE</v>
          </cell>
          <cell r="E70" t="str">
            <v>HUB</v>
          </cell>
        </row>
        <row r="71">
          <cell r="A71">
            <v>1369</v>
          </cell>
          <cell r="B71" t="str">
            <v>RITA ANDRADE</v>
          </cell>
          <cell r="C71" t="str">
            <v>Pefisa</v>
          </cell>
          <cell r="D71" t="str">
            <v>Pefisa</v>
          </cell>
          <cell r="E71" t="str">
            <v>SP</v>
          </cell>
        </row>
        <row r="72">
          <cell r="A72">
            <v>1260</v>
          </cell>
          <cell r="B72" t="str">
            <v>CYRO</v>
          </cell>
          <cell r="C72" t="str">
            <v>PETZ</v>
          </cell>
          <cell r="D72" t="str">
            <v>PETZ</v>
          </cell>
          <cell r="E72" t="str">
            <v>SP</v>
          </cell>
        </row>
        <row r="73">
          <cell r="A73">
            <v>1485</v>
          </cell>
          <cell r="B73" t="str">
            <v>CYRO</v>
          </cell>
          <cell r="C73" t="str">
            <v>PORTO_SEGURO</v>
          </cell>
          <cell r="D73" t="str">
            <v>PORTO SEGURO-ADS</v>
          </cell>
          <cell r="E73" t="str">
            <v>SP</v>
          </cell>
        </row>
        <row r="74">
          <cell r="A74">
            <v>1486</v>
          </cell>
          <cell r="B74" t="str">
            <v>CYRO</v>
          </cell>
          <cell r="C74" t="str">
            <v>PORTO_SEGURO</v>
          </cell>
          <cell r="D74" t="str">
            <v>PORTO SEGURO-CSA</v>
          </cell>
          <cell r="E74" t="str">
            <v>SP</v>
          </cell>
        </row>
        <row r="75">
          <cell r="A75">
            <v>1487</v>
          </cell>
          <cell r="B75" t="str">
            <v>CYRO</v>
          </cell>
          <cell r="C75" t="str">
            <v>PORTO_SEGURO</v>
          </cell>
          <cell r="D75" t="str">
            <v>PORTO SEGURO-BPS</v>
          </cell>
          <cell r="E75" t="str">
            <v>SP</v>
          </cell>
        </row>
        <row r="76">
          <cell r="A76">
            <v>1506</v>
          </cell>
          <cell r="B76" t="str">
            <v>CYRO</v>
          </cell>
          <cell r="C76" t="str">
            <v>PORTO_SEGURO</v>
          </cell>
          <cell r="D76" t="str">
            <v>PORTO SEGURO – BPS DYNAMICS</v>
          </cell>
          <cell r="E76" t="str">
            <v>SP</v>
          </cell>
        </row>
        <row r="77">
          <cell r="A77">
            <v>1221</v>
          </cell>
          <cell r="B77" t="str">
            <v>RITA ANDRADE</v>
          </cell>
          <cell r="C77" t="str">
            <v>SABESP</v>
          </cell>
          <cell r="D77" t="str">
            <v>SABESP - MONITORAMENTO</v>
          </cell>
          <cell r="E77" t="str">
            <v>SP</v>
          </cell>
        </row>
        <row r="78">
          <cell r="A78">
            <v>1366</v>
          </cell>
          <cell r="B78" t="str">
            <v>RITA ANDRADE</v>
          </cell>
          <cell r="C78" t="str">
            <v>Sabesp</v>
          </cell>
          <cell r="D78" t="str">
            <v>SABESP - SD</v>
          </cell>
          <cell r="E78" t="str">
            <v>HUB</v>
          </cell>
        </row>
        <row r="79">
          <cell r="A79">
            <v>1259</v>
          </cell>
          <cell r="B79" t="str">
            <v>RITA ANDRADE</v>
          </cell>
          <cell r="C79" t="str">
            <v>Sabesp</v>
          </cell>
          <cell r="D79" t="str">
            <v>SABESP - STUDIO MICROSOFT</v>
          </cell>
          <cell r="E79" t="str">
            <v>SP</v>
          </cell>
        </row>
        <row r="80">
          <cell r="A80">
            <v>1341</v>
          </cell>
          <cell r="B80" t="str">
            <v>RITA ANDRADE</v>
          </cell>
          <cell r="C80" t="str">
            <v>Sabesp</v>
          </cell>
          <cell r="D80" t="str">
            <v>SABESP INTEGRAÇÃO</v>
          </cell>
          <cell r="E80" t="str">
            <v>SP</v>
          </cell>
        </row>
        <row r="81">
          <cell r="A81">
            <v>1400</v>
          </cell>
          <cell r="B81" t="str">
            <v>RITA ANDRADE</v>
          </cell>
          <cell r="C81" t="str">
            <v>Sabesp</v>
          </cell>
          <cell r="D81" t="str">
            <v xml:space="preserve">SABESP - MICROSOFT NOVO </v>
          </cell>
          <cell r="E81" t="str">
            <v>SP</v>
          </cell>
        </row>
        <row r="82">
          <cell r="A82">
            <v>1388</v>
          </cell>
          <cell r="B82" t="str">
            <v>RITA ANDRADE</v>
          </cell>
          <cell r="C82" t="str">
            <v>Sabesp</v>
          </cell>
          <cell r="D82" t="str">
            <v>Sabesp Netcontrol</v>
          </cell>
          <cell r="E82" t="str">
            <v>SP</v>
          </cell>
        </row>
        <row r="83">
          <cell r="A83">
            <v>1501</v>
          </cell>
          <cell r="B83" t="str">
            <v>CYRO</v>
          </cell>
          <cell r="C83" t="str">
            <v>SABESP</v>
          </cell>
          <cell r="D83" t="str">
            <v>SABESP - SD 2025 (1501)</v>
          </cell>
          <cell r="E83" t="str">
            <v>SP</v>
          </cell>
        </row>
        <row r="84">
          <cell r="A84">
            <v>1268</v>
          </cell>
          <cell r="B84" t="str">
            <v>CORUMBA</v>
          </cell>
          <cell r="C84" t="str">
            <v>Santander</v>
          </cell>
          <cell r="D84" t="str">
            <v>Torre Santander</v>
          </cell>
          <cell r="E84" t="str">
            <v>SP</v>
          </cell>
        </row>
        <row r="85">
          <cell r="A85">
            <v>1356</v>
          </cell>
          <cell r="B85" t="str">
            <v>CORUMBA</v>
          </cell>
          <cell r="C85" t="str">
            <v>Santander</v>
          </cell>
          <cell r="D85" t="str">
            <v>BANCO SANTANDER Spots</v>
          </cell>
          <cell r="E85" t="str">
            <v>SP</v>
          </cell>
        </row>
        <row r="86">
          <cell r="A86">
            <v>1481</v>
          </cell>
          <cell r="B86" t="str">
            <v>CORUMBA</v>
          </cell>
          <cell r="C86" t="str">
            <v>Santander</v>
          </cell>
          <cell r="D86" t="str">
            <v>Santander Esfera</v>
          </cell>
          <cell r="E86" t="str">
            <v>SP</v>
          </cell>
        </row>
        <row r="87">
          <cell r="A87">
            <v>1494</v>
          </cell>
          <cell r="B87" t="str">
            <v>CORUMBA</v>
          </cell>
          <cell r="C87" t="str">
            <v>SANTANDER</v>
          </cell>
          <cell r="D87" t="str">
            <v>SANTANDER BPS</v>
          </cell>
          <cell r="E87" t="str">
            <v>SP</v>
          </cell>
        </row>
        <row r="88">
          <cell r="A88">
            <v>1493</v>
          </cell>
          <cell r="B88" t="str">
            <v>CORUMBA</v>
          </cell>
          <cell r="C88" t="str">
            <v>SANTANDER</v>
          </cell>
          <cell r="D88" t="str">
            <v>SANTANDER CSA</v>
          </cell>
          <cell r="E88" t="str">
            <v>SP</v>
          </cell>
        </row>
        <row r="89">
          <cell r="A89">
            <v>1298</v>
          </cell>
          <cell r="B89" t="str">
            <v>JOSÉ NETO</v>
          </cell>
          <cell r="C89" t="str">
            <v>SEBRAE</v>
          </cell>
          <cell r="D89" t="str">
            <v>SEBRAE-SP DC (Novo)</v>
          </cell>
          <cell r="E89" t="str">
            <v>HUB</v>
          </cell>
        </row>
        <row r="90">
          <cell r="A90">
            <v>1376</v>
          </cell>
          <cell r="B90" t="str">
            <v>CYRO</v>
          </cell>
          <cell r="C90" t="str">
            <v>SEBRAE</v>
          </cell>
          <cell r="D90" t="str">
            <v>SEBRAE-SP DC</v>
          </cell>
          <cell r="E90" t="str">
            <v>HUB</v>
          </cell>
        </row>
        <row r="91">
          <cell r="A91">
            <v>1244</v>
          </cell>
          <cell r="B91" t="str">
            <v>CYRO</v>
          </cell>
          <cell r="C91" t="str">
            <v>SEBRAE</v>
          </cell>
          <cell r="D91" t="str">
            <v>SEBRAE-SP FSW</v>
          </cell>
          <cell r="E91" t="str">
            <v>HUB</v>
          </cell>
        </row>
        <row r="92">
          <cell r="A92">
            <v>1289</v>
          </cell>
          <cell r="B92" t="str">
            <v>ROGERIO</v>
          </cell>
          <cell r="C92" t="str">
            <v>SEC-BA</v>
          </cell>
          <cell r="D92" t="str">
            <v>SEC-BA N3-novo</v>
          </cell>
          <cell r="E92" t="str">
            <v>HUB</v>
          </cell>
        </row>
        <row r="93">
          <cell r="A93">
            <v>1288</v>
          </cell>
          <cell r="B93" t="str">
            <v>ROGERIO</v>
          </cell>
          <cell r="C93" t="str">
            <v>SEC-BA</v>
          </cell>
          <cell r="D93" t="str">
            <v>SEC-BA SISTEMAS</v>
          </cell>
          <cell r="E93" t="str">
            <v>HUB</v>
          </cell>
        </row>
        <row r="94">
          <cell r="A94">
            <v>1271</v>
          </cell>
          <cell r="B94" t="str">
            <v>ROGERIO</v>
          </cell>
          <cell r="C94" t="str">
            <v>SEC-BA</v>
          </cell>
          <cell r="D94" t="str">
            <v>SEC-SD NOVO</v>
          </cell>
          <cell r="E94" t="str">
            <v>HUB</v>
          </cell>
        </row>
        <row r="95">
          <cell r="A95">
            <v>1299</v>
          </cell>
          <cell r="B95" t="str">
            <v>ROGERIO</v>
          </cell>
          <cell r="C95" t="str">
            <v>SEC-BA</v>
          </cell>
          <cell r="D95" t="str">
            <v>SEC-SIGEDUC</v>
          </cell>
          <cell r="E95" t="str">
            <v>HUB</v>
          </cell>
        </row>
        <row r="96">
          <cell r="A96">
            <v>1394</v>
          </cell>
          <cell r="B96" t="str">
            <v>ANTONIO</v>
          </cell>
          <cell r="C96" t="str">
            <v>SEFAZ_BA</v>
          </cell>
          <cell r="D96" t="str">
            <v>SEFAZ-BA DIGITAL CENTER</v>
          </cell>
          <cell r="E96" t="str">
            <v>MATRIZ</v>
          </cell>
        </row>
        <row r="97">
          <cell r="A97">
            <v>1518</v>
          </cell>
          <cell r="B97" t="str">
            <v>ANTONIO</v>
          </cell>
          <cell r="C97" t="str">
            <v>SEFAZ_BA</v>
          </cell>
          <cell r="D97" t="str">
            <v>SEFAZ - BA ADS (1518)</v>
          </cell>
          <cell r="E97" t="str">
            <v>MATRIZ</v>
          </cell>
        </row>
        <row r="98">
          <cell r="A98">
            <v>1426</v>
          </cell>
          <cell r="B98" t="str">
            <v>LIZANDRA</v>
          </cell>
          <cell r="C98" t="str">
            <v>Sefaz-PMS</v>
          </cell>
          <cell r="D98" t="str">
            <v>SEFAZ-PMS</v>
          </cell>
          <cell r="E98" t="str">
            <v>MATRIZ</v>
          </cell>
        </row>
        <row r="99">
          <cell r="A99">
            <v>1360</v>
          </cell>
          <cell r="B99" t="str">
            <v>RITA ANDRADE</v>
          </cell>
          <cell r="C99" t="str">
            <v>SERASA</v>
          </cell>
          <cell r="D99" t="str">
            <v>SERASA APLIC</v>
          </cell>
          <cell r="E99" t="str">
            <v>SP</v>
          </cell>
        </row>
        <row r="100">
          <cell r="A100">
            <v>1500</v>
          </cell>
          <cell r="B100" t="str">
            <v>RITA ANDRADE</v>
          </cell>
          <cell r="C100" t="str">
            <v>SERASA</v>
          </cell>
          <cell r="D100" t="str">
            <v>SERASA - BPS</v>
          </cell>
          <cell r="E100" t="str">
            <v>SP</v>
          </cell>
        </row>
        <row r="101">
          <cell r="A101">
            <v>1387</v>
          </cell>
          <cell r="B101" t="str">
            <v>RITA ANDRADE</v>
          </cell>
          <cell r="C101" t="str">
            <v>SERASA</v>
          </cell>
          <cell r="D101" t="str">
            <v>SERASA DC</v>
          </cell>
          <cell r="E101" t="str">
            <v>SP</v>
          </cell>
        </row>
        <row r="102">
          <cell r="A102">
            <v>1460</v>
          </cell>
          <cell r="B102" t="str">
            <v>LUANA</v>
          </cell>
          <cell r="C102" t="str">
            <v>Setta</v>
          </cell>
          <cell r="D102" t="str">
            <v>Grupo Setta</v>
          </cell>
          <cell r="E102" t="str">
            <v>HUB</v>
          </cell>
        </row>
        <row r="103">
          <cell r="A103">
            <v>1468</v>
          </cell>
          <cell r="B103" t="str">
            <v>ROGERIO</v>
          </cell>
          <cell r="C103" t="str">
            <v>SETTA</v>
          </cell>
          <cell r="D103" t="str">
            <v xml:space="preserve">SF - SETTA MELHORIAS </v>
          </cell>
          <cell r="E103" t="str">
            <v>HUB</v>
          </cell>
        </row>
        <row r="104">
          <cell r="A104">
            <v>1287</v>
          </cell>
          <cell r="B104" t="str">
            <v>LIZANDRA</v>
          </cell>
          <cell r="C104" t="str">
            <v>TJ_BA</v>
          </cell>
          <cell r="D104" t="str">
            <v>TJ - SISTEMA</v>
          </cell>
          <cell r="E104" t="str">
            <v>HUB</v>
          </cell>
        </row>
        <row r="105">
          <cell r="A105">
            <v>1273</v>
          </cell>
          <cell r="B105" t="str">
            <v>LIZANDRA</v>
          </cell>
          <cell r="C105" t="str">
            <v>TJ_BA</v>
          </cell>
          <cell r="D105" t="str">
            <v>TJ -BA DIGITAL SUPPORT</v>
          </cell>
          <cell r="E105" t="str">
            <v>HUB</v>
          </cell>
        </row>
        <row r="106">
          <cell r="A106">
            <v>1277</v>
          </cell>
          <cell r="B106" t="str">
            <v>LIZANDRA</v>
          </cell>
          <cell r="C106" t="str">
            <v>TJ_BA</v>
          </cell>
          <cell r="D106" t="str">
            <v>TJBA CPROD</v>
          </cell>
          <cell r="E106" t="str">
            <v>HUB</v>
          </cell>
        </row>
        <row r="107">
          <cell r="A107">
            <v>1514</v>
          </cell>
          <cell r="B107" t="str">
            <v>LIZANDRA</v>
          </cell>
          <cell r="C107" t="str">
            <v>TJ_BA</v>
          </cell>
          <cell r="D107" t="str">
            <v>TJ - BA SISTEMAS EMERGENCIAL</v>
          </cell>
          <cell r="E107" t="str">
            <v>HUB</v>
          </cell>
        </row>
        <row r="108">
          <cell r="A108">
            <v>1533</v>
          </cell>
          <cell r="B108" t="str">
            <v>EVANDRO</v>
          </cell>
          <cell r="C108" t="str">
            <v>UNIPAR</v>
          </cell>
          <cell r="D108" t="str">
            <v>UNIPAR</v>
          </cell>
          <cell r="E108" t="str">
            <v>MATRIZ</v>
          </cell>
        </row>
        <row r="109">
          <cell r="A109">
            <v>1275</v>
          </cell>
          <cell r="B109" t="str">
            <v>NIVALDO</v>
          </cell>
          <cell r="C109" t="str">
            <v>VR</v>
          </cell>
          <cell r="D109" t="str">
            <v>VR -ADS</v>
          </cell>
          <cell r="E109" t="str">
            <v>SP</v>
          </cell>
        </row>
        <row r="110">
          <cell r="A110">
            <v>1479</v>
          </cell>
          <cell r="B110" t="str">
            <v>NIVALDO</v>
          </cell>
          <cell r="C110" t="str">
            <v>VR</v>
          </cell>
          <cell r="D110" t="str">
            <v>VR -SALESFORCE</v>
          </cell>
          <cell r="E110" t="str">
            <v>SP</v>
          </cell>
        </row>
        <row r="111">
          <cell r="A111">
            <v>1322</v>
          </cell>
          <cell r="E111" t="str">
            <v>MATRIZ</v>
          </cell>
        </row>
        <row r="112">
          <cell r="A112">
            <v>6105</v>
          </cell>
          <cell r="E112" t="str">
            <v>MATRIZ</v>
          </cell>
        </row>
        <row r="113">
          <cell r="A113">
            <v>1433</v>
          </cell>
          <cell r="E113" t="str">
            <v>MATRIZ</v>
          </cell>
        </row>
        <row r="114">
          <cell r="A114">
            <v>1446</v>
          </cell>
          <cell r="E114" t="str">
            <v>MATRIZ</v>
          </cell>
        </row>
        <row r="115">
          <cell r="A115">
            <v>1544</v>
          </cell>
          <cell r="B115" t="str">
            <v>ROGERIO</v>
          </cell>
          <cell r="C115" t="str">
            <v>ADAB</v>
          </cell>
          <cell r="D115" t="str">
            <v>ADAB - Digital Center (1544)</v>
          </cell>
          <cell r="E115" t="str">
            <v>MATRIZ</v>
          </cell>
        </row>
        <row r="116">
          <cell r="A116">
            <v>1536</v>
          </cell>
          <cell r="B116" t="str">
            <v>LIZANDRA</v>
          </cell>
          <cell r="C116" t="str">
            <v>FAPESB</v>
          </cell>
          <cell r="D116" t="str">
            <v>FAPESB CSA (1536)</v>
          </cell>
          <cell r="E116" t="str">
            <v>MATRIZ</v>
          </cell>
        </row>
        <row r="117">
          <cell r="A117">
            <v>1541</v>
          </cell>
          <cell r="B117" t="str">
            <v>CORUMBA</v>
          </cell>
          <cell r="C117" t="str">
            <v>RENDIMENTO</v>
          </cell>
          <cell r="D117" t="str">
            <v>BANCO RENDIMENTO MONITORAMENTO N1 INFRAESTRUTURA NOC-CSA (1541)</v>
          </cell>
          <cell r="E117" t="str">
            <v>SP</v>
          </cell>
        </row>
        <row r="118">
          <cell r="A118">
            <v>1538</v>
          </cell>
          <cell r="B118" t="str">
            <v>ANTONIO</v>
          </cell>
          <cell r="C118" t="str">
            <v>SEFAZ_BA</v>
          </cell>
          <cell r="D118" t="str">
            <v>SEFAZ - BA OBSERVABILIDADE (1543)</v>
          </cell>
          <cell r="E118" t="str">
            <v>MATRIZ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CENTRO_CUSTOS</v>
          </cell>
          <cell r="B1" t="str">
            <v>CONTRATO</v>
          </cell>
          <cell r="C1" t="str">
            <v>CLIENTE</v>
          </cell>
          <cell r="D1" t="str">
            <v>STATUS</v>
          </cell>
          <cell r="E1" t="str">
            <v>BU</v>
          </cell>
          <cell r="F1" t="str">
            <v>VERTICAL</v>
          </cell>
          <cell r="G1" t="str">
            <v>EXECUTIVO</v>
          </cell>
          <cell r="H1" t="str">
            <v>Dr_OPE</v>
          </cell>
          <cell r="I1" t="str">
            <v>SETOR</v>
          </cell>
        </row>
        <row r="2">
          <cell r="A2">
            <v>1101</v>
          </cell>
          <cell r="B2" t="str">
            <v>DIRETORIA (1101)</v>
          </cell>
          <cell r="C2" t="str">
            <v>ADM/FIN</v>
          </cell>
          <cell r="D2" t="str">
            <v>ATIVO</v>
          </cell>
          <cell r="E2" t="str">
            <v>TX_ADM</v>
          </cell>
          <cell r="F2" t="str">
            <v>ALL</v>
          </cell>
          <cell r="G2" t="str">
            <v>PAULO MARCELO</v>
          </cell>
          <cell r="H2" t="str">
            <v>OP</v>
          </cell>
          <cell r="I2" t="str">
            <v>CORPORATIVO</v>
          </cell>
        </row>
        <row r="3">
          <cell r="A3">
            <v>1102</v>
          </cell>
          <cell r="B3" t="str">
            <v>DIRETOR MARIO BRITO (1102)</v>
          </cell>
          <cell r="C3" t="str">
            <v>DESATIVADO</v>
          </cell>
          <cell r="D3" t="str">
            <v>INATIVO</v>
          </cell>
          <cell r="I3" t="str">
            <v>CORPORATIVO</v>
          </cell>
        </row>
        <row r="4">
          <cell r="A4">
            <v>1103</v>
          </cell>
          <cell r="B4" t="str">
            <v>FINANCEIRO (1103)</v>
          </cell>
          <cell r="C4" t="str">
            <v>ADM/FIN</v>
          </cell>
          <cell r="D4" t="str">
            <v>ATIVO</v>
          </cell>
          <cell r="E4" t="str">
            <v>TX_ADM</v>
          </cell>
          <cell r="F4" t="str">
            <v>ALL</v>
          </cell>
          <cell r="G4" t="str">
            <v>ANDRÉ MOTA</v>
          </cell>
          <cell r="H4" t="str">
            <v>OP</v>
          </cell>
          <cell r="I4" t="str">
            <v>CORPORATIVO</v>
          </cell>
        </row>
        <row r="5">
          <cell r="A5">
            <v>1104</v>
          </cell>
          <cell r="B5" t="str">
            <v>ADMINISTRATIVO (1104)</v>
          </cell>
          <cell r="C5" t="str">
            <v>ADM/FIN</v>
          </cell>
          <cell r="D5" t="str">
            <v>ATIVO</v>
          </cell>
          <cell r="E5" t="str">
            <v>TX_ADM</v>
          </cell>
          <cell r="F5" t="str">
            <v>ALL</v>
          </cell>
          <cell r="G5" t="str">
            <v>ANDRÉ MOTA</v>
          </cell>
          <cell r="H5" t="str">
            <v>OP</v>
          </cell>
          <cell r="I5" t="str">
            <v>CORPORATIVO</v>
          </cell>
        </row>
        <row r="6">
          <cell r="A6">
            <v>1105</v>
          </cell>
          <cell r="B6" t="str">
            <v>DEPARTAMENTO PESSOAL (DP) (1105)</v>
          </cell>
          <cell r="C6" t="str">
            <v>RH</v>
          </cell>
          <cell r="D6" t="str">
            <v>ATIVO</v>
          </cell>
          <cell r="E6" t="str">
            <v>TX_ADM</v>
          </cell>
          <cell r="F6" t="str">
            <v>ALL</v>
          </cell>
          <cell r="G6" t="str">
            <v>VIVIANE SANTOS</v>
          </cell>
          <cell r="H6" t="str">
            <v>OP</v>
          </cell>
          <cell r="I6" t="str">
            <v>CORPORATIVO</v>
          </cell>
        </row>
        <row r="7">
          <cell r="A7">
            <v>1109</v>
          </cell>
          <cell r="B7" t="str">
            <v>QUALIDADE (1109)</v>
          </cell>
          <cell r="C7" t="str">
            <v>QUALIDADE</v>
          </cell>
          <cell r="D7" t="str">
            <v>ATIVO</v>
          </cell>
          <cell r="E7" t="str">
            <v>TX_ADM</v>
          </cell>
          <cell r="F7" t="str">
            <v>ALL</v>
          </cell>
          <cell r="G7" t="str">
            <v>EVANDRO BRAGA</v>
          </cell>
          <cell r="H7" t="str">
            <v>OP</v>
          </cell>
          <cell r="I7" t="str">
            <v>CORPORATIVO</v>
          </cell>
        </row>
        <row r="8">
          <cell r="A8">
            <v>1110</v>
          </cell>
          <cell r="B8" t="str">
            <v>APOIO COMERCIAL (1110)</v>
          </cell>
          <cell r="C8" t="str">
            <v>COMERCIAL</v>
          </cell>
          <cell r="D8" t="str">
            <v>ATIVO</v>
          </cell>
          <cell r="E8" t="str">
            <v>TX_ADM</v>
          </cell>
          <cell r="F8" t="str">
            <v>ALL</v>
          </cell>
          <cell r="G8" t="str">
            <v>ANDRÉ MOTA</v>
          </cell>
          <cell r="H8" t="str">
            <v>OP</v>
          </cell>
          <cell r="I8" t="str">
            <v>CORPORATIVO</v>
          </cell>
        </row>
        <row r="9">
          <cell r="A9">
            <v>1111</v>
          </cell>
          <cell r="B9" t="str">
            <v>AQUISIÇÕES PT SOLUTIS (1111)</v>
          </cell>
          <cell r="C9" t="str">
            <v>AQUIS_ESTACAO</v>
          </cell>
          <cell r="D9" t="str">
            <v>ATIVO</v>
          </cell>
          <cell r="E9" t="str">
            <v>TX_ADM</v>
          </cell>
          <cell r="F9" t="str">
            <v>ALL</v>
          </cell>
          <cell r="G9" t="str">
            <v>ANDRÉ MOTA</v>
          </cell>
          <cell r="H9" t="str">
            <v>OP</v>
          </cell>
          <cell r="I9" t="str">
            <v>CORPORATIVO</v>
          </cell>
        </row>
        <row r="10">
          <cell r="A10">
            <v>1114</v>
          </cell>
          <cell r="B10" t="str">
            <v>TALENT ACQUISITION (1114)</v>
          </cell>
          <cell r="C10" t="str">
            <v>RH</v>
          </cell>
          <cell r="D10" t="str">
            <v>ATIVO</v>
          </cell>
          <cell r="E10" t="str">
            <v>TX_ADM</v>
          </cell>
          <cell r="F10" t="str">
            <v>ALL</v>
          </cell>
          <cell r="G10" t="str">
            <v>VIVIANE SANTOS</v>
          </cell>
          <cell r="H10" t="str">
            <v>OP</v>
          </cell>
          <cell r="I10" t="str">
            <v>CORPORATIVO</v>
          </cell>
        </row>
        <row r="11">
          <cell r="A11">
            <v>1116</v>
          </cell>
          <cell r="B11" t="str">
            <v>MARKETING (1116)</v>
          </cell>
          <cell r="C11" t="str">
            <v>MKT</v>
          </cell>
          <cell r="D11" t="str">
            <v>ATIVO</v>
          </cell>
          <cell r="E11" t="str">
            <v>TX_ADM</v>
          </cell>
          <cell r="F11" t="str">
            <v>ALL</v>
          </cell>
          <cell r="G11" t="str">
            <v>DEBORA LIMA</v>
          </cell>
          <cell r="H11" t="str">
            <v>OP</v>
          </cell>
          <cell r="I11" t="str">
            <v>CORPORATIVO</v>
          </cell>
        </row>
        <row r="12">
          <cell r="A12">
            <v>1117</v>
          </cell>
          <cell r="B12" t="str">
            <v>RECURSO INTERNO (1117)</v>
          </cell>
          <cell r="C12" t="str">
            <v>ADM/FIN</v>
          </cell>
          <cell r="D12" t="str">
            <v>ATIVO</v>
          </cell>
          <cell r="E12" t="str">
            <v>TX_ADM</v>
          </cell>
          <cell r="F12" t="str">
            <v>ALL</v>
          </cell>
          <cell r="G12" t="str">
            <v>VIVIANE SANTOS</v>
          </cell>
          <cell r="H12" t="str">
            <v>OP</v>
          </cell>
          <cell r="I12" t="str">
            <v>CORPORATIVO</v>
          </cell>
        </row>
        <row r="13">
          <cell r="A13">
            <v>1118</v>
          </cell>
          <cell r="B13" t="str">
            <v>TI INTERNA CORPORATIVA (1118)</v>
          </cell>
          <cell r="C13" t="str">
            <v>TI_PLAT_CORP</v>
          </cell>
          <cell r="D13" t="str">
            <v>ATIVO</v>
          </cell>
          <cell r="E13" t="str">
            <v>TX_ADM</v>
          </cell>
          <cell r="F13" t="str">
            <v>ALL</v>
          </cell>
          <cell r="G13" t="str">
            <v>ANDRÉ MOTA</v>
          </cell>
          <cell r="H13" t="str">
            <v>OP</v>
          </cell>
          <cell r="I13" t="str">
            <v>CORPORATIVO</v>
          </cell>
        </row>
        <row r="14">
          <cell r="A14">
            <v>1119</v>
          </cell>
          <cell r="B14" t="str">
            <v>CDO – PRÉ VENDA (1119)</v>
          </cell>
          <cell r="C14" t="str">
            <v>DESATIVADO</v>
          </cell>
          <cell r="D14" t="str">
            <v>INATIVO</v>
          </cell>
          <cell r="I14" t="str">
            <v>CORPORATIVO</v>
          </cell>
        </row>
        <row r="15">
          <cell r="A15">
            <v>1136</v>
          </cell>
          <cell r="B15" t="str">
            <v>CDO (1136)</v>
          </cell>
          <cell r="C15" t="str">
            <v>DESATIVADO</v>
          </cell>
          <cell r="D15" t="str">
            <v>INATIVO</v>
          </cell>
          <cell r="I15" t="str">
            <v>CORPORATIVO</v>
          </cell>
        </row>
        <row r="16">
          <cell r="A16">
            <v>1139</v>
          </cell>
          <cell r="B16" t="str">
            <v>PSU (1139)</v>
          </cell>
          <cell r="C16" t="str">
            <v>COMERCIAL</v>
          </cell>
          <cell r="D16" t="str">
            <v>ATIVO</v>
          </cell>
          <cell r="E16" t="str">
            <v>TX_ADM</v>
          </cell>
          <cell r="F16" t="str">
            <v>ALL</v>
          </cell>
          <cell r="G16" t="str">
            <v>MARIO AMERICO</v>
          </cell>
          <cell r="H16" t="str">
            <v>OP</v>
          </cell>
          <cell r="I16" t="str">
            <v>CORPORATIVO</v>
          </cell>
        </row>
        <row r="17">
          <cell r="A17">
            <v>1140</v>
          </cell>
          <cell r="B17" t="str">
            <v>FS (1140)</v>
          </cell>
          <cell r="C17" t="str">
            <v>COMERCIAL</v>
          </cell>
          <cell r="D17" t="str">
            <v>ATIVO</v>
          </cell>
          <cell r="E17" t="str">
            <v>TX_ADM</v>
          </cell>
          <cell r="F17" t="str">
            <v>ALL</v>
          </cell>
          <cell r="G17" t="str">
            <v>LUIS RICARDO MARTORELLI</v>
          </cell>
          <cell r="H17" t="str">
            <v>OP</v>
          </cell>
          <cell r="I17" t="str">
            <v>CORPORATIVO</v>
          </cell>
        </row>
        <row r="18">
          <cell r="A18">
            <v>1141</v>
          </cell>
          <cell r="B18" t="str">
            <v>MS (1141)</v>
          </cell>
          <cell r="C18" t="str">
            <v>COMERCIAL</v>
          </cell>
          <cell r="D18" t="str">
            <v>ATIVO</v>
          </cell>
          <cell r="E18" t="str">
            <v>TX_ADM</v>
          </cell>
          <cell r="F18" t="str">
            <v>ALL</v>
          </cell>
          <cell r="G18" t="str">
            <v>PAULO MARCELO</v>
          </cell>
          <cell r="H18" t="str">
            <v>OP</v>
          </cell>
          <cell r="I18" t="str">
            <v>CORPORATIVO</v>
          </cell>
        </row>
        <row r="19">
          <cell r="A19">
            <v>1142</v>
          </cell>
          <cell r="B19" t="str">
            <v>DCX (1142)</v>
          </cell>
          <cell r="C19" t="str">
            <v>DESATIVADO</v>
          </cell>
          <cell r="D19" t="str">
            <v>INATIVO</v>
          </cell>
          <cell r="I19" t="str">
            <v>CORPORATIVO</v>
          </cell>
        </row>
        <row r="20">
          <cell r="A20">
            <v>1143</v>
          </cell>
          <cell r="B20" t="str">
            <v>ADS (1143)</v>
          </cell>
          <cell r="C20" t="str">
            <v>DESATIVADO</v>
          </cell>
          <cell r="D20" t="str">
            <v>INATIVO</v>
          </cell>
          <cell r="I20" t="str">
            <v>CORPORATIVO</v>
          </cell>
        </row>
        <row r="21">
          <cell r="A21">
            <v>1144</v>
          </cell>
          <cell r="B21" t="str">
            <v>CPS (1144)</v>
          </cell>
          <cell r="C21" t="str">
            <v>DESATIVADO</v>
          </cell>
          <cell r="D21" t="str">
            <v>INATIVO</v>
          </cell>
          <cell r="I21" t="str">
            <v>CORPORATIVO</v>
          </cell>
        </row>
        <row r="22">
          <cell r="A22">
            <v>1145</v>
          </cell>
          <cell r="B22" t="str">
            <v>CSA (1145)</v>
          </cell>
          <cell r="C22" t="str">
            <v>COMERCIAL</v>
          </cell>
          <cell r="D22" t="str">
            <v>INATIVO</v>
          </cell>
          <cell r="I22" t="str">
            <v>CORPORATIVO</v>
          </cell>
        </row>
        <row r="23">
          <cell r="A23">
            <v>1146</v>
          </cell>
          <cell r="B23" t="str">
            <v>SALESFORCE (1146)</v>
          </cell>
          <cell r="C23" t="str">
            <v>PORT_FORMACAO</v>
          </cell>
          <cell r="D23" t="str">
            <v>ATIVO</v>
          </cell>
          <cell r="E23" t="str">
            <v>TX_ADM</v>
          </cell>
          <cell r="F23" t="str">
            <v>ALL</v>
          </cell>
          <cell r="G23" t="str">
            <v>NIVALDO AMORIM</v>
          </cell>
          <cell r="H23" t="str">
            <v>OP</v>
          </cell>
          <cell r="I23" t="str">
            <v>CORPORATIVO</v>
          </cell>
        </row>
        <row r="24">
          <cell r="A24">
            <v>1147</v>
          </cell>
          <cell r="B24" t="str">
            <v>TM Telecom/Mídia (1147)</v>
          </cell>
          <cell r="C24" t="str">
            <v>DESATIVADO</v>
          </cell>
          <cell r="D24" t="str">
            <v>INATIVO</v>
          </cell>
          <cell r="I24" t="str">
            <v>CORPORATIVO</v>
          </cell>
        </row>
        <row r="25">
          <cell r="A25">
            <v>1149</v>
          </cell>
          <cell r="B25" t="str">
            <v>INFRA DIGITAL (1149)</v>
          </cell>
          <cell r="C25" t="str">
            <v>DESATIVADO</v>
          </cell>
          <cell r="D25" t="str">
            <v>INATIVO</v>
          </cell>
          <cell r="I25" t="str">
            <v>CORPORATIVO</v>
          </cell>
        </row>
        <row r="26">
          <cell r="A26">
            <v>1150</v>
          </cell>
          <cell r="B26" t="str">
            <v>DPO - Proteção de Dados (1150)</v>
          </cell>
          <cell r="C26" t="str">
            <v>ADM/FIN</v>
          </cell>
          <cell r="D26" t="str">
            <v>ATIVO</v>
          </cell>
          <cell r="E26" t="str">
            <v>TX_ADM</v>
          </cell>
          <cell r="F26" t="str">
            <v>ALL</v>
          </cell>
          <cell r="G26" t="str">
            <v>ANDRÉ MOTA</v>
          </cell>
          <cell r="H26" t="str">
            <v>OP</v>
          </cell>
          <cell r="I26" t="str">
            <v>CORPORATIVO</v>
          </cell>
        </row>
        <row r="27">
          <cell r="A27">
            <v>1151</v>
          </cell>
          <cell r="B27" t="str">
            <v>RPA (1151)</v>
          </cell>
          <cell r="C27" t="str">
            <v>DESATIVADO</v>
          </cell>
          <cell r="D27" t="str">
            <v>INATIVO</v>
          </cell>
          <cell r="I27" t="str">
            <v>CORPORATIVO</v>
          </cell>
        </row>
        <row r="28">
          <cell r="A28">
            <v>1152</v>
          </cell>
          <cell r="B28" t="str">
            <v>D&amp;A (1152)</v>
          </cell>
          <cell r="C28" t="str">
            <v>DESATIVADO</v>
          </cell>
          <cell r="D28" t="str">
            <v>INATIVO</v>
          </cell>
          <cell r="I28" t="str">
            <v>CORPORATIVO</v>
          </cell>
        </row>
        <row r="29">
          <cell r="A29">
            <v>1153</v>
          </cell>
          <cell r="B29" t="str">
            <v>BUSINESS PARTNER (BP) (1153)</v>
          </cell>
          <cell r="C29" t="str">
            <v>RH</v>
          </cell>
          <cell r="D29" t="str">
            <v>ATIVO</v>
          </cell>
          <cell r="E29" t="str">
            <v>TX_ADM</v>
          </cell>
          <cell r="F29" t="str">
            <v>ALL</v>
          </cell>
          <cell r="G29" t="str">
            <v>VIVIANE SANTOS</v>
          </cell>
          <cell r="H29" t="str">
            <v>OP</v>
          </cell>
          <cell r="I29" t="str">
            <v>CORPORATIVO</v>
          </cell>
        </row>
        <row r="30">
          <cell r="A30">
            <v>1154</v>
          </cell>
          <cell r="B30" t="str">
            <v>REMUNERAÇÃO &amp; BENEFÍCIOS (R&amp;B) (1154)</v>
          </cell>
          <cell r="C30" t="str">
            <v>DESATIVADO</v>
          </cell>
          <cell r="D30" t="str">
            <v>INATIVO</v>
          </cell>
          <cell r="I30" t="str">
            <v>CORPORATIVO</v>
          </cell>
        </row>
        <row r="31">
          <cell r="A31">
            <v>1155</v>
          </cell>
          <cell r="B31" t="str">
            <v>PEOPLE ENGAGEMENT (1155)</v>
          </cell>
          <cell r="C31" t="str">
            <v>MKT</v>
          </cell>
          <cell r="D31" t="str">
            <v>ATIVO</v>
          </cell>
          <cell r="E31" t="str">
            <v>TX_ADM</v>
          </cell>
          <cell r="F31" t="str">
            <v>ALL</v>
          </cell>
          <cell r="G31" t="str">
            <v>DEBORA LIMA</v>
          </cell>
          <cell r="H31" t="str">
            <v>OP</v>
          </cell>
          <cell r="I31" t="str">
            <v>CORPORATIVO</v>
          </cell>
        </row>
        <row r="32">
          <cell r="A32">
            <v>1156</v>
          </cell>
          <cell r="B32" t="str">
            <v>TIC (1156)</v>
          </cell>
          <cell r="C32" t="str">
            <v>TIC</v>
          </cell>
          <cell r="D32" t="str">
            <v>ATIVO</v>
          </cell>
          <cell r="E32" t="str">
            <v>TX_ADM</v>
          </cell>
          <cell r="F32" t="str">
            <v>ALL</v>
          </cell>
          <cell r="G32" t="str">
            <v>ANDRÉ MOTA</v>
          </cell>
          <cell r="H32" t="str">
            <v>OP</v>
          </cell>
          <cell r="I32" t="str">
            <v>CORPORATIVO</v>
          </cell>
        </row>
        <row r="33">
          <cell r="A33">
            <v>1157</v>
          </cell>
          <cell r="B33" t="str">
            <v>ACADEMY (1157)</v>
          </cell>
          <cell r="C33" t="str">
            <v>PORT_FORMACAO</v>
          </cell>
          <cell r="D33" t="str">
            <v>ATIVO</v>
          </cell>
          <cell r="E33" t="str">
            <v>TX_ADM</v>
          </cell>
          <cell r="F33" t="str">
            <v>ALL</v>
          </cell>
          <cell r="G33" t="str">
            <v>MANOEL NETO</v>
          </cell>
          <cell r="H33" t="str">
            <v>OP</v>
          </cell>
          <cell r="I33" t="str">
            <v>CORPORATIVO</v>
          </cell>
        </row>
        <row r="34">
          <cell r="A34">
            <v>1158</v>
          </cell>
          <cell r="B34" t="str">
            <v>GESTÃO DE RH </v>
          </cell>
          <cell r="C34" t="str">
            <v>RH</v>
          </cell>
          <cell r="D34" t="str">
            <v>ATIVO</v>
          </cell>
          <cell r="E34" t="str">
            <v>TX_ADM</v>
          </cell>
          <cell r="F34" t="str">
            <v>ALL</v>
          </cell>
          <cell r="G34" t="str">
            <v>VIVIANE SANTOS</v>
          </cell>
          <cell r="H34" t="str">
            <v>OP</v>
          </cell>
          <cell r="I34" t="str">
            <v>CORPORATIVO</v>
          </cell>
        </row>
        <row r="35">
          <cell r="A35">
            <v>1159</v>
          </cell>
          <cell r="B35" t="str">
            <v>SOLUTIS LABS (1159)</v>
          </cell>
          <cell r="C35" t="str">
            <v>PORT_FORMACAO</v>
          </cell>
          <cell r="D35" t="str">
            <v>ATIVO</v>
          </cell>
          <cell r="E35" t="str">
            <v>TX_ADM</v>
          </cell>
          <cell r="F35" t="str">
            <v>ALL</v>
          </cell>
          <cell r="G35" t="str">
            <v>ANA PAULA BRAUN</v>
          </cell>
          <cell r="H35" t="str">
            <v>OP</v>
          </cell>
          <cell r="I35" t="str">
            <v>CORPORATIVO</v>
          </cell>
        </row>
        <row r="36">
          <cell r="A36">
            <v>1160</v>
          </cell>
          <cell r="B36" t="str">
            <v>IV (1160)</v>
          </cell>
          <cell r="C36" t="str">
            <v>COMERCIAL</v>
          </cell>
          <cell r="D36" t="str">
            <v>ATIVO</v>
          </cell>
          <cell r="E36" t="str">
            <v>TX_ADM</v>
          </cell>
          <cell r="F36" t="str">
            <v>ALL</v>
          </cell>
          <cell r="G36" t="str">
            <v>PAULO MARCELO</v>
          </cell>
          <cell r="H36" t="str">
            <v>OP</v>
          </cell>
          <cell r="I36" t="str">
            <v>CORPORATIVO</v>
          </cell>
        </row>
        <row r="37">
          <cell r="A37">
            <v>1161</v>
          </cell>
          <cell r="B37" t="str">
            <v>ESTRUTURAÇÃO FINANCIAL SERVICES (1161)</v>
          </cell>
          <cell r="C37" t="str">
            <v>COMERCIAL</v>
          </cell>
          <cell r="D37" t="str">
            <v>INATIVO</v>
          </cell>
          <cell r="I37" t="str">
            <v>CORPORATIVO</v>
          </cell>
        </row>
        <row r="38">
          <cell r="A38">
            <v>1162</v>
          </cell>
          <cell r="B38" t="str">
            <v>CONSELHO (1162)</v>
          </cell>
          <cell r="C38" t="str">
            <v>CONSELHO</v>
          </cell>
          <cell r="D38" t="str">
            <v>ATIVO</v>
          </cell>
          <cell r="E38" t="str">
            <v>TX_ADM</v>
          </cell>
          <cell r="F38" t="str">
            <v>ALL</v>
          </cell>
          <cell r="G38" t="str">
            <v>ANDRÉ MOTA</v>
          </cell>
          <cell r="H38" t="str">
            <v>OP</v>
          </cell>
          <cell r="I38" t="str">
            <v>CORPORATIVO</v>
          </cell>
        </row>
        <row r="39">
          <cell r="A39">
            <v>1163</v>
          </cell>
          <cell r="B39" t="str">
            <v>PLATAFORMA CORPORATIVA (1163)</v>
          </cell>
          <cell r="C39" t="str">
            <v>TI_PLAT_CORP</v>
          </cell>
          <cell r="D39" t="str">
            <v>ATIVO</v>
          </cell>
          <cell r="E39" t="str">
            <v>TX_ADM</v>
          </cell>
          <cell r="F39" t="str">
            <v>ALL</v>
          </cell>
          <cell r="G39" t="str">
            <v>ANDRÉ MOTA</v>
          </cell>
          <cell r="H39" t="str">
            <v>OP</v>
          </cell>
          <cell r="I39" t="str">
            <v>CORPORATIVO</v>
          </cell>
        </row>
        <row r="40">
          <cell r="A40">
            <v>1164</v>
          </cell>
          <cell r="B40" t="str">
            <v>PRODUTOS DIGITAIS (1164)</v>
          </cell>
          <cell r="C40" t="str">
            <v>PORT_FORMACAO</v>
          </cell>
          <cell r="D40" t="str">
            <v>ATIVO</v>
          </cell>
          <cell r="E40" t="str">
            <v>TX_ADM</v>
          </cell>
          <cell r="F40" t="str">
            <v>ALL</v>
          </cell>
          <cell r="G40" t="str">
            <v>NIVALDO AMORIM</v>
          </cell>
          <cell r="H40" t="str">
            <v>OP</v>
          </cell>
          <cell r="I40" t="str">
            <v>CORPORATIVO</v>
          </cell>
        </row>
        <row r="41">
          <cell r="A41">
            <v>1167</v>
          </cell>
          <cell r="B41" t="str">
            <v>PRÁTICA IA (1167)</v>
          </cell>
          <cell r="C41" t="str">
            <v>PORT_FORMACAO</v>
          </cell>
          <cell r="D41" t="str">
            <v>ATIVO</v>
          </cell>
          <cell r="E41" t="str">
            <v>TX_ADM</v>
          </cell>
          <cell r="F41" t="str">
            <v>ALL</v>
          </cell>
          <cell r="G41" t="str">
            <v>ANA PAULA BRAUN</v>
          </cell>
          <cell r="H41" t="str">
            <v>OP</v>
          </cell>
          <cell r="I41" t="str">
            <v>CORPORATIVO</v>
          </cell>
        </row>
        <row r="42">
          <cell r="A42">
            <v>1170</v>
          </cell>
          <cell r="B42" t="str">
            <v>DESENVOLVIMENTO HUMANO ORGANIZACIONAL (DHO) (1170)</v>
          </cell>
          <cell r="C42" t="str">
            <v>RH</v>
          </cell>
          <cell r="D42" t="str">
            <v>ATIVO</v>
          </cell>
          <cell r="E42" t="str">
            <v>TX_ADM</v>
          </cell>
          <cell r="F42" t="str">
            <v>ALL</v>
          </cell>
          <cell r="G42" t="str">
            <v>VIVIANE SANTOS</v>
          </cell>
          <cell r="H42" t="str">
            <v>OP</v>
          </cell>
          <cell r="I42" t="str">
            <v>CORPORATIVO</v>
          </cell>
        </row>
        <row r="43">
          <cell r="A43">
            <v>1171</v>
          </cell>
          <cell r="B43" t="str">
            <v>UTILITIES (1171)</v>
          </cell>
          <cell r="C43" t="str">
            <v>COMERCIAL</v>
          </cell>
          <cell r="D43" t="str">
            <v>ATIVO</v>
          </cell>
          <cell r="E43" t="str">
            <v>TX_ADM</v>
          </cell>
          <cell r="F43" t="str">
            <v>ALL</v>
          </cell>
          <cell r="G43" t="str">
            <v>MARIO AMERICO</v>
          </cell>
          <cell r="H43" t="str">
            <v>OP</v>
          </cell>
          <cell r="I43" t="str">
            <v>CORPORATIVO</v>
          </cell>
        </row>
        <row r="44">
          <cell r="A44">
            <v>1172</v>
          </cell>
          <cell r="B44" t="str">
            <v>CONVÊNIO UFBA (1172)</v>
          </cell>
          <cell r="C44" t="str">
            <v>PORT_FORMACAO</v>
          </cell>
          <cell r="D44" t="str">
            <v>ATIVO</v>
          </cell>
          <cell r="E44" t="str">
            <v>TX_ADM</v>
          </cell>
          <cell r="F44" t="str">
            <v>ALL</v>
          </cell>
          <cell r="G44" t="str">
            <v>NIVALDO AMORIM</v>
          </cell>
          <cell r="H44" t="str">
            <v>OP</v>
          </cell>
          <cell r="I44" t="str">
            <v>CORPORATIVO</v>
          </cell>
        </row>
        <row r="45">
          <cell r="A45">
            <v>1173</v>
          </cell>
          <cell r="B45" t="str">
            <v>DIRETORIA OPERAÇÕES – OP02 (1173)</v>
          </cell>
          <cell r="C45" t="str">
            <v>DIR_OPE</v>
          </cell>
          <cell r="D45" t="str">
            <v>ATIVO</v>
          </cell>
          <cell r="E45" t="str">
            <v>ADS</v>
          </cell>
          <cell r="F45" t="str">
            <v>ALL</v>
          </cell>
          <cell r="G45" t="str">
            <v>RODRIGO CORUMBA</v>
          </cell>
          <cell r="H45" t="str">
            <v>OP</v>
          </cell>
          <cell r="I45" t="str">
            <v>CORPORATIVO</v>
          </cell>
        </row>
        <row r="46">
          <cell r="A46">
            <v>1199</v>
          </cell>
          <cell r="B46" t="str">
            <v>DESPESAS GERAIS ESCRITÓRIO (1199)</v>
          </cell>
          <cell r="C46" t="str">
            <v>ADM/FIN</v>
          </cell>
          <cell r="D46" t="str">
            <v>ATIVO</v>
          </cell>
          <cell r="E46" t="str">
            <v>TX_ADM</v>
          </cell>
          <cell r="F46" t="str">
            <v>ALL</v>
          </cell>
          <cell r="G46" t="str">
            <v>ANDRÉ MOTA</v>
          </cell>
          <cell r="H46" t="str">
            <v>OP</v>
          </cell>
          <cell r="I46" t="str">
            <v>CORPORATIVO</v>
          </cell>
        </row>
        <row r="47">
          <cell r="A47">
            <v>6102</v>
          </cell>
          <cell r="B47" t="str">
            <v>RECEITA TAXA ADMINISTRAÇÃO (6102)</v>
          </cell>
          <cell r="C47" t="str">
            <v>CRÉDITO</v>
          </cell>
          <cell r="D47" t="str">
            <v>ATIVO</v>
          </cell>
          <cell r="E47" t="str">
            <v>TX_ADM</v>
          </cell>
          <cell r="F47" t="str">
            <v>ALL</v>
          </cell>
          <cell r="G47" t="str">
            <v>ANDRÉ MOTA</v>
          </cell>
          <cell r="H47" t="str">
            <v>OP</v>
          </cell>
          <cell r="I47" t="str">
            <v>CORPORATIVO</v>
          </cell>
        </row>
        <row r="48">
          <cell r="A48">
            <v>6103</v>
          </cell>
          <cell r="B48" t="str">
            <v>RECEITA POSTO DE TRABALHO (6103)</v>
          </cell>
          <cell r="C48" t="str">
            <v>CRÉDITO</v>
          </cell>
          <cell r="D48" t="str">
            <v>ATIVO</v>
          </cell>
          <cell r="E48" t="str">
            <v>TX_ADM</v>
          </cell>
          <cell r="F48" t="str">
            <v>ALL</v>
          </cell>
          <cell r="G48" t="str">
            <v>ANDRÉ MOTA</v>
          </cell>
          <cell r="H48" t="str">
            <v>OP</v>
          </cell>
          <cell r="I48" t="str">
            <v>CORPORATIVO</v>
          </cell>
        </row>
        <row r="49">
          <cell r="A49">
            <v>6118</v>
          </cell>
          <cell r="B49" t="str">
            <v>REPASSE P/DESP. OPERACIONAIS - PJ (6118)</v>
          </cell>
          <cell r="C49" t="str">
            <v>COMERCIAL</v>
          </cell>
          <cell r="D49" t="str">
            <v>INATIVO</v>
          </cell>
          <cell r="I49" t="str">
            <v>CORPORATIVO</v>
          </cell>
        </row>
        <row r="50">
          <cell r="A50">
            <v>6119</v>
          </cell>
          <cell r="B50" t="str">
            <v>TRANSF. IMPOSTO S/FATURAMENTO (6119)</v>
          </cell>
          <cell r="C50" t="str">
            <v>ADM/FIN</v>
          </cell>
          <cell r="D50" t="str">
            <v>ATIVO</v>
          </cell>
          <cell r="E50" t="str">
            <v>TX_ADM</v>
          </cell>
          <cell r="F50" t="str">
            <v>ALL</v>
          </cell>
          <cell r="G50" t="str">
            <v>ANDRÉ MOTA</v>
          </cell>
          <cell r="H50" t="str">
            <v>OP</v>
          </cell>
          <cell r="I50" t="str">
            <v>CORPORATIVO</v>
          </cell>
        </row>
        <row r="51">
          <cell r="A51">
            <v>6120</v>
          </cell>
          <cell r="B51" t="str">
            <v>PROCESSOS TRABALHISTAS (6120)</v>
          </cell>
          <cell r="C51" t="str">
            <v>ADM/FIN</v>
          </cell>
          <cell r="D51" t="str">
            <v>ATIVO</v>
          </cell>
          <cell r="E51" t="str">
            <v>TX_ADM</v>
          </cell>
          <cell r="F51" t="str">
            <v>ALL</v>
          </cell>
          <cell r="G51" t="str">
            <v>VIVIANE SANTOS</v>
          </cell>
          <cell r="H51" t="str">
            <v>OP</v>
          </cell>
          <cell r="I51" t="str">
            <v>CORPORATIVO</v>
          </cell>
        </row>
        <row r="52">
          <cell r="A52">
            <v>9900</v>
          </cell>
          <cell r="B52" t="str">
            <v>CENTROS_CSA</v>
          </cell>
          <cell r="C52" t="str">
            <v>CUSTO_INDIRETO</v>
          </cell>
          <cell r="D52" t="str">
            <v>ATIVO</v>
          </cell>
          <cell r="E52" t="str">
            <v>CSA</v>
          </cell>
          <cell r="F52" t="str">
            <v>ALL</v>
          </cell>
          <cell r="G52" t="str">
            <v>EVANDRO BRAGA</v>
          </cell>
          <cell r="H52" t="str">
            <v>OP</v>
          </cell>
          <cell r="I52" t="str">
            <v>OPERAÇÕES</v>
          </cell>
        </row>
        <row r="53">
          <cell r="A53">
            <v>1201</v>
          </cell>
          <cell r="B53" t="str">
            <v>OVERHEAD DE OPERAÇÕES (1201)</v>
          </cell>
          <cell r="C53" t="str">
            <v>CUSTO_INDIRETO</v>
          </cell>
          <cell r="D53" t="str">
            <v>INATIVO</v>
          </cell>
          <cell r="I53" t="str">
            <v>OPERAÇÕES</v>
          </cell>
        </row>
        <row r="54">
          <cell r="A54">
            <v>1202</v>
          </cell>
          <cell r="B54" t="str">
            <v>COMERCIAL APLIC (1202)</v>
          </cell>
          <cell r="C54" t="str">
            <v>DESATIVADO</v>
          </cell>
          <cell r="D54" t="str">
            <v>INATIVO</v>
          </cell>
          <cell r="I54" t="str">
            <v>OPERAÇÕES</v>
          </cell>
        </row>
        <row r="55">
          <cell r="A55">
            <v>1203</v>
          </cell>
          <cell r="B55" t="str">
            <v>CENTRO DE COMPETÊNCIA APLICAÇÕES (1203)</v>
          </cell>
          <cell r="C55" t="str">
            <v>DESATIVADO</v>
          </cell>
          <cell r="D55" t="str">
            <v>INATIVO</v>
          </cell>
          <cell r="I55" t="str">
            <v>OPERAÇÕES</v>
          </cell>
        </row>
        <row r="56">
          <cell r="A56">
            <v>1204</v>
          </cell>
          <cell r="B56" t="str">
            <v>CENTRO DE DESENVOLVIMENTO (1204)</v>
          </cell>
          <cell r="C56" t="str">
            <v>DESATIVADO</v>
          </cell>
          <cell r="D56" t="str">
            <v>INATIVO</v>
          </cell>
          <cell r="I56" t="str">
            <v>OPERAÇÕES</v>
          </cell>
        </row>
        <row r="57">
          <cell r="A57">
            <v>1205</v>
          </cell>
          <cell r="B57" t="str">
            <v>SEFAZ - PMS Outsourcing (1205)</v>
          </cell>
          <cell r="C57" t="str">
            <v>DESATIVADO</v>
          </cell>
          <cell r="D57" t="str">
            <v>INATIVO</v>
          </cell>
          <cell r="I57" t="str">
            <v>OPERAÇÕES</v>
          </cell>
        </row>
        <row r="58">
          <cell r="A58">
            <v>1206</v>
          </cell>
          <cell r="B58" t="str">
            <v>EBAL APLICAÇÃO (1206)</v>
          </cell>
          <cell r="C58" t="str">
            <v>DESATIVADO</v>
          </cell>
          <cell r="D58" t="str">
            <v>INATIVO</v>
          </cell>
          <cell r="I58" t="str">
            <v>OPERAÇÕES</v>
          </cell>
        </row>
        <row r="59">
          <cell r="A59">
            <v>1207</v>
          </cell>
          <cell r="B59" t="str">
            <v>TJ - BA SUSTENTAÇÃO (1207)</v>
          </cell>
          <cell r="C59" t="str">
            <v>TJ_BA</v>
          </cell>
          <cell r="D59" t="str">
            <v>INATIVO</v>
          </cell>
          <cell r="I59" t="str">
            <v>OPERAÇÕES</v>
          </cell>
        </row>
        <row r="60">
          <cell r="A60">
            <v>1208</v>
          </cell>
          <cell r="B60" t="str">
            <v>SECULT (1208)</v>
          </cell>
          <cell r="C60" t="str">
            <v>DESATIVADO</v>
          </cell>
          <cell r="D60" t="str">
            <v>INATIVO</v>
          </cell>
          <cell r="I60" t="str">
            <v>OPERAÇÕES</v>
          </cell>
        </row>
        <row r="61">
          <cell r="A61">
            <v>1209</v>
          </cell>
          <cell r="B61" t="str">
            <v>INVESTIMENTOS (1209)</v>
          </cell>
          <cell r="C61" t="str">
            <v>DESATIVADO</v>
          </cell>
          <cell r="D61" t="str">
            <v>INATIVO</v>
          </cell>
          <cell r="I61" t="str">
            <v>OPERAÇÕES</v>
          </cell>
        </row>
        <row r="62">
          <cell r="A62">
            <v>1210</v>
          </cell>
          <cell r="B62" t="str">
            <v>SEFAZ - PMS FSW (1210)</v>
          </cell>
          <cell r="C62" t="str">
            <v>DESATIVADO</v>
          </cell>
          <cell r="D62" t="str">
            <v>INATIVO</v>
          </cell>
          <cell r="I62" t="str">
            <v>OPERAÇÕES</v>
          </cell>
        </row>
        <row r="63">
          <cell r="A63">
            <v>1211</v>
          </cell>
          <cell r="B63" t="str">
            <v>SISTEMAS INTERNOS (1211)</v>
          </cell>
          <cell r="C63" t="str">
            <v>DESATIVADO</v>
          </cell>
          <cell r="D63" t="str">
            <v>INATIVO</v>
          </cell>
          <cell r="I63" t="str">
            <v>OPERAÇÕES</v>
          </cell>
        </row>
        <row r="64">
          <cell r="A64">
            <v>1212</v>
          </cell>
          <cell r="B64" t="str">
            <v>MANUTENÇÃO GIROWEB (1212)</v>
          </cell>
          <cell r="C64" t="str">
            <v>DESATIVADO</v>
          </cell>
          <cell r="D64" t="str">
            <v>INATIVO</v>
          </cell>
          <cell r="I64" t="str">
            <v>OPERAÇÕES</v>
          </cell>
        </row>
        <row r="65">
          <cell r="A65">
            <v>1213</v>
          </cell>
          <cell r="B65" t="str">
            <v>CONCREMAT (1213)</v>
          </cell>
          <cell r="C65" t="str">
            <v>DESATIVADO</v>
          </cell>
          <cell r="D65" t="str">
            <v>INATIVO</v>
          </cell>
          <cell r="I65" t="str">
            <v>OPERAÇÕES</v>
          </cell>
        </row>
        <row r="66">
          <cell r="A66">
            <v>1214</v>
          </cell>
          <cell r="B66" t="str">
            <v>DEFENSORIA - BA (1214)</v>
          </cell>
          <cell r="C66" t="str">
            <v>DESATIVADO</v>
          </cell>
          <cell r="D66" t="str">
            <v>INATIVO</v>
          </cell>
          <cell r="I66" t="str">
            <v>OPERAÇÕES</v>
          </cell>
        </row>
        <row r="67">
          <cell r="A67">
            <v>1215</v>
          </cell>
          <cell r="B67" t="str">
            <v>PRODEB (1215)</v>
          </cell>
          <cell r="C67" t="str">
            <v>PRODEB</v>
          </cell>
          <cell r="D67" t="str">
            <v>INATIVO</v>
          </cell>
          <cell r="I67" t="str">
            <v>CORPORATIVO</v>
          </cell>
        </row>
        <row r="68">
          <cell r="A68">
            <v>1216</v>
          </cell>
          <cell r="B68" t="str">
            <v>ATI - Aplicações (1216)</v>
          </cell>
          <cell r="C68" t="str">
            <v>DESATIVADO</v>
          </cell>
          <cell r="D68" t="str">
            <v>INATIVO</v>
          </cell>
          <cell r="I68" t="str">
            <v>OPERAÇÕES</v>
          </cell>
        </row>
        <row r="69">
          <cell r="A69">
            <v>1217</v>
          </cell>
          <cell r="B69" t="str">
            <v>TJ - BA N3 (1217)</v>
          </cell>
          <cell r="C69" t="str">
            <v>TJ_BA</v>
          </cell>
          <cell r="D69" t="str">
            <v>INATIVO</v>
          </cell>
          <cell r="I69" t="str">
            <v>OPERAÇÕES</v>
          </cell>
        </row>
        <row r="70">
          <cell r="A70">
            <v>1218</v>
          </cell>
          <cell r="B70" t="str">
            <v>SABESP FSW - APLICAÇÃO (1218)</v>
          </cell>
          <cell r="C70" t="str">
            <v>SABESP</v>
          </cell>
          <cell r="D70" t="str">
            <v>INATIVO</v>
          </cell>
          <cell r="I70" t="str">
            <v>OPERAÇÕES</v>
          </cell>
        </row>
        <row r="71">
          <cell r="A71">
            <v>1219</v>
          </cell>
          <cell r="B71" t="str">
            <v>CEPROMAT (MT) (1219)</v>
          </cell>
          <cell r="C71" t="str">
            <v>DESATIVADO</v>
          </cell>
          <cell r="D71" t="str">
            <v>INATIVO</v>
          </cell>
          <cell r="I71" t="str">
            <v>OPERAÇÕES</v>
          </cell>
        </row>
        <row r="72">
          <cell r="A72">
            <v>1220</v>
          </cell>
          <cell r="B72" t="str">
            <v>TJ - BA FSW (1220)</v>
          </cell>
          <cell r="C72" t="str">
            <v>TJ_BA</v>
          </cell>
          <cell r="D72" t="str">
            <v>INATIVO</v>
          </cell>
          <cell r="I72" t="str">
            <v>OPERAÇÕES</v>
          </cell>
        </row>
        <row r="73">
          <cell r="A73">
            <v>1221</v>
          </cell>
          <cell r="B73" t="str">
            <v>SABESP - MONITORAMENTO (1221)</v>
          </cell>
          <cell r="C73" t="str">
            <v>SABESP</v>
          </cell>
          <cell r="D73" t="str">
            <v>ATIVO</v>
          </cell>
          <cell r="E73" t="str">
            <v>CSA</v>
          </cell>
          <cell r="F73" t="str">
            <v>UT</v>
          </cell>
          <cell r="G73" t="str">
            <v>CYRO SALVATORE</v>
          </cell>
          <cell r="H73" t="str">
            <v>OP1</v>
          </cell>
          <cell r="I73" t="str">
            <v>OPERAÇÕES</v>
          </cell>
        </row>
        <row r="74">
          <cell r="A74">
            <v>1222</v>
          </cell>
          <cell r="B74" t="str">
            <v>AGILE DEV STUDIO (1222)</v>
          </cell>
          <cell r="C74" t="str">
            <v>CUSTO_INDIRETO</v>
          </cell>
          <cell r="D74" t="str">
            <v>ATIVO</v>
          </cell>
          <cell r="E74" t="str">
            <v>ADS</v>
          </cell>
          <cell r="F74" t="str">
            <v>ALL</v>
          </cell>
          <cell r="G74" t="str">
            <v>KARINA MELO</v>
          </cell>
          <cell r="H74" t="str">
            <v>OP</v>
          </cell>
          <cell r="I74" t="str">
            <v>OPERAÇÕES</v>
          </cell>
        </row>
        <row r="75">
          <cell r="A75">
            <v>1223</v>
          </cell>
          <cell r="B75" t="str">
            <v>TJ - BA GOVERNANÇA (1223)</v>
          </cell>
          <cell r="C75" t="str">
            <v>TJ_BA</v>
          </cell>
          <cell r="D75" t="str">
            <v>INATIVO</v>
          </cell>
          <cell r="I75" t="str">
            <v>OPERAÇÕES</v>
          </cell>
        </row>
        <row r="76">
          <cell r="A76">
            <v>1224</v>
          </cell>
          <cell r="B76" t="str">
            <v>UFBA FSW (1224)</v>
          </cell>
          <cell r="C76" t="str">
            <v>DESATIVADO</v>
          </cell>
          <cell r="D76" t="str">
            <v>INATIVO</v>
          </cell>
          <cell r="I76" t="str">
            <v>OPERAÇÕES</v>
          </cell>
        </row>
        <row r="77">
          <cell r="A77">
            <v>1225</v>
          </cell>
          <cell r="B77" t="str">
            <v>LE BISCUIT (1225)</v>
          </cell>
          <cell r="C77" t="str">
            <v xml:space="preserve">LE_BISCUIT </v>
          </cell>
          <cell r="D77" t="str">
            <v>INATIVO</v>
          </cell>
          <cell r="I77" t="str">
            <v>OPERAÇÕES</v>
          </cell>
        </row>
        <row r="78">
          <cell r="A78">
            <v>1226</v>
          </cell>
          <cell r="B78" t="str">
            <v>UFBA CENTRAL DE SERVIÇOS (1226)</v>
          </cell>
          <cell r="C78" t="str">
            <v>UFBA</v>
          </cell>
          <cell r="D78" t="str">
            <v>INATIVO</v>
          </cell>
          <cell r="I78" t="str">
            <v>OPERAÇÕES</v>
          </cell>
        </row>
        <row r="79">
          <cell r="A79">
            <v>1227</v>
          </cell>
          <cell r="B79" t="str">
            <v>SEC CENTRAL DE SERVIÇOS (1227)</v>
          </cell>
          <cell r="C79" t="str">
            <v>SEC-BA</v>
          </cell>
          <cell r="D79" t="str">
            <v>INATIVO</v>
          </cell>
          <cell r="I79" t="str">
            <v>OPERAÇÕES</v>
          </cell>
        </row>
        <row r="80">
          <cell r="A80">
            <v>1228</v>
          </cell>
          <cell r="B80" t="str">
            <v>ENSEADA INDUSTRIA NAVAL (1228)</v>
          </cell>
          <cell r="C80" t="str">
            <v>DESATIVADO</v>
          </cell>
          <cell r="D80" t="str">
            <v>INATIVO</v>
          </cell>
          <cell r="I80" t="str">
            <v>OPERAÇÕES</v>
          </cell>
        </row>
        <row r="81">
          <cell r="A81">
            <v>1229</v>
          </cell>
          <cell r="B81" t="str">
            <v>ELETRONUCLEAR (1229)</v>
          </cell>
          <cell r="C81" t="str">
            <v>AXIA</v>
          </cell>
          <cell r="D81" t="str">
            <v>INATIVO</v>
          </cell>
          <cell r="I81" t="str">
            <v>OPERAÇÕES</v>
          </cell>
        </row>
        <row r="82">
          <cell r="A82">
            <v>1230</v>
          </cell>
          <cell r="B82" t="str">
            <v>FAPESB (1230)</v>
          </cell>
          <cell r="C82" t="str">
            <v>FAPESB</v>
          </cell>
          <cell r="D82" t="str">
            <v>ATIVO</v>
          </cell>
          <cell r="E82" t="str">
            <v>ADS</v>
          </cell>
          <cell r="F82" t="str">
            <v>PS</v>
          </cell>
          <cell r="G82" t="str">
            <v>LIZANDRA PIMENTA</v>
          </cell>
          <cell r="H82" t="str">
            <v>OP3</v>
          </cell>
          <cell r="I82" t="str">
            <v>OPERAÇÕES</v>
          </cell>
        </row>
        <row r="83">
          <cell r="A83">
            <v>1231</v>
          </cell>
          <cell r="B83" t="str">
            <v>CONSULTECH - MOURA DUBEAX (1231)</v>
          </cell>
          <cell r="C83" t="str">
            <v>DESATIVADO</v>
          </cell>
          <cell r="D83" t="str">
            <v>INATIVO</v>
          </cell>
          <cell r="I83" t="str">
            <v>OPERAÇÕES</v>
          </cell>
        </row>
        <row r="84">
          <cell r="A84">
            <v>1233</v>
          </cell>
          <cell r="B84" t="str">
            <v>AXIA N1 - MONITORAMENTO (1233)</v>
          </cell>
          <cell r="C84" t="str">
            <v>AXIA</v>
          </cell>
          <cell r="D84" t="str">
            <v>ATIVO</v>
          </cell>
          <cell r="E84" t="str">
            <v>CSA</v>
          </cell>
          <cell r="F84" t="str">
            <v>UT</v>
          </cell>
          <cell r="G84" t="str">
            <v>JOSÉ NETO</v>
          </cell>
          <cell r="H84" t="str">
            <v>OP2</v>
          </cell>
          <cell r="I84" t="str">
            <v>OPERAÇÕES</v>
          </cell>
        </row>
        <row r="85">
          <cell r="A85">
            <v>1234</v>
          </cell>
          <cell r="B85" t="str">
            <v>AERONAUTICA (1234)</v>
          </cell>
          <cell r="C85" t="str">
            <v>DESATIVADO</v>
          </cell>
          <cell r="D85" t="str">
            <v>INATIVO</v>
          </cell>
          <cell r="I85" t="str">
            <v>OPERAÇÕES</v>
          </cell>
        </row>
        <row r="86">
          <cell r="A86">
            <v>1235</v>
          </cell>
          <cell r="B86" t="str">
            <v>STUDIO RJ (1235)</v>
          </cell>
          <cell r="C86" t="str">
            <v>IPLAN</v>
          </cell>
          <cell r="D86" t="str">
            <v>INATIVO</v>
          </cell>
          <cell r="E86" t="str">
            <v>ADS</v>
          </cell>
          <cell r="F86" t="str">
            <v>PS</v>
          </cell>
          <cell r="I86" t="str">
            <v>OPERAÇÕES</v>
          </cell>
        </row>
        <row r="87">
          <cell r="A87">
            <v>1236</v>
          </cell>
          <cell r="B87" t="str">
            <v>SEFAZ - MT (1236)</v>
          </cell>
          <cell r="C87" t="str">
            <v>DESATIVADO</v>
          </cell>
          <cell r="D87" t="str">
            <v>INATIVO</v>
          </cell>
          <cell r="I87" t="str">
            <v>OPERAÇÕES</v>
          </cell>
        </row>
        <row r="88">
          <cell r="A88">
            <v>1237</v>
          </cell>
          <cell r="B88" t="str">
            <v>SEC SISTEMAS (1237)</v>
          </cell>
          <cell r="C88" t="str">
            <v>SEC-BA</v>
          </cell>
          <cell r="D88" t="str">
            <v>INATIVO</v>
          </cell>
          <cell r="I88" t="str">
            <v>OPERAÇÕES</v>
          </cell>
        </row>
        <row r="89">
          <cell r="A89">
            <v>1238</v>
          </cell>
          <cell r="B89" t="str">
            <v>DETRAN - BA (1238)</v>
          </cell>
          <cell r="C89" t="str">
            <v xml:space="preserve">DETRAN-BA </v>
          </cell>
          <cell r="D89" t="str">
            <v>INATIVO</v>
          </cell>
          <cell r="I89" t="str">
            <v>OPERAÇÕES</v>
          </cell>
        </row>
        <row r="90">
          <cell r="A90">
            <v>1239</v>
          </cell>
          <cell r="B90" t="str">
            <v>SEC N3 (1239)</v>
          </cell>
          <cell r="C90" t="str">
            <v>SEC-BA</v>
          </cell>
          <cell r="D90" t="str">
            <v>INATIVO</v>
          </cell>
          <cell r="I90" t="str">
            <v>OPERAÇÕES</v>
          </cell>
        </row>
        <row r="91">
          <cell r="A91">
            <v>1240</v>
          </cell>
          <cell r="B91" t="str">
            <v>TRF RJ (1240)</v>
          </cell>
          <cell r="C91" t="str">
            <v>TRF</v>
          </cell>
          <cell r="D91" t="str">
            <v>INATIVO</v>
          </cell>
          <cell r="I91" t="str">
            <v>OPERAÇÕES</v>
          </cell>
        </row>
        <row r="92">
          <cell r="A92">
            <v>1241</v>
          </cell>
          <cell r="B92" t="str">
            <v>TJ - BA SERVICE DESK (1241)</v>
          </cell>
          <cell r="C92" t="str">
            <v>TJ_BA</v>
          </cell>
          <cell r="D92" t="str">
            <v>INATIVO</v>
          </cell>
          <cell r="I92" t="str">
            <v>OPERAÇÕES</v>
          </cell>
        </row>
        <row r="93">
          <cell r="A93">
            <v>1242</v>
          </cell>
          <cell r="B93" t="str">
            <v>BAHIA GÁS (1242)</v>
          </cell>
          <cell r="C93" t="str">
            <v xml:space="preserve">BAHIA GÁS </v>
          </cell>
          <cell r="D93" t="str">
            <v>INATIVO</v>
          </cell>
          <cell r="I93" t="str">
            <v>OPERAÇÕES</v>
          </cell>
        </row>
        <row r="94">
          <cell r="A94">
            <v>1243</v>
          </cell>
          <cell r="B94" t="str">
            <v>TRF - RJ Apoio (1243)</v>
          </cell>
          <cell r="C94" t="str">
            <v>TRF</v>
          </cell>
          <cell r="D94" t="str">
            <v>INATIVO</v>
          </cell>
          <cell r="I94" t="str">
            <v>OPERAÇÕES</v>
          </cell>
        </row>
        <row r="95">
          <cell r="A95">
            <v>1244</v>
          </cell>
          <cell r="B95" t="str">
            <v>SEBRAE-SP Sistemas (1244)</v>
          </cell>
          <cell r="C95" t="str">
            <v>SEBRAE</v>
          </cell>
          <cell r="D95" t="str">
            <v>INATIVO</v>
          </cell>
          <cell r="I95" t="str">
            <v>OPERAÇÕES</v>
          </cell>
        </row>
        <row r="96">
          <cell r="A96">
            <v>1245</v>
          </cell>
          <cell r="B96" t="str">
            <v>EMBASA - Aplicações (1245)</v>
          </cell>
          <cell r="C96" t="str">
            <v>EMBASA</v>
          </cell>
          <cell r="D96" t="str">
            <v>INATIVO</v>
          </cell>
          <cell r="I96" t="str">
            <v>OPERAÇÕES</v>
          </cell>
        </row>
        <row r="97">
          <cell r="A97">
            <v>1246</v>
          </cell>
          <cell r="B97" t="str">
            <v>EBAL SD N1 e N2 (1246)</v>
          </cell>
          <cell r="C97" t="str">
            <v>DESATIVADO</v>
          </cell>
          <cell r="D97" t="str">
            <v>INATIVO</v>
          </cell>
          <cell r="I97" t="str">
            <v>OPERAÇÕES</v>
          </cell>
        </row>
        <row r="98">
          <cell r="A98">
            <v>1247</v>
          </cell>
          <cell r="B98" t="str">
            <v>IBAMETRO (1247)</v>
          </cell>
          <cell r="C98" t="str">
            <v>IBAMETRO</v>
          </cell>
          <cell r="D98" t="str">
            <v>ATIVO</v>
          </cell>
          <cell r="E98" t="str">
            <v>CSA</v>
          </cell>
          <cell r="F98" t="str">
            <v>PS</v>
          </cell>
          <cell r="G98" t="str">
            <v>ROGERIO GORDILHO</v>
          </cell>
          <cell r="H98" t="str">
            <v>OP4</v>
          </cell>
          <cell r="I98" t="str">
            <v>OPERAÇÕES</v>
          </cell>
        </row>
        <row r="99">
          <cell r="A99">
            <v>1248</v>
          </cell>
          <cell r="B99" t="str">
            <v>SEBRAE-SP Service Desk (1248)</v>
          </cell>
          <cell r="C99" t="str">
            <v>SEBRAE</v>
          </cell>
          <cell r="D99" t="str">
            <v>ATIVO</v>
          </cell>
          <cell r="E99" t="str">
            <v>CSA</v>
          </cell>
          <cell r="F99" t="str">
            <v>PS</v>
          </cell>
          <cell r="G99" t="str">
            <v>JOSÉ NETO</v>
          </cell>
          <cell r="H99" t="str">
            <v>OP2</v>
          </cell>
          <cell r="I99" t="str">
            <v>OPERAÇÕES</v>
          </cell>
        </row>
        <row r="100">
          <cell r="A100">
            <v>1250</v>
          </cell>
          <cell r="B100" t="str">
            <v>FURNAS - CONSULTORIA (1250)</v>
          </cell>
          <cell r="C100" t="str">
            <v>DESATIVADO</v>
          </cell>
          <cell r="D100" t="str">
            <v>INATIVO</v>
          </cell>
          <cell r="I100" t="str">
            <v>OPERAÇÕES</v>
          </cell>
        </row>
        <row r="101">
          <cell r="A101">
            <v>1251</v>
          </cell>
          <cell r="B101" t="str">
            <v>EUROP ASSISTANCE - ADS (1251)</v>
          </cell>
          <cell r="C101" t="str">
            <v>EUROP</v>
          </cell>
          <cell r="D101" t="str">
            <v>INATIVO</v>
          </cell>
          <cell r="I101" t="str">
            <v>OPERAÇÕES</v>
          </cell>
        </row>
        <row r="102">
          <cell r="A102">
            <v>1252</v>
          </cell>
          <cell r="B102" t="str">
            <v>SUBVISA (1252)</v>
          </cell>
          <cell r="C102" t="str">
            <v>IPLAN</v>
          </cell>
          <cell r="D102" t="str">
            <v>INATIVO</v>
          </cell>
          <cell r="I102" t="str">
            <v>OPERAÇÕES</v>
          </cell>
        </row>
        <row r="103">
          <cell r="A103">
            <v>1253</v>
          </cell>
          <cell r="B103" t="str">
            <v>SEOP (1253)</v>
          </cell>
          <cell r="C103" t="str">
            <v>IPLAN</v>
          </cell>
          <cell r="D103" t="str">
            <v>INATIVO</v>
          </cell>
          <cell r="I103" t="str">
            <v>OPERAÇÕES</v>
          </cell>
        </row>
        <row r="104">
          <cell r="A104">
            <v>1254</v>
          </cell>
          <cell r="B104" t="str">
            <v>SME (1254)</v>
          </cell>
          <cell r="C104" t="str">
            <v>IPLAN</v>
          </cell>
          <cell r="D104" t="str">
            <v>INATIVO</v>
          </cell>
          <cell r="I104" t="str">
            <v>OPERAÇÕES</v>
          </cell>
        </row>
        <row r="105">
          <cell r="A105">
            <v>1255</v>
          </cell>
          <cell r="B105" t="str">
            <v>SMS (1255)</v>
          </cell>
          <cell r="C105" t="str">
            <v>IPLAN</v>
          </cell>
          <cell r="D105" t="str">
            <v>INATIVO</v>
          </cell>
          <cell r="I105" t="str">
            <v>OPERAÇÕES</v>
          </cell>
        </row>
        <row r="106">
          <cell r="A106">
            <v>1256</v>
          </cell>
          <cell r="B106" t="str">
            <v>SMASDH (1256)</v>
          </cell>
          <cell r="C106" t="str">
            <v>IPLAN</v>
          </cell>
          <cell r="D106" t="str">
            <v>INATIVO</v>
          </cell>
          <cell r="I106" t="str">
            <v>OPERAÇÕES</v>
          </cell>
        </row>
        <row r="107">
          <cell r="A107">
            <v>1257</v>
          </cell>
          <cell r="B107" t="str">
            <v>PROCON (1257)</v>
          </cell>
          <cell r="C107" t="str">
            <v>IPLAN</v>
          </cell>
          <cell r="D107" t="str">
            <v>INATIVO</v>
          </cell>
          <cell r="I107" t="str">
            <v>OPERAÇÕES</v>
          </cell>
        </row>
        <row r="108">
          <cell r="A108">
            <v>1258</v>
          </cell>
          <cell r="B108" t="str">
            <v>SMF (1258)</v>
          </cell>
          <cell r="C108" t="str">
            <v>IPLAN</v>
          </cell>
          <cell r="D108" t="str">
            <v>INATIVO</v>
          </cell>
          <cell r="I108" t="str">
            <v>OPERAÇÕES</v>
          </cell>
        </row>
        <row r="109">
          <cell r="A109">
            <v>1259</v>
          </cell>
          <cell r="B109" t="str">
            <v>SABESP - STUDIO MICROSOFT (1259)</v>
          </cell>
          <cell r="C109" t="str">
            <v>SABESP</v>
          </cell>
          <cell r="D109" t="str">
            <v>ATIVO</v>
          </cell>
          <cell r="E109" t="str">
            <v>ADS</v>
          </cell>
          <cell r="F109" t="str">
            <v>UT</v>
          </cell>
          <cell r="G109" t="str">
            <v>CYRO SALVATORE</v>
          </cell>
          <cell r="H109" t="str">
            <v>OP1</v>
          </cell>
          <cell r="I109" t="str">
            <v>OPERAÇÕES</v>
          </cell>
        </row>
        <row r="110">
          <cell r="A110">
            <v>1260</v>
          </cell>
          <cell r="B110" t="str">
            <v>PETZ - ADS (1260)</v>
          </cell>
          <cell r="C110" t="str">
            <v>PETZ</v>
          </cell>
          <cell r="D110" t="str">
            <v>ATIVO</v>
          </cell>
          <cell r="E110" t="str">
            <v>ADS</v>
          </cell>
          <cell r="F110" t="str">
            <v>MS</v>
          </cell>
          <cell r="G110" t="str">
            <v>RODRIGO CORUMBA</v>
          </cell>
          <cell r="H110" t="str">
            <v>OP2</v>
          </cell>
          <cell r="I110" t="str">
            <v>OPERAÇÕES</v>
          </cell>
        </row>
        <row r="111">
          <cell r="A111">
            <v>1261</v>
          </cell>
          <cell r="B111" t="str">
            <v>LE BISCUIT - SERVICE DESK (1261)</v>
          </cell>
          <cell r="C111" t="str">
            <v xml:space="preserve">LE_BISCUIT </v>
          </cell>
          <cell r="D111" t="str">
            <v>INATIVO</v>
          </cell>
          <cell r="E111" t="str">
            <v>CSA</v>
          </cell>
          <cell r="F111" t="str">
            <v>MS</v>
          </cell>
          <cell r="I111" t="str">
            <v>OPERAÇÕES</v>
          </cell>
        </row>
        <row r="112">
          <cell r="A112">
            <v>1262</v>
          </cell>
          <cell r="B112" t="str">
            <v>BANCO RENDIMENTO ADS (1262)</v>
          </cell>
          <cell r="C112" t="str">
            <v>RENDIMENTO</v>
          </cell>
          <cell r="D112" t="str">
            <v>ATIVO</v>
          </cell>
          <cell r="E112" t="str">
            <v>ADS</v>
          </cell>
          <cell r="F112" t="str">
            <v>FS</v>
          </cell>
          <cell r="G112" t="str">
            <v>RODRIGO CORUMBA</v>
          </cell>
          <cell r="H112" t="str">
            <v>OP2</v>
          </cell>
          <cell r="I112" t="str">
            <v>OPERAÇÕES</v>
          </cell>
        </row>
        <row r="113">
          <cell r="A113">
            <v>1263</v>
          </cell>
          <cell r="B113" t="str">
            <v>STUDIO SALESFORCE (1263)</v>
          </cell>
          <cell r="C113" t="str">
            <v>CUSTO_INDIRETO</v>
          </cell>
          <cell r="D113" t="str">
            <v>ATIVO</v>
          </cell>
          <cell r="E113" t="str">
            <v>BPS</v>
          </cell>
          <cell r="F113" t="str">
            <v>ALL</v>
          </cell>
          <cell r="G113" t="str">
            <v>NIVALDO AMORIM</v>
          </cell>
          <cell r="H113" t="str">
            <v>OP</v>
          </cell>
          <cell r="I113" t="str">
            <v>OPERAÇÕES</v>
          </cell>
        </row>
        <row r="114">
          <cell r="A114">
            <v>1264</v>
          </cell>
          <cell r="B114" t="str">
            <v>LE BISCUIT - MARKETING (1264)</v>
          </cell>
          <cell r="C114" t="str">
            <v xml:space="preserve">LE_BISCUIT </v>
          </cell>
          <cell r="D114" t="str">
            <v>INATIVO</v>
          </cell>
          <cell r="I114" t="str">
            <v>OPERAÇÕES</v>
          </cell>
        </row>
        <row r="115">
          <cell r="A115">
            <v>1265</v>
          </cell>
          <cell r="B115" t="str">
            <v>PREMIERPET (1265)</v>
          </cell>
          <cell r="C115" t="str">
            <v>PREMIERPET</v>
          </cell>
          <cell r="D115" t="str">
            <v>INATIVO</v>
          </cell>
          <cell r="I115" t="str">
            <v>OPERAÇÕES</v>
          </cell>
        </row>
        <row r="116">
          <cell r="A116">
            <v>1266</v>
          </cell>
          <cell r="B116" t="str">
            <v>LE BISCUIT - LICENÇA SALESFORCE (1266)</v>
          </cell>
          <cell r="C116" t="str">
            <v xml:space="preserve">LE_BISCUIT </v>
          </cell>
          <cell r="D116" t="str">
            <v>INATIVO</v>
          </cell>
          <cell r="I116" t="str">
            <v>OPERAÇÕES</v>
          </cell>
        </row>
        <row r="117">
          <cell r="A117">
            <v>1267</v>
          </cell>
          <cell r="B117" t="str">
            <v>AGILE DEV STUDIO OP (1267)</v>
          </cell>
          <cell r="C117" t="str">
            <v>CUSTO_INDIRETO</v>
          </cell>
          <cell r="D117" t="str">
            <v>ATIVO</v>
          </cell>
          <cell r="E117" t="str">
            <v>ADS</v>
          </cell>
          <cell r="F117" t="str">
            <v>ALL</v>
          </cell>
          <cell r="G117" t="str">
            <v>KARINA MELO</v>
          </cell>
          <cell r="H117" t="str">
            <v>OP</v>
          </cell>
          <cell r="I117" t="str">
            <v>OPERAÇÕES</v>
          </cell>
        </row>
        <row r="118">
          <cell r="A118">
            <v>1268</v>
          </cell>
          <cell r="B118" t="str">
            <v>BANCO SANTANDER Agile Studio (1268)</v>
          </cell>
          <cell r="C118" t="str">
            <v>SANTANDER</v>
          </cell>
          <cell r="D118" t="str">
            <v>ATIVO</v>
          </cell>
          <cell r="E118" t="str">
            <v>ADS</v>
          </cell>
          <cell r="F118" t="str">
            <v>FS</v>
          </cell>
          <cell r="G118" t="str">
            <v>RODRIGO CORUMBA</v>
          </cell>
          <cell r="H118" t="str">
            <v>OP2</v>
          </cell>
          <cell r="I118" t="str">
            <v>OPERAÇÕES</v>
          </cell>
        </row>
        <row r="119">
          <cell r="A119">
            <v>1269</v>
          </cell>
          <cell r="B119" t="str">
            <v>BANCO RENDIMENTO MONITORING CSA (1269)</v>
          </cell>
          <cell r="C119" t="str">
            <v>RENDIMENTO</v>
          </cell>
          <cell r="D119" t="str">
            <v>ATIVO</v>
          </cell>
          <cell r="E119" t="str">
            <v>CSA</v>
          </cell>
          <cell r="F119" t="str">
            <v>FS</v>
          </cell>
          <cell r="G119" t="str">
            <v>RODRIGO CORUMBA</v>
          </cell>
          <cell r="H119" t="str">
            <v>OP2</v>
          </cell>
          <cell r="I119" t="str">
            <v>OPERAÇÕES</v>
          </cell>
        </row>
        <row r="120">
          <cell r="A120">
            <v>1270</v>
          </cell>
          <cell r="B120" t="str">
            <v>BUONNY - SP (1270)</v>
          </cell>
          <cell r="C120" t="str">
            <v>BUONNY</v>
          </cell>
          <cell r="D120" t="str">
            <v>INATIVO</v>
          </cell>
          <cell r="I120" t="str">
            <v>OPERAÇÕES</v>
          </cell>
        </row>
        <row r="121">
          <cell r="A121">
            <v>1271</v>
          </cell>
          <cell r="B121" t="str">
            <v>SEC SD (1271)</v>
          </cell>
          <cell r="C121" t="str">
            <v>SEC-BA</v>
          </cell>
          <cell r="D121" t="str">
            <v>ATIVO</v>
          </cell>
          <cell r="E121" t="str">
            <v>CSA</v>
          </cell>
          <cell r="F121" t="str">
            <v>PS</v>
          </cell>
          <cell r="G121" t="str">
            <v>LIZANDRA PIMENTA</v>
          </cell>
          <cell r="H121" t="str">
            <v>OP3</v>
          </cell>
          <cell r="I121" t="str">
            <v>OPERAÇÕES</v>
          </cell>
        </row>
        <row r="122">
          <cell r="A122">
            <v>1272</v>
          </cell>
          <cell r="B122" t="str">
            <v>LE BISCUIT - SALESFORCE EXTENSÃO (1272)</v>
          </cell>
          <cell r="C122" t="str">
            <v xml:space="preserve">LE_BISCUIT </v>
          </cell>
          <cell r="D122" t="str">
            <v>INATIVO</v>
          </cell>
          <cell r="I122" t="str">
            <v>OPERAÇÕES</v>
          </cell>
        </row>
        <row r="123">
          <cell r="A123">
            <v>1273</v>
          </cell>
          <cell r="B123" t="str">
            <v>TJ - BA DIGITAL SUPPORT (1273)</v>
          </cell>
          <cell r="C123" t="str">
            <v>TJ_BA</v>
          </cell>
          <cell r="D123" t="str">
            <v>ATIVO</v>
          </cell>
          <cell r="E123" t="str">
            <v>CSA</v>
          </cell>
          <cell r="F123" t="str">
            <v>PS</v>
          </cell>
          <cell r="G123" t="str">
            <v>LIZANDRA PIMENTA</v>
          </cell>
          <cell r="H123" t="str">
            <v>OP3</v>
          </cell>
          <cell r="I123" t="str">
            <v>OPERAÇÕES</v>
          </cell>
        </row>
        <row r="124">
          <cell r="A124">
            <v>1274</v>
          </cell>
          <cell r="B124" t="str">
            <v>BRADESCO - PROJETOS (1274)</v>
          </cell>
          <cell r="C124" t="str">
            <v>BRADESCO</v>
          </cell>
          <cell r="D124" t="str">
            <v>ATIVO</v>
          </cell>
          <cell r="E124" t="str">
            <v>ADS</v>
          </cell>
          <cell r="F124" t="str">
            <v>FS</v>
          </cell>
          <cell r="G124" t="str">
            <v>RITA ANDRADE</v>
          </cell>
          <cell r="H124" t="str">
            <v>OP1</v>
          </cell>
          <cell r="I124" t="str">
            <v>OPERAÇÕES</v>
          </cell>
        </row>
        <row r="125">
          <cell r="A125">
            <v>1275</v>
          </cell>
          <cell r="B125" t="str">
            <v>VR (1275)</v>
          </cell>
          <cell r="C125" t="str">
            <v>VR</v>
          </cell>
          <cell r="D125" t="str">
            <v>ATIVO</v>
          </cell>
          <cell r="E125" t="str">
            <v>ADS</v>
          </cell>
          <cell r="F125" t="str">
            <v>FS</v>
          </cell>
          <cell r="G125" t="str">
            <v>RODRIGO CORUMBA</v>
          </cell>
          <cell r="H125" t="str">
            <v>OP2</v>
          </cell>
          <cell r="I125" t="str">
            <v>OPERAÇÕES</v>
          </cell>
        </row>
        <row r="126">
          <cell r="A126">
            <v>1276</v>
          </cell>
          <cell r="B126" t="str">
            <v>SEC - BA SISTEMAS IND (1276)</v>
          </cell>
          <cell r="C126" t="str">
            <v>SEC-BA</v>
          </cell>
          <cell r="D126" t="str">
            <v>INATIVO</v>
          </cell>
          <cell r="I126" t="str">
            <v>OPERAÇÕES</v>
          </cell>
        </row>
        <row r="127">
          <cell r="A127">
            <v>1277</v>
          </cell>
          <cell r="B127" t="str">
            <v>TJ - BA CPROD (1277)</v>
          </cell>
          <cell r="C127" t="str">
            <v>TJ_BA</v>
          </cell>
          <cell r="D127" t="str">
            <v>ATIVO</v>
          </cell>
          <cell r="E127" t="str">
            <v>CSA</v>
          </cell>
          <cell r="F127" t="str">
            <v>PS</v>
          </cell>
          <cell r="G127" t="str">
            <v>LIZANDRA PIMENTA</v>
          </cell>
          <cell r="H127" t="str">
            <v>OP3</v>
          </cell>
          <cell r="I127" t="str">
            <v>OPERAÇÕES</v>
          </cell>
        </row>
        <row r="128">
          <cell r="A128">
            <v>1278</v>
          </cell>
          <cell r="B128" t="str">
            <v>MP - RJ (1278)</v>
          </cell>
          <cell r="C128" t="str">
            <v>MP_RJ</v>
          </cell>
          <cell r="D128" t="str">
            <v>ATIVO</v>
          </cell>
          <cell r="E128" t="str">
            <v>CSA</v>
          </cell>
          <cell r="F128" t="str">
            <v>PS</v>
          </cell>
          <cell r="G128" t="str">
            <v>JOSÉ NETO COELHO</v>
          </cell>
          <cell r="H128" t="str">
            <v>OP2</v>
          </cell>
          <cell r="I128" t="str">
            <v>OPERAÇÕES</v>
          </cell>
        </row>
        <row r="129">
          <cell r="A129">
            <v>1279</v>
          </cell>
          <cell r="B129" t="str">
            <v>LE BISCUIT - CONSULTORIA SALESFORCE (1279)</v>
          </cell>
          <cell r="C129" t="str">
            <v xml:space="preserve">LE_BISCUIT </v>
          </cell>
          <cell r="D129" t="str">
            <v>INATIVO</v>
          </cell>
          <cell r="I129" t="str">
            <v>OPERAÇÕES</v>
          </cell>
        </row>
        <row r="130">
          <cell r="A130">
            <v>1280</v>
          </cell>
          <cell r="B130" t="str">
            <v>SF - MILLENA MOVEIS (1280)</v>
          </cell>
          <cell r="C130" t="str">
            <v xml:space="preserve"> MILLENA MOVEIS</v>
          </cell>
          <cell r="D130" t="str">
            <v>INATIVO</v>
          </cell>
          <cell r="I130" t="str">
            <v>OPERAÇÕES</v>
          </cell>
        </row>
        <row r="131">
          <cell r="A131">
            <v>1281</v>
          </cell>
          <cell r="B131" t="str">
            <v>MV Sistemas RPA (1281)</v>
          </cell>
          <cell r="C131" t="str">
            <v>MV Sistemas</v>
          </cell>
          <cell r="D131" t="str">
            <v>INATIVO</v>
          </cell>
          <cell r="I131" t="str">
            <v>OPERAÇÕES</v>
          </cell>
        </row>
        <row r="132">
          <cell r="A132">
            <v>1282</v>
          </cell>
          <cell r="B132" t="str">
            <v>SF - MV Sistemas (1282)</v>
          </cell>
          <cell r="C132" t="str">
            <v>MV Sistemas</v>
          </cell>
          <cell r="D132" t="str">
            <v>INATIVO</v>
          </cell>
          <cell r="I132" t="str">
            <v>OPERAÇÕES</v>
          </cell>
        </row>
        <row r="133">
          <cell r="A133">
            <v>1283</v>
          </cell>
          <cell r="B133" t="str">
            <v>ELETROBRAS - N1 (1283)</v>
          </cell>
          <cell r="C133" t="str">
            <v>AXIA</v>
          </cell>
          <cell r="D133" t="str">
            <v>INATIVO</v>
          </cell>
          <cell r="I133" t="str">
            <v>OPERAÇÕES</v>
          </cell>
        </row>
        <row r="134">
          <cell r="A134">
            <v>1284</v>
          </cell>
          <cell r="B134" t="str">
            <v>EUROP - DC (1284)</v>
          </cell>
          <cell r="C134" t="str">
            <v>EUROP</v>
          </cell>
          <cell r="D134" t="str">
            <v>INATIVO</v>
          </cell>
          <cell r="I134" t="str">
            <v>OPERAÇÕES</v>
          </cell>
        </row>
        <row r="135">
          <cell r="A135">
            <v>1285</v>
          </cell>
          <cell r="B135" t="str">
            <v>BRADESCO - EXPERIENCE (1285)</v>
          </cell>
          <cell r="C135" t="str">
            <v>BRADESCO</v>
          </cell>
          <cell r="D135" t="str">
            <v>ATIVO</v>
          </cell>
          <cell r="E135" t="str">
            <v>ADS</v>
          </cell>
          <cell r="F135" t="str">
            <v>FS</v>
          </cell>
          <cell r="G135" t="str">
            <v>RITA ANDRADE</v>
          </cell>
          <cell r="H135" t="str">
            <v>OP1</v>
          </cell>
          <cell r="I135" t="str">
            <v>OPERAÇÕES</v>
          </cell>
        </row>
        <row r="136">
          <cell r="A136">
            <v>1286</v>
          </cell>
          <cell r="B136" t="str">
            <v>PETZ - DC (1286)</v>
          </cell>
          <cell r="C136" t="str">
            <v>PETZ</v>
          </cell>
          <cell r="D136" t="str">
            <v>INATIVO</v>
          </cell>
          <cell r="E136" t="str">
            <v>CSA</v>
          </cell>
          <cell r="F136" t="str">
            <v>FS</v>
          </cell>
          <cell r="G136" t="str">
            <v>RODRIGO CORUMBA</v>
          </cell>
          <cell r="H136" t="str">
            <v>OP2</v>
          </cell>
          <cell r="I136" t="str">
            <v>OPERAÇÕES</v>
          </cell>
        </row>
        <row r="137">
          <cell r="A137">
            <v>1287</v>
          </cell>
          <cell r="B137" t="str">
            <v>TJ - BA SISTEMAS (1287)</v>
          </cell>
          <cell r="C137" t="str">
            <v>TJ_BA</v>
          </cell>
          <cell r="D137" t="str">
            <v>ATIVO</v>
          </cell>
          <cell r="E137" t="str">
            <v>ADS</v>
          </cell>
          <cell r="F137" t="str">
            <v>PS</v>
          </cell>
          <cell r="G137" t="str">
            <v>LIZANDRA PIMENTA</v>
          </cell>
          <cell r="H137" t="str">
            <v>OP3</v>
          </cell>
          <cell r="I137" t="str">
            <v>OPERAÇÕES</v>
          </cell>
        </row>
        <row r="138">
          <cell r="A138">
            <v>1288</v>
          </cell>
          <cell r="B138" t="str">
            <v>SEC BA SISTEMAS  (1288)</v>
          </cell>
          <cell r="C138" t="str">
            <v>SEC-BA</v>
          </cell>
          <cell r="D138" t="str">
            <v>ATIVO</v>
          </cell>
          <cell r="E138" t="str">
            <v>ADS</v>
          </cell>
          <cell r="F138" t="str">
            <v>PS</v>
          </cell>
          <cell r="G138" t="str">
            <v>LIZANDRA PIMENTA</v>
          </cell>
          <cell r="H138" t="str">
            <v>OP3</v>
          </cell>
          <cell r="I138" t="str">
            <v>OPERAÇÕES</v>
          </cell>
        </row>
        <row r="139">
          <cell r="A139">
            <v>1289</v>
          </cell>
          <cell r="B139" t="str">
            <v>SEC N3 NOVO (1289)</v>
          </cell>
          <cell r="C139" t="str">
            <v>SEC-BA</v>
          </cell>
          <cell r="D139" t="str">
            <v>ATIVO</v>
          </cell>
          <cell r="E139" t="str">
            <v>CSA</v>
          </cell>
          <cell r="F139" t="str">
            <v>PS</v>
          </cell>
          <cell r="G139" t="str">
            <v>LIZANDRA PIMENTA</v>
          </cell>
          <cell r="H139" t="str">
            <v>OP3</v>
          </cell>
          <cell r="I139" t="str">
            <v>OPERAÇÕES</v>
          </cell>
        </row>
        <row r="140">
          <cell r="A140">
            <v>1290</v>
          </cell>
          <cell r="B140" t="str">
            <v>EMBASA - NOVO (1290)</v>
          </cell>
          <cell r="C140" t="str">
            <v>EMBASA</v>
          </cell>
          <cell r="D140" t="str">
            <v>ATIVO</v>
          </cell>
          <cell r="E140" t="str">
            <v>CSA</v>
          </cell>
          <cell r="F140" t="str">
            <v>UT</v>
          </cell>
          <cell r="G140" t="str">
            <v>ROGERIO GORDILHO</v>
          </cell>
          <cell r="H140" t="str">
            <v>OP4</v>
          </cell>
          <cell r="I140" t="str">
            <v>OPERAÇÕES</v>
          </cell>
        </row>
        <row r="141">
          <cell r="A141">
            <v>1291</v>
          </cell>
          <cell r="B141" t="str">
            <v>ELETROBRAS REMOTE SERVICE (1291)</v>
          </cell>
          <cell r="C141" t="str">
            <v>AXIA</v>
          </cell>
          <cell r="D141" t="str">
            <v>ATIVO</v>
          </cell>
          <cell r="E141" t="str">
            <v>CSA</v>
          </cell>
          <cell r="F141" t="str">
            <v>UT</v>
          </cell>
          <cell r="G141" t="str">
            <v>JOSÉ NETO</v>
          </cell>
          <cell r="H141" t="str">
            <v>OP2</v>
          </cell>
          <cell r="I141" t="str">
            <v>OPERAÇÕES</v>
          </cell>
        </row>
        <row r="142">
          <cell r="A142">
            <v>1292</v>
          </cell>
          <cell r="B142" t="str">
            <v>BRADESCO - SEGUROS (1292)</v>
          </cell>
          <cell r="C142" t="str">
            <v>BRADESCO_SEGUROS</v>
          </cell>
          <cell r="D142" t="str">
            <v>ATIVO</v>
          </cell>
          <cell r="E142" t="str">
            <v>ADS</v>
          </cell>
          <cell r="F142" t="str">
            <v>FS</v>
          </cell>
          <cell r="G142" t="str">
            <v>RITA ANDRADE</v>
          </cell>
          <cell r="H142" t="str">
            <v>OP1</v>
          </cell>
          <cell r="I142" t="str">
            <v>OPERAÇÕES</v>
          </cell>
        </row>
        <row r="143">
          <cell r="A143">
            <v>1293</v>
          </cell>
          <cell r="B143" t="str">
            <v>BRADESCO - INDIRETOS (1293)</v>
          </cell>
          <cell r="C143" t="str">
            <v>BRADESCO</v>
          </cell>
          <cell r="D143" t="str">
            <v>ATIVO</v>
          </cell>
          <cell r="E143" t="str">
            <v>ADS</v>
          </cell>
          <cell r="F143" t="str">
            <v>FS</v>
          </cell>
          <cell r="G143" t="str">
            <v>RITA ANDRADE</v>
          </cell>
          <cell r="H143" t="str">
            <v>OP1</v>
          </cell>
          <cell r="I143" t="str">
            <v>OPERAÇÕES</v>
          </cell>
        </row>
        <row r="144">
          <cell r="A144">
            <v>1294</v>
          </cell>
          <cell r="B144" t="str">
            <v>BRADESCO - DS 2 (1294)</v>
          </cell>
          <cell r="C144" t="str">
            <v>BRADESCO</v>
          </cell>
          <cell r="D144" t="str">
            <v>ATIVO</v>
          </cell>
          <cell r="E144" t="str">
            <v>ADS</v>
          </cell>
          <cell r="F144" t="str">
            <v>FS</v>
          </cell>
          <cell r="G144" t="str">
            <v>RITA ANDRADE</v>
          </cell>
          <cell r="H144" t="str">
            <v>OP1</v>
          </cell>
          <cell r="I144" t="str">
            <v>OPERAÇÕES</v>
          </cell>
        </row>
        <row r="145">
          <cell r="A145">
            <v>1295</v>
          </cell>
          <cell r="B145" t="str">
            <v>OUTPOST ARQUITETURA (1295)</v>
          </cell>
          <cell r="C145" t="str">
            <v>CUSTO_INDIRETO</v>
          </cell>
          <cell r="D145" t="str">
            <v>ATIVO</v>
          </cell>
          <cell r="E145" t="str">
            <v>ADS</v>
          </cell>
          <cell r="F145" t="str">
            <v>ALL</v>
          </cell>
          <cell r="G145" t="str">
            <v>FELIPE MACHADO</v>
          </cell>
          <cell r="H145" t="str">
            <v>OP</v>
          </cell>
          <cell r="I145" t="str">
            <v>OPERAÇÕES</v>
          </cell>
        </row>
        <row r="146">
          <cell r="A146">
            <v>1296</v>
          </cell>
          <cell r="B146" t="str">
            <v>ELETROBRAS DIGITAL SUPORT (1296)</v>
          </cell>
          <cell r="C146" t="str">
            <v>AXIA</v>
          </cell>
          <cell r="D146" t="str">
            <v>ATIVO</v>
          </cell>
          <cell r="E146" t="str">
            <v>CSA</v>
          </cell>
          <cell r="F146" t="str">
            <v>UT</v>
          </cell>
          <cell r="G146" t="str">
            <v>JOSÉ NETO</v>
          </cell>
          <cell r="H146" t="str">
            <v>OP2</v>
          </cell>
          <cell r="I146" t="str">
            <v>OPERAÇÕES</v>
          </cell>
        </row>
        <row r="147">
          <cell r="A147">
            <v>1297</v>
          </cell>
          <cell r="B147" t="str">
            <v>SF - MV MELHORIAS (1297)</v>
          </cell>
          <cell r="C147" t="str">
            <v>MV</v>
          </cell>
          <cell r="D147" t="str">
            <v>INATIVO</v>
          </cell>
          <cell r="I147" t="str">
            <v>OPERAÇÕES</v>
          </cell>
        </row>
        <row r="148">
          <cell r="A148">
            <v>1298</v>
          </cell>
          <cell r="B148" t="str">
            <v>SEBRAE-SP DC NOVO (1298)</v>
          </cell>
          <cell r="C148" t="str">
            <v>SEBRAE</v>
          </cell>
          <cell r="D148" t="str">
            <v>ATIVO</v>
          </cell>
          <cell r="E148" t="str">
            <v>CSA</v>
          </cell>
          <cell r="F148" t="str">
            <v>PS</v>
          </cell>
          <cell r="G148" t="str">
            <v>JOSÉ NETO</v>
          </cell>
          <cell r="H148" t="str">
            <v>OP2</v>
          </cell>
          <cell r="I148" t="str">
            <v>OPERAÇÕES</v>
          </cell>
        </row>
        <row r="149">
          <cell r="A149">
            <v>1299</v>
          </cell>
          <cell r="B149" t="str">
            <v>SEC SIGEDUC (1299)</v>
          </cell>
          <cell r="C149" t="str">
            <v>SEC-BA</v>
          </cell>
          <cell r="D149" t="str">
            <v>ATIVO</v>
          </cell>
          <cell r="E149" t="str">
            <v>ADS</v>
          </cell>
          <cell r="F149" t="str">
            <v>PS</v>
          </cell>
          <cell r="G149" t="str">
            <v>LIZANDRA PIMENTA</v>
          </cell>
          <cell r="H149" t="str">
            <v>OP3</v>
          </cell>
          <cell r="I149" t="str">
            <v>OPERAÇÕES</v>
          </cell>
        </row>
        <row r="150">
          <cell r="A150">
            <v>1300</v>
          </cell>
          <cell r="B150" t="str">
            <v>ELETROBRAS RS NOVO (1300)</v>
          </cell>
          <cell r="C150" t="str">
            <v>AXIA</v>
          </cell>
          <cell r="D150" t="str">
            <v>ATIVO</v>
          </cell>
          <cell r="E150" t="str">
            <v>CSA</v>
          </cell>
          <cell r="F150" t="str">
            <v>UT</v>
          </cell>
          <cell r="G150" t="str">
            <v>JOSÉ NETO</v>
          </cell>
          <cell r="H150" t="str">
            <v>OP2</v>
          </cell>
          <cell r="I150" t="str">
            <v>OPERAÇÕES</v>
          </cell>
        </row>
        <row r="151">
          <cell r="A151">
            <v>1301</v>
          </cell>
          <cell r="B151" t="str">
            <v>DIRETORIA DE INTEGRAÇÃO (1301)</v>
          </cell>
          <cell r="C151" t="str">
            <v>DESATIVADO</v>
          </cell>
          <cell r="D151" t="str">
            <v>INATIVO</v>
          </cell>
          <cell r="I151" t="str">
            <v>OPERAÇÕES</v>
          </cell>
        </row>
        <row r="152">
          <cell r="A152">
            <v>1302</v>
          </cell>
          <cell r="B152" t="str">
            <v>COMERCIAL DE INTEGRAÇÃO (1302)</v>
          </cell>
          <cell r="C152" t="str">
            <v>DESATIVADO</v>
          </cell>
          <cell r="D152" t="str">
            <v>INATIVO</v>
          </cell>
          <cell r="I152" t="str">
            <v>OPERAÇÕES</v>
          </cell>
        </row>
        <row r="153">
          <cell r="A153">
            <v>1303</v>
          </cell>
          <cell r="B153" t="str">
            <v>CENTRO DE COMPETÊNCIA INFRA (1303)</v>
          </cell>
          <cell r="C153" t="str">
            <v>DESATIVADO</v>
          </cell>
          <cell r="D153" t="str">
            <v>INATIVO</v>
          </cell>
          <cell r="I153" t="str">
            <v>OPERAÇÕES</v>
          </cell>
        </row>
        <row r="154">
          <cell r="A154">
            <v>1304</v>
          </cell>
          <cell r="B154" t="str">
            <v>PRÉ-VENDA INTEGRAÇÃO (1304)</v>
          </cell>
          <cell r="C154" t="str">
            <v>DESATIVADO</v>
          </cell>
          <cell r="D154" t="str">
            <v>INATIVO</v>
          </cell>
          <cell r="I154" t="str">
            <v>OPERAÇÕES</v>
          </cell>
        </row>
        <row r="155">
          <cell r="A155">
            <v>1305</v>
          </cell>
          <cell r="B155" t="str">
            <v>EBAL N1 e N2 (1305)</v>
          </cell>
          <cell r="C155" t="str">
            <v>DESATIVADO</v>
          </cell>
          <cell r="D155" t="str">
            <v>INATIVO</v>
          </cell>
          <cell r="I155" t="str">
            <v>OPERAÇÕES</v>
          </cell>
        </row>
        <row r="156">
          <cell r="A156">
            <v>1306</v>
          </cell>
          <cell r="B156" t="str">
            <v>SABESP - CARAGUA (1306)</v>
          </cell>
          <cell r="C156" t="str">
            <v>DESATIVADO</v>
          </cell>
          <cell r="D156" t="str">
            <v>INATIVO</v>
          </cell>
          <cell r="I156" t="str">
            <v>OPERAÇÕES</v>
          </cell>
        </row>
        <row r="157">
          <cell r="A157">
            <v>1307</v>
          </cell>
          <cell r="B157" t="str">
            <v>INTEGRAÇÃO (1307)</v>
          </cell>
          <cell r="C157" t="str">
            <v>DESATIVADO</v>
          </cell>
          <cell r="D157" t="str">
            <v>INATIVO</v>
          </cell>
          <cell r="I157" t="str">
            <v>OPERAÇÕES</v>
          </cell>
        </row>
        <row r="158">
          <cell r="A158">
            <v>1308</v>
          </cell>
          <cell r="B158" t="str">
            <v>TJ - BA N2 (1308)</v>
          </cell>
          <cell r="C158" t="str">
            <v>TJ_BA</v>
          </cell>
          <cell r="D158" t="str">
            <v>INATIVO</v>
          </cell>
          <cell r="I158" t="str">
            <v>OPERAÇÕES</v>
          </cell>
        </row>
        <row r="159">
          <cell r="A159">
            <v>1309</v>
          </cell>
          <cell r="B159" t="str">
            <v>OI - REDE GOVERNO - BA (1309)</v>
          </cell>
          <cell r="C159" t="str">
            <v>OI</v>
          </cell>
          <cell r="D159" t="str">
            <v>INATIVO</v>
          </cell>
          <cell r="I159" t="str">
            <v>OPERAÇÕES</v>
          </cell>
        </row>
        <row r="160">
          <cell r="A160">
            <v>1310</v>
          </cell>
          <cell r="B160" t="str">
            <v>INVESTIMENTO INFRA (1310)</v>
          </cell>
          <cell r="C160" t="str">
            <v>DESATIVADO</v>
          </cell>
          <cell r="D160" t="str">
            <v>INATIVO</v>
          </cell>
          <cell r="I160" t="str">
            <v>OPERAÇÕES</v>
          </cell>
        </row>
        <row r="161">
          <cell r="A161">
            <v>1311</v>
          </cell>
          <cell r="B161" t="str">
            <v>SEFAZ - BA EMERGENCIAL (1311)</v>
          </cell>
          <cell r="C161" t="str">
            <v>DESATIVADO</v>
          </cell>
          <cell r="D161" t="str">
            <v>INATIVO</v>
          </cell>
          <cell r="I161" t="str">
            <v>OPERAÇÕES</v>
          </cell>
        </row>
        <row r="162">
          <cell r="A162">
            <v>1312</v>
          </cell>
          <cell r="B162" t="str">
            <v>INFRA DIGITAL E SECURITY (1312)</v>
          </cell>
          <cell r="C162" t="str">
            <v>CUSTO_INDIRETO</v>
          </cell>
          <cell r="D162" t="str">
            <v>ATIVO</v>
          </cell>
          <cell r="E162" t="str">
            <v>CSA</v>
          </cell>
          <cell r="F162" t="str">
            <v>ALL</v>
          </cell>
          <cell r="G162" t="str">
            <v>EVANDRO BRAGA</v>
          </cell>
          <cell r="H162" t="str">
            <v>OP</v>
          </cell>
          <cell r="I162" t="str">
            <v>OPERAÇÕES</v>
          </cell>
        </row>
        <row r="163">
          <cell r="A163">
            <v>1313</v>
          </cell>
          <cell r="B163" t="str">
            <v>OI - REDE GOVERNO - SE (1313)</v>
          </cell>
          <cell r="C163" t="str">
            <v>OI</v>
          </cell>
          <cell r="D163" t="str">
            <v>INATIVO</v>
          </cell>
          <cell r="I163" t="str">
            <v>OPERAÇÕES</v>
          </cell>
        </row>
        <row r="164">
          <cell r="A164">
            <v>1314</v>
          </cell>
          <cell r="B164" t="str">
            <v>DIGITAL SUPPORT (1314)</v>
          </cell>
          <cell r="C164" t="str">
            <v>CUSTO_INDIRETO</v>
          </cell>
          <cell r="D164" t="str">
            <v>ATIVO</v>
          </cell>
          <cell r="E164" t="str">
            <v>CSA</v>
          </cell>
          <cell r="F164" t="str">
            <v>ALL</v>
          </cell>
          <cell r="G164" t="str">
            <v>EVANDRO BRAGA</v>
          </cell>
          <cell r="H164" t="str">
            <v>OP</v>
          </cell>
          <cell r="I164" t="str">
            <v>OPERAÇÕES</v>
          </cell>
        </row>
        <row r="165">
          <cell r="A165">
            <v>1315</v>
          </cell>
          <cell r="B165" t="str">
            <v>CS - N1 (1315)</v>
          </cell>
          <cell r="C165" t="str">
            <v>DESATIVADO</v>
          </cell>
          <cell r="D165" t="str">
            <v>INATIVO</v>
          </cell>
          <cell r="I165" t="str">
            <v>OPERAÇÕES</v>
          </cell>
        </row>
        <row r="166">
          <cell r="A166">
            <v>1316</v>
          </cell>
          <cell r="B166" t="str">
            <v>CS - N2 REMOTO (1316)</v>
          </cell>
          <cell r="C166" t="str">
            <v>DESATIVADO</v>
          </cell>
          <cell r="D166" t="str">
            <v>INATIVO</v>
          </cell>
          <cell r="I166" t="str">
            <v>OPERAÇÕES</v>
          </cell>
        </row>
        <row r="167">
          <cell r="A167">
            <v>1317</v>
          </cell>
          <cell r="B167" t="str">
            <v>DIGITAL OPERATION (1317)</v>
          </cell>
          <cell r="C167" t="str">
            <v>CUSTO_INDIRETO</v>
          </cell>
          <cell r="D167" t="str">
            <v>ATIVO</v>
          </cell>
          <cell r="E167" t="str">
            <v>CSA</v>
          </cell>
          <cell r="F167" t="str">
            <v>ALL</v>
          </cell>
          <cell r="G167" t="str">
            <v>EVANDRO BRAGA</v>
          </cell>
          <cell r="H167" t="str">
            <v>OP</v>
          </cell>
          <cell r="I167" t="str">
            <v>OPERAÇÕES</v>
          </cell>
        </row>
        <row r="168">
          <cell r="A168">
            <v>1318</v>
          </cell>
          <cell r="B168" t="str">
            <v>TI INTERNA - INFRA (1318)</v>
          </cell>
          <cell r="C168" t="str">
            <v>DESATIVADO</v>
          </cell>
          <cell r="D168" t="str">
            <v>INATIVO</v>
          </cell>
          <cell r="I168" t="str">
            <v>OPERAÇÕES</v>
          </cell>
        </row>
        <row r="169">
          <cell r="A169">
            <v>1319</v>
          </cell>
          <cell r="B169" t="str">
            <v>WIRELESS (1319)</v>
          </cell>
          <cell r="C169" t="str">
            <v>DESATIVADO</v>
          </cell>
          <cell r="D169" t="str">
            <v>INATIVO</v>
          </cell>
          <cell r="I169" t="str">
            <v>OPERAÇÕES</v>
          </cell>
        </row>
        <row r="170">
          <cell r="A170">
            <v>1320</v>
          </cell>
          <cell r="B170" t="str">
            <v>DEFENSORIA INFRA (1320)</v>
          </cell>
          <cell r="C170" t="str">
            <v>DESATIVADO</v>
          </cell>
          <cell r="D170" t="str">
            <v>INATIVO</v>
          </cell>
          <cell r="I170" t="str">
            <v>OPERAÇÕES</v>
          </cell>
        </row>
        <row r="171">
          <cell r="A171">
            <v>1321</v>
          </cell>
          <cell r="B171" t="str">
            <v>FURNAS - INFRA (1321)</v>
          </cell>
          <cell r="C171" t="str">
            <v>FURNAS</v>
          </cell>
          <cell r="D171" t="str">
            <v>INATIVO</v>
          </cell>
          <cell r="I171" t="str">
            <v>OPERAÇÕES</v>
          </cell>
        </row>
        <row r="172">
          <cell r="A172">
            <v>1322</v>
          </cell>
          <cell r="B172" t="str">
            <v>EBAL N3 (1322)</v>
          </cell>
          <cell r="C172" t="str">
            <v>DESATIVADO</v>
          </cell>
          <cell r="D172" t="str">
            <v>INATIVO</v>
          </cell>
          <cell r="I172" t="str">
            <v>OPERAÇÕES</v>
          </cell>
        </row>
        <row r="173">
          <cell r="A173">
            <v>1323</v>
          </cell>
          <cell r="B173" t="str">
            <v>SEFAZ - BA SERVICE DESK (1323)</v>
          </cell>
          <cell r="C173" t="str">
            <v>SEFAZ_BA</v>
          </cell>
          <cell r="D173" t="str">
            <v>INATIVO</v>
          </cell>
          <cell r="I173" t="str">
            <v>OPERAÇÕES</v>
          </cell>
        </row>
        <row r="174">
          <cell r="A174">
            <v>1324</v>
          </cell>
          <cell r="B174" t="str">
            <v>SEFAZ - BA OPERAÇÃO (1324)</v>
          </cell>
          <cell r="C174" t="str">
            <v>DESATIVADO</v>
          </cell>
          <cell r="D174" t="str">
            <v>INATIVO</v>
          </cell>
          <cell r="I174" t="str">
            <v>OPERAÇÕES</v>
          </cell>
        </row>
        <row r="175">
          <cell r="A175">
            <v>1325</v>
          </cell>
          <cell r="B175" t="str">
            <v>DIVERSOS CLIENTES (1325)</v>
          </cell>
          <cell r="C175" t="str">
            <v>DESATIVADO</v>
          </cell>
          <cell r="D175" t="str">
            <v>INATIVO</v>
          </cell>
          <cell r="I175" t="str">
            <v>OPERAÇÕES</v>
          </cell>
        </row>
        <row r="176">
          <cell r="A176">
            <v>1326</v>
          </cell>
          <cell r="B176" t="str">
            <v>CS - N2 CAMPO MOVEL (1326)</v>
          </cell>
          <cell r="C176" t="str">
            <v>DESATIVADO</v>
          </cell>
          <cell r="D176" t="str">
            <v>INATIVO</v>
          </cell>
          <cell r="I176" t="str">
            <v>OPERAÇÕES</v>
          </cell>
        </row>
        <row r="177">
          <cell r="A177">
            <v>1327</v>
          </cell>
          <cell r="B177" t="str">
            <v>INEMA N1 E N2 (1327)</v>
          </cell>
          <cell r="C177" t="str">
            <v>DESATIVADO</v>
          </cell>
          <cell r="D177" t="str">
            <v>INATIVO</v>
          </cell>
          <cell r="I177" t="str">
            <v>OPERAÇÕES</v>
          </cell>
        </row>
        <row r="178">
          <cell r="A178">
            <v>1328</v>
          </cell>
          <cell r="B178" t="str">
            <v>OI - SASC - BA (1328)</v>
          </cell>
          <cell r="C178" t="str">
            <v>OI</v>
          </cell>
          <cell r="D178" t="str">
            <v>INATIVO</v>
          </cell>
          <cell r="I178" t="str">
            <v>OPERAÇÕES</v>
          </cell>
        </row>
        <row r="179">
          <cell r="A179">
            <v>1329</v>
          </cell>
          <cell r="B179" t="str">
            <v>DIGITAL MONITORING (1329)</v>
          </cell>
          <cell r="C179" t="str">
            <v>CUSTO_INDIRETO</v>
          </cell>
          <cell r="D179" t="str">
            <v>ATIVO</v>
          </cell>
          <cell r="E179" t="str">
            <v>CSA</v>
          </cell>
          <cell r="F179" t="str">
            <v>ALL</v>
          </cell>
          <cell r="G179" t="str">
            <v>EVANDRO BRAGA</v>
          </cell>
          <cell r="H179" t="str">
            <v>OP</v>
          </cell>
          <cell r="I179" t="str">
            <v>OPERAÇÕES</v>
          </cell>
        </row>
        <row r="180">
          <cell r="A180">
            <v>1330</v>
          </cell>
          <cell r="B180" t="str">
            <v>CS - N2 CAMPO FIXO (1330)</v>
          </cell>
          <cell r="C180" t="str">
            <v>DESATIVADO</v>
          </cell>
          <cell r="D180" t="str">
            <v>INATIVO</v>
          </cell>
          <cell r="I180" t="str">
            <v>OPERAÇÕES</v>
          </cell>
        </row>
        <row r="181">
          <cell r="A181">
            <v>1331</v>
          </cell>
          <cell r="B181" t="str">
            <v>IRDEB (1331)</v>
          </cell>
          <cell r="C181" t="str">
            <v>IRDEB</v>
          </cell>
          <cell r="D181" t="str">
            <v>INATIVO</v>
          </cell>
          <cell r="I181" t="str">
            <v>OPERAÇÕES</v>
          </cell>
        </row>
        <row r="182">
          <cell r="A182">
            <v>1332</v>
          </cell>
          <cell r="B182" t="str">
            <v>OI - COGEL (1332)</v>
          </cell>
          <cell r="C182" t="str">
            <v>OI</v>
          </cell>
          <cell r="D182" t="str">
            <v>INATIVO</v>
          </cell>
          <cell r="I182" t="str">
            <v>OPERAÇÕES</v>
          </cell>
        </row>
        <row r="183">
          <cell r="A183">
            <v>1333</v>
          </cell>
          <cell r="B183" t="str">
            <v>FURNAS - POLO REGIONAIS (1333)</v>
          </cell>
          <cell r="C183" t="str">
            <v>FURNAS</v>
          </cell>
          <cell r="D183" t="str">
            <v>INATIVO</v>
          </cell>
          <cell r="I183" t="str">
            <v>OPERAÇÕES</v>
          </cell>
        </row>
        <row r="184">
          <cell r="A184">
            <v>1334</v>
          </cell>
          <cell r="B184" t="str">
            <v>SERVICE TOOLS (1334)</v>
          </cell>
          <cell r="C184" t="str">
            <v>CUSTO_INDIRETO</v>
          </cell>
          <cell r="D184" t="str">
            <v>ATIVO</v>
          </cell>
          <cell r="E184" t="str">
            <v>CSA</v>
          </cell>
          <cell r="F184" t="str">
            <v>ALL</v>
          </cell>
          <cell r="G184" t="str">
            <v>EVANDRO BRAGA</v>
          </cell>
          <cell r="H184" t="str">
            <v>OP</v>
          </cell>
          <cell r="I184" t="str">
            <v>OPERAÇÕES</v>
          </cell>
        </row>
        <row r="185">
          <cell r="A185">
            <v>1335</v>
          </cell>
          <cell r="B185" t="str">
            <v>PRODESP (1335)</v>
          </cell>
          <cell r="C185" t="str">
            <v>DESATIVADO</v>
          </cell>
          <cell r="D185" t="str">
            <v>INATIVO</v>
          </cell>
          <cell r="I185" t="str">
            <v>OPERAÇÕES</v>
          </cell>
        </row>
        <row r="186">
          <cell r="A186">
            <v>1336</v>
          </cell>
          <cell r="B186" t="str">
            <v>SESAB - Secretaria de Saúde da Bahia (1336)</v>
          </cell>
          <cell r="C186" t="str">
            <v>DESATIVADO</v>
          </cell>
          <cell r="D186" t="str">
            <v>INATIVO</v>
          </cell>
          <cell r="I186" t="str">
            <v>OPERAÇÕES</v>
          </cell>
        </row>
        <row r="187">
          <cell r="A187">
            <v>1337</v>
          </cell>
          <cell r="B187" t="str">
            <v>SEFAZ - BA SISTEMAS (1337)</v>
          </cell>
          <cell r="C187" t="str">
            <v>SEFAZ_BA</v>
          </cell>
          <cell r="D187" t="str">
            <v>INATIVO</v>
          </cell>
          <cell r="I187" t="str">
            <v>OPERAÇÕES</v>
          </cell>
        </row>
        <row r="188">
          <cell r="A188">
            <v>1338</v>
          </cell>
          <cell r="B188" t="str">
            <v>FULLMETER (1338)</v>
          </cell>
          <cell r="C188" t="str">
            <v>DESATIVADO</v>
          </cell>
          <cell r="D188" t="str">
            <v>INATIVO</v>
          </cell>
          <cell r="I188" t="str">
            <v>OPERAÇÕES</v>
          </cell>
        </row>
        <row r="189">
          <cell r="A189">
            <v>1339</v>
          </cell>
          <cell r="B189" t="str">
            <v>FURNAS - FÁBRICA (1339)</v>
          </cell>
          <cell r="C189" t="str">
            <v>FURNAS</v>
          </cell>
          <cell r="D189" t="str">
            <v>INATIVO</v>
          </cell>
          <cell r="I189" t="str">
            <v>OPERAÇÕES</v>
          </cell>
        </row>
        <row r="190">
          <cell r="A190">
            <v>1340</v>
          </cell>
          <cell r="B190" t="str">
            <v>SABESP - SUPORTE CA (1340)</v>
          </cell>
          <cell r="C190" t="str">
            <v>DESATIVADO</v>
          </cell>
          <cell r="D190" t="str">
            <v>INATIVO</v>
          </cell>
          <cell r="I190" t="str">
            <v>OPERAÇÕES</v>
          </cell>
        </row>
        <row r="191">
          <cell r="A191">
            <v>1341</v>
          </cell>
          <cell r="B191" t="str">
            <v>INTEGRAÇÃO SABESP (1341)</v>
          </cell>
          <cell r="C191" t="str">
            <v>SABESP</v>
          </cell>
          <cell r="D191" t="str">
            <v>INATIVO</v>
          </cell>
          <cell r="E191" t="str">
            <v>CSA</v>
          </cell>
          <cell r="F191" t="str">
            <v>UT</v>
          </cell>
          <cell r="H191" t="str">
            <v>OP1</v>
          </cell>
          <cell r="I191" t="str">
            <v>OPERAÇÕES</v>
          </cell>
        </row>
        <row r="192">
          <cell r="A192">
            <v>1342</v>
          </cell>
          <cell r="B192" t="str">
            <v>SEFAZ SEGMENTAÇÃO REDE (1342)</v>
          </cell>
          <cell r="C192" t="str">
            <v>DESATIVADO</v>
          </cell>
          <cell r="D192" t="str">
            <v>INATIVO</v>
          </cell>
          <cell r="I192" t="str">
            <v>OPERAÇÕES</v>
          </cell>
        </row>
        <row r="193">
          <cell r="A193">
            <v>1343</v>
          </cell>
          <cell r="B193" t="str">
            <v>eZVida – SESI (1343)</v>
          </cell>
          <cell r="C193" t="str">
            <v>DESATIVADO</v>
          </cell>
          <cell r="D193" t="str">
            <v>INATIVO</v>
          </cell>
          <cell r="I193" t="str">
            <v>OPERAÇÕES</v>
          </cell>
        </row>
        <row r="194">
          <cell r="A194">
            <v>1344</v>
          </cell>
          <cell r="B194" t="str">
            <v>EMBASA - Operação (1344)</v>
          </cell>
          <cell r="C194" t="str">
            <v>EMBASA</v>
          </cell>
          <cell r="D194" t="str">
            <v>INATIVO</v>
          </cell>
          <cell r="I194" t="str">
            <v>OPERAÇÕES</v>
          </cell>
        </row>
        <row r="195">
          <cell r="A195">
            <v>1345</v>
          </cell>
          <cell r="B195" t="str">
            <v>NOS INNOVATORS (1345)</v>
          </cell>
          <cell r="C195" t="str">
            <v>DESATIVADO</v>
          </cell>
          <cell r="D195" t="str">
            <v>INATIVO</v>
          </cell>
          <cell r="I195" t="str">
            <v>OPERAÇÕES</v>
          </cell>
        </row>
        <row r="196">
          <cell r="A196">
            <v>1346</v>
          </cell>
          <cell r="B196" t="str">
            <v>GESTÃO DE INFRAESTRUTURA (1346)</v>
          </cell>
          <cell r="C196" t="str">
            <v>CUSTO_INDIRETO</v>
          </cell>
          <cell r="D196" t="str">
            <v>ATIVO</v>
          </cell>
          <cell r="E196" t="str">
            <v>CSA</v>
          </cell>
          <cell r="F196" t="str">
            <v>ALL</v>
          </cell>
          <cell r="G196" t="str">
            <v>EVANDRO BRAGA</v>
          </cell>
          <cell r="H196" t="str">
            <v>OP</v>
          </cell>
          <cell r="I196" t="str">
            <v>OPERAÇÕES</v>
          </cell>
        </row>
        <row r="197">
          <cell r="A197">
            <v>1347</v>
          </cell>
          <cell r="B197" t="str">
            <v>WiFi ESCOLAS SEC/BA (1347)</v>
          </cell>
          <cell r="C197" t="str">
            <v>DESATIVADO</v>
          </cell>
          <cell r="D197" t="str">
            <v>INATIVO</v>
          </cell>
          <cell r="I197" t="str">
            <v>OPERAÇÕES</v>
          </cell>
        </row>
        <row r="198">
          <cell r="A198">
            <v>1348</v>
          </cell>
          <cell r="B198" t="str">
            <v>MP - BA (1348)</v>
          </cell>
          <cell r="C198" t="str">
            <v>MP_BA</v>
          </cell>
          <cell r="D198" t="str">
            <v>ATIVO</v>
          </cell>
          <cell r="E198" t="str">
            <v>CSA</v>
          </cell>
          <cell r="F198" t="str">
            <v>PS</v>
          </cell>
          <cell r="G198" t="str">
            <v>ROGERIO GORDILHO</v>
          </cell>
          <cell r="H198" t="str">
            <v>OP4</v>
          </cell>
          <cell r="I198" t="str">
            <v>OPERAÇÕES</v>
          </cell>
        </row>
        <row r="199">
          <cell r="A199">
            <v>1349</v>
          </cell>
          <cell r="B199" t="str">
            <v>REMOTE SERVICES (1349)</v>
          </cell>
          <cell r="C199" t="str">
            <v>CUSTO_INDIRETO</v>
          </cell>
          <cell r="D199" t="str">
            <v>ATIVO</v>
          </cell>
          <cell r="E199" t="str">
            <v>CSA</v>
          </cell>
          <cell r="F199" t="str">
            <v>ALL</v>
          </cell>
          <cell r="G199" t="str">
            <v>EVANDRO BRAGA</v>
          </cell>
          <cell r="H199" t="str">
            <v>OP</v>
          </cell>
          <cell r="I199" t="str">
            <v>OPERAÇÕES</v>
          </cell>
        </row>
        <row r="200">
          <cell r="A200">
            <v>1350</v>
          </cell>
          <cell r="B200" t="str">
            <v>FIELD SERVICES (1350)</v>
          </cell>
          <cell r="C200" t="str">
            <v>CUSTO_INDIRETO</v>
          </cell>
          <cell r="D200" t="str">
            <v>ATIVO</v>
          </cell>
          <cell r="E200" t="str">
            <v>CSA</v>
          </cell>
          <cell r="F200" t="str">
            <v>ALL</v>
          </cell>
          <cell r="G200" t="str">
            <v>EVANDRO BRAGA</v>
          </cell>
          <cell r="H200" t="str">
            <v>OP</v>
          </cell>
          <cell r="I200" t="str">
            <v>OPERAÇÕES</v>
          </cell>
        </row>
        <row r="201">
          <cell r="A201">
            <v>1351</v>
          </cell>
          <cell r="B201" t="str">
            <v>ADMINISTRATIVE SUPPORT (1351)</v>
          </cell>
          <cell r="C201" t="str">
            <v>CUSTO_INDIRETO</v>
          </cell>
          <cell r="D201" t="str">
            <v>ATIVO</v>
          </cell>
          <cell r="E201" t="str">
            <v>CSA</v>
          </cell>
          <cell r="F201" t="str">
            <v>ALL</v>
          </cell>
          <cell r="G201" t="str">
            <v>EVANDRO BRAGA</v>
          </cell>
          <cell r="H201" t="str">
            <v>OP</v>
          </cell>
          <cell r="I201" t="str">
            <v>OPERAÇÕES</v>
          </cell>
        </row>
        <row r="202">
          <cell r="A202">
            <v>1352</v>
          </cell>
          <cell r="B202" t="str">
            <v>SEFAZ - BA N3 (1352)</v>
          </cell>
          <cell r="C202" t="str">
            <v>SEFAZ_BA</v>
          </cell>
          <cell r="D202" t="str">
            <v>INATIVO</v>
          </cell>
          <cell r="I202" t="str">
            <v>OPERAÇÕES</v>
          </cell>
        </row>
        <row r="203">
          <cell r="A203">
            <v>1353</v>
          </cell>
          <cell r="B203" t="str">
            <v>QUALITY ASSURANCE (1353)</v>
          </cell>
          <cell r="C203" t="str">
            <v>CUSTO_INDIRETO</v>
          </cell>
          <cell r="D203" t="str">
            <v>ATIVO</v>
          </cell>
          <cell r="E203" t="str">
            <v>CSA</v>
          </cell>
          <cell r="F203" t="str">
            <v>ALL</v>
          </cell>
          <cell r="G203" t="str">
            <v>EVANDRO BRAGA</v>
          </cell>
          <cell r="H203" t="str">
            <v>OP</v>
          </cell>
          <cell r="I203" t="str">
            <v>OPERAÇÕES</v>
          </cell>
        </row>
        <row r="204">
          <cell r="A204">
            <v>1354</v>
          </cell>
          <cell r="B204" t="str">
            <v>BRADESCO - MOBILE (1354)</v>
          </cell>
          <cell r="C204" t="str">
            <v>BRADESCO</v>
          </cell>
          <cell r="D204" t="str">
            <v>ATIVO</v>
          </cell>
          <cell r="E204" t="str">
            <v>ADS</v>
          </cell>
          <cell r="F204" t="str">
            <v>FS</v>
          </cell>
          <cell r="G204" t="str">
            <v>RITA ANDRADE</v>
          </cell>
          <cell r="H204" t="str">
            <v>OP1</v>
          </cell>
          <cell r="I204" t="str">
            <v>OPERAÇÕES</v>
          </cell>
        </row>
        <row r="205">
          <cell r="A205">
            <v>1355</v>
          </cell>
          <cell r="B205" t="str">
            <v>CEABS - ADS (1355)</v>
          </cell>
          <cell r="C205" t="str">
            <v>CEABS</v>
          </cell>
          <cell r="D205" t="str">
            <v>INATIVO</v>
          </cell>
          <cell r="I205" t="str">
            <v>OPERAÇÕES</v>
          </cell>
        </row>
        <row r="206">
          <cell r="A206">
            <v>1356</v>
          </cell>
          <cell r="B206" t="str">
            <v>BANCO SANTANDER ORACLE (1356)</v>
          </cell>
          <cell r="C206" t="str">
            <v>SANTANDER</v>
          </cell>
          <cell r="D206" t="str">
            <v>ATIVO</v>
          </cell>
          <cell r="E206" t="str">
            <v>ADS</v>
          </cell>
          <cell r="F206" t="str">
            <v>FS</v>
          </cell>
          <cell r="G206" t="str">
            <v>RODRIGO CORUMBA</v>
          </cell>
          <cell r="H206" t="str">
            <v>OP2</v>
          </cell>
          <cell r="I206" t="str">
            <v>OPERAÇÕES</v>
          </cell>
        </row>
        <row r="207">
          <cell r="A207">
            <v>1357</v>
          </cell>
          <cell r="B207" t="str">
            <v>BANCO SAFRA Alocações (1357)</v>
          </cell>
          <cell r="C207" t="str">
            <v>SAFRA</v>
          </cell>
          <cell r="D207" t="str">
            <v>ATIVO</v>
          </cell>
          <cell r="E207" t="str">
            <v>ADS</v>
          </cell>
          <cell r="F207" t="str">
            <v>FS</v>
          </cell>
          <cell r="G207" t="str">
            <v>RODRIGO CORUMBA</v>
          </cell>
          <cell r="H207" t="str">
            <v>OP2</v>
          </cell>
          <cell r="I207" t="str">
            <v>OPERAÇÕES</v>
          </cell>
        </row>
        <row r="208">
          <cell r="A208">
            <v>1358</v>
          </cell>
          <cell r="B208" t="str">
            <v>INEMA N3 (1358)</v>
          </cell>
          <cell r="C208" t="str">
            <v>INEMA</v>
          </cell>
          <cell r="D208" t="str">
            <v>ATIVO</v>
          </cell>
          <cell r="E208" t="str">
            <v>CSA</v>
          </cell>
          <cell r="F208" t="str">
            <v>PS</v>
          </cell>
          <cell r="G208" t="str">
            <v>ROGERIO GORDILHO</v>
          </cell>
          <cell r="H208" t="str">
            <v>OP4</v>
          </cell>
          <cell r="I208" t="str">
            <v>OPERAÇÕES</v>
          </cell>
        </row>
        <row r="209">
          <cell r="A209">
            <v>1359</v>
          </cell>
          <cell r="B209" t="str">
            <v>BANCO SICOOB CECRES (1359)</v>
          </cell>
          <cell r="C209" t="str">
            <v xml:space="preserve">SICOOB </v>
          </cell>
          <cell r="D209" t="str">
            <v>INATIVO</v>
          </cell>
          <cell r="I209" t="str">
            <v>OPERAÇÕES</v>
          </cell>
        </row>
        <row r="210">
          <cell r="A210">
            <v>1360</v>
          </cell>
          <cell r="B210" t="str">
            <v>SERASA EXPERIAN (1360)</v>
          </cell>
          <cell r="C210" t="str">
            <v>SERASA</v>
          </cell>
          <cell r="D210" t="str">
            <v>ATIVO</v>
          </cell>
          <cell r="E210" t="str">
            <v>ADS</v>
          </cell>
          <cell r="F210" t="str">
            <v>FS</v>
          </cell>
          <cell r="G210" t="str">
            <v>RITA ANDRADE</v>
          </cell>
          <cell r="H210" t="str">
            <v>OP1</v>
          </cell>
          <cell r="I210" t="str">
            <v>OPERAÇÕES</v>
          </cell>
        </row>
        <row r="211">
          <cell r="A211">
            <v>1361</v>
          </cell>
          <cell r="B211" t="str">
            <v>FURNAS - MONITORAÇÃO (1361)</v>
          </cell>
          <cell r="C211" t="str">
            <v>FURNAS</v>
          </cell>
          <cell r="D211" t="str">
            <v>INATIVO</v>
          </cell>
          <cell r="I211" t="str">
            <v>OPERAÇÕES</v>
          </cell>
        </row>
        <row r="212">
          <cell r="A212">
            <v>1362</v>
          </cell>
          <cell r="B212" t="str">
            <v>OI - SERVICE DESK (1362)</v>
          </cell>
          <cell r="C212" t="str">
            <v>OI</v>
          </cell>
          <cell r="D212" t="str">
            <v>INATIVO</v>
          </cell>
          <cell r="I212" t="str">
            <v>OPERAÇÕES</v>
          </cell>
        </row>
        <row r="213">
          <cell r="A213">
            <v>1363</v>
          </cell>
          <cell r="B213" t="str">
            <v>BANCO BV - VOTORANTIM (1363)</v>
          </cell>
          <cell r="C213" t="str">
            <v>RENDIMENTO</v>
          </cell>
          <cell r="D213" t="str">
            <v>INATIVO</v>
          </cell>
          <cell r="E213" t="str">
            <v>ADS</v>
          </cell>
          <cell r="F213" t="str">
            <v>FS</v>
          </cell>
          <cell r="I213" t="str">
            <v>OPERAÇÕES</v>
          </cell>
        </row>
        <row r="214">
          <cell r="A214">
            <v>1364</v>
          </cell>
          <cell r="B214" t="str">
            <v>FURNAS - CSC N2 (1364)</v>
          </cell>
          <cell r="C214" t="str">
            <v>FURNAS</v>
          </cell>
          <cell r="D214" t="str">
            <v>INATIVO</v>
          </cell>
          <cell r="I214" t="str">
            <v>OPERAÇÕES</v>
          </cell>
        </row>
        <row r="215">
          <cell r="A215">
            <v>1365</v>
          </cell>
          <cell r="B215" t="str">
            <v>BANCO BV - CONSULTORIA SALESFORCE (1365)</v>
          </cell>
          <cell r="C215" t="str">
            <v>BANCO BV</v>
          </cell>
          <cell r="D215" t="str">
            <v>INATIVO</v>
          </cell>
          <cell r="I215" t="str">
            <v>OPERAÇÕES</v>
          </cell>
        </row>
        <row r="216">
          <cell r="A216">
            <v>1366</v>
          </cell>
          <cell r="B216" t="str">
            <v>SABESP - SD (1366)</v>
          </cell>
          <cell r="C216" t="str">
            <v>SABESP</v>
          </cell>
          <cell r="D216" t="str">
            <v>INATIVO</v>
          </cell>
          <cell r="E216" t="str">
            <v>CSA</v>
          </cell>
          <cell r="F216" t="str">
            <v>UT</v>
          </cell>
          <cell r="G216" t="str">
            <v>CYRO SALVATORE</v>
          </cell>
          <cell r="H216" t="str">
            <v>OP1</v>
          </cell>
          <cell r="I216" t="str">
            <v>OPERAÇÕES</v>
          </cell>
        </row>
        <row r="217">
          <cell r="A217">
            <v>1367</v>
          </cell>
          <cell r="B217" t="str">
            <v>BANCO BV - LICENÇA SALESFORCE (1367)</v>
          </cell>
          <cell r="C217" t="str">
            <v>BANCO BV</v>
          </cell>
          <cell r="D217" t="str">
            <v>INATIVO</v>
          </cell>
          <cell r="I217" t="str">
            <v>OPERAÇÕES</v>
          </cell>
        </row>
        <row r="218">
          <cell r="A218">
            <v>1368</v>
          </cell>
          <cell r="B218" t="str">
            <v>BANCO SANTANDER Iterfall (1368)</v>
          </cell>
          <cell r="C218" t="str">
            <v>SANTANDER</v>
          </cell>
          <cell r="D218" t="str">
            <v>ATIVO</v>
          </cell>
          <cell r="E218" t="str">
            <v>ADS</v>
          </cell>
          <cell r="F218" t="str">
            <v>FS</v>
          </cell>
          <cell r="G218" t="str">
            <v>RODRIGO CORUMBA</v>
          </cell>
          <cell r="H218" t="str">
            <v>OP2</v>
          </cell>
          <cell r="I218" t="str">
            <v>OPERAÇÕES</v>
          </cell>
        </row>
        <row r="219">
          <cell r="A219">
            <v>1369</v>
          </cell>
          <cell r="B219" t="str">
            <v>PEFISA – Agile Studio (1369)</v>
          </cell>
          <cell r="C219" t="str">
            <v>PEFISA</v>
          </cell>
          <cell r="D219" t="str">
            <v>INATIVO</v>
          </cell>
          <cell r="I219" t="str">
            <v>OPERAÇÕES</v>
          </cell>
        </row>
        <row r="220">
          <cell r="A220">
            <v>1370</v>
          </cell>
          <cell r="B220" t="str">
            <v>SEFAZ - BA DEV (1370)</v>
          </cell>
          <cell r="C220" t="str">
            <v>SEFAZ_BA</v>
          </cell>
          <cell r="D220" t="str">
            <v>INATIVO</v>
          </cell>
          <cell r="I220" t="str">
            <v>OPERAÇÕES</v>
          </cell>
        </row>
        <row r="221">
          <cell r="A221">
            <v>1371</v>
          </cell>
          <cell r="B221" t="str">
            <v>ASSESSO INFORMÁTICA - SP (1371)</v>
          </cell>
          <cell r="C221" t="str">
            <v>ASSESSO INFORMÁTICA</v>
          </cell>
          <cell r="D221" t="str">
            <v>INATIVO</v>
          </cell>
          <cell r="I221" t="str">
            <v>OPERAÇÕES</v>
          </cell>
        </row>
        <row r="222">
          <cell r="A222">
            <v>1372</v>
          </cell>
          <cell r="B222" t="str">
            <v>DIGITAL CENTER (1372)</v>
          </cell>
          <cell r="C222" t="str">
            <v>CUSTO_INDIRETO</v>
          </cell>
          <cell r="D222" t="str">
            <v>ATIVO</v>
          </cell>
          <cell r="E222" t="str">
            <v>CSA</v>
          </cell>
          <cell r="F222" t="str">
            <v>ALL</v>
          </cell>
          <cell r="G222" t="str">
            <v>EVANDRO BRAGA</v>
          </cell>
          <cell r="H222" t="str">
            <v>OP</v>
          </cell>
          <cell r="I222" t="str">
            <v>OPERAÇÕES</v>
          </cell>
        </row>
        <row r="223">
          <cell r="A223">
            <v>1373</v>
          </cell>
          <cell r="B223" t="str">
            <v>SERVICE AUTOMATION (1373)</v>
          </cell>
          <cell r="C223" t="str">
            <v>CUSTO_INDIRETO</v>
          </cell>
          <cell r="D223" t="str">
            <v>ATIVO</v>
          </cell>
          <cell r="E223" t="str">
            <v>CSA</v>
          </cell>
          <cell r="F223" t="str">
            <v>ALL</v>
          </cell>
          <cell r="G223" t="str">
            <v>EVANDRO BRAGA</v>
          </cell>
          <cell r="H223" t="str">
            <v>OP</v>
          </cell>
          <cell r="I223" t="str">
            <v>OPERAÇÕES</v>
          </cell>
        </row>
        <row r="224">
          <cell r="A224">
            <v>1374</v>
          </cell>
          <cell r="B224" t="str">
            <v>BMG (1374)</v>
          </cell>
          <cell r="C224" t="str">
            <v>BMG</v>
          </cell>
          <cell r="D224" t="str">
            <v>INATIVO</v>
          </cell>
          <cell r="I224" t="str">
            <v>OPERAÇÕES</v>
          </cell>
        </row>
        <row r="225">
          <cell r="A225">
            <v>1375</v>
          </cell>
          <cell r="B225" t="str">
            <v>SF - MARKETING (1375)</v>
          </cell>
          <cell r="C225" t="str">
            <v>DESATIVADO</v>
          </cell>
          <cell r="D225" t="str">
            <v>INATIVO</v>
          </cell>
          <cell r="I225" t="str">
            <v>OPERAÇÕES</v>
          </cell>
        </row>
        <row r="226">
          <cell r="A226">
            <v>1376</v>
          </cell>
          <cell r="B226" t="str">
            <v>SEBRAE-SP Digital Center (1376)</v>
          </cell>
          <cell r="C226" t="str">
            <v>SEBRAE</v>
          </cell>
          <cell r="D226" t="str">
            <v>INATIVO</v>
          </cell>
          <cell r="I226" t="str">
            <v>OPERAÇÕES</v>
          </cell>
        </row>
        <row r="227">
          <cell r="A227">
            <v>1377</v>
          </cell>
          <cell r="B227" t="str">
            <v>HITSS – ADS (1377)</v>
          </cell>
          <cell r="C227" t="str">
            <v>HITSS</v>
          </cell>
          <cell r="D227" t="str">
            <v>INATIVO</v>
          </cell>
          <cell r="I227" t="str">
            <v>OPERAÇÕES</v>
          </cell>
        </row>
        <row r="228">
          <cell r="A228">
            <v>1378</v>
          </cell>
          <cell r="B228" t="str">
            <v>SF – FUNCEF (1378)</v>
          </cell>
          <cell r="C228" t="str">
            <v xml:space="preserve"> FUNCEF</v>
          </cell>
          <cell r="D228" t="str">
            <v>INATIVO</v>
          </cell>
          <cell r="E228" t="str">
            <v>BPS</v>
          </cell>
          <cell r="F228" t="str">
            <v>FS</v>
          </cell>
          <cell r="H228" t="str">
            <v>OP2</v>
          </cell>
          <cell r="I228" t="str">
            <v>OPERAÇÕES</v>
          </cell>
        </row>
        <row r="229">
          <cell r="A229">
            <v>1379</v>
          </cell>
          <cell r="B229" t="str">
            <v>SF - MILLENA MOVEIS Mkt (1379)</v>
          </cell>
          <cell r="C229" t="str">
            <v xml:space="preserve"> MILLENA MOVEIS</v>
          </cell>
          <cell r="D229" t="str">
            <v>INATIVO</v>
          </cell>
          <cell r="I229" t="str">
            <v>OPERAÇÕES</v>
          </cell>
        </row>
        <row r="230">
          <cell r="A230">
            <v>1380</v>
          </cell>
          <cell r="B230" t="str">
            <v>LE BISCUIT - SERVICE CLOUD (1380)</v>
          </cell>
          <cell r="C230" t="str">
            <v xml:space="preserve">LE_BISCUIT </v>
          </cell>
          <cell r="D230" t="str">
            <v>INATIVO</v>
          </cell>
          <cell r="I230" t="str">
            <v>OPERAÇÕES</v>
          </cell>
        </row>
        <row r="231">
          <cell r="A231">
            <v>1381</v>
          </cell>
          <cell r="B231" t="str">
            <v>PAGUE MENOS – DIGITAL MONITORING (1381)</v>
          </cell>
          <cell r="C231" t="str">
            <v xml:space="preserve">PAGUE MENOS </v>
          </cell>
          <cell r="D231" t="str">
            <v>INATIVO</v>
          </cell>
          <cell r="I231" t="str">
            <v>OPERAÇÕES</v>
          </cell>
        </row>
        <row r="232">
          <cell r="A232">
            <v>1382</v>
          </cell>
          <cell r="B232" t="str">
            <v>TEMPO ASSIST - DC (1382)</v>
          </cell>
          <cell r="C232" t="str">
            <v>DESATIVADO</v>
          </cell>
          <cell r="D232" t="str">
            <v>INATIVO</v>
          </cell>
          <cell r="I232" t="str">
            <v>OPERAÇÕES</v>
          </cell>
        </row>
        <row r="233">
          <cell r="A233">
            <v>1383</v>
          </cell>
          <cell r="B233" t="str">
            <v>SF - REDECARD (1383)</v>
          </cell>
          <cell r="C233" t="str">
            <v>REDECARD</v>
          </cell>
          <cell r="D233" t="str">
            <v>INATIVO</v>
          </cell>
          <cell r="I233" t="str">
            <v>OPERAÇÕES</v>
          </cell>
        </row>
        <row r="234">
          <cell r="A234">
            <v>1384</v>
          </cell>
          <cell r="B234" t="str">
            <v>CEABS - DC (1384)</v>
          </cell>
          <cell r="C234" t="str">
            <v>CEABS</v>
          </cell>
          <cell r="D234" t="str">
            <v>INATIVO</v>
          </cell>
          <cell r="I234" t="str">
            <v>OPERAÇÕES</v>
          </cell>
        </row>
        <row r="235">
          <cell r="A235">
            <v>1385</v>
          </cell>
          <cell r="B235" t="str">
            <v>BANCO VOLKS (1385)</v>
          </cell>
          <cell r="C235" t="str">
            <v>DESATIVADO</v>
          </cell>
          <cell r="D235" t="str">
            <v>INATIVO</v>
          </cell>
          <cell r="I235" t="str">
            <v>OPERAÇÕES</v>
          </cell>
        </row>
        <row r="236">
          <cell r="A236">
            <v>1386</v>
          </cell>
          <cell r="B236" t="str">
            <v>SEFAZ - BA SD EMERGENCIAL (1386)</v>
          </cell>
          <cell r="C236" t="str">
            <v>SEFAZ_BA</v>
          </cell>
          <cell r="D236" t="str">
            <v>INATIVO</v>
          </cell>
          <cell r="I236" t="str">
            <v>OPERAÇÕES</v>
          </cell>
        </row>
        <row r="237">
          <cell r="A237">
            <v>1387</v>
          </cell>
          <cell r="B237" t="str">
            <v>SERASA DC (1387)</v>
          </cell>
          <cell r="C237" t="str">
            <v>SERASA</v>
          </cell>
          <cell r="D237" t="str">
            <v>ATIVO</v>
          </cell>
          <cell r="E237" t="str">
            <v>CSA</v>
          </cell>
          <cell r="F237" t="str">
            <v>FS</v>
          </cell>
          <cell r="G237" t="str">
            <v>RITA ANDRADE</v>
          </cell>
          <cell r="H237" t="str">
            <v>OP1</v>
          </cell>
          <cell r="I237" t="str">
            <v>OPERAÇÕES</v>
          </cell>
        </row>
        <row r="238">
          <cell r="A238">
            <v>1388</v>
          </cell>
          <cell r="B238" t="str">
            <v>SABESP - NETCONTROL (1388)</v>
          </cell>
          <cell r="C238" t="str">
            <v>SABESP</v>
          </cell>
          <cell r="D238" t="str">
            <v>ATIVO</v>
          </cell>
          <cell r="E238" t="str">
            <v>ADS</v>
          </cell>
          <cell r="F238" t="str">
            <v>UT</v>
          </cell>
          <cell r="G238" t="str">
            <v>CYRO SALVATORE</v>
          </cell>
          <cell r="H238" t="str">
            <v>OP1</v>
          </cell>
          <cell r="I238" t="str">
            <v>OPERAÇÕES</v>
          </cell>
        </row>
        <row r="239">
          <cell r="A239">
            <v>1389</v>
          </cell>
          <cell r="B239" t="str">
            <v>CLOUD SERVICES (1389)</v>
          </cell>
          <cell r="C239" t="str">
            <v>CUSTO_INDIRETO</v>
          </cell>
          <cell r="D239" t="str">
            <v>ATIVO</v>
          </cell>
          <cell r="E239" t="str">
            <v>CSA</v>
          </cell>
          <cell r="F239" t="str">
            <v>ALL</v>
          </cell>
          <cell r="G239" t="str">
            <v>EVANDRO BRAGA</v>
          </cell>
          <cell r="H239" t="str">
            <v>OP</v>
          </cell>
          <cell r="I239" t="str">
            <v>OPERAÇÕES</v>
          </cell>
        </row>
        <row r="240">
          <cell r="A240">
            <v>1390</v>
          </cell>
          <cell r="B240" t="str">
            <v>OI - DIGITAL SUPORT (1390)</v>
          </cell>
          <cell r="C240" t="str">
            <v>OI</v>
          </cell>
          <cell r="D240" t="str">
            <v>ATIVO</v>
          </cell>
          <cell r="E240" t="str">
            <v>CSA</v>
          </cell>
          <cell r="F240" t="str">
            <v>UT</v>
          </cell>
          <cell r="G240" t="str">
            <v>JOSÉ NETO</v>
          </cell>
          <cell r="H240" t="str">
            <v>OP2</v>
          </cell>
          <cell r="I240" t="str">
            <v>OPERAÇÕES</v>
          </cell>
        </row>
        <row r="241">
          <cell r="A241">
            <v>1391</v>
          </cell>
          <cell r="B241" t="str">
            <v>BRADESCO - DS (1391)</v>
          </cell>
          <cell r="C241" t="str">
            <v>BRADESCO</v>
          </cell>
          <cell r="D241" t="str">
            <v>ATIVO</v>
          </cell>
          <cell r="E241" t="str">
            <v>ADS</v>
          </cell>
          <cell r="F241" t="str">
            <v>FS</v>
          </cell>
          <cell r="G241" t="str">
            <v>RITA ANDRADE</v>
          </cell>
          <cell r="H241" t="str">
            <v>OP1</v>
          </cell>
          <cell r="I241" t="str">
            <v>OPERAÇÕES</v>
          </cell>
        </row>
        <row r="242">
          <cell r="A242">
            <v>1392</v>
          </cell>
          <cell r="B242" t="str">
            <v>BRADESCO - SEGUROS INDIRETOS (1392)</v>
          </cell>
          <cell r="C242" t="str">
            <v>BRADESCO_SEGUROS</v>
          </cell>
          <cell r="D242" t="str">
            <v>ATIVO</v>
          </cell>
          <cell r="E242" t="str">
            <v>ADS</v>
          </cell>
          <cell r="F242" t="str">
            <v>FS</v>
          </cell>
          <cell r="G242" t="str">
            <v>RITA ANDRADE</v>
          </cell>
          <cell r="H242" t="str">
            <v>OP1</v>
          </cell>
          <cell r="I242" t="str">
            <v>OPERAÇÕES</v>
          </cell>
        </row>
        <row r="243">
          <cell r="A243">
            <v>1393</v>
          </cell>
          <cell r="B243" t="str">
            <v>DETRAN - N3 (1393)</v>
          </cell>
          <cell r="C243" t="str">
            <v xml:space="preserve">DETRAN-BA </v>
          </cell>
          <cell r="D243" t="str">
            <v>ATIVO</v>
          </cell>
          <cell r="E243" t="str">
            <v>CSA</v>
          </cell>
          <cell r="F243" t="str">
            <v>PS</v>
          </cell>
          <cell r="G243" t="str">
            <v>ROGERIO GORDILHO</v>
          </cell>
          <cell r="H243" t="str">
            <v>OP4</v>
          </cell>
          <cell r="I243" t="str">
            <v>OPERAÇÕES</v>
          </cell>
        </row>
        <row r="244">
          <cell r="A244">
            <v>1394</v>
          </cell>
          <cell r="B244" t="str">
            <v>SEFAZ - BA DIGITAL CENTER (1394)</v>
          </cell>
          <cell r="C244" t="str">
            <v>SEFAZ_BA</v>
          </cell>
          <cell r="D244" t="str">
            <v>ATIVO</v>
          </cell>
          <cell r="E244" t="str">
            <v>CSA</v>
          </cell>
          <cell r="F244" t="str">
            <v>PS</v>
          </cell>
          <cell r="G244" t="str">
            <v>ANTONIO ALVES</v>
          </cell>
          <cell r="H244" t="str">
            <v>OP4</v>
          </cell>
          <cell r="I244" t="str">
            <v>OPERAÇÕES</v>
          </cell>
        </row>
        <row r="245">
          <cell r="A245">
            <v>1395</v>
          </cell>
          <cell r="B245" t="str">
            <v>BANCO ITAU (1395)</v>
          </cell>
          <cell r="C245" t="str">
            <v>ITAU</v>
          </cell>
          <cell r="D245" t="str">
            <v>ATIVO</v>
          </cell>
          <cell r="E245" t="str">
            <v>ADS</v>
          </cell>
          <cell r="F245" t="str">
            <v>FS</v>
          </cell>
          <cell r="G245" t="str">
            <v>RODRIGO CORUMBA</v>
          </cell>
          <cell r="H245" t="str">
            <v>OP2</v>
          </cell>
          <cell r="I245" t="str">
            <v>OPERAÇÕES</v>
          </cell>
        </row>
        <row r="246">
          <cell r="A246">
            <v>1396</v>
          </cell>
          <cell r="B246" t="str">
            <v>BRADESCO - FICO (1396)</v>
          </cell>
          <cell r="C246" t="str">
            <v>BRADESCO</v>
          </cell>
          <cell r="D246" t="str">
            <v>ATIVO</v>
          </cell>
          <cell r="E246" t="str">
            <v>BPS</v>
          </cell>
          <cell r="F246" t="str">
            <v>FS</v>
          </cell>
          <cell r="G246" t="str">
            <v>RITA ANDRADE</v>
          </cell>
          <cell r="H246" t="str">
            <v>OP1</v>
          </cell>
          <cell r="I246" t="str">
            <v>OPERAÇÕES</v>
          </cell>
        </row>
        <row r="247">
          <cell r="A247">
            <v>1397</v>
          </cell>
          <cell r="B247" t="str">
            <v>NATURA (1397)</v>
          </cell>
          <cell r="C247" t="str">
            <v>NATURA</v>
          </cell>
          <cell r="D247" t="str">
            <v>ATIVO</v>
          </cell>
          <cell r="E247" t="str">
            <v>ADS</v>
          </cell>
          <cell r="F247" t="str">
            <v>MS</v>
          </cell>
          <cell r="H247" t="str">
            <v>OP2</v>
          </cell>
          <cell r="I247" t="str">
            <v>OPERAÇÕES</v>
          </cell>
        </row>
        <row r="248">
          <cell r="A248">
            <v>1398</v>
          </cell>
          <cell r="B248" t="str">
            <v>COMPASS (1398)</v>
          </cell>
          <cell r="C248" t="str">
            <v>COMPASS</v>
          </cell>
          <cell r="D248" t="str">
            <v>ATIVO</v>
          </cell>
          <cell r="E248" t="str">
            <v>CSA</v>
          </cell>
          <cell r="F248" t="str">
            <v>UT</v>
          </cell>
          <cell r="G248" t="str">
            <v>RODRIGO CORUMBA</v>
          </cell>
          <cell r="H248" t="str">
            <v>OP2</v>
          </cell>
          <cell r="I248" t="str">
            <v>OPERAÇÕES</v>
          </cell>
        </row>
        <row r="249">
          <cell r="A249">
            <v>1399</v>
          </cell>
          <cell r="B249" t="str">
            <v>SUPORTE SOFTWARE (1399)</v>
          </cell>
          <cell r="C249" t="str">
            <v>CUSTO_INDIRETO</v>
          </cell>
          <cell r="D249" t="str">
            <v>ATIVO</v>
          </cell>
          <cell r="E249" t="str">
            <v>CSA</v>
          </cell>
          <cell r="F249" t="str">
            <v>ALL</v>
          </cell>
          <cell r="G249" t="str">
            <v>EVANDRO BRAGA</v>
          </cell>
          <cell r="H249" t="str">
            <v>OP</v>
          </cell>
          <cell r="I249" t="str">
            <v>OPERAÇÕES</v>
          </cell>
        </row>
        <row r="250">
          <cell r="A250">
            <v>1400</v>
          </cell>
          <cell r="B250" t="str">
            <v>SABESP - MICROSOFT NOVO (1400)</v>
          </cell>
          <cell r="C250" t="str">
            <v>SABESP</v>
          </cell>
          <cell r="D250" t="str">
            <v>ATIVO</v>
          </cell>
          <cell r="E250" t="str">
            <v>ADS</v>
          </cell>
          <cell r="F250" t="str">
            <v>UT</v>
          </cell>
          <cell r="G250" t="str">
            <v>CYRO SALVATORE</v>
          </cell>
          <cell r="H250" t="str">
            <v>OP1</v>
          </cell>
          <cell r="I250" t="str">
            <v>OPERAÇÕES</v>
          </cell>
        </row>
        <row r="251">
          <cell r="A251">
            <v>1401</v>
          </cell>
          <cell r="B251" t="str">
            <v>COMERCIAL OPERAÇÕES (1401)</v>
          </cell>
          <cell r="C251" t="str">
            <v>DESATIVADO</v>
          </cell>
          <cell r="D251" t="str">
            <v>INATIVO</v>
          </cell>
          <cell r="I251" t="str">
            <v>OPERAÇÕES</v>
          </cell>
        </row>
        <row r="252">
          <cell r="A252">
            <v>1402</v>
          </cell>
          <cell r="B252" t="str">
            <v>COMERCIAL CONSULTORIA (1402)</v>
          </cell>
          <cell r="C252" t="str">
            <v>DESATIVADO</v>
          </cell>
          <cell r="D252" t="str">
            <v>INATIVO</v>
          </cell>
          <cell r="I252" t="str">
            <v>OPERAÇÕES</v>
          </cell>
        </row>
        <row r="253">
          <cell r="A253">
            <v>1403</v>
          </cell>
          <cell r="B253" t="str">
            <v>CENTRO DE COMPETÊNCIA CONSULTORIA (1403)</v>
          </cell>
          <cell r="C253" t="str">
            <v>DESATIVADO</v>
          </cell>
          <cell r="D253" t="str">
            <v>INATIVO</v>
          </cell>
          <cell r="I253" t="str">
            <v>OPERAÇÕES</v>
          </cell>
        </row>
        <row r="254">
          <cell r="A254">
            <v>1404</v>
          </cell>
          <cell r="B254" t="str">
            <v>PDI OTP (1404)</v>
          </cell>
          <cell r="C254" t="str">
            <v>DESATIVADO</v>
          </cell>
          <cell r="D254" t="str">
            <v>INATIVO</v>
          </cell>
          <cell r="I254" t="str">
            <v>OPERAÇÕES</v>
          </cell>
        </row>
        <row r="255">
          <cell r="A255">
            <v>1405</v>
          </cell>
          <cell r="B255" t="str">
            <v>ARENAS (1405)</v>
          </cell>
          <cell r="C255" t="str">
            <v>DESATIVADO</v>
          </cell>
          <cell r="D255" t="str">
            <v>INATIVO</v>
          </cell>
          <cell r="I255" t="str">
            <v>OPERAÇÕES</v>
          </cell>
        </row>
        <row r="256">
          <cell r="A256">
            <v>1407</v>
          </cell>
          <cell r="B256" t="str">
            <v>SEGURANÇA (1407)</v>
          </cell>
          <cell r="C256" t="str">
            <v>DESATIVADO</v>
          </cell>
          <cell r="D256" t="str">
            <v>INATIVO</v>
          </cell>
          <cell r="I256" t="str">
            <v>OPERAÇÕES</v>
          </cell>
        </row>
        <row r="257">
          <cell r="A257">
            <v>1408</v>
          </cell>
          <cell r="B257" t="str">
            <v>CODASP (1408)</v>
          </cell>
          <cell r="C257" t="str">
            <v>DESATIVADO</v>
          </cell>
          <cell r="D257" t="str">
            <v>INATIVO</v>
          </cell>
          <cell r="I257" t="str">
            <v>OPERAÇÕES</v>
          </cell>
        </row>
        <row r="258">
          <cell r="A258">
            <v>1409</v>
          </cell>
          <cell r="B258" t="str">
            <v>MIDIA BUSINESS (1409)</v>
          </cell>
          <cell r="C258" t="str">
            <v>DESATIVADO</v>
          </cell>
          <cell r="D258" t="str">
            <v>INATIVO</v>
          </cell>
          <cell r="I258" t="str">
            <v>OPERAÇÕES</v>
          </cell>
        </row>
        <row r="259">
          <cell r="A259">
            <v>1410</v>
          </cell>
          <cell r="B259" t="str">
            <v>INTEGRAÇÃO ARENAS (1410)</v>
          </cell>
          <cell r="C259" t="str">
            <v>DESATIVADO</v>
          </cell>
          <cell r="D259" t="str">
            <v>INATIVO</v>
          </cell>
          <cell r="I259" t="str">
            <v>OPERAÇÕES</v>
          </cell>
        </row>
        <row r="260">
          <cell r="A260">
            <v>1411</v>
          </cell>
          <cell r="B260" t="str">
            <v>OPERAÇÃO ARENA FONTE NOVA (1411)</v>
          </cell>
          <cell r="C260" t="str">
            <v>OPERAÇÃO ARENA FONTE NOVA</v>
          </cell>
          <cell r="D260" t="str">
            <v>INATIVO</v>
          </cell>
          <cell r="I260" t="str">
            <v>OPERAÇÕES</v>
          </cell>
        </row>
        <row r="261">
          <cell r="A261">
            <v>1412</v>
          </cell>
          <cell r="B261" t="str">
            <v>PDI PROPERTIES (1412)</v>
          </cell>
          <cell r="C261" t="str">
            <v>DESATIVADO</v>
          </cell>
          <cell r="D261" t="str">
            <v>INATIVO</v>
          </cell>
          <cell r="I261" t="str">
            <v>OPERAÇÕES</v>
          </cell>
        </row>
        <row r="262">
          <cell r="A262">
            <v>1413</v>
          </cell>
          <cell r="B262" t="str">
            <v>OPERAÇÃO ARENA PERNAMBUCO (1413)</v>
          </cell>
          <cell r="C262" t="str">
            <v>ARENAS</v>
          </cell>
          <cell r="D262" t="str">
            <v>INATIVO</v>
          </cell>
          <cell r="I262" t="str">
            <v>OPERAÇÕES</v>
          </cell>
        </row>
        <row r="263">
          <cell r="A263">
            <v>1414</v>
          </cell>
          <cell r="B263" t="str">
            <v>OPERAÇÃO MARACANÃ (1414)</v>
          </cell>
          <cell r="C263" t="str">
            <v>DESATIVADO</v>
          </cell>
          <cell r="D263" t="str">
            <v>INATIVO</v>
          </cell>
          <cell r="I263" t="str">
            <v>OPERAÇÕES</v>
          </cell>
        </row>
        <row r="264">
          <cell r="A264">
            <v>1415</v>
          </cell>
          <cell r="B264" t="str">
            <v>OPERAÇÃO ARENA DAS DUNAS (1415)</v>
          </cell>
          <cell r="C264" t="str">
            <v>DESATIVADO</v>
          </cell>
          <cell r="D264" t="str">
            <v>INATIVO</v>
          </cell>
          <cell r="I264" t="str">
            <v>OPERAÇÕES</v>
          </cell>
        </row>
        <row r="265">
          <cell r="A265">
            <v>1416</v>
          </cell>
          <cell r="B265" t="str">
            <v>FIDELIDADE ODB (1416)</v>
          </cell>
          <cell r="C265" t="str">
            <v>DESATIVADO</v>
          </cell>
          <cell r="D265" t="str">
            <v>INATIVO</v>
          </cell>
          <cell r="I265" t="str">
            <v>OPERAÇÕES</v>
          </cell>
        </row>
        <row r="266">
          <cell r="A266">
            <v>1417</v>
          </cell>
          <cell r="B266" t="str">
            <v>CCR METRÔ (1417)</v>
          </cell>
          <cell r="C266" t="str">
            <v>DESATIVADO</v>
          </cell>
          <cell r="D266" t="str">
            <v>INATIVO</v>
          </cell>
          <cell r="I266" t="str">
            <v>OPERAÇÕES</v>
          </cell>
        </row>
        <row r="267">
          <cell r="A267">
            <v>1418</v>
          </cell>
          <cell r="B267" t="str">
            <v>CERIMONIAS CARIOCAS – Olimpíadas 2016 (1418)</v>
          </cell>
          <cell r="C267" t="str">
            <v>DESATIVADO</v>
          </cell>
          <cell r="D267" t="str">
            <v>INATIVO</v>
          </cell>
          <cell r="I267" t="str">
            <v>OPERAÇÕES</v>
          </cell>
        </row>
        <row r="268">
          <cell r="A268">
            <v>1419</v>
          </cell>
          <cell r="B268" t="str">
            <v>DC - COGEL (1419)</v>
          </cell>
          <cell r="C268" t="str">
            <v>DC - COGEL</v>
          </cell>
          <cell r="D268" t="str">
            <v>INATIVO</v>
          </cell>
          <cell r="I268" t="str">
            <v>OPERAÇÕES</v>
          </cell>
        </row>
        <row r="269">
          <cell r="A269">
            <v>1420</v>
          </cell>
          <cell r="B269" t="str">
            <v>VERTEX (1420)</v>
          </cell>
          <cell r="C269" t="str">
            <v>DESATIVADO</v>
          </cell>
          <cell r="D269" t="str">
            <v>INATIVO</v>
          </cell>
          <cell r="I269" t="str">
            <v>OPERAÇÕES</v>
          </cell>
        </row>
        <row r="270">
          <cell r="A270">
            <v>1421</v>
          </cell>
          <cell r="B270" t="str">
            <v>SICOOB (1421)</v>
          </cell>
          <cell r="C270" t="str">
            <v>DESATIVADO</v>
          </cell>
          <cell r="D270" t="str">
            <v>INATIVO</v>
          </cell>
          <cell r="I270" t="str">
            <v>OPERAÇÕES</v>
          </cell>
        </row>
        <row r="271">
          <cell r="A271">
            <v>1422</v>
          </cell>
          <cell r="B271" t="str">
            <v>BANCO MAXIMA - SEGURANÇA (1422)</v>
          </cell>
          <cell r="C271" t="str">
            <v>DESATIVADO</v>
          </cell>
          <cell r="D271" t="str">
            <v>INATIVO</v>
          </cell>
          <cell r="I271" t="str">
            <v>OPERAÇÕES</v>
          </cell>
        </row>
        <row r="272">
          <cell r="A272">
            <v>1423</v>
          </cell>
          <cell r="B272" t="str">
            <v>NEXTIA (1423)</v>
          </cell>
          <cell r="C272" t="str">
            <v>NEXTIA</v>
          </cell>
          <cell r="D272" t="str">
            <v>INATIVO</v>
          </cell>
          <cell r="E272" t="str">
            <v>ADS</v>
          </cell>
          <cell r="F272" t="str">
            <v>FS</v>
          </cell>
          <cell r="I272" t="str">
            <v>OPERAÇÕES</v>
          </cell>
        </row>
        <row r="273">
          <cell r="A273">
            <v>1424</v>
          </cell>
          <cell r="B273" t="str">
            <v>SJDHDS - Ba (1424)</v>
          </cell>
          <cell r="C273" t="str">
            <v>SJDHDS</v>
          </cell>
          <cell r="D273" t="str">
            <v>INATIVO</v>
          </cell>
          <cell r="I273" t="str">
            <v>OPERAÇÕES</v>
          </cell>
        </row>
        <row r="274">
          <cell r="A274">
            <v>1425</v>
          </cell>
          <cell r="B274" t="str">
            <v>CIELO (1425)</v>
          </cell>
          <cell r="C274" t="str">
            <v>DESATIVADO</v>
          </cell>
          <cell r="D274" t="str">
            <v>INATIVO</v>
          </cell>
          <cell r="I274" t="str">
            <v>OPERAÇÕES</v>
          </cell>
        </row>
        <row r="275">
          <cell r="A275">
            <v>1426</v>
          </cell>
          <cell r="B275" t="str">
            <v>SEFAZ - PMS_DEV. (1426)</v>
          </cell>
          <cell r="C275" t="str">
            <v>SEFAZ_PMS</v>
          </cell>
          <cell r="D275" t="str">
            <v>ATIVO</v>
          </cell>
          <cell r="E275" t="str">
            <v>ADS</v>
          </cell>
          <cell r="F275" t="str">
            <v>FS</v>
          </cell>
          <cell r="G275" t="str">
            <v>LIZANDRA PIMENTA</v>
          </cell>
          <cell r="H275" t="str">
            <v>OP3</v>
          </cell>
          <cell r="I275" t="str">
            <v>OPERAÇÕES</v>
          </cell>
        </row>
        <row r="276">
          <cell r="A276">
            <v>1427</v>
          </cell>
          <cell r="B276" t="str">
            <v>SECOM – Service Desk (1427)</v>
          </cell>
          <cell r="C276" t="str">
            <v>DESATIVADO</v>
          </cell>
          <cell r="D276" t="str">
            <v>INATIVO</v>
          </cell>
          <cell r="I276" t="str">
            <v>OPERAÇÕES</v>
          </cell>
        </row>
        <row r="277">
          <cell r="A277">
            <v>1428</v>
          </cell>
          <cell r="B277" t="str">
            <v>ANP - RenovaBio (1428)</v>
          </cell>
          <cell r="C277" t="str">
            <v>ANP</v>
          </cell>
          <cell r="D277" t="str">
            <v>INATIVO</v>
          </cell>
          <cell r="I277" t="str">
            <v>OPERAÇÕES</v>
          </cell>
        </row>
        <row r="278">
          <cell r="A278">
            <v>1429</v>
          </cell>
          <cell r="B278" t="str">
            <v>FAPESB INFRA (1429)</v>
          </cell>
          <cell r="C278" t="str">
            <v>FAPESB</v>
          </cell>
          <cell r="D278" t="str">
            <v>INATIVO</v>
          </cell>
          <cell r="I278" t="str">
            <v>OPERAÇÕES</v>
          </cell>
        </row>
        <row r="279">
          <cell r="A279">
            <v>1430</v>
          </cell>
          <cell r="B279" t="str">
            <v>SICOOB-CECRES AppD (1430)</v>
          </cell>
          <cell r="C279" t="str">
            <v xml:space="preserve">SICOOB </v>
          </cell>
          <cell r="D279" t="str">
            <v>INATIVO</v>
          </cell>
          <cell r="I279" t="str">
            <v>OPERAÇÕES</v>
          </cell>
        </row>
        <row r="280">
          <cell r="A280">
            <v>1431</v>
          </cell>
          <cell r="B280" t="str">
            <v>DIRETORIA OPERAÇÕES SP (1431)</v>
          </cell>
          <cell r="C280" t="str">
            <v>CUSTO_INDIRETO</v>
          </cell>
          <cell r="D280" t="str">
            <v>ATIVO</v>
          </cell>
          <cell r="E280" t="str">
            <v>ADS</v>
          </cell>
          <cell r="F280" t="str">
            <v>ALL</v>
          </cell>
          <cell r="G280" t="str">
            <v>ANA PAULA BRAUN</v>
          </cell>
          <cell r="H280" t="str">
            <v>OP</v>
          </cell>
          <cell r="I280" t="str">
            <v>OPERAÇÕES</v>
          </cell>
        </row>
        <row r="281">
          <cell r="A281">
            <v>1432</v>
          </cell>
          <cell r="B281" t="str">
            <v>A ALOCAR (1432)</v>
          </cell>
          <cell r="C281" t="str">
            <v>DESATIVADO</v>
          </cell>
          <cell r="D281" t="str">
            <v>INATIVO</v>
          </cell>
          <cell r="I281" t="str">
            <v>OPERAÇÕES</v>
          </cell>
        </row>
        <row r="282">
          <cell r="A282">
            <v>1433</v>
          </cell>
          <cell r="B282" t="str">
            <v>PRODEB Projeto MDS (1433)</v>
          </cell>
          <cell r="C282" t="str">
            <v>PRODEB</v>
          </cell>
          <cell r="D282" t="str">
            <v>ATIVO</v>
          </cell>
          <cell r="E282" t="str">
            <v>CSA</v>
          </cell>
          <cell r="F282" t="str">
            <v>PS</v>
          </cell>
          <cell r="G282" t="str">
            <v>JOSÉ NETO COELHO</v>
          </cell>
          <cell r="H282" t="str">
            <v>OP2</v>
          </cell>
          <cell r="I282" t="str">
            <v>OPERAÇÕES</v>
          </cell>
        </row>
        <row r="283">
          <cell r="A283">
            <v>1434</v>
          </cell>
          <cell r="B283" t="str">
            <v>LE BISCUIT INFRA DIGITAL (1434)</v>
          </cell>
          <cell r="C283" t="str">
            <v xml:space="preserve">LE_BISCUIT </v>
          </cell>
          <cell r="D283" t="str">
            <v>INATIVO</v>
          </cell>
          <cell r="I283" t="str">
            <v>OPERAÇÕES</v>
          </cell>
        </row>
        <row r="284">
          <cell r="A284">
            <v>1435</v>
          </cell>
          <cell r="B284" t="str">
            <v>ROCK COMUNICAÇÕES (1435)</v>
          </cell>
          <cell r="C284" t="str">
            <v>ROCK COMUNICAÇÃO</v>
          </cell>
          <cell r="D284" t="str">
            <v>INATIVO</v>
          </cell>
          <cell r="I284" t="str">
            <v>OPERAÇÕES</v>
          </cell>
        </row>
        <row r="285">
          <cell r="A285">
            <v>1436</v>
          </cell>
          <cell r="B285" t="str">
            <v>LE BISCUIT - LE CONSULTORES (1436)</v>
          </cell>
          <cell r="C285" t="str">
            <v xml:space="preserve">LE_BISCUIT </v>
          </cell>
          <cell r="D285" t="str">
            <v>INATIVO</v>
          </cell>
          <cell r="I285" t="str">
            <v>OPERAÇÕES</v>
          </cell>
        </row>
        <row r="286">
          <cell r="A286">
            <v>1437</v>
          </cell>
          <cell r="B286" t="str">
            <v>DC-COGEL 2020 (1437)</v>
          </cell>
          <cell r="C286" t="str">
            <v>DC-COGEL</v>
          </cell>
          <cell r="D286" t="str">
            <v>INATIVO</v>
          </cell>
          <cell r="I286" t="str">
            <v>OPERAÇÕES</v>
          </cell>
        </row>
        <row r="287">
          <cell r="A287">
            <v>1438</v>
          </cell>
          <cell r="B287" t="str">
            <v>LE BISCUIT – RPA (1438)</v>
          </cell>
          <cell r="C287" t="str">
            <v xml:space="preserve">LE_BISCUIT </v>
          </cell>
          <cell r="D287" t="str">
            <v>INATIVO</v>
          </cell>
          <cell r="I287" t="str">
            <v>OPERAÇÕES</v>
          </cell>
        </row>
        <row r="288">
          <cell r="A288">
            <v>1439</v>
          </cell>
          <cell r="B288" t="str">
            <v>MOOHTECH - ADS (1439)</v>
          </cell>
          <cell r="C288" t="str">
            <v>MOOHTECH</v>
          </cell>
          <cell r="D288" t="str">
            <v>INATIVO</v>
          </cell>
          <cell r="I288" t="str">
            <v>OPERAÇÕES</v>
          </cell>
        </row>
        <row r="289">
          <cell r="A289">
            <v>1440</v>
          </cell>
          <cell r="B289" t="str">
            <v>WATERFY (1440)</v>
          </cell>
          <cell r="C289" t="str">
            <v xml:space="preserve">WATERFY </v>
          </cell>
          <cell r="D289" t="str">
            <v>INATIVO</v>
          </cell>
          <cell r="I289" t="str">
            <v>OPERAÇÕES</v>
          </cell>
        </row>
        <row r="290">
          <cell r="A290">
            <v>1441</v>
          </cell>
          <cell r="B290" t="str">
            <v>VR - STARTUP ASSESSMENT (1441)</v>
          </cell>
          <cell r="C290" t="str">
            <v>VR</v>
          </cell>
          <cell r="D290" t="str">
            <v>INATIVO</v>
          </cell>
          <cell r="I290" t="str">
            <v>OPERAÇÕES</v>
          </cell>
        </row>
        <row r="291">
          <cell r="A291">
            <v>1442</v>
          </cell>
          <cell r="B291" t="str">
            <v>SOTREQ (PJ1126) (1442)</v>
          </cell>
          <cell r="C291" t="str">
            <v xml:space="preserve">SOTREQ </v>
          </cell>
          <cell r="D291" t="str">
            <v>INATIVO</v>
          </cell>
          <cell r="I291" t="str">
            <v>OPERAÇÕES</v>
          </cell>
        </row>
        <row r="292">
          <cell r="A292">
            <v>1443</v>
          </cell>
          <cell r="B292" t="str">
            <v>SF - GRANADO (1443)</v>
          </cell>
          <cell r="C292" t="str">
            <v>GRAMADO</v>
          </cell>
          <cell r="D292" t="str">
            <v>INATIVO</v>
          </cell>
          <cell r="I292" t="str">
            <v>OPERAÇÕES</v>
          </cell>
        </row>
        <row r="293">
          <cell r="A293">
            <v>1444</v>
          </cell>
          <cell r="B293" t="str">
            <v>SF - INFORMAR SAÚDE (1444)</v>
          </cell>
          <cell r="C293" t="str">
            <v>INFORMAR SAÚDE</v>
          </cell>
          <cell r="D293" t="str">
            <v>INATIVO</v>
          </cell>
          <cell r="I293" t="str">
            <v>OPERAÇÕES</v>
          </cell>
        </row>
        <row r="294">
          <cell r="A294">
            <v>1445</v>
          </cell>
          <cell r="B294" t="str">
            <v>FOXCONN - AGRUSTICK (1445)</v>
          </cell>
          <cell r="C294" t="str">
            <v>FOXCONN</v>
          </cell>
          <cell r="D294" t="str">
            <v>INATIVO</v>
          </cell>
          <cell r="I294" t="str">
            <v>OPERAÇÕES</v>
          </cell>
        </row>
        <row r="295">
          <cell r="A295">
            <v>1446</v>
          </cell>
          <cell r="B295" t="str">
            <v>STATE_GRID (1446)</v>
          </cell>
          <cell r="C295" t="str">
            <v>STATE_GRID</v>
          </cell>
          <cell r="D295" t="str">
            <v>INATIVO</v>
          </cell>
          <cell r="I295" t="str">
            <v>OPERAÇÕES</v>
          </cell>
        </row>
        <row r="296">
          <cell r="A296">
            <v>1447</v>
          </cell>
          <cell r="B296" t="str">
            <v>ADS - CUSTOS INDIRETOS (1447)</v>
          </cell>
          <cell r="C296" t="str">
            <v>CUSTO_INDIRETO</v>
          </cell>
          <cell r="D296" t="str">
            <v>ATIVO</v>
          </cell>
          <cell r="E296" t="str">
            <v>ADS</v>
          </cell>
          <cell r="F296" t="str">
            <v>ALL</v>
          </cell>
          <cell r="G296" t="str">
            <v>ANA PAULA BRAUN</v>
          </cell>
          <cell r="H296" t="str">
            <v>OP</v>
          </cell>
          <cell r="I296" t="str">
            <v>OPERAÇÕES</v>
          </cell>
        </row>
        <row r="297">
          <cell r="A297">
            <v>1448</v>
          </cell>
          <cell r="B297" t="str">
            <v>ADS - CAPACITY (1448)</v>
          </cell>
          <cell r="C297" t="str">
            <v>CUSTO_INDIRETO</v>
          </cell>
          <cell r="D297" t="str">
            <v>ATIVO</v>
          </cell>
          <cell r="E297" t="str">
            <v>ADS</v>
          </cell>
          <cell r="F297" t="str">
            <v>ALL</v>
          </cell>
          <cell r="G297" t="str">
            <v>ANA PAULA BRAUN</v>
          </cell>
          <cell r="H297" t="str">
            <v>OP</v>
          </cell>
          <cell r="I297" t="str">
            <v>OPERAÇÕES</v>
          </cell>
        </row>
        <row r="298">
          <cell r="A298">
            <v>1449</v>
          </cell>
          <cell r="B298" t="str">
            <v>CSA - CUSTOS INDIRETOS (1449)</v>
          </cell>
          <cell r="C298" t="str">
            <v>CUSTO_INDIRETO</v>
          </cell>
          <cell r="D298" t="str">
            <v>ATIVO</v>
          </cell>
          <cell r="E298" t="str">
            <v>CSA</v>
          </cell>
          <cell r="F298" t="str">
            <v>ALL</v>
          </cell>
          <cell r="G298" t="str">
            <v>EVANDRO BRAGA</v>
          </cell>
          <cell r="H298" t="str">
            <v>OP</v>
          </cell>
          <cell r="I298" t="str">
            <v>OPERAÇÕES</v>
          </cell>
        </row>
        <row r="299">
          <cell r="A299">
            <v>1450</v>
          </cell>
          <cell r="B299" t="str">
            <v>CSA - CAPACITY (1450)</v>
          </cell>
          <cell r="C299" t="str">
            <v>CUSTO_INDIRETO</v>
          </cell>
          <cell r="D299" t="str">
            <v>ATIVO</v>
          </cell>
          <cell r="E299" t="str">
            <v>CSA</v>
          </cell>
          <cell r="F299" t="str">
            <v>ALL</v>
          </cell>
          <cell r="G299" t="str">
            <v>EVANDRO BRAGA</v>
          </cell>
          <cell r="H299" t="str">
            <v>OP</v>
          </cell>
          <cell r="I299" t="str">
            <v>OPERAÇÕES</v>
          </cell>
        </row>
        <row r="300">
          <cell r="A300">
            <v>1451</v>
          </cell>
          <cell r="B300" t="str">
            <v>SF - MARJOM COLCHÕES (1451)</v>
          </cell>
          <cell r="C300" t="str">
            <v>MARJOM</v>
          </cell>
          <cell r="D300" t="str">
            <v>INATIVO</v>
          </cell>
          <cell r="I300" t="str">
            <v>OPERAÇÕES</v>
          </cell>
        </row>
        <row r="301">
          <cell r="A301">
            <v>1452</v>
          </cell>
          <cell r="B301" t="str">
            <v>BPS – SALESFORCE CUSTOS INDIRETOS (1452)</v>
          </cell>
          <cell r="C301" t="str">
            <v>CUSTO_INDIRETO</v>
          </cell>
          <cell r="D301" t="str">
            <v>ATIVO</v>
          </cell>
          <cell r="E301" t="str">
            <v>BPS</v>
          </cell>
          <cell r="F301" t="str">
            <v>ALL</v>
          </cell>
          <cell r="G301" t="str">
            <v>NIVALDO AMORIM</v>
          </cell>
          <cell r="H301" t="str">
            <v>OP</v>
          </cell>
          <cell r="I301" t="str">
            <v>OPERAÇÕES</v>
          </cell>
        </row>
        <row r="302">
          <cell r="A302">
            <v>1453</v>
          </cell>
          <cell r="B302" t="str">
            <v>BPS - CAPACITY (1453)</v>
          </cell>
          <cell r="C302" t="str">
            <v>CUSTO_INDIRETO</v>
          </cell>
          <cell r="D302" t="str">
            <v>ATIVO</v>
          </cell>
          <cell r="E302" t="str">
            <v>BPS</v>
          </cell>
          <cell r="F302" t="str">
            <v>ALL</v>
          </cell>
          <cell r="G302" t="str">
            <v>NIVALDO AMORIM</v>
          </cell>
          <cell r="H302" t="str">
            <v>OP</v>
          </cell>
          <cell r="I302" t="str">
            <v>OPERAÇÕES</v>
          </cell>
        </row>
        <row r="303">
          <cell r="A303">
            <v>1454</v>
          </cell>
          <cell r="B303" t="str">
            <v>LE BISCUIT - ATENDIMENTO SAC (1454)</v>
          </cell>
          <cell r="C303" t="str">
            <v xml:space="preserve">LE_BISCUIT </v>
          </cell>
          <cell r="D303" t="str">
            <v>INATIVO</v>
          </cell>
          <cell r="I303" t="str">
            <v>OPERAÇÕES</v>
          </cell>
        </row>
        <row r="304">
          <cell r="A304">
            <v>1455</v>
          </cell>
          <cell r="B304" t="str">
            <v>ATAKAREJO N3 (1455)</v>
          </cell>
          <cell r="C304" t="str">
            <v>ATAKAREJO</v>
          </cell>
          <cell r="D304" t="str">
            <v>ATIVO</v>
          </cell>
          <cell r="E304" t="str">
            <v>CSA</v>
          </cell>
          <cell r="F304" t="str">
            <v>MS</v>
          </cell>
          <cell r="G304" t="str">
            <v>ROGERIO GORDILHO</v>
          </cell>
          <cell r="H304" t="str">
            <v>OP4</v>
          </cell>
          <cell r="I304" t="str">
            <v>OPERAÇÕES</v>
          </cell>
        </row>
        <row r="305">
          <cell r="A305">
            <v>1456</v>
          </cell>
          <cell r="B305" t="str">
            <v>SF - MARJOM COLCHÕES SERVICE CLOUD (1456)</v>
          </cell>
          <cell r="C305" t="str">
            <v>MARJOM</v>
          </cell>
          <cell r="D305" t="str">
            <v>INATIVO</v>
          </cell>
          <cell r="I305" t="str">
            <v>OPERAÇÕES</v>
          </cell>
        </row>
        <row r="306">
          <cell r="A306">
            <v>1457</v>
          </cell>
          <cell r="B306" t="str">
            <v>SF - SALCOMP SALES CLOUD (1457)</v>
          </cell>
          <cell r="C306" t="str">
            <v>SALCOMP</v>
          </cell>
          <cell r="D306" t="str">
            <v>INATIVO</v>
          </cell>
          <cell r="I306" t="str">
            <v>OPERAÇÕES</v>
          </cell>
        </row>
        <row r="307">
          <cell r="A307">
            <v>1458</v>
          </cell>
          <cell r="B307" t="str">
            <v>SF - ITAU (1458)</v>
          </cell>
          <cell r="C307" t="str">
            <v>ITAU</v>
          </cell>
          <cell r="D307" t="str">
            <v>ATIVO</v>
          </cell>
          <cell r="E307" t="str">
            <v>BPS</v>
          </cell>
          <cell r="F307" t="str">
            <v>FS</v>
          </cell>
          <cell r="G307" t="str">
            <v>RODRIGO CORUMBA</v>
          </cell>
          <cell r="H307" t="str">
            <v>OP2</v>
          </cell>
          <cell r="I307" t="str">
            <v>OPERAÇÕES</v>
          </cell>
        </row>
        <row r="308">
          <cell r="A308">
            <v>1459</v>
          </cell>
          <cell r="B308" t="str">
            <v>SF - NATUZZI SERVICE CLOUD (1459)</v>
          </cell>
          <cell r="C308" t="str">
            <v>NATUZZI</v>
          </cell>
          <cell r="D308" t="str">
            <v>INATIVO</v>
          </cell>
          <cell r="I308" t="str">
            <v>OPERAÇÕES</v>
          </cell>
        </row>
        <row r="309">
          <cell r="A309">
            <v>1460</v>
          </cell>
          <cell r="B309" t="str">
            <v>SF - SETTA SALES CLOUD (1460)</v>
          </cell>
          <cell r="C309" t="str">
            <v>SETTA</v>
          </cell>
          <cell r="D309" t="str">
            <v>INATIVO</v>
          </cell>
          <cell r="I309" t="str">
            <v>OPERAÇÕES</v>
          </cell>
        </row>
        <row r="310">
          <cell r="A310">
            <v>1461</v>
          </cell>
          <cell r="B310" t="str">
            <v>SF - MASTER FINANCIAL SERVICE CLOUD (1461)</v>
          </cell>
          <cell r="C310" t="str">
            <v>MASTER</v>
          </cell>
          <cell r="D310" t="str">
            <v>INATIVO</v>
          </cell>
          <cell r="I310" t="str">
            <v>OPERAÇÕES</v>
          </cell>
        </row>
        <row r="311">
          <cell r="A311">
            <v>1462</v>
          </cell>
          <cell r="B311" t="str">
            <v>GAS BRASILIANO (1462)</v>
          </cell>
          <cell r="C311" t="str">
            <v>COMPASS</v>
          </cell>
          <cell r="D311" t="str">
            <v>ATIVO</v>
          </cell>
          <cell r="E311" t="str">
            <v>CSA</v>
          </cell>
          <cell r="F311" t="str">
            <v>UT</v>
          </cell>
          <cell r="G311" t="str">
            <v>EVANDRO BRAGA</v>
          </cell>
          <cell r="H311" t="str">
            <v>OP2</v>
          </cell>
          <cell r="I311" t="str">
            <v>OPERAÇÕES</v>
          </cell>
        </row>
        <row r="312">
          <cell r="A312">
            <v>1463</v>
          </cell>
          <cell r="B312" t="str">
            <v>SF - MASTER FINANCIAL MARKETING CLOUD (1463)</v>
          </cell>
          <cell r="C312" t="str">
            <v>MASTER</v>
          </cell>
          <cell r="D312" t="str">
            <v>INATIVO</v>
          </cell>
          <cell r="I312" t="str">
            <v>OPERAÇÕES</v>
          </cell>
        </row>
        <row r="313">
          <cell r="A313">
            <v>1464</v>
          </cell>
          <cell r="B313" t="str">
            <v>MASTER ATENDIMENTO SERVICE CLOUD (1464)</v>
          </cell>
          <cell r="C313" t="str">
            <v>MASTER</v>
          </cell>
          <cell r="D313" t="str">
            <v>INATIVO</v>
          </cell>
          <cell r="I313" t="str">
            <v>OPERAÇÕES</v>
          </cell>
        </row>
        <row r="314">
          <cell r="A314">
            <v>1465</v>
          </cell>
          <cell r="B314" t="str">
            <v>ADS – MASTER PERFIS (1465)</v>
          </cell>
          <cell r="C314" t="str">
            <v>MASTER</v>
          </cell>
          <cell r="D314" t="str">
            <v>INATIVO</v>
          </cell>
          <cell r="E314" t="str">
            <v>ADS</v>
          </cell>
          <cell r="F314" t="str">
            <v>FS</v>
          </cell>
          <cell r="G314" t="str">
            <v>RODRIGO CORUMBA</v>
          </cell>
          <cell r="H314" t="str">
            <v>OP2</v>
          </cell>
          <cell r="I314" t="str">
            <v>OPERAÇÕES</v>
          </cell>
        </row>
        <row r="315">
          <cell r="A315">
            <v>1466</v>
          </cell>
          <cell r="B315" t="str">
            <v>SF - ITAU SALES CLOUD  (1466)</v>
          </cell>
          <cell r="C315" t="str">
            <v>ITAU</v>
          </cell>
          <cell r="D315" t="str">
            <v>ATIVO</v>
          </cell>
          <cell r="E315" t="str">
            <v>BPS</v>
          </cell>
          <cell r="F315" t="str">
            <v>FS</v>
          </cell>
          <cell r="G315" t="str">
            <v>RODRIGO CORUMBA</v>
          </cell>
          <cell r="H315" t="str">
            <v>OP2</v>
          </cell>
          <cell r="I315" t="str">
            <v>OPERAÇÕES</v>
          </cell>
        </row>
        <row r="316">
          <cell r="A316">
            <v>1467</v>
          </cell>
          <cell r="B316" t="str">
            <v>SF - NAÇÃO (1467)</v>
          </cell>
          <cell r="C316" t="str">
            <v>Nação</v>
          </cell>
          <cell r="D316" t="str">
            <v>INATIVO</v>
          </cell>
          <cell r="I316" t="str">
            <v>OPERAÇÕES</v>
          </cell>
        </row>
        <row r="317">
          <cell r="A317">
            <v>1468</v>
          </cell>
          <cell r="B317" t="str">
            <v>SF - SETTA MELHORIAS (1468)</v>
          </cell>
          <cell r="C317" t="str">
            <v>SETTA</v>
          </cell>
          <cell r="D317" t="str">
            <v>INATIVO</v>
          </cell>
          <cell r="E317" t="str">
            <v>BPS</v>
          </cell>
          <cell r="F317" t="str">
            <v>MS</v>
          </cell>
          <cell r="I317" t="str">
            <v>OPERAÇÕES</v>
          </cell>
        </row>
        <row r="318">
          <cell r="A318">
            <v>1469</v>
          </cell>
          <cell r="B318" t="str">
            <v>Outros Clientes de CSA (1469)</v>
          </cell>
          <cell r="C318" t="str">
            <v>OUTROS_CLIENTES</v>
          </cell>
          <cell r="D318" t="str">
            <v>ATIVO</v>
          </cell>
          <cell r="E318" t="str">
            <v>CSA</v>
          </cell>
          <cell r="F318" t="str">
            <v>PS</v>
          </cell>
          <cell r="G318" t="str">
            <v>EVANDRO BRAGA</v>
          </cell>
          <cell r="H318" t="str">
            <v>OP</v>
          </cell>
          <cell r="I318" t="str">
            <v>OPERAÇÕES</v>
          </cell>
        </row>
        <row r="319">
          <cell r="A319">
            <v>1470</v>
          </cell>
          <cell r="B319" t="str">
            <v>GNC (1470)</v>
          </cell>
          <cell r="C319" t="str">
            <v>GNC</v>
          </cell>
          <cell r="D319" t="str">
            <v>ATIVO</v>
          </cell>
          <cell r="E319" t="str">
            <v>CSA</v>
          </cell>
          <cell r="F319" t="str">
            <v>MS</v>
          </cell>
          <cell r="G319" t="str">
            <v>RODRIGO CORUMBA</v>
          </cell>
          <cell r="H319" t="str">
            <v>OP4</v>
          </cell>
          <cell r="I319" t="str">
            <v>OPERAÇÕES</v>
          </cell>
        </row>
        <row r="320">
          <cell r="A320">
            <v>1471</v>
          </cell>
          <cell r="B320" t="str">
            <v>OBSERVABILITY (1471)</v>
          </cell>
          <cell r="C320" t="str">
            <v>CUSTO_INDIRETO</v>
          </cell>
          <cell r="D320" t="str">
            <v>ATIVO</v>
          </cell>
          <cell r="E320" t="str">
            <v>CSA</v>
          </cell>
          <cell r="F320" t="str">
            <v>ALL</v>
          </cell>
          <cell r="G320" t="str">
            <v>EVANDRO BRAGA</v>
          </cell>
          <cell r="H320" t="str">
            <v>OP</v>
          </cell>
          <cell r="I320" t="str">
            <v>OPERAÇÕES</v>
          </cell>
        </row>
        <row r="321">
          <cell r="A321">
            <v>1472</v>
          </cell>
          <cell r="B321" t="str">
            <v>FICO (1472)</v>
          </cell>
          <cell r="C321" t="str">
            <v>FICO</v>
          </cell>
          <cell r="D321" t="str">
            <v>ATIVO</v>
          </cell>
          <cell r="E321" t="str">
            <v>BPS</v>
          </cell>
          <cell r="F321" t="str">
            <v>FS</v>
          </cell>
          <cell r="G321" t="str">
            <v>RITA ANDRADE</v>
          </cell>
          <cell r="H321" t="str">
            <v>OP1</v>
          </cell>
          <cell r="I321" t="str">
            <v>OPERAÇÕES</v>
          </cell>
        </row>
        <row r="322">
          <cell r="A322">
            <v>1473</v>
          </cell>
          <cell r="B322" t="str">
            <v>MP - BA I (1473)</v>
          </cell>
          <cell r="C322" t="str">
            <v>MP_BA</v>
          </cell>
          <cell r="D322" t="str">
            <v>ATIVO</v>
          </cell>
          <cell r="E322" t="str">
            <v>CSA</v>
          </cell>
          <cell r="F322" t="str">
            <v>PS</v>
          </cell>
          <cell r="G322" t="str">
            <v>ROGERIO GORDILHO</v>
          </cell>
          <cell r="H322" t="str">
            <v>OP4</v>
          </cell>
          <cell r="I322" t="str">
            <v>OPERAÇÕES</v>
          </cell>
        </row>
        <row r="323">
          <cell r="A323">
            <v>1474</v>
          </cell>
          <cell r="B323" t="str">
            <v>BRADESCO DS2 (CSA) (1474)</v>
          </cell>
          <cell r="C323" t="str">
            <v>BRADESCO</v>
          </cell>
          <cell r="D323" t="str">
            <v>ATIVO</v>
          </cell>
          <cell r="E323" t="str">
            <v>CSA</v>
          </cell>
          <cell r="F323" t="str">
            <v>FS</v>
          </cell>
          <cell r="G323" t="str">
            <v>RITA ANDRADE</v>
          </cell>
          <cell r="H323" t="str">
            <v>OP1</v>
          </cell>
          <cell r="I323" t="str">
            <v>OPERAÇÕES</v>
          </cell>
        </row>
        <row r="324">
          <cell r="A324">
            <v>1475</v>
          </cell>
          <cell r="B324" t="str">
            <v>FAPESB Sustentação (1475)</v>
          </cell>
          <cell r="C324" t="str">
            <v>FAPESB</v>
          </cell>
          <cell r="D324" t="str">
            <v>ATIVO</v>
          </cell>
          <cell r="E324" t="str">
            <v>ADS</v>
          </cell>
          <cell r="F324" t="str">
            <v>PS</v>
          </cell>
          <cell r="G324" t="str">
            <v>LIZANDRA PIMENTA</v>
          </cell>
          <cell r="H324" t="str">
            <v>OP3</v>
          </cell>
          <cell r="I324" t="str">
            <v>OPERAÇÕES</v>
          </cell>
        </row>
        <row r="325">
          <cell r="A325">
            <v>1476</v>
          </cell>
          <cell r="B325" t="str">
            <v>DPE - BA Digital Center (1476)</v>
          </cell>
          <cell r="C325" t="str">
            <v>DPE</v>
          </cell>
          <cell r="D325" t="str">
            <v>ATIVO</v>
          </cell>
          <cell r="E325" t="str">
            <v>CSA</v>
          </cell>
          <cell r="F325" t="str">
            <v>PS</v>
          </cell>
          <cell r="G325" t="str">
            <v>ROGERIO GORDILHO</v>
          </cell>
          <cell r="H325" t="str">
            <v>OP4</v>
          </cell>
          <cell r="I325" t="str">
            <v>OPERAÇÕES</v>
          </cell>
        </row>
        <row r="326">
          <cell r="A326">
            <v>1477</v>
          </cell>
          <cell r="B326" t="str">
            <v>BPS – FICO CUSTOS INDIRETOS (1477)</v>
          </cell>
          <cell r="C326" t="str">
            <v>CUSTO_INDIRETO</v>
          </cell>
          <cell r="D326" t="str">
            <v>ATIVO</v>
          </cell>
          <cell r="E326" t="str">
            <v>BPS</v>
          </cell>
          <cell r="F326" t="str">
            <v>ALL</v>
          </cell>
          <cell r="G326" t="str">
            <v>NIVALDO AMORIM</v>
          </cell>
          <cell r="H326" t="str">
            <v>OP</v>
          </cell>
          <cell r="I326" t="str">
            <v>OPERAÇÕES</v>
          </cell>
        </row>
        <row r="327">
          <cell r="A327">
            <v>1478</v>
          </cell>
          <cell r="B327" t="str">
            <v>BANKLY (ADS) (1478)</v>
          </cell>
          <cell r="C327" t="str">
            <v>VOTORANTIM</v>
          </cell>
          <cell r="D327" t="str">
            <v>ATIVO</v>
          </cell>
          <cell r="E327" t="str">
            <v>ADS</v>
          </cell>
          <cell r="F327" t="str">
            <v>FS</v>
          </cell>
          <cell r="G327" t="str">
            <v>RITA ANDRADE</v>
          </cell>
          <cell r="H327" t="str">
            <v>OP1</v>
          </cell>
          <cell r="I327" t="str">
            <v>OPERAÇÕES</v>
          </cell>
        </row>
        <row r="328">
          <cell r="A328">
            <v>1479</v>
          </cell>
          <cell r="B328" t="str">
            <v>VR - Salesforce (1479)</v>
          </cell>
          <cell r="C328" t="str">
            <v>VR</v>
          </cell>
          <cell r="D328" t="str">
            <v>ATIVO</v>
          </cell>
          <cell r="E328" t="str">
            <v>BPS</v>
          </cell>
          <cell r="F328" t="str">
            <v>FS</v>
          </cell>
          <cell r="G328" t="str">
            <v>RODRIGO CORUMBA</v>
          </cell>
          <cell r="H328" t="str">
            <v>OP2</v>
          </cell>
          <cell r="I328" t="str">
            <v>OPERAÇÕES</v>
          </cell>
        </row>
        <row r="329">
          <cell r="A329">
            <v>1480</v>
          </cell>
          <cell r="B329" t="str">
            <v>Entrepay ADS Alocação (1480)</v>
          </cell>
          <cell r="C329" t="str">
            <v>ENTREPAY</v>
          </cell>
          <cell r="D329" t="str">
            <v>ATIVO</v>
          </cell>
          <cell r="E329" t="str">
            <v>ADS</v>
          </cell>
          <cell r="F329" t="str">
            <v>FS</v>
          </cell>
          <cell r="G329" t="str">
            <v>RODRIGO CORUMBA</v>
          </cell>
          <cell r="H329" t="str">
            <v>OP2</v>
          </cell>
          <cell r="I329" t="str">
            <v>OPERAÇÕES</v>
          </cell>
        </row>
        <row r="330">
          <cell r="A330">
            <v>1481</v>
          </cell>
          <cell r="B330" t="str">
            <v>SANTANDER ESFERA (1481)</v>
          </cell>
          <cell r="C330" t="str">
            <v>SANTANDER</v>
          </cell>
          <cell r="D330" t="str">
            <v>ATIVO</v>
          </cell>
          <cell r="E330" t="str">
            <v>ADS</v>
          </cell>
          <cell r="F330" t="str">
            <v>FS</v>
          </cell>
          <cell r="G330" t="str">
            <v>RODRIGO CORUMBA</v>
          </cell>
          <cell r="H330" t="str">
            <v>OP2</v>
          </cell>
          <cell r="I330" t="str">
            <v>OPERAÇÕES</v>
          </cell>
        </row>
        <row r="331">
          <cell r="A331">
            <v>1482</v>
          </cell>
          <cell r="B331" t="str">
            <v>REAL GRANDEZA (1482)</v>
          </cell>
          <cell r="C331" t="str">
            <v>AXIA</v>
          </cell>
          <cell r="D331" t="str">
            <v>ATIVO</v>
          </cell>
          <cell r="E331" t="str">
            <v>CSA</v>
          </cell>
          <cell r="F331" t="str">
            <v>UT</v>
          </cell>
          <cell r="G331" t="str">
            <v>JOSÉ NETO</v>
          </cell>
          <cell r="H331" t="str">
            <v>OP2</v>
          </cell>
          <cell r="I331" t="str">
            <v>OPERAÇÕES</v>
          </cell>
        </row>
        <row r="332">
          <cell r="A332">
            <v>1483</v>
          </cell>
          <cell r="B332" t="str">
            <v>UNIPAR (1483)</v>
          </cell>
          <cell r="C332" t="str">
            <v>UNIPAR</v>
          </cell>
          <cell r="D332" t="str">
            <v>ATIVO</v>
          </cell>
          <cell r="E332" t="str">
            <v>CSA</v>
          </cell>
          <cell r="F332" t="str">
            <v>MS</v>
          </cell>
          <cell r="G332" t="str">
            <v>RODRIGO CORUMBA</v>
          </cell>
          <cell r="H332" t="str">
            <v>OP2</v>
          </cell>
          <cell r="I332" t="str">
            <v>OPERAÇÕES</v>
          </cell>
        </row>
        <row r="333">
          <cell r="A333">
            <v>1484</v>
          </cell>
          <cell r="B333" t="str">
            <v>BRADESCO - SEGUROS (BPS) (1484)</v>
          </cell>
          <cell r="C333" t="str">
            <v>BRADESCO_SEGUROS</v>
          </cell>
          <cell r="D333" t="str">
            <v>ATIVO</v>
          </cell>
          <cell r="E333" t="str">
            <v>BPS</v>
          </cell>
          <cell r="F333" t="str">
            <v>FS</v>
          </cell>
          <cell r="G333" t="str">
            <v>RITA ANDRADE</v>
          </cell>
          <cell r="H333" t="str">
            <v>OP1</v>
          </cell>
          <cell r="I333" t="str">
            <v>OPERAÇÕES</v>
          </cell>
        </row>
        <row r="334">
          <cell r="A334">
            <v>1485</v>
          </cell>
          <cell r="B334" t="str">
            <v>PORTO SEGURO – ADS - Alocações (1485)</v>
          </cell>
          <cell r="C334" t="str">
            <v>PORTO_SEGURO</v>
          </cell>
          <cell r="D334" t="str">
            <v>ATIVO</v>
          </cell>
          <cell r="E334" t="str">
            <v>ADS</v>
          </cell>
          <cell r="F334" t="str">
            <v>FS</v>
          </cell>
          <cell r="G334" t="str">
            <v>RODRIGO CORUMBA</v>
          </cell>
          <cell r="H334" t="str">
            <v>OP2</v>
          </cell>
          <cell r="I334" t="str">
            <v>OPERAÇÕES</v>
          </cell>
        </row>
        <row r="335">
          <cell r="A335">
            <v>1486</v>
          </cell>
          <cell r="B335" t="str">
            <v>PORTO SEGURO – CSA (1486)</v>
          </cell>
          <cell r="C335" t="str">
            <v>PORTO_SEGURO</v>
          </cell>
          <cell r="D335" t="str">
            <v>ATIVO</v>
          </cell>
          <cell r="E335" t="str">
            <v>CSA</v>
          </cell>
          <cell r="F335" t="str">
            <v>FS</v>
          </cell>
          <cell r="G335" t="str">
            <v>RODRIGO CORUMBA</v>
          </cell>
          <cell r="H335" t="str">
            <v>OP2</v>
          </cell>
          <cell r="I335" t="str">
            <v>OPERAÇÕES</v>
          </cell>
        </row>
        <row r="336">
          <cell r="A336">
            <v>1487</v>
          </cell>
          <cell r="B336" t="str">
            <v>PORTO SEGURO – BPS (1487)</v>
          </cell>
          <cell r="C336" t="str">
            <v>PORTO_SEGURO</v>
          </cell>
          <cell r="D336" t="str">
            <v>ATIVO</v>
          </cell>
          <cell r="E336" t="str">
            <v>BPS</v>
          </cell>
          <cell r="F336" t="str">
            <v>FS</v>
          </cell>
          <cell r="G336" t="str">
            <v>RODRIGO CORUMBA</v>
          </cell>
          <cell r="H336" t="str">
            <v>OP2</v>
          </cell>
          <cell r="I336" t="str">
            <v>OPERAÇÕES</v>
          </cell>
        </row>
        <row r="337">
          <cell r="A337">
            <v>1488</v>
          </cell>
          <cell r="B337" t="str">
            <v>BPS – FICO CAPACITY (1488)</v>
          </cell>
          <cell r="C337" t="str">
            <v>CUSTO_INDIRETO</v>
          </cell>
          <cell r="D337" t="str">
            <v>ATIVO</v>
          </cell>
          <cell r="E337" t="str">
            <v>BPS</v>
          </cell>
          <cell r="F337" t="str">
            <v>ALL</v>
          </cell>
          <cell r="G337" t="str">
            <v>NIVALDO AMORIM</v>
          </cell>
          <cell r="H337" t="str">
            <v>OP</v>
          </cell>
          <cell r="I337" t="str">
            <v>OPERAÇÕES</v>
          </cell>
        </row>
        <row r="338">
          <cell r="A338">
            <v>1489</v>
          </cell>
          <cell r="B338" t="str">
            <v>BANCO CARREFOUR (1489)</v>
          </cell>
          <cell r="C338" t="str">
            <v>CARREFOUR</v>
          </cell>
          <cell r="D338" t="str">
            <v>ATIVO</v>
          </cell>
          <cell r="E338" t="str">
            <v>BPS</v>
          </cell>
          <cell r="F338" t="str">
            <v>FS</v>
          </cell>
          <cell r="G338" t="str">
            <v>RODRIGO CORUMBA</v>
          </cell>
          <cell r="H338" t="str">
            <v>OP2</v>
          </cell>
          <cell r="I338" t="str">
            <v>OPERAÇÕES</v>
          </cell>
        </row>
        <row r="339">
          <cell r="A339">
            <v>1490</v>
          </cell>
          <cell r="B339" t="str">
            <v>EMBASA - Sustentação ITSM (1490)</v>
          </cell>
          <cell r="C339" t="str">
            <v>EMBASA</v>
          </cell>
          <cell r="D339" t="str">
            <v>ATIVO</v>
          </cell>
          <cell r="E339" t="str">
            <v>CSA</v>
          </cell>
          <cell r="F339" t="str">
            <v>UT</v>
          </cell>
          <cell r="G339" t="str">
            <v>ROGERIO GORDILHO</v>
          </cell>
          <cell r="H339" t="str">
            <v>OP4</v>
          </cell>
          <cell r="I339" t="str">
            <v>OPERAÇÕES</v>
          </cell>
        </row>
        <row r="340">
          <cell r="A340">
            <v>1491</v>
          </cell>
          <cell r="B340" t="str">
            <v>BNP Cardif (1491</v>
          </cell>
          <cell r="C340" t="str">
            <v>BNP</v>
          </cell>
          <cell r="D340" t="str">
            <v>INATIVO</v>
          </cell>
          <cell r="E340" t="str">
            <v>ADS</v>
          </cell>
          <cell r="F340" t="str">
            <v>FS</v>
          </cell>
          <cell r="G340" t="str">
            <v>RODRIGO CORUMBA</v>
          </cell>
          <cell r="H340" t="str">
            <v>OP2</v>
          </cell>
          <cell r="I340" t="str">
            <v>OPERAÇÕES</v>
          </cell>
        </row>
        <row r="341">
          <cell r="A341">
            <v>1492</v>
          </cell>
          <cell r="B341" t="str">
            <v>OUTPOST DADOS (1492)</v>
          </cell>
          <cell r="C341" t="str">
            <v>CUSTO_INDIRETO</v>
          </cell>
          <cell r="D341" t="str">
            <v>ATIVO</v>
          </cell>
          <cell r="E341" t="str">
            <v>ADS</v>
          </cell>
          <cell r="F341" t="str">
            <v>ALL</v>
          </cell>
          <cell r="G341" t="str">
            <v>LEANDRO CORREIA</v>
          </cell>
          <cell r="H341" t="str">
            <v>OP</v>
          </cell>
          <cell r="I341" t="str">
            <v>OPERAÇÕES</v>
          </cell>
        </row>
        <row r="342">
          <cell r="A342">
            <v>1493</v>
          </cell>
          <cell r="B342" t="str">
            <v>SANTANDER CSA (1493)</v>
          </cell>
          <cell r="C342" t="str">
            <v>SANTANDER</v>
          </cell>
          <cell r="D342" t="str">
            <v>ATIVO</v>
          </cell>
          <cell r="E342" t="str">
            <v>CSA</v>
          </cell>
          <cell r="F342" t="str">
            <v>FS</v>
          </cell>
          <cell r="G342" t="str">
            <v>RODRIGO CORUMBA</v>
          </cell>
          <cell r="H342" t="str">
            <v>OP2</v>
          </cell>
          <cell r="I342" t="str">
            <v>OPERAÇÕES</v>
          </cell>
        </row>
        <row r="343">
          <cell r="A343">
            <v>1494</v>
          </cell>
          <cell r="B343" t="str">
            <v>SANTANDER BPS (1494)</v>
          </cell>
          <cell r="C343" t="str">
            <v>SANTANDER</v>
          </cell>
          <cell r="D343" t="str">
            <v>ATIVO</v>
          </cell>
          <cell r="E343" t="str">
            <v>BPS</v>
          </cell>
          <cell r="F343" t="str">
            <v>FS</v>
          </cell>
          <cell r="G343" t="str">
            <v>RODRIGO CORUMBA</v>
          </cell>
          <cell r="H343" t="str">
            <v>OP2</v>
          </cell>
          <cell r="I343" t="str">
            <v>OPERAÇÕES</v>
          </cell>
        </row>
        <row r="344">
          <cell r="A344">
            <v>1495</v>
          </cell>
          <cell r="B344" t="str">
            <v>BPS - CUSTOS INDIRETOS GERAL (1495)</v>
          </cell>
          <cell r="C344" t="str">
            <v>CUSTO_INDIRETO</v>
          </cell>
          <cell r="D344" t="str">
            <v>ATIVO</v>
          </cell>
          <cell r="E344" t="str">
            <v>BPS</v>
          </cell>
          <cell r="F344" t="str">
            <v>ALL</v>
          </cell>
          <cell r="G344" t="str">
            <v>NIVALDO AMORIM</v>
          </cell>
          <cell r="H344" t="str">
            <v>OP</v>
          </cell>
          <cell r="I344" t="str">
            <v>OPERAÇÕES</v>
          </cell>
        </row>
        <row r="345">
          <cell r="A345">
            <v>1496</v>
          </cell>
          <cell r="B345" t="str">
            <v>FICO - ITAÚ (1496)</v>
          </cell>
          <cell r="C345" t="str">
            <v>ITAU</v>
          </cell>
          <cell r="D345" t="str">
            <v>ATIVO</v>
          </cell>
          <cell r="E345" t="str">
            <v>BPS</v>
          </cell>
          <cell r="F345" t="str">
            <v>FS</v>
          </cell>
          <cell r="G345" t="str">
            <v>RODRIGO CORUMBA</v>
          </cell>
          <cell r="H345" t="str">
            <v>OP2</v>
          </cell>
          <cell r="I345" t="str">
            <v>OPERAÇÕES</v>
          </cell>
        </row>
        <row r="346">
          <cell r="A346">
            <v>1497</v>
          </cell>
          <cell r="B346" t="str">
            <v>ATAKAREJO - PROJETOS (1497)</v>
          </cell>
          <cell r="C346" t="str">
            <v>ATAKAREJO</v>
          </cell>
          <cell r="D346" t="str">
            <v>ATIVO</v>
          </cell>
          <cell r="E346" t="str">
            <v>CSA</v>
          </cell>
          <cell r="F346" t="str">
            <v>MS</v>
          </cell>
          <cell r="G346" t="str">
            <v>ROGERIO GORDILHO</v>
          </cell>
          <cell r="H346" t="str">
            <v>OP4</v>
          </cell>
          <cell r="I346" t="str">
            <v>OPERAÇÕES</v>
          </cell>
        </row>
        <row r="347">
          <cell r="A347">
            <v>1498</v>
          </cell>
          <cell r="B347" t="str">
            <v>ODONTOPREV - ADS (1498)</v>
          </cell>
          <cell r="C347" t="str">
            <v xml:space="preserve">ODONTOPREV </v>
          </cell>
          <cell r="D347" t="str">
            <v>ATIVO</v>
          </cell>
          <cell r="E347" t="str">
            <v>ADS</v>
          </cell>
          <cell r="F347" t="str">
            <v>FS</v>
          </cell>
          <cell r="G347" t="str">
            <v>RITA ANDRADE</v>
          </cell>
          <cell r="H347" t="str">
            <v>OP1</v>
          </cell>
          <cell r="I347" t="str">
            <v>OPERAÇÕES</v>
          </cell>
        </row>
        <row r="348">
          <cell r="A348">
            <v>1499</v>
          </cell>
          <cell r="B348" t="str">
            <v>BRACELL (1499)</v>
          </cell>
          <cell r="C348" t="str">
            <v>BRACELL</v>
          </cell>
          <cell r="D348" t="str">
            <v>ATIVO</v>
          </cell>
          <cell r="E348" t="str">
            <v>ADS</v>
          </cell>
          <cell r="F348" t="str">
            <v>MS</v>
          </cell>
          <cell r="G348" t="str">
            <v>RITA ANDRADE</v>
          </cell>
          <cell r="H348" t="str">
            <v>OP1</v>
          </cell>
          <cell r="I348" t="str">
            <v>OPERAÇÕES</v>
          </cell>
        </row>
        <row r="349">
          <cell r="A349">
            <v>1500</v>
          </cell>
          <cell r="B349" t="str">
            <v>SERASA (BPS) (1500)</v>
          </cell>
          <cell r="C349" t="str">
            <v>SERASA</v>
          </cell>
          <cell r="D349" t="str">
            <v>ATIVO</v>
          </cell>
          <cell r="E349" t="str">
            <v>BPS</v>
          </cell>
          <cell r="F349" t="str">
            <v>FS</v>
          </cell>
          <cell r="G349" t="str">
            <v>RITA ANDRADE</v>
          </cell>
          <cell r="H349" t="str">
            <v>OP1</v>
          </cell>
          <cell r="I349" t="str">
            <v>OPERAÇÕES</v>
          </cell>
        </row>
        <row r="350">
          <cell r="A350">
            <v>1501</v>
          </cell>
          <cell r="B350" t="str">
            <v>SABESP - SD 2025 (1501)</v>
          </cell>
          <cell r="C350" t="str">
            <v>SABESP</v>
          </cell>
          <cell r="D350" t="str">
            <v>ATIVO</v>
          </cell>
          <cell r="E350" t="str">
            <v>CSA</v>
          </cell>
          <cell r="F350" t="str">
            <v>UT</v>
          </cell>
          <cell r="G350" t="str">
            <v>CYRO SALVATORE</v>
          </cell>
          <cell r="H350" t="str">
            <v>OP1</v>
          </cell>
          <cell r="I350" t="str">
            <v>OPERAÇÕES</v>
          </cell>
        </row>
        <row r="351">
          <cell r="A351">
            <v>1502</v>
          </cell>
          <cell r="B351" t="str">
            <v>BANCO RENDIMENTO SRE (1502)</v>
          </cell>
          <cell r="C351" t="str">
            <v>RENDIMENTO</v>
          </cell>
          <cell r="D351" t="str">
            <v>ATIVO</v>
          </cell>
          <cell r="E351" t="str">
            <v>ADS</v>
          </cell>
          <cell r="F351" t="str">
            <v>FS</v>
          </cell>
          <cell r="G351" t="str">
            <v>RODRIGO CORUMBA</v>
          </cell>
          <cell r="H351" t="str">
            <v>OP2</v>
          </cell>
          <cell r="I351" t="str">
            <v>OPERAÇÕES</v>
          </cell>
        </row>
        <row r="352">
          <cell r="A352">
            <v>1503</v>
          </cell>
          <cell r="B352" t="str">
            <v>ENTREPAY-ADS-Projeto Data-Lake (1503)</v>
          </cell>
          <cell r="C352" t="str">
            <v>ENTREPAY</v>
          </cell>
          <cell r="D352" t="str">
            <v>ATIVO</v>
          </cell>
          <cell r="E352" t="str">
            <v>ADS</v>
          </cell>
          <cell r="F352" t="str">
            <v>FS</v>
          </cell>
          <cell r="G352" t="str">
            <v>RODRIGO CORUMBA</v>
          </cell>
          <cell r="H352" t="str">
            <v>OP2</v>
          </cell>
          <cell r="I352" t="str">
            <v>OPERAÇÕES</v>
          </cell>
        </row>
        <row r="353">
          <cell r="A353">
            <v>1504</v>
          </cell>
          <cell r="B353" t="str">
            <v>ENTREPAY-ADS-Projeto API (1504)</v>
          </cell>
          <cell r="C353" t="str">
            <v>ENTREPAY</v>
          </cell>
          <cell r="D353" t="str">
            <v>ATIVO</v>
          </cell>
          <cell r="E353" t="str">
            <v>ADS</v>
          </cell>
          <cell r="F353" t="str">
            <v>FS</v>
          </cell>
          <cell r="G353" t="str">
            <v>RODRIGO CORUMBA</v>
          </cell>
          <cell r="H353" t="str">
            <v>OP2</v>
          </cell>
          <cell r="I353" t="str">
            <v>OPERAÇÕES</v>
          </cell>
        </row>
        <row r="354">
          <cell r="A354">
            <v>1505</v>
          </cell>
          <cell r="B354" t="str">
            <v>ENTREPAY-CSA (1505)</v>
          </cell>
          <cell r="C354" t="str">
            <v>ENTREPAY</v>
          </cell>
          <cell r="D354" t="str">
            <v>ATIVO</v>
          </cell>
          <cell r="E354" t="str">
            <v>CSA</v>
          </cell>
          <cell r="F354" t="str">
            <v>FS</v>
          </cell>
          <cell r="G354" t="str">
            <v>RODRIGO CORUMBA</v>
          </cell>
          <cell r="H354" t="str">
            <v>OP2</v>
          </cell>
          <cell r="I354" t="str">
            <v>OPERAÇÕES</v>
          </cell>
        </row>
        <row r="355">
          <cell r="A355">
            <v>1506</v>
          </cell>
          <cell r="B355" t="str">
            <v>PORTO SEGURO – BPS – DYNAMICS (1506)</v>
          </cell>
          <cell r="C355" t="str">
            <v>PORTO_SEGURO</v>
          </cell>
          <cell r="D355" t="str">
            <v>ATIVO</v>
          </cell>
          <cell r="E355" t="str">
            <v>BPS</v>
          </cell>
          <cell r="F355" t="str">
            <v>FS</v>
          </cell>
          <cell r="G355" t="str">
            <v>RODRIGO CORUMBA</v>
          </cell>
          <cell r="H355" t="str">
            <v>OP2</v>
          </cell>
          <cell r="I355" t="str">
            <v>OPERAÇÕES</v>
          </cell>
        </row>
        <row r="356">
          <cell r="A356">
            <v>1507</v>
          </cell>
          <cell r="B356" t="str">
            <v>BRADESCO SEGUROS (ADS) – BS2 (1507)</v>
          </cell>
          <cell r="C356" t="str">
            <v>BRADESCO_SEGUROS</v>
          </cell>
          <cell r="D356" t="str">
            <v>ATIVO</v>
          </cell>
          <cell r="E356" t="str">
            <v>ADS</v>
          </cell>
          <cell r="F356" t="str">
            <v>FS</v>
          </cell>
          <cell r="G356" t="str">
            <v>RITA ANDRADE</v>
          </cell>
          <cell r="H356" t="str">
            <v>OP1</v>
          </cell>
          <cell r="I356" t="str">
            <v>OPERAÇÕES</v>
          </cell>
        </row>
        <row r="357">
          <cell r="A357">
            <v>1508</v>
          </cell>
          <cell r="B357" t="str">
            <v>BRADESCO SEGUROS (BPS) – BS2 (1508)</v>
          </cell>
          <cell r="C357" t="str">
            <v>BRADESCO_SEGUROS</v>
          </cell>
          <cell r="D357" t="str">
            <v>ATIVO</v>
          </cell>
          <cell r="E357" t="str">
            <v>BPS</v>
          </cell>
          <cell r="F357" t="str">
            <v>FS</v>
          </cell>
          <cell r="G357" t="str">
            <v>RITA ANDRADE</v>
          </cell>
          <cell r="H357" t="str">
            <v>OP1</v>
          </cell>
          <cell r="I357" t="str">
            <v>OPERAÇÕES</v>
          </cell>
        </row>
        <row r="358">
          <cell r="A358">
            <v>1509</v>
          </cell>
          <cell r="B358" t="str">
            <v>SOCIOAMBIENTAL (1509)</v>
          </cell>
          <cell r="C358" t="str">
            <v>SOCIOAMBIENTAL</v>
          </cell>
          <cell r="D358" t="str">
            <v>ATIVO</v>
          </cell>
          <cell r="E358" t="str">
            <v>TX_ADM</v>
          </cell>
          <cell r="F358" t="str">
            <v>ALL</v>
          </cell>
          <cell r="G358" t="str">
            <v>ANDRÉ MOTA</v>
          </cell>
          <cell r="H358" t="str">
            <v>OP</v>
          </cell>
          <cell r="I358" t="str">
            <v>OPERAÇÕES</v>
          </cell>
        </row>
        <row r="359">
          <cell r="A359">
            <v>1510</v>
          </cell>
          <cell r="B359" t="str">
            <v>INTEGRIDADE / GOVERNANÇA (1510)</v>
          </cell>
          <cell r="C359" t="str">
            <v xml:space="preserve">INTEGRIDADE / GOVERNANÇA </v>
          </cell>
          <cell r="D359" t="str">
            <v>ATIVO</v>
          </cell>
          <cell r="E359" t="str">
            <v>TX_ADM</v>
          </cell>
          <cell r="F359" t="str">
            <v>ALL</v>
          </cell>
          <cell r="G359" t="str">
            <v>ANDRÉ MOTA</v>
          </cell>
          <cell r="H359" t="str">
            <v>OP</v>
          </cell>
          <cell r="I359" t="str">
            <v>OPERAÇÕES</v>
          </cell>
        </row>
        <row r="360">
          <cell r="A360">
            <v>1511</v>
          </cell>
          <cell r="B360" t="str">
            <v>EXE AUCTIONS  (1511)</v>
          </cell>
          <cell r="C360" t="str">
            <v xml:space="preserve">EXE AUCTIONS  </v>
          </cell>
          <cell r="D360" t="str">
            <v>ATIVO</v>
          </cell>
          <cell r="E360" t="str">
            <v>CSA</v>
          </cell>
          <cell r="F360" t="str">
            <v>PS</v>
          </cell>
          <cell r="G360" t="str">
            <v>EVANDRO BRAGA</v>
          </cell>
          <cell r="H360" t="str">
            <v>OP2</v>
          </cell>
          <cell r="I360" t="str">
            <v>OPERAÇÕES</v>
          </cell>
        </row>
        <row r="361">
          <cell r="A361">
            <v>1512</v>
          </cell>
          <cell r="B361" t="str">
            <v>BRADESCO SEGUROS (CSA) – BS2 (1512)</v>
          </cell>
          <cell r="C361" t="str">
            <v>BRADESCO_SEGUROS</v>
          </cell>
          <cell r="D361" t="str">
            <v>ATIVO</v>
          </cell>
          <cell r="E361" t="str">
            <v>CSA</v>
          </cell>
          <cell r="F361" t="str">
            <v>FS</v>
          </cell>
          <cell r="G361" t="str">
            <v>RITA ANDRADE</v>
          </cell>
          <cell r="H361" t="str">
            <v>OP1</v>
          </cell>
          <cell r="I361" t="str">
            <v>OPERAÇÕES</v>
          </cell>
        </row>
        <row r="362">
          <cell r="A362">
            <v>1513</v>
          </cell>
          <cell r="B362" t="str">
            <v>SERASA (CONTROLE - FC) (1513)</v>
          </cell>
          <cell r="C362" t="str">
            <v>SERASA</v>
          </cell>
          <cell r="D362" t="str">
            <v>ATIVO</v>
          </cell>
          <cell r="E362" t="str">
            <v>ADS</v>
          </cell>
          <cell r="F362" t="str">
            <v>FS</v>
          </cell>
          <cell r="G362" t="str">
            <v>RITA ANDRADE</v>
          </cell>
          <cell r="H362" t="str">
            <v>OP1</v>
          </cell>
          <cell r="I362" t="str">
            <v>OPERAÇÕES</v>
          </cell>
        </row>
        <row r="363">
          <cell r="A363">
            <v>1514</v>
          </cell>
          <cell r="B363" t="str">
            <v>TJ - BA SISTEMAS EMERGENCIAL (1514)</v>
          </cell>
          <cell r="C363" t="str">
            <v>TJ_BA</v>
          </cell>
          <cell r="D363" t="str">
            <v>ATIVO</v>
          </cell>
          <cell r="E363" t="str">
            <v>ADS</v>
          </cell>
          <cell r="F363" t="str">
            <v>PS</v>
          </cell>
          <cell r="G363" t="str">
            <v>LIZANDRA PIMENTA</v>
          </cell>
          <cell r="H363" t="str">
            <v>OP3</v>
          </cell>
          <cell r="I363" t="str">
            <v>OPERAÇÕES</v>
          </cell>
        </row>
        <row r="364">
          <cell r="A364">
            <v>1515</v>
          </cell>
          <cell r="B364" t="str">
            <v>ELETROBRAS - AXIA N3 (1515)</v>
          </cell>
          <cell r="C364" t="str">
            <v>AXIA</v>
          </cell>
          <cell r="D364" t="str">
            <v>ATIVO</v>
          </cell>
          <cell r="E364" t="str">
            <v>CSA</v>
          </cell>
          <cell r="F364" t="str">
            <v>UT</v>
          </cell>
          <cell r="G364" t="str">
            <v>JOSÉ NETO</v>
          </cell>
          <cell r="H364" t="str">
            <v>OP2</v>
          </cell>
          <cell r="I364" t="str">
            <v>OPERAÇÕES</v>
          </cell>
        </row>
        <row r="365">
          <cell r="A365">
            <v>1516</v>
          </cell>
          <cell r="B365" t="str">
            <v>PROJETO START ADS (1516)</v>
          </cell>
          <cell r="C365" t="str">
            <v>CUSTO_INDIRETO</v>
          </cell>
          <cell r="D365" t="str">
            <v>ATIVO</v>
          </cell>
          <cell r="E365" t="str">
            <v>ADS</v>
          </cell>
          <cell r="F365" t="str">
            <v>ALL</v>
          </cell>
          <cell r="G365" t="str">
            <v>KARINA MELO</v>
          </cell>
          <cell r="H365" t="str">
            <v>OP</v>
          </cell>
          <cell r="I365" t="str">
            <v>OPERAÇÕES</v>
          </cell>
        </row>
        <row r="366">
          <cell r="A366">
            <v>1517</v>
          </cell>
          <cell r="B366" t="str">
            <v>PROJETO START RH (1517)</v>
          </cell>
          <cell r="C366" t="str">
            <v>CUSTO_INDIRETO</v>
          </cell>
          <cell r="D366" t="str">
            <v>ATIVO</v>
          </cell>
          <cell r="E366" t="str">
            <v>TX_ADM</v>
          </cell>
          <cell r="F366" t="str">
            <v>ALL</v>
          </cell>
          <cell r="G366" t="str">
            <v>VIVIANE SANTOS</v>
          </cell>
          <cell r="H366" t="str">
            <v>OP</v>
          </cell>
          <cell r="I366" t="str">
            <v>CORPORATIVO</v>
          </cell>
        </row>
        <row r="367">
          <cell r="A367">
            <v>1518</v>
          </cell>
          <cell r="B367" t="str">
            <v>SEFAZ - BA ADS (1518)</v>
          </cell>
          <cell r="C367" t="str">
            <v>SEFAZ_BA</v>
          </cell>
          <cell r="D367" t="str">
            <v>ATIVO</v>
          </cell>
          <cell r="E367" t="str">
            <v>ADS</v>
          </cell>
          <cell r="F367" t="str">
            <v>PS</v>
          </cell>
          <cell r="G367" t="str">
            <v>ANTONIO ALVES</v>
          </cell>
          <cell r="H367" t="str">
            <v>OP4</v>
          </cell>
          <cell r="I367" t="str">
            <v>OPERAÇÕES</v>
          </cell>
        </row>
        <row r="368">
          <cell r="A368">
            <v>1519</v>
          </cell>
          <cell r="B368" t="str">
            <v>ELETROBRAS - AXIA Monitoramento (1519)</v>
          </cell>
          <cell r="C368" t="str">
            <v>AXIA</v>
          </cell>
          <cell r="D368" t="str">
            <v>ATIVO</v>
          </cell>
          <cell r="E368" t="str">
            <v>CSA</v>
          </cell>
          <cell r="F368" t="str">
            <v>UT</v>
          </cell>
          <cell r="G368" t="str">
            <v>JOSÉ NETO</v>
          </cell>
          <cell r="H368" t="str">
            <v>OP2</v>
          </cell>
          <cell r="I368" t="str">
            <v>OPERAÇÕES</v>
          </cell>
        </row>
        <row r="369">
          <cell r="A369">
            <v>1520</v>
          </cell>
          <cell r="B369" t="str">
            <v>SABESP  - BPS (1520)</v>
          </cell>
          <cell r="C369" t="str">
            <v>SABESP</v>
          </cell>
          <cell r="D369" t="str">
            <v>ATIVO</v>
          </cell>
          <cell r="E369" t="str">
            <v>BPS</v>
          </cell>
          <cell r="F369" t="str">
            <v>UT</v>
          </cell>
          <cell r="G369" t="str">
            <v>CYRO SALVATORE</v>
          </cell>
          <cell r="H369" t="str">
            <v>OP1</v>
          </cell>
          <cell r="I369" t="str">
            <v>OPERAÇÕES</v>
          </cell>
        </row>
        <row r="370">
          <cell r="A370">
            <v>1521</v>
          </cell>
          <cell r="B370" t="str">
            <v>SANTANDER - CNPJ VR FASE 1 (1521)</v>
          </cell>
          <cell r="C370" t="str">
            <v>SANTANDER</v>
          </cell>
          <cell r="D370" t="str">
            <v>ATIVO</v>
          </cell>
          <cell r="E370" t="str">
            <v>ADS</v>
          </cell>
          <cell r="F370" t="str">
            <v>FS</v>
          </cell>
          <cell r="G370" t="str">
            <v>RODRIGO CORUMBA</v>
          </cell>
          <cell r="H370" t="str">
            <v>OP2</v>
          </cell>
          <cell r="I370" t="str">
            <v>OPERAÇÕES</v>
          </cell>
        </row>
        <row r="371">
          <cell r="A371">
            <v>1522</v>
          </cell>
          <cell r="B371" t="str">
            <v>SANTANDER - MIGRAÇÃO ROBOS TOOLS FASE 1 (1522)</v>
          </cell>
          <cell r="C371" t="str">
            <v>SANTANDER</v>
          </cell>
          <cell r="D371" t="str">
            <v>ATIVO</v>
          </cell>
          <cell r="E371" t="str">
            <v>ADS</v>
          </cell>
          <cell r="F371" t="str">
            <v>FS</v>
          </cell>
          <cell r="G371" t="str">
            <v>RODRIGO CORUMBA</v>
          </cell>
          <cell r="H371" t="str">
            <v>OP2</v>
          </cell>
          <cell r="I371" t="str">
            <v>OPERAÇÕES</v>
          </cell>
        </row>
        <row r="372">
          <cell r="A372">
            <v>1523</v>
          </cell>
          <cell r="B372" t="str">
            <v>SANTANDER - MODERNIZAÇÃO - APLICAÇÕES TERMO QUITAÇÃO (1523)</v>
          </cell>
          <cell r="C372" t="str">
            <v>SANTANDER</v>
          </cell>
          <cell r="D372" t="str">
            <v>ATIVO</v>
          </cell>
          <cell r="E372" t="str">
            <v>ADS</v>
          </cell>
          <cell r="F372" t="str">
            <v>FS</v>
          </cell>
          <cell r="G372" t="str">
            <v>RODRIGO CORUMBA</v>
          </cell>
          <cell r="H372" t="str">
            <v>OP2</v>
          </cell>
          <cell r="I372" t="str">
            <v>OPERAÇÕES</v>
          </cell>
        </row>
        <row r="373">
          <cell r="A373">
            <v>1524</v>
          </cell>
          <cell r="B373" t="str">
            <v>ADS - OUTPOST STUDIO.AI (1524)</v>
          </cell>
          <cell r="C373" t="str">
            <v>CUSTO_INDIRETO</v>
          </cell>
          <cell r="D373" t="str">
            <v>ATIVO</v>
          </cell>
          <cell r="E373" t="str">
            <v>ADS</v>
          </cell>
          <cell r="F373" t="str">
            <v>ALL</v>
          </cell>
          <cell r="G373" t="str">
            <v>ANA PAULA BRAUN</v>
          </cell>
          <cell r="H373" t="str">
            <v>OP</v>
          </cell>
          <cell r="I373" t="str">
            <v>OPERAÇÕES</v>
          </cell>
        </row>
        <row r="374">
          <cell r="A374">
            <v>1525</v>
          </cell>
          <cell r="B374" t="str">
            <v>IBAMETRO DS (1525)</v>
          </cell>
          <cell r="C374" t="str">
            <v>IBAMETRO</v>
          </cell>
          <cell r="D374" t="str">
            <v>ATIVO</v>
          </cell>
          <cell r="E374" t="str">
            <v>CSA</v>
          </cell>
          <cell r="F374" t="str">
            <v>PS</v>
          </cell>
          <cell r="G374" t="str">
            <v>ROGERIO GORDILHO</v>
          </cell>
          <cell r="H374" t="str">
            <v>OP4</v>
          </cell>
          <cell r="I374" t="str">
            <v>OPERAÇÕES</v>
          </cell>
        </row>
        <row r="375">
          <cell r="A375">
            <v>3134</v>
          </cell>
          <cell r="B375" t="str">
            <v>TJ - BA (3134)</v>
          </cell>
          <cell r="C375" t="str">
            <v>CUSTO_INDIRETO</v>
          </cell>
          <cell r="D375" t="str">
            <v>ATIVO</v>
          </cell>
          <cell r="E375" t="str">
            <v>CSA</v>
          </cell>
          <cell r="F375" t="str">
            <v>ALL</v>
          </cell>
          <cell r="G375" t="str">
            <v>EVANDRO BRAGA</v>
          </cell>
          <cell r="H375" t="str">
            <v>OP</v>
          </cell>
          <cell r="I375" t="str">
            <v>OPERAÇÕES</v>
          </cell>
        </row>
        <row r="376">
          <cell r="A376">
            <v>3135</v>
          </cell>
          <cell r="B376" t="str">
            <v>LE BISCUIT (3135)</v>
          </cell>
          <cell r="C376" t="str">
            <v>CUSTO_INDIRETO</v>
          </cell>
          <cell r="D376" t="str">
            <v>ATIVO</v>
          </cell>
          <cell r="E376" t="str">
            <v>CSA</v>
          </cell>
          <cell r="F376" t="str">
            <v>ALL</v>
          </cell>
          <cell r="G376" t="str">
            <v>EVANDRO BRAGA</v>
          </cell>
          <cell r="H376" t="str">
            <v>OP</v>
          </cell>
          <cell r="I376" t="str">
            <v>OPERAÇÕES</v>
          </cell>
        </row>
        <row r="377">
          <cell r="A377">
            <v>3136</v>
          </cell>
          <cell r="B377" t="str">
            <v>BANCO RENDIMENTO (3136)</v>
          </cell>
          <cell r="C377" t="str">
            <v>CUSTO_INDIRETO</v>
          </cell>
          <cell r="D377" t="str">
            <v>ATIVO</v>
          </cell>
          <cell r="E377" t="str">
            <v>CSA</v>
          </cell>
          <cell r="F377" t="str">
            <v>ALL</v>
          </cell>
          <cell r="G377" t="str">
            <v>EVANDRO BRAGA</v>
          </cell>
          <cell r="H377" t="str">
            <v>OP</v>
          </cell>
          <cell r="I377" t="str">
            <v>OPERAÇÕES</v>
          </cell>
        </row>
        <row r="378">
          <cell r="A378">
            <v>3137</v>
          </cell>
          <cell r="B378" t="str">
            <v>OI SERVICE DESK (3137)</v>
          </cell>
          <cell r="C378" t="str">
            <v>CUSTO_INDIRETO</v>
          </cell>
          <cell r="D378" t="str">
            <v>ATIVO</v>
          </cell>
          <cell r="E378" t="str">
            <v>CSA</v>
          </cell>
          <cell r="F378" t="str">
            <v>ALL</v>
          </cell>
          <cell r="G378" t="str">
            <v>EVANDRO BRAGA</v>
          </cell>
          <cell r="H378" t="str">
            <v>OP</v>
          </cell>
          <cell r="I378" t="str">
            <v>OPERAÇÕES</v>
          </cell>
        </row>
        <row r="379">
          <cell r="A379">
            <v>3138</v>
          </cell>
          <cell r="B379" t="str">
            <v>OI REDE GOVERNO (3138)</v>
          </cell>
          <cell r="C379" t="str">
            <v>CUSTO_INDIRETO</v>
          </cell>
          <cell r="D379" t="str">
            <v>ATIVO</v>
          </cell>
          <cell r="E379" t="str">
            <v>CSA</v>
          </cell>
          <cell r="F379" t="str">
            <v>ALL</v>
          </cell>
          <cell r="G379" t="str">
            <v>EVANDRO BRAGA</v>
          </cell>
          <cell r="H379" t="str">
            <v>OP</v>
          </cell>
          <cell r="I379" t="str">
            <v>OPERAÇÕES</v>
          </cell>
        </row>
        <row r="380">
          <cell r="A380">
            <v>3139</v>
          </cell>
          <cell r="B380" t="str">
            <v>OI REDE BAHIA (3139)</v>
          </cell>
          <cell r="C380" t="str">
            <v>CUSTO_INDIRETO</v>
          </cell>
          <cell r="D380" t="str">
            <v>ATIVO</v>
          </cell>
          <cell r="E380" t="str">
            <v>CSA</v>
          </cell>
          <cell r="F380" t="str">
            <v>ALL</v>
          </cell>
          <cell r="G380" t="str">
            <v>EVANDRO BRAGA</v>
          </cell>
          <cell r="H380" t="str">
            <v>OP</v>
          </cell>
          <cell r="I380" t="str">
            <v>OPERAÇÕES</v>
          </cell>
        </row>
        <row r="381">
          <cell r="A381">
            <v>3140</v>
          </cell>
          <cell r="B381" t="str">
            <v>EMBASA (3140)</v>
          </cell>
          <cell r="C381" t="str">
            <v>CUSTO_INDIRETO</v>
          </cell>
          <cell r="D381" t="str">
            <v>ATIVO</v>
          </cell>
          <cell r="E381" t="str">
            <v>CSA</v>
          </cell>
          <cell r="F381" t="str">
            <v>ALL</v>
          </cell>
          <cell r="G381" t="str">
            <v>EVANDRO BRAGA</v>
          </cell>
          <cell r="H381" t="str">
            <v>OP</v>
          </cell>
          <cell r="I381" t="str">
            <v>OPERAÇÕES</v>
          </cell>
        </row>
        <row r="382">
          <cell r="A382">
            <v>3141</v>
          </cell>
          <cell r="B382" t="str">
            <v>MP - BA (3141)</v>
          </cell>
          <cell r="C382" t="str">
            <v>CUSTO_INDIRETO</v>
          </cell>
          <cell r="D382" t="str">
            <v>ATIVO</v>
          </cell>
          <cell r="E382" t="str">
            <v>CSA</v>
          </cell>
          <cell r="F382" t="str">
            <v>ALL</v>
          </cell>
          <cell r="G382" t="str">
            <v>EVANDRO BRAGA</v>
          </cell>
          <cell r="H382" t="str">
            <v>OP</v>
          </cell>
          <cell r="I382" t="str">
            <v>OPERAÇÕES</v>
          </cell>
        </row>
        <row r="383">
          <cell r="A383">
            <v>3142</v>
          </cell>
          <cell r="B383" t="str">
            <v>SABESP (3142)</v>
          </cell>
          <cell r="C383" t="str">
            <v>CUSTO_INDIRETO</v>
          </cell>
          <cell r="D383" t="str">
            <v>ATIVO</v>
          </cell>
          <cell r="E383" t="str">
            <v>CSA</v>
          </cell>
          <cell r="F383" t="str">
            <v>ALL</v>
          </cell>
          <cell r="G383" t="str">
            <v>EVANDRO BRAGA</v>
          </cell>
          <cell r="H383" t="str">
            <v>OP</v>
          </cell>
          <cell r="I383" t="str">
            <v>OPERAÇÕES</v>
          </cell>
        </row>
        <row r="384">
          <cell r="A384">
            <v>3143</v>
          </cell>
          <cell r="B384" t="str">
            <v>SEC (3143)</v>
          </cell>
          <cell r="C384" t="str">
            <v>CUSTO_INDIRETO</v>
          </cell>
          <cell r="D384" t="str">
            <v>ATIVO</v>
          </cell>
          <cell r="E384" t="str">
            <v>CSA</v>
          </cell>
          <cell r="F384" t="str">
            <v>ALL</v>
          </cell>
          <cell r="G384" t="str">
            <v>EVANDRO BRAGA</v>
          </cell>
          <cell r="H384" t="str">
            <v>OP</v>
          </cell>
          <cell r="I384" t="str">
            <v>OPERAÇÕES</v>
          </cell>
        </row>
        <row r="385">
          <cell r="A385">
            <v>3144</v>
          </cell>
          <cell r="B385" t="str">
            <v>SEBRAE - SP (3144)</v>
          </cell>
          <cell r="C385" t="str">
            <v>CUSTO_INDIRETO</v>
          </cell>
          <cell r="D385" t="str">
            <v>ATIVO</v>
          </cell>
          <cell r="E385" t="str">
            <v>CSA</v>
          </cell>
          <cell r="F385" t="str">
            <v>ALL</v>
          </cell>
          <cell r="G385" t="str">
            <v>EVANDRO BRAGA</v>
          </cell>
          <cell r="H385" t="str">
            <v>OP</v>
          </cell>
          <cell r="I385" t="str">
            <v>OPERAÇÕES</v>
          </cell>
        </row>
        <row r="386">
          <cell r="A386">
            <v>3145</v>
          </cell>
          <cell r="B386" t="str">
            <v>MP - RJ (3145)</v>
          </cell>
          <cell r="C386" t="str">
            <v>CUSTO_INDIRETO</v>
          </cell>
          <cell r="D386" t="str">
            <v>ATIVO</v>
          </cell>
          <cell r="E386" t="str">
            <v>CSA</v>
          </cell>
          <cell r="F386" t="str">
            <v>ALL</v>
          </cell>
          <cell r="G386" t="str">
            <v>EVANDRO BRAGA</v>
          </cell>
          <cell r="H386" t="str">
            <v>OP</v>
          </cell>
          <cell r="I386" t="str">
            <v>OPERAÇÕES</v>
          </cell>
        </row>
        <row r="387">
          <cell r="A387">
            <v>3146</v>
          </cell>
          <cell r="B387" t="str">
            <v>SOLUTIS (3146)</v>
          </cell>
          <cell r="C387" t="str">
            <v>CUSTO_INDIRETO</v>
          </cell>
          <cell r="D387" t="str">
            <v>ATIVO</v>
          </cell>
          <cell r="E387" t="str">
            <v>CSA</v>
          </cell>
          <cell r="F387" t="str">
            <v>ALL</v>
          </cell>
          <cell r="G387" t="str">
            <v>EVANDRO BRAGA</v>
          </cell>
          <cell r="H387" t="str">
            <v>OP</v>
          </cell>
          <cell r="I387" t="str">
            <v>OPERAÇÕES</v>
          </cell>
        </row>
        <row r="388">
          <cell r="A388">
            <v>3147</v>
          </cell>
          <cell r="B388" t="str">
            <v>ELETROBRAS (3147)</v>
          </cell>
          <cell r="C388" t="str">
            <v>CUSTO_INDIRETO</v>
          </cell>
          <cell r="D388" t="str">
            <v>ATIVO</v>
          </cell>
          <cell r="E388" t="str">
            <v>CSA</v>
          </cell>
          <cell r="F388" t="str">
            <v>ALL</v>
          </cell>
          <cell r="G388" t="str">
            <v>EVANDRO BRAGA</v>
          </cell>
          <cell r="H388" t="str">
            <v>OP</v>
          </cell>
          <cell r="I388" t="str">
            <v>OPERAÇÕES</v>
          </cell>
        </row>
        <row r="389">
          <cell r="A389">
            <v>3148</v>
          </cell>
          <cell r="B389" t="str">
            <v>SEFAZ - BA (3148)</v>
          </cell>
          <cell r="C389" t="str">
            <v>CUSTO_INDIRETO</v>
          </cell>
          <cell r="D389" t="str">
            <v>ATIVO</v>
          </cell>
          <cell r="E389" t="str">
            <v>CSA</v>
          </cell>
          <cell r="F389" t="str">
            <v>ALL</v>
          </cell>
          <cell r="G389" t="str">
            <v>EVANDRO BRAGA</v>
          </cell>
          <cell r="H389" t="str">
            <v>OP</v>
          </cell>
          <cell r="I389" t="str">
            <v>OPERAÇÕES</v>
          </cell>
        </row>
        <row r="390">
          <cell r="A390">
            <v>3149</v>
          </cell>
          <cell r="B390" t="str">
            <v>DIGOP - SEBRAE-SP (3149)</v>
          </cell>
          <cell r="C390" t="str">
            <v>CUSTO_INDIRETO</v>
          </cell>
          <cell r="D390" t="str">
            <v>ATIVO</v>
          </cell>
          <cell r="E390" t="str">
            <v>CSA</v>
          </cell>
          <cell r="F390" t="str">
            <v>ALL</v>
          </cell>
          <cell r="G390" t="str">
            <v>EVANDRO BRAGA</v>
          </cell>
          <cell r="H390" t="str">
            <v>OP</v>
          </cell>
          <cell r="I390" t="str">
            <v>OPERAÇÕES</v>
          </cell>
        </row>
        <row r="391">
          <cell r="A391">
            <v>3150</v>
          </cell>
          <cell r="B391" t="str">
            <v>DIGOP - ATAKAREJO (3150)</v>
          </cell>
          <cell r="C391" t="str">
            <v>CUSTO_INDIRETO</v>
          </cell>
          <cell r="D391" t="str">
            <v>ATIVO</v>
          </cell>
          <cell r="E391" t="str">
            <v>CSA</v>
          </cell>
          <cell r="F391" t="str">
            <v>ALL</v>
          </cell>
          <cell r="G391" t="str">
            <v>EVANDRO BRAGA</v>
          </cell>
          <cell r="H391" t="str">
            <v>OP</v>
          </cell>
          <cell r="I391" t="str">
            <v>OPERAÇÕES</v>
          </cell>
        </row>
        <row r="392">
          <cell r="A392">
            <v>3151</v>
          </cell>
          <cell r="B392" t="str">
            <v>DIGOP - SERV COMPARTILHADO (3151)</v>
          </cell>
          <cell r="C392" t="str">
            <v>CUSTO_INDIRETO</v>
          </cell>
          <cell r="D392" t="str">
            <v>ATIVO</v>
          </cell>
          <cell r="E392" t="str">
            <v>CSA</v>
          </cell>
          <cell r="F392" t="str">
            <v>ALL</v>
          </cell>
          <cell r="G392" t="str">
            <v>EVANDRO BRAGA</v>
          </cell>
          <cell r="H392" t="str">
            <v>OP</v>
          </cell>
          <cell r="I392" t="str">
            <v>OPERAÇÕES</v>
          </cell>
        </row>
        <row r="393">
          <cell r="A393">
            <v>3152</v>
          </cell>
          <cell r="B393" t="str">
            <v>DIGOP - TI INTERNA (3152)</v>
          </cell>
          <cell r="C393" t="str">
            <v>CUSTO_INDIRETO</v>
          </cell>
          <cell r="D393" t="str">
            <v>ATIVO</v>
          </cell>
          <cell r="E393" t="str">
            <v>CSA</v>
          </cell>
          <cell r="F393" t="str">
            <v>ALL</v>
          </cell>
          <cell r="G393" t="str">
            <v>EVANDRO BRAGA</v>
          </cell>
          <cell r="H393" t="str">
            <v>OP</v>
          </cell>
          <cell r="I393" t="str">
            <v>OPERAÇÕES</v>
          </cell>
        </row>
        <row r="394">
          <cell r="A394">
            <v>3153</v>
          </cell>
          <cell r="B394" t="str">
            <v>DIGOP - SEC BA (3153)</v>
          </cell>
          <cell r="C394" t="str">
            <v>CUSTO_INDIRETO</v>
          </cell>
          <cell r="D394" t="str">
            <v>ATIVO</v>
          </cell>
          <cell r="E394" t="str">
            <v>CSA</v>
          </cell>
          <cell r="F394" t="str">
            <v>ALL</v>
          </cell>
          <cell r="G394" t="str">
            <v>EVANDRO BRAGA</v>
          </cell>
          <cell r="H394" t="str">
            <v>OP</v>
          </cell>
          <cell r="I394" t="str">
            <v>OPERAÇÕES</v>
          </cell>
        </row>
        <row r="395">
          <cell r="A395">
            <v>3154</v>
          </cell>
          <cell r="B395" t="str">
            <v>DIGOP - TJ BA (3154)</v>
          </cell>
          <cell r="C395" t="str">
            <v>CUSTO_INDIRETO</v>
          </cell>
          <cell r="D395" t="str">
            <v>ATIVO</v>
          </cell>
          <cell r="E395" t="str">
            <v>CSA</v>
          </cell>
          <cell r="F395" t="str">
            <v>ALL</v>
          </cell>
          <cell r="G395" t="str">
            <v>EVANDRO BRAGA</v>
          </cell>
          <cell r="H395" t="str">
            <v>OP</v>
          </cell>
          <cell r="I395" t="str">
            <v>OPERAÇÕES</v>
          </cell>
        </row>
        <row r="396">
          <cell r="A396">
            <v>3155</v>
          </cell>
          <cell r="B396" t="str">
            <v>DIGOP - SEFAZ BA (3155)</v>
          </cell>
          <cell r="C396" t="str">
            <v>CUSTO_INDIRETO</v>
          </cell>
          <cell r="D396" t="str">
            <v>ATIVO</v>
          </cell>
          <cell r="E396" t="str">
            <v>CSA</v>
          </cell>
          <cell r="F396" t="str">
            <v>ALL</v>
          </cell>
          <cell r="G396" t="str">
            <v>EVANDRO BRAGA</v>
          </cell>
          <cell r="H396" t="str">
            <v>OP</v>
          </cell>
          <cell r="I396" t="str">
            <v>OPERAÇÕES</v>
          </cell>
        </row>
        <row r="397">
          <cell r="A397">
            <v>3156</v>
          </cell>
          <cell r="B397" t="str">
            <v>DIGOP - BANCO RENDIMENTO (3156)</v>
          </cell>
          <cell r="C397" t="str">
            <v>CUSTO_INDIRETO</v>
          </cell>
          <cell r="D397" t="str">
            <v>ATIVO</v>
          </cell>
          <cell r="E397" t="str">
            <v>CSA</v>
          </cell>
          <cell r="F397" t="str">
            <v>ALL</v>
          </cell>
          <cell r="G397" t="str">
            <v>EVANDRO BRAGA</v>
          </cell>
          <cell r="H397" t="str">
            <v>OP</v>
          </cell>
          <cell r="I397" t="str">
            <v>OPERAÇÕES</v>
          </cell>
        </row>
        <row r="398">
          <cell r="A398">
            <v>3157</v>
          </cell>
          <cell r="B398" t="str">
            <v>DIGOP - DETRAN-BA MAINFRAME (3157)</v>
          </cell>
          <cell r="C398" t="str">
            <v>CUSTO_INDIRETO</v>
          </cell>
          <cell r="D398" t="str">
            <v>ATIVO</v>
          </cell>
          <cell r="E398" t="str">
            <v>CSA</v>
          </cell>
          <cell r="F398" t="str">
            <v>ALL</v>
          </cell>
          <cell r="G398" t="str">
            <v>EVANDRO BRAGA</v>
          </cell>
          <cell r="H398" t="str">
            <v>OP</v>
          </cell>
          <cell r="I398" t="str">
            <v>OPERAÇÕES</v>
          </cell>
        </row>
        <row r="399">
          <cell r="A399">
            <v>3158</v>
          </cell>
          <cell r="B399" t="str">
            <v>DIGOP - COMPASS (3158)</v>
          </cell>
          <cell r="C399" t="str">
            <v>CUSTO_INDIRETO</v>
          </cell>
          <cell r="D399" t="str">
            <v>ATIVO</v>
          </cell>
          <cell r="E399" t="str">
            <v>CSA</v>
          </cell>
          <cell r="F399" t="str">
            <v>ALL</v>
          </cell>
          <cell r="G399" t="str">
            <v>EVANDRO BRAGA</v>
          </cell>
          <cell r="H399" t="str">
            <v>OP</v>
          </cell>
          <cell r="I399" t="str">
            <v>OPERAÇÕES</v>
          </cell>
        </row>
        <row r="400">
          <cell r="A400">
            <v>3159</v>
          </cell>
          <cell r="B400" t="str">
            <v>COMPASS (3159)</v>
          </cell>
          <cell r="C400" t="str">
            <v>CUSTO_INDIRETO</v>
          </cell>
          <cell r="D400" t="str">
            <v>ATIVO</v>
          </cell>
          <cell r="E400" t="str">
            <v>CSA</v>
          </cell>
          <cell r="F400" t="str">
            <v>ALL</v>
          </cell>
          <cell r="G400" t="str">
            <v>EVANDRO BRAGA</v>
          </cell>
          <cell r="H400" t="str">
            <v>OP</v>
          </cell>
          <cell r="I400" t="str">
            <v>OPERAÇÕES</v>
          </cell>
        </row>
        <row r="401">
          <cell r="A401">
            <v>3160</v>
          </cell>
          <cell r="B401" t="str">
            <v>DM - SHARED TEAM (3160)</v>
          </cell>
          <cell r="C401" t="str">
            <v>CUSTO_INDIRETO</v>
          </cell>
          <cell r="D401" t="str">
            <v>ATIVO</v>
          </cell>
          <cell r="E401" t="str">
            <v>CSA</v>
          </cell>
          <cell r="F401" t="str">
            <v>ALL</v>
          </cell>
          <cell r="G401" t="str">
            <v>EVANDRO BRAGA</v>
          </cell>
          <cell r="H401" t="str">
            <v>OP</v>
          </cell>
          <cell r="I401" t="str">
            <v>OPERAÇÕES</v>
          </cell>
        </row>
        <row r="402">
          <cell r="A402">
            <v>3161</v>
          </cell>
          <cell r="B402" t="str">
            <v>DM - ELETROBRÁS (3161)</v>
          </cell>
          <cell r="C402" t="str">
            <v>CUSTO_INDIRETO</v>
          </cell>
          <cell r="D402" t="str">
            <v>ATIVO</v>
          </cell>
          <cell r="E402" t="str">
            <v>CSA</v>
          </cell>
          <cell r="F402" t="str">
            <v>ALL</v>
          </cell>
          <cell r="G402" t="str">
            <v>EVANDRO BRAGA</v>
          </cell>
          <cell r="H402" t="str">
            <v>OP</v>
          </cell>
          <cell r="I402" t="str">
            <v>OPERAÇÕES</v>
          </cell>
        </row>
        <row r="403">
          <cell r="A403">
            <v>3162</v>
          </cell>
          <cell r="B403" t="str">
            <v>DM - SEFAZ BA (3162)</v>
          </cell>
          <cell r="C403" t="str">
            <v>CUSTO_INDIRETO</v>
          </cell>
          <cell r="D403" t="str">
            <v>ATIVO</v>
          </cell>
          <cell r="E403" t="str">
            <v>CSA</v>
          </cell>
          <cell r="F403" t="str">
            <v>ALL</v>
          </cell>
          <cell r="G403" t="str">
            <v>EVANDRO BRAGA</v>
          </cell>
          <cell r="H403" t="str">
            <v>OP</v>
          </cell>
          <cell r="I403" t="str">
            <v>OPERAÇÕES</v>
          </cell>
        </row>
        <row r="404">
          <cell r="A404">
            <v>3163</v>
          </cell>
          <cell r="B404" t="str">
            <v>DMO - BANCO RENDIMENTO (3163)</v>
          </cell>
          <cell r="C404" t="str">
            <v>CUSTO_INDIRETO</v>
          </cell>
          <cell r="D404" t="str">
            <v>ATIVO</v>
          </cell>
          <cell r="E404" t="str">
            <v>CSA</v>
          </cell>
          <cell r="F404" t="str">
            <v>ALL</v>
          </cell>
          <cell r="G404" t="str">
            <v>EVANDRO BRAGA</v>
          </cell>
          <cell r="H404" t="str">
            <v>OP</v>
          </cell>
          <cell r="I404" t="str">
            <v>OPERAÇÕES</v>
          </cell>
        </row>
        <row r="405">
          <cell r="A405">
            <v>3164</v>
          </cell>
          <cell r="B405" t="str">
            <v>DMO - TJ BA (3164)</v>
          </cell>
          <cell r="C405" t="str">
            <v>CUSTO_INDIRETO</v>
          </cell>
          <cell r="D405" t="str">
            <v>ATIVO</v>
          </cell>
          <cell r="E405" t="str">
            <v>CSA</v>
          </cell>
          <cell r="F405" t="str">
            <v>ALL</v>
          </cell>
          <cell r="G405" t="str">
            <v>EVANDRO BRAGA</v>
          </cell>
          <cell r="H405" t="str">
            <v>OP</v>
          </cell>
          <cell r="I405" t="str">
            <v>OPERAÇÕES</v>
          </cell>
        </row>
        <row r="406">
          <cell r="A406">
            <v>3165</v>
          </cell>
          <cell r="B406" t="str">
            <v>DPE (3165)</v>
          </cell>
          <cell r="C406" t="str">
            <v>CUSTO_INDIRETO</v>
          </cell>
          <cell r="D406" t="str">
            <v>ATIVO</v>
          </cell>
          <cell r="E406" t="str">
            <v>CSA</v>
          </cell>
          <cell r="F406" t="str">
            <v>ALL</v>
          </cell>
          <cell r="G406" t="str">
            <v>EVANDRO BRAGA</v>
          </cell>
          <cell r="H406" t="str">
            <v>OP</v>
          </cell>
          <cell r="I406" t="str">
            <v>OPERAÇÕES</v>
          </cell>
        </row>
        <row r="407">
          <cell r="A407">
            <v>3166</v>
          </cell>
          <cell r="B407" t="str">
            <v>DIGOP - DPE BA (3166)</v>
          </cell>
          <cell r="C407" t="str">
            <v>CUSTO_INDIRETO</v>
          </cell>
          <cell r="D407" t="str">
            <v>ATIVO</v>
          </cell>
          <cell r="E407" t="str">
            <v>CSA</v>
          </cell>
          <cell r="F407" t="str">
            <v>ALL</v>
          </cell>
          <cell r="G407" t="str">
            <v>EVANDRO BRAGA</v>
          </cell>
          <cell r="H407" t="str">
            <v>OP</v>
          </cell>
          <cell r="I407" t="str">
            <v>OPERAÇÕES</v>
          </cell>
        </row>
        <row r="408">
          <cell r="A408">
            <v>3168</v>
          </cell>
          <cell r="B408" t="str">
            <v>UNIPAR (3186)</v>
          </cell>
          <cell r="C408" t="str">
            <v>CUSTO_INDIRETO</v>
          </cell>
          <cell r="D408" t="str">
            <v>ATIVO</v>
          </cell>
          <cell r="E408" t="str">
            <v>CSA</v>
          </cell>
          <cell r="F408" t="str">
            <v>ALL</v>
          </cell>
          <cell r="G408" t="str">
            <v>EVANDRO BRAGA</v>
          </cell>
          <cell r="H408" t="str">
            <v>OP</v>
          </cell>
          <cell r="I408" t="str">
            <v>OPERAÇÕES</v>
          </cell>
        </row>
        <row r="409">
          <cell r="A409">
            <v>3167</v>
          </cell>
          <cell r="B409" t="str">
            <v>GNC (3167)</v>
          </cell>
          <cell r="C409" t="str">
            <v>CUSTO_INDIRETO</v>
          </cell>
          <cell r="D409" t="str">
            <v>ATIVO</v>
          </cell>
          <cell r="E409" t="str">
            <v>CSA</v>
          </cell>
          <cell r="F409" t="str">
            <v>ALL</v>
          </cell>
          <cell r="G409" t="str">
            <v>EVANDRO BRAGA</v>
          </cell>
          <cell r="H409" t="str">
            <v>OP</v>
          </cell>
          <cell r="I409" t="str">
            <v>OPERAÇÕES</v>
          </cell>
        </row>
        <row r="410">
          <cell r="A410">
            <v>3169</v>
          </cell>
          <cell r="B410" t="str">
            <v>FIELD SP (3169)</v>
          </cell>
          <cell r="C410" t="str">
            <v>CUSTO_INDIRETO</v>
          </cell>
          <cell r="D410" t="str">
            <v>ATIVO</v>
          </cell>
          <cell r="E410" t="str">
            <v>CSA</v>
          </cell>
          <cell r="F410" t="str">
            <v>ALL</v>
          </cell>
          <cell r="G410" t="str">
            <v>EVANDRO BRAGA</v>
          </cell>
          <cell r="H410" t="str">
            <v>OP</v>
          </cell>
          <cell r="I410" t="str">
            <v>OPERAÇÕES</v>
          </cell>
        </row>
        <row r="411">
          <cell r="A411">
            <v>3170</v>
          </cell>
          <cell r="B411" t="str">
            <v>PROGRAMA START (3170</v>
          </cell>
          <cell r="C411" t="str">
            <v>CUSTO_INDIRETO</v>
          </cell>
          <cell r="D411" t="str">
            <v>ATIVO</v>
          </cell>
          <cell r="E411" t="str">
            <v>CSA</v>
          </cell>
          <cell r="F411" t="str">
            <v>ALL</v>
          </cell>
          <cell r="G411" t="str">
            <v>EVANDRO BRAGA</v>
          </cell>
          <cell r="H411" t="str">
            <v>OP</v>
          </cell>
          <cell r="I411" t="str">
            <v>OPERAÇÕES</v>
          </cell>
        </row>
        <row r="412">
          <cell r="A412">
            <v>1526</v>
          </cell>
          <cell r="B412" t="str">
            <v xml:space="preserve">EVENTOS (1526)
</v>
          </cell>
          <cell r="C412" t="str">
            <v>MKT</v>
          </cell>
          <cell r="D412" t="str">
            <v>ATIVO</v>
          </cell>
          <cell r="E412" t="str">
            <v>TX_ADM</v>
          </cell>
          <cell r="F412" t="str">
            <v>ALL</v>
          </cell>
          <cell r="G412" t="str">
            <v>DEBORA LIMA</v>
          </cell>
          <cell r="H412" t="str">
            <v>OP</v>
          </cell>
          <cell r="I412" t="str">
            <v>CORPORATIVO</v>
          </cell>
        </row>
        <row r="413">
          <cell r="A413">
            <v>1531</v>
          </cell>
          <cell r="B413" t="str">
            <v>DATA ANALYTICS (1531)</v>
          </cell>
          <cell r="C413" t="str">
            <v>ADM/FIN</v>
          </cell>
          <cell r="D413" t="str">
            <v>ATIVO</v>
          </cell>
          <cell r="E413" t="str">
            <v>TX_ADM</v>
          </cell>
          <cell r="F413" t="str">
            <v>ALL</v>
          </cell>
          <cell r="G413" t="str">
            <v>ANDRÉ MOTA</v>
          </cell>
          <cell r="H413" t="str">
            <v>OP</v>
          </cell>
          <cell r="I413" t="str">
            <v>CORPORATIVO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gerio Calmon Moreno Gordilho" id="{352C7EF3-3D04-40CF-B4C1-CB1C14C373F4}" userId="S::rogerio.gordilho@solutis.com.br::701bb9ae-9a1e-4fd9-a017-b5db42907f0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5" dT="2026-07-10T19:59:22.43" personId="{352C7EF3-3D04-40CF-B4C1-CB1C14C373F4}" id="{387FA29F-1826-4E84-AEB0-57D8580111C3}">
    <text>reajuste contratual 4,90%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CDFF-8A9A-411D-9E5E-EEF807818C58}">
  <dimension ref="A1:J54"/>
  <sheetViews>
    <sheetView tabSelected="1" topLeftCell="A37" workbookViewId="0">
      <selection activeCell="C66" sqref="C66"/>
    </sheetView>
  </sheetViews>
  <sheetFormatPr defaultRowHeight="14.4" x14ac:dyDescent="0.3"/>
  <cols>
    <col min="2" max="2" width="30.109375" bestFit="1" customWidth="1"/>
    <col min="4" max="4" width="28.6640625" bestFit="1" customWidth="1"/>
    <col min="9" max="9" width="11.218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>
        <v>46174</v>
      </c>
      <c r="J1" s="5" t="s">
        <v>8</v>
      </c>
    </row>
    <row r="2" spans="1:10" x14ac:dyDescent="0.3">
      <c r="A2" s="6">
        <v>1273</v>
      </c>
      <c r="B2" s="7" t="s">
        <v>9</v>
      </c>
      <c r="C2" s="8" t="str">
        <f>VLOOKUP(A2,[1]Local!A:E,3,0)</f>
        <v>TJ_BA</v>
      </c>
      <c r="D2" s="9" t="s">
        <v>10</v>
      </c>
      <c r="E2" s="10" t="s">
        <v>11</v>
      </c>
      <c r="F2" s="6" t="s">
        <v>12</v>
      </c>
      <c r="G2" s="6" t="s">
        <v>13</v>
      </c>
      <c r="H2" s="11" t="s">
        <v>14</v>
      </c>
      <c r="I2" s="12">
        <v>800000</v>
      </c>
      <c r="J2" t="str">
        <f>VLOOKUP(A2,[1]CC!A:I,8,0)</f>
        <v>OP3</v>
      </c>
    </row>
    <row r="3" spans="1:10" x14ac:dyDescent="0.3">
      <c r="A3" s="6">
        <v>1277</v>
      </c>
      <c r="B3" s="7" t="s">
        <v>95</v>
      </c>
      <c r="C3" s="8" t="str">
        <f>VLOOKUP(A3,[1]Local!A:E,3,0)</f>
        <v>TJ_BA</v>
      </c>
      <c r="D3" s="9" t="s">
        <v>96</v>
      </c>
      <c r="E3" s="10" t="s">
        <v>11</v>
      </c>
      <c r="F3" s="6" t="s">
        <v>12</v>
      </c>
      <c r="G3" s="6" t="s">
        <v>13</v>
      </c>
      <c r="H3" s="11" t="s">
        <v>14</v>
      </c>
      <c r="I3" s="12">
        <v>178633.44</v>
      </c>
      <c r="J3" t="str">
        <f>VLOOKUP(A3,[1]CC!A:I,8,0)</f>
        <v>OP3</v>
      </c>
    </row>
    <row r="4" spans="1:10" x14ac:dyDescent="0.3">
      <c r="A4" s="6">
        <v>1514</v>
      </c>
      <c r="B4" s="7" t="s">
        <v>87</v>
      </c>
      <c r="C4" s="8" t="str">
        <f>VLOOKUP(A4,[1]Local!A:E,3,0)</f>
        <v>TJ_BA</v>
      </c>
      <c r="D4" s="9" t="s">
        <v>88</v>
      </c>
      <c r="E4" s="10" t="s">
        <v>11</v>
      </c>
      <c r="F4" s="6" t="s">
        <v>16</v>
      </c>
      <c r="G4" s="6" t="s">
        <v>13</v>
      </c>
      <c r="H4" s="11" t="s">
        <v>14</v>
      </c>
      <c r="I4" s="12">
        <v>2649000</v>
      </c>
      <c r="J4" t="str">
        <f>VLOOKUP(A4,[1]CC!A:I,8,0)</f>
        <v>OP3</v>
      </c>
    </row>
    <row r="5" spans="1:10" x14ac:dyDescent="0.3">
      <c r="A5" s="6">
        <v>1476</v>
      </c>
      <c r="B5" s="7" t="s">
        <v>15</v>
      </c>
      <c r="C5" s="8" t="str">
        <f>VLOOKUP(A5,[1]Local!A:E,3,0)</f>
        <v>DPE</v>
      </c>
      <c r="D5" s="9" t="s">
        <v>15</v>
      </c>
      <c r="E5" s="10" t="s">
        <v>18</v>
      </c>
      <c r="F5" s="6" t="s">
        <v>12</v>
      </c>
      <c r="G5" s="6" t="s">
        <v>13</v>
      </c>
      <c r="H5" s="11" t="s">
        <v>14</v>
      </c>
      <c r="I5" s="12">
        <v>394806</v>
      </c>
      <c r="J5" t="str">
        <f>VLOOKUP(A5,[1]CC!A:I,8,0)</f>
        <v>OP4</v>
      </c>
    </row>
    <row r="6" spans="1:10" x14ac:dyDescent="0.3">
      <c r="A6" s="6">
        <v>1358</v>
      </c>
      <c r="B6" s="7" t="s">
        <v>17</v>
      </c>
      <c r="C6" s="8" t="str">
        <f>VLOOKUP(A6,[1]Local!A:E,3,0)</f>
        <v>INEMA</v>
      </c>
      <c r="D6" s="9" t="s">
        <v>20</v>
      </c>
      <c r="E6" s="10" t="s">
        <v>18</v>
      </c>
      <c r="F6" s="6" t="s">
        <v>12</v>
      </c>
      <c r="G6" s="6" t="s">
        <v>13</v>
      </c>
      <c r="H6" s="11" t="s">
        <v>14</v>
      </c>
      <c r="I6" s="12">
        <v>194112</v>
      </c>
      <c r="J6" t="str">
        <f>VLOOKUP(A6,[1]CC!A:I,8,0)</f>
        <v>OP4</v>
      </c>
    </row>
    <row r="7" spans="1:10" x14ac:dyDescent="0.3">
      <c r="A7" s="6">
        <v>1390</v>
      </c>
      <c r="B7" s="7" t="s">
        <v>19</v>
      </c>
      <c r="C7" s="8" t="str">
        <f>VLOOKUP(A7,[1]Local!A:E,3,0)</f>
        <v>Oi</v>
      </c>
      <c r="D7" s="9" t="s">
        <v>19</v>
      </c>
      <c r="E7" s="10" t="s">
        <v>22</v>
      </c>
      <c r="F7" s="6" t="s">
        <v>12</v>
      </c>
      <c r="G7" s="6" t="s">
        <v>23</v>
      </c>
      <c r="H7" s="11" t="s">
        <v>14</v>
      </c>
      <c r="I7" s="12">
        <v>41660</v>
      </c>
      <c r="J7" t="str">
        <f>VLOOKUP(A7,[1]CC!A:I,8,0)</f>
        <v>OP2</v>
      </c>
    </row>
    <row r="8" spans="1:10" x14ac:dyDescent="0.3">
      <c r="A8" s="6">
        <v>1394</v>
      </c>
      <c r="B8" s="6" t="s">
        <v>21</v>
      </c>
      <c r="C8" s="8" t="str">
        <f>VLOOKUP(A8,[1]Local!A:E,3,0)</f>
        <v>SEFAZ_BA</v>
      </c>
      <c r="D8" s="9" t="s">
        <v>24</v>
      </c>
      <c r="E8" s="10" t="s">
        <v>25</v>
      </c>
      <c r="F8" s="6" t="s">
        <v>12</v>
      </c>
      <c r="G8" s="6" t="s">
        <v>13</v>
      </c>
      <c r="H8" s="11" t="s">
        <v>14</v>
      </c>
      <c r="I8" s="12">
        <v>1781546</v>
      </c>
      <c r="J8" t="str">
        <f>VLOOKUP(A8,[1]CC!A:I,8,0)</f>
        <v>OP4</v>
      </c>
    </row>
    <row r="9" spans="1:10" x14ac:dyDescent="0.3">
      <c r="A9" s="6">
        <v>1518</v>
      </c>
      <c r="B9" s="6" t="s">
        <v>21</v>
      </c>
      <c r="C9" s="8" t="str">
        <f>VLOOKUP(A9,[1]Local!A:E,3,0)</f>
        <v>SEFAZ_BA</v>
      </c>
      <c r="D9" s="9" t="s">
        <v>27</v>
      </c>
      <c r="E9" s="10" t="s">
        <v>25</v>
      </c>
      <c r="F9" s="6" t="s">
        <v>16</v>
      </c>
      <c r="G9" s="6" t="s">
        <v>13</v>
      </c>
      <c r="H9" s="11" t="s">
        <v>14</v>
      </c>
      <c r="I9" s="12">
        <v>44930.31</v>
      </c>
      <c r="J9" t="str">
        <f>VLOOKUP(A9,[1]CC!A:I,8,0)</f>
        <v>OP4</v>
      </c>
    </row>
    <row r="10" spans="1:10" x14ac:dyDescent="0.3">
      <c r="A10" s="6">
        <v>1538</v>
      </c>
      <c r="B10" s="9" t="s">
        <v>100</v>
      </c>
      <c r="C10" s="8" t="str">
        <f>VLOOKUP(A10,[1]Local!A:E,3,0)</f>
        <v>SEFAZ_BA</v>
      </c>
      <c r="D10" s="9" t="s">
        <v>101</v>
      </c>
      <c r="E10" s="10" t="s">
        <v>25</v>
      </c>
      <c r="F10" s="6" t="s">
        <v>12</v>
      </c>
      <c r="G10" s="6" t="s">
        <v>13</v>
      </c>
      <c r="H10" s="11" t="s">
        <v>14</v>
      </c>
      <c r="I10" s="12">
        <v>42453</v>
      </c>
      <c r="J10" t="s">
        <v>98</v>
      </c>
    </row>
    <row r="11" spans="1:10" x14ac:dyDescent="0.3">
      <c r="A11" s="6">
        <v>1388</v>
      </c>
      <c r="B11" s="7" t="s">
        <v>26</v>
      </c>
      <c r="C11" s="8" t="str">
        <f>VLOOKUP(A11,[1]Local!A:E,3,0)</f>
        <v>Sabesp</v>
      </c>
      <c r="D11" s="9" t="s">
        <v>29</v>
      </c>
      <c r="E11" s="10" t="s">
        <v>30</v>
      </c>
      <c r="F11" s="6" t="s">
        <v>16</v>
      </c>
      <c r="G11" s="6" t="s">
        <v>23</v>
      </c>
      <c r="H11" s="11" t="s">
        <v>14</v>
      </c>
      <c r="I11" s="12">
        <v>204712</v>
      </c>
      <c r="J11" t="str">
        <f>VLOOKUP(A11,[1]CC!A:I,8,0)</f>
        <v>OP1</v>
      </c>
    </row>
    <row r="12" spans="1:10" x14ac:dyDescent="0.3">
      <c r="A12" s="6">
        <v>1400</v>
      </c>
      <c r="B12" s="6" t="s">
        <v>28</v>
      </c>
      <c r="C12" s="8" t="str">
        <f>VLOOKUP(A12,[1]Local!A:E,3,0)</f>
        <v>Sabesp</v>
      </c>
      <c r="D12" s="9" t="s">
        <v>28</v>
      </c>
      <c r="E12" s="10" t="s">
        <v>30</v>
      </c>
      <c r="F12" s="6" t="s">
        <v>16</v>
      </c>
      <c r="G12" s="6" t="s">
        <v>23</v>
      </c>
      <c r="H12" s="11" t="s">
        <v>14</v>
      </c>
      <c r="I12" s="25">
        <v>568287</v>
      </c>
      <c r="J12" t="str">
        <f>VLOOKUP(A12,[1]CC!A:I,8,0)</f>
        <v>OP1</v>
      </c>
    </row>
    <row r="13" spans="1:10" x14ac:dyDescent="0.3">
      <c r="A13" s="6">
        <v>1501</v>
      </c>
      <c r="B13" s="14" t="s">
        <v>31</v>
      </c>
      <c r="C13" s="8" t="str">
        <f>VLOOKUP(A13,[1]Local!A:E,3,0)</f>
        <v>SABESP</v>
      </c>
      <c r="D13" s="9" t="s">
        <v>33</v>
      </c>
      <c r="E13" s="10" t="s">
        <v>30</v>
      </c>
      <c r="F13" s="6" t="s">
        <v>12</v>
      </c>
      <c r="G13" s="6" t="s">
        <v>23</v>
      </c>
      <c r="H13" s="11" t="s">
        <v>14</v>
      </c>
      <c r="I13" s="15">
        <v>444000</v>
      </c>
      <c r="J13" t="str">
        <f>VLOOKUP(A13,[1]CC!A:I,8,0)</f>
        <v>OP1</v>
      </c>
    </row>
    <row r="14" spans="1:10" x14ac:dyDescent="0.3">
      <c r="A14" s="6">
        <v>1271</v>
      </c>
      <c r="B14" s="7" t="s">
        <v>32</v>
      </c>
      <c r="C14" s="8" t="str">
        <f>VLOOKUP(A14,[1]Local!A:E,3,0)</f>
        <v>SEC-BA</v>
      </c>
      <c r="D14" s="9" t="s">
        <v>35</v>
      </c>
      <c r="E14" s="10" t="s">
        <v>11</v>
      </c>
      <c r="F14" s="6" t="s">
        <v>12</v>
      </c>
      <c r="G14" s="6" t="s">
        <v>13</v>
      </c>
      <c r="H14" s="11" t="s">
        <v>14</v>
      </c>
      <c r="I14" s="12">
        <v>511196</v>
      </c>
      <c r="J14" t="str">
        <f>VLOOKUP(A14,[1]CC!A:I,8,0)</f>
        <v>OP3</v>
      </c>
    </row>
    <row r="15" spans="1:10" x14ac:dyDescent="0.3">
      <c r="A15" s="6">
        <v>1288</v>
      </c>
      <c r="B15" s="7" t="s">
        <v>34</v>
      </c>
      <c r="C15" s="8" t="str">
        <f>VLOOKUP(A15,[1]Local!A:E,3,0)</f>
        <v>SEC-BA</v>
      </c>
      <c r="D15" s="9" t="s">
        <v>37</v>
      </c>
      <c r="E15" s="10" t="s">
        <v>11</v>
      </c>
      <c r="F15" s="6" t="s">
        <v>16</v>
      </c>
      <c r="G15" s="6" t="s">
        <v>13</v>
      </c>
      <c r="H15" s="11" t="s">
        <v>14</v>
      </c>
      <c r="I15" s="16">
        <v>393560</v>
      </c>
      <c r="J15" t="str">
        <f>VLOOKUP(A15,[1]CC!A:I,8,0)</f>
        <v>OP3</v>
      </c>
    </row>
    <row r="16" spans="1:10" x14ac:dyDescent="0.3">
      <c r="A16" s="6">
        <v>1289</v>
      </c>
      <c r="B16" s="7" t="s">
        <v>36</v>
      </c>
      <c r="C16" s="8" t="str">
        <f>VLOOKUP(A16,[1]Local!A:E,3,0)</f>
        <v>SEC-BA</v>
      </c>
      <c r="D16" s="9" t="s">
        <v>39</v>
      </c>
      <c r="E16" s="10" t="s">
        <v>11</v>
      </c>
      <c r="F16" s="6" t="s">
        <v>12</v>
      </c>
      <c r="G16" s="6" t="s">
        <v>13</v>
      </c>
      <c r="H16" s="11" t="s">
        <v>14</v>
      </c>
      <c r="I16" s="15">
        <v>603834</v>
      </c>
      <c r="J16" t="str">
        <f>VLOOKUP(A16,[1]CC!A:I,8,0)</f>
        <v>OP3</v>
      </c>
    </row>
    <row r="17" spans="1:10" x14ac:dyDescent="0.3">
      <c r="A17" s="6">
        <v>1299</v>
      </c>
      <c r="B17" s="7" t="s">
        <v>38</v>
      </c>
      <c r="C17" s="8" t="str">
        <f>VLOOKUP(A17,[1]Local!A:E,3,0)</f>
        <v>SEC-BA</v>
      </c>
      <c r="D17" s="9" t="s">
        <v>38</v>
      </c>
      <c r="E17" s="10" t="s">
        <v>11</v>
      </c>
      <c r="F17" s="6" t="s">
        <v>16</v>
      </c>
      <c r="G17" s="6" t="s">
        <v>13</v>
      </c>
      <c r="H17" s="11" t="s">
        <v>14</v>
      </c>
      <c r="I17" s="12">
        <v>2040000</v>
      </c>
      <c r="J17" t="str">
        <f>VLOOKUP(A17,[1]CC!A:I,8,0)</f>
        <v>OP3</v>
      </c>
    </row>
    <row r="18" spans="1:10" x14ac:dyDescent="0.3">
      <c r="A18" s="6">
        <v>1298</v>
      </c>
      <c r="B18" s="6" t="s">
        <v>40</v>
      </c>
      <c r="C18" s="8" t="str">
        <f>VLOOKUP(A18,[1]Local!A:E,3,0)</f>
        <v>SEBRAE</v>
      </c>
      <c r="D18" s="9" t="s">
        <v>40</v>
      </c>
      <c r="E18" s="10" t="s">
        <v>22</v>
      </c>
      <c r="F18" s="6" t="s">
        <v>12</v>
      </c>
      <c r="G18" s="6" t="s">
        <v>13</v>
      </c>
      <c r="H18" s="11" t="s">
        <v>14</v>
      </c>
      <c r="I18" s="15">
        <v>294001</v>
      </c>
      <c r="J18" t="str">
        <f>VLOOKUP(A18,[1]CC!A:I,8,0)</f>
        <v>OP2</v>
      </c>
    </row>
    <row r="19" spans="1:10" x14ac:dyDescent="0.3">
      <c r="A19" s="6">
        <v>1290</v>
      </c>
      <c r="B19" s="7" t="s">
        <v>41</v>
      </c>
      <c r="C19" s="8" t="str">
        <f>VLOOKUP(A19,[1]Local!A:E,3,0)</f>
        <v>EMBASA</v>
      </c>
      <c r="D19" s="9" t="s">
        <v>42</v>
      </c>
      <c r="E19" s="10" t="s">
        <v>18</v>
      </c>
      <c r="F19" s="6" t="s">
        <v>12</v>
      </c>
      <c r="G19" s="6" t="s">
        <v>23</v>
      </c>
      <c r="H19" s="11" t="s">
        <v>14</v>
      </c>
      <c r="I19" s="15">
        <v>56683</v>
      </c>
      <c r="J19" t="str">
        <f>VLOOKUP(A19,[1]CC!A:I,8,0)</f>
        <v>OP4</v>
      </c>
    </row>
    <row r="20" spans="1:10" x14ac:dyDescent="0.3">
      <c r="A20" s="6">
        <v>1490</v>
      </c>
      <c r="B20" s="7"/>
      <c r="C20" s="8" t="str">
        <f>VLOOKUP(A20,[1]Local!A:E,3,0)</f>
        <v>EMBASA</v>
      </c>
      <c r="D20" s="9" t="s">
        <v>44</v>
      </c>
      <c r="E20" s="10" t="s">
        <v>18</v>
      </c>
      <c r="F20" s="6" t="s">
        <v>12</v>
      </c>
      <c r="G20" s="6" t="s">
        <v>23</v>
      </c>
      <c r="H20" s="11" t="s">
        <v>14</v>
      </c>
      <c r="I20" s="12">
        <v>2433</v>
      </c>
      <c r="J20" t="str">
        <f>VLOOKUP(A20,[1]CC!A:I,8,0)</f>
        <v>OP4</v>
      </c>
    </row>
    <row r="21" spans="1:10" x14ac:dyDescent="0.3">
      <c r="A21" s="6">
        <v>1473</v>
      </c>
      <c r="B21" s="6" t="s">
        <v>89</v>
      </c>
      <c r="C21" s="8" t="str">
        <f>VLOOKUP(A21,[1]Local!A:E,3,0)</f>
        <v>MP_BA</v>
      </c>
      <c r="D21" s="9" t="s">
        <v>90</v>
      </c>
      <c r="E21" s="10" t="s">
        <v>18</v>
      </c>
      <c r="F21" s="6" t="s">
        <v>12</v>
      </c>
      <c r="G21" s="6" t="s">
        <v>13</v>
      </c>
      <c r="H21" s="11" t="s">
        <v>14</v>
      </c>
      <c r="I21" s="12">
        <v>496600</v>
      </c>
      <c r="J21" t="str">
        <f>VLOOKUP(A21,[1]CC!A:I,8,0)</f>
        <v>OP4</v>
      </c>
    </row>
    <row r="22" spans="1:10" x14ac:dyDescent="0.3">
      <c r="A22" s="6">
        <v>1294</v>
      </c>
      <c r="B22" s="7" t="s">
        <v>43</v>
      </c>
      <c r="C22" s="8" t="str">
        <f>VLOOKUP(A22,[1]Local!A:E,3,0)</f>
        <v>BRADESCO</v>
      </c>
      <c r="D22" s="9" t="s">
        <v>43</v>
      </c>
      <c r="E22" s="10" t="s">
        <v>47</v>
      </c>
      <c r="F22" s="6" t="s">
        <v>16</v>
      </c>
      <c r="G22" s="6" t="s">
        <v>48</v>
      </c>
      <c r="H22" s="11" t="s">
        <v>14</v>
      </c>
      <c r="I22" s="21">
        <v>78000</v>
      </c>
      <c r="J22" t="str">
        <f>VLOOKUP(A22,[1]CC!A:I,8,0)</f>
        <v>OP1</v>
      </c>
    </row>
    <row r="23" spans="1:10" x14ac:dyDescent="0.3">
      <c r="A23" s="6">
        <v>1391</v>
      </c>
      <c r="B23" s="17" t="s">
        <v>45</v>
      </c>
      <c r="C23" s="8" t="str">
        <f>VLOOKUP(A23,[1]Local!A:E,3,0)</f>
        <v>BRADESCO</v>
      </c>
      <c r="D23" s="9" t="s">
        <v>49</v>
      </c>
      <c r="E23" s="10" t="s">
        <v>47</v>
      </c>
      <c r="F23" s="6" t="s">
        <v>16</v>
      </c>
      <c r="G23" s="6" t="s">
        <v>48</v>
      </c>
      <c r="H23" s="11" t="s">
        <v>14</v>
      </c>
      <c r="I23" s="12">
        <v>831177.94720000005</v>
      </c>
      <c r="J23" t="str">
        <f>VLOOKUP(A23,[1]CC!A:I,8,0)</f>
        <v>OP1</v>
      </c>
    </row>
    <row r="24" spans="1:10" x14ac:dyDescent="0.3">
      <c r="A24" s="6">
        <v>1268</v>
      </c>
      <c r="B24" s="18" t="s">
        <v>46</v>
      </c>
      <c r="C24" s="8" t="s">
        <v>99</v>
      </c>
      <c r="D24" s="9" t="s">
        <v>50</v>
      </c>
      <c r="E24" s="10" t="s">
        <v>51</v>
      </c>
      <c r="F24" s="6" t="s">
        <v>16</v>
      </c>
      <c r="G24" s="6" t="s">
        <v>48</v>
      </c>
      <c r="H24" s="11" t="s">
        <v>14</v>
      </c>
      <c r="I24" s="22">
        <v>1539170</v>
      </c>
      <c r="J24" t="str">
        <f>VLOOKUP(A24,[1]CC!A:I,8,0)</f>
        <v>OP2</v>
      </c>
    </row>
    <row r="25" spans="1:10" x14ac:dyDescent="0.3">
      <c r="A25" s="6">
        <v>1356</v>
      </c>
      <c r="B25" s="7" t="s">
        <v>102</v>
      </c>
      <c r="C25" s="8" t="str">
        <f>VLOOKUP(A25,[1]Local!A:E,3,0)</f>
        <v>Santander</v>
      </c>
      <c r="D25" s="9" t="s">
        <v>102</v>
      </c>
      <c r="E25" s="10" t="s">
        <v>51</v>
      </c>
      <c r="F25" s="6" t="s">
        <v>16</v>
      </c>
      <c r="G25" s="6" t="s">
        <v>48</v>
      </c>
      <c r="H25" s="11" t="s">
        <v>14</v>
      </c>
      <c r="I25" s="15">
        <v>91000</v>
      </c>
      <c r="J25" t="str">
        <f>VLOOKUP(A25,[1]CC!A:I,8,0)</f>
        <v>OP2</v>
      </c>
    </row>
    <row r="26" spans="1:10" x14ac:dyDescent="0.3">
      <c r="A26" s="6">
        <v>1357</v>
      </c>
      <c r="B26" s="7"/>
      <c r="C26" s="8" t="str">
        <f>VLOOKUP(A26,[1]Local!A:E,3,0)</f>
        <v>SAFRA</v>
      </c>
      <c r="D26" s="9" t="s">
        <v>54</v>
      </c>
      <c r="E26" s="10" t="s">
        <v>51</v>
      </c>
      <c r="F26" s="6" t="s">
        <v>16</v>
      </c>
      <c r="G26" s="6" t="s">
        <v>48</v>
      </c>
      <c r="H26" s="11" t="s">
        <v>14</v>
      </c>
      <c r="I26" s="12">
        <v>50035</v>
      </c>
      <c r="J26" t="str">
        <f>VLOOKUP(A26,[1]CC!A:I,8,0)</f>
        <v>OP2</v>
      </c>
    </row>
    <row r="27" spans="1:10" x14ac:dyDescent="0.3">
      <c r="A27" s="6">
        <v>1260</v>
      </c>
      <c r="B27" s="7" t="s">
        <v>52</v>
      </c>
      <c r="C27" s="8" t="str">
        <f>VLOOKUP(A27,[1]Local!A:E,3,0)</f>
        <v>PETZ</v>
      </c>
      <c r="D27" s="9" t="s">
        <v>56</v>
      </c>
      <c r="E27" s="10" t="s">
        <v>51</v>
      </c>
      <c r="F27" s="6" t="s">
        <v>16</v>
      </c>
      <c r="G27" s="6" t="s">
        <v>57</v>
      </c>
      <c r="H27" s="11" t="s">
        <v>14</v>
      </c>
      <c r="I27" s="12">
        <v>11010</v>
      </c>
      <c r="J27" t="str">
        <f>VLOOKUP(A27,[1]CC!A:I,8,0)</f>
        <v>OP2</v>
      </c>
    </row>
    <row r="28" spans="1:10" x14ac:dyDescent="0.3">
      <c r="A28" s="6">
        <v>1360</v>
      </c>
      <c r="B28" s="7" t="s">
        <v>91</v>
      </c>
      <c r="C28" s="8" t="str">
        <f>VLOOKUP(A28,[1]Local!A:E,3,0)</f>
        <v>SERASA</v>
      </c>
      <c r="D28" s="9" t="s">
        <v>92</v>
      </c>
      <c r="E28" s="10" t="s">
        <v>47</v>
      </c>
      <c r="F28" s="6" t="s">
        <v>16</v>
      </c>
      <c r="G28" s="6" t="s">
        <v>48</v>
      </c>
      <c r="H28" s="11" t="s">
        <v>14</v>
      </c>
      <c r="I28" s="23">
        <v>1500000</v>
      </c>
      <c r="J28" t="str">
        <f>VLOOKUP(A28,[1]CC!A:I,8,0)</f>
        <v>OP1</v>
      </c>
    </row>
    <row r="29" spans="1:10" x14ac:dyDescent="0.3">
      <c r="A29" s="6">
        <v>1387</v>
      </c>
      <c r="B29" s="7" t="s">
        <v>93</v>
      </c>
      <c r="C29" s="8" t="str">
        <f>VLOOKUP(A29,[1]Local!A:E,3,0)</f>
        <v>SERASA</v>
      </c>
      <c r="D29" s="9" t="s">
        <v>94</v>
      </c>
      <c r="E29" s="10" t="s">
        <v>47</v>
      </c>
      <c r="F29" s="6" t="s">
        <v>12</v>
      </c>
      <c r="G29" s="6" t="s">
        <v>48</v>
      </c>
      <c r="H29" s="11" t="s">
        <v>14</v>
      </c>
      <c r="I29" s="19">
        <v>260000</v>
      </c>
      <c r="J29" t="str">
        <f>VLOOKUP(A29,[1]CC!A:I,8,0)</f>
        <v>OP1</v>
      </c>
    </row>
    <row r="30" spans="1:10" x14ac:dyDescent="0.3">
      <c r="A30" s="6">
        <v>1262</v>
      </c>
      <c r="B30" s="7" t="s">
        <v>53</v>
      </c>
      <c r="C30" s="8" t="str">
        <f>VLOOKUP(A30,[1]Local!A:E,3,0)</f>
        <v>RENDIMENTO</v>
      </c>
      <c r="D30" s="9" t="s">
        <v>61</v>
      </c>
      <c r="E30" s="10" t="s">
        <v>51</v>
      </c>
      <c r="F30" s="6" t="s">
        <v>16</v>
      </c>
      <c r="G30" s="6" t="s">
        <v>48</v>
      </c>
      <c r="H30" s="11" t="s">
        <v>14</v>
      </c>
      <c r="I30" s="19">
        <v>131223</v>
      </c>
      <c r="J30" t="str">
        <f>VLOOKUP(A30,[1]CC!A:I,8,0)</f>
        <v>OP2</v>
      </c>
    </row>
    <row r="31" spans="1:10" x14ac:dyDescent="0.3">
      <c r="A31" s="6">
        <v>1269</v>
      </c>
      <c r="B31" s="7" t="s">
        <v>55</v>
      </c>
      <c r="C31" s="8" t="str">
        <f>VLOOKUP(A31,[1]Local!A:E,3,0)</f>
        <v>RENDIMENTO</v>
      </c>
      <c r="D31" s="9" t="s">
        <v>62</v>
      </c>
      <c r="E31" s="10" t="s">
        <v>51</v>
      </c>
      <c r="F31" s="6" t="s">
        <v>12</v>
      </c>
      <c r="G31" s="6" t="s">
        <v>48</v>
      </c>
      <c r="H31" s="11" t="s">
        <v>14</v>
      </c>
      <c r="I31" s="12">
        <v>265653</v>
      </c>
      <c r="J31" t="str">
        <f>VLOOKUP(A31,[1]CC!A:I,8,0)</f>
        <v>OP2</v>
      </c>
    </row>
    <row r="32" spans="1:10" x14ac:dyDescent="0.3">
      <c r="A32" s="6">
        <v>1541</v>
      </c>
      <c r="B32" s="7" t="s">
        <v>103</v>
      </c>
      <c r="C32" s="8" t="str">
        <f>VLOOKUP(A32,[1]Local!A:E,3,0)</f>
        <v>RENDIMENTO</v>
      </c>
      <c r="D32" s="9" t="s">
        <v>103</v>
      </c>
      <c r="E32" s="10" t="s">
        <v>51</v>
      </c>
      <c r="F32" s="6" t="s">
        <v>12</v>
      </c>
      <c r="G32" s="6" t="s">
        <v>48</v>
      </c>
      <c r="H32" s="11" t="s">
        <v>14</v>
      </c>
      <c r="I32" s="15">
        <v>24575</v>
      </c>
      <c r="J32" t="s">
        <v>77</v>
      </c>
    </row>
    <row r="33" spans="1:10" x14ac:dyDescent="0.3">
      <c r="A33" s="6">
        <v>1479</v>
      </c>
      <c r="B33" s="7" t="s">
        <v>58</v>
      </c>
      <c r="C33" s="8" t="str">
        <f>VLOOKUP(A33,[1]Local!A:E,3,0)</f>
        <v>VR</v>
      </c>
      <c r="D33" s="9" t="s">
        <v>58</v>
      </c>
      <c r="E33" s="10" t="s">
        <v>51</v>
      </c>
      <c r="F33" s="6" t="s">
        <v>63</v>
      </c>
      <c r="G33" s="6" t="s">
        <v>48</v>
      </c>
      <c r="H33" s="11" t="s">
        <v>14</v>
      </c>
      <c r="I33" s="12">
        <v>27342</v>
      </c>
      <c r="J33" t="str">
        <f>VLOOKUP(A33,[1]CC!A:I,8,0)</f>
        <v>OP2</v>
      </c>
    </row>
    <row r="34" spans="1:10" x14ac:dyDescent="0.3">
      <c r="A34" s="6">
        <v>1378</v>
      </c>
      <c r="B34" s="7" t="s">
        <v>59</v>
      </c>
      <c r="C34" s="8" t="str">
        <f>VLOOKUP(A34,[1]Local!A:E,3,0)</f>
        <v xml:space="preserve"> FUNCEF</v>
      </c>
      <c r="D34" s="9" t="s">
        <v>65</v>
      </c>
      <c r="E34" s="10" t="s">
        <v>51</v>
      </c>
      <c r="F34" s="6" t="s">
        <v>63</v>
      </c>
      <c r="G34" s="6" t="s">
        <v>48</v>
      </c>
      <c r="H34" s="11" t="s">
        <v>14</v>
      </c>
      <c r="I34" s="20">
        <v>4535</v>
      </c>
      <c r="J34" t="str">
        <f>VLOOKUP(A34,[1]CC!$A:$I,8,0)</f>
        <v>OP2</v>
      </c>
    </row>
    <row r="35" spans="1:10" x14ac:dyDescent="0.3">
      <c r="A35" s="6">
        <v>1300</v>
      </c>
      <c r="B35" s="6" t="s">
        <v>60</v>
      </c>
      <c r="C35" s="8" t="str">
        <f>VLOOKUP(A35,[1]Local!A:E,3,0)</f>
        <v>AXIA</v>
      </c>
      <c r="D35" s="9" t="s">
        <v>60</v>
      </c>
      <c r="E35" s="10" t="s">
        <v>22</v>
      </c>
      <c r="F35" s="6" t="s">
        <v>12</v>
      </c>
      <c r="G35" s="6" t="s">
        <v>23</v>
      </c>
      <c r="H35" s="11" t="s">
        <v>14</v>
      </c>
      <c r="I35" s="12">
        <v>37210.160000000003</v>
      </c>
      <c r="J35" t="str">
        <f>VLOOKUP(A35,[1]CC!A:I,8,0)</f>
        <v>OP2</v>
      </c>
    </row>
    <row r="36" spans="1:10" x14ac:dyDescent="0.3">
      <c r="A36" s="6">
        <v>1515</v>
      </c>
      <c r="B36" s="7"/>
      <c r="C36" s="8" t="str">
        <f>VLOOKUP(A36,[1]Local!A:E,3,0)</f>
        <v>AXIA</v>
      </c>
      <c r="D36" s="9" t="s">
        <v>68</v>
      </c>
      <c r="E36" s="10" t="s">
        <v>22</v>
      </c>
      <c r="F36" s="6" t="s">
        <v>12</v>
      </c>
      <c r="G36" s="6" t="s">
        <v>23</v>
      </c>
      <c r="H36" s="11" t="s">
        <v>14</v>
      </c>
      <c r="I36" s="15">
        <v>1063092</v>
      </c>
      <c r="J36" t="str">
        <f>VLOOKUP(A36,[1]CC!A:I,8,0)</f>
        <v>OP2</v>
      </c>
    </row>
    <row r="37" spans="1:10" x14ac:dyDescent="0.3">
      <c r="A37" s="6">
        <v>1519</v>
      </c>
      <c r="B37" s="7"/>
      <c r="C37" s="8" t="str">
        <f>VLOOKUP(A37,[1]Local!A:E,3,0)</f>
        <v>AXIA</v>
      </c>
      <c r="D37" s="9" t="s">
        <v>70</v>
      </c>
      <c r="E37" s="10" t="s">
        <v>22</v>
      </c>
      <c r="F37" s="6" t="s">
        <v>12</v>
      </c>
      <c r="G37" s="6" t="s">
        <v>23</v>
      </c>
      <c r="H37" s="11" t="s">
        <v>14</v>
      </c>
      <c r="I37" s="12">
        <v>159330</v>
      </c>
      <c r="J37" t="str">
        <f>VLOOKUP(A37,[1]CC!A:I,8,0)</f>
        <v>OP2</v>
      </c>
    </row>
    <row r="38" spans="1:10" x14ac:dyDescent="0.3">
      <c r="A38" s="6">
        <v>1455</v>
      </c>
      <c r="B38" s="7" t="s">
        <v>64</v>
      </c>
      <c r="C38" s="8" t="str">
        <f>VLOOKUP(A38,[1]Local!A:E,3,0)</f>
        <v>ATAKAREJO</v>
      </c>
      <c r="D38" s="9" t="s">
        <v>71</v>
      </c>
      <c r="E38" s="10" t="s">
        <v>18</v>
      </c>
      <c r="F38" s="6" t="s">
        <v>12</v>
      </c>
      <c r="G38" s="6" t="s">
        <v>57</v>
      </c>
      <c r="H38" s="11" t="s">
        <v>14</v>
      </c>
      <c r="I38" s="12">
        <v>59430</v>
      </c>
      <c r="J38" t="str">
        <f>VLOOKUP(A38,[1]CC!A:I,8,0)</f>
        <v>OP4</v>
      </c>
    </row>
    <row r="39" spans="1:10" x14ac:dyDescent="0.3">
      <c r="A39" s="6">
        <v>1393</v>
      </c>
      <c r="B39" s="7" t="s">
        <v>66</v>
      </c>
      <c r="C39" s="8" t="str">
        <f>VLOOKUP(A39,[1]Local!A:E,3,0)</f>
        <v xml:space="preserve">DETRAN-BA </v>
      </c>
      <c r="D39" s="9" t="s">
        <v>72</v>
      </c>
      <c r="E39" s="10" t="s">
        <v>18</v>
      </c>
      <c r="F39" s="6" t="s">
        <v>12</v>
      </c>
      <c r="G39" s="6" t="s">
        <v>13</v>
      </c>
      <c r="H39" s="11" t="s">
        <v>14</v>
      </c>
      <c r="I39" s="12">
        <v>987153</v>
      </c>
      <c r="J39" t="str">
        <f>VLOOKUP(A39,[1]CC!A:I,8,0)</f>
        <v>OP4</v>
      </c>
    </row>
    <row r="40" spans="1:10" x14ac:dyDescent="0.3">
      <c r="A40" s="6">
        <v>1292</v>
      </c>
      <c r="B40" s="7" t="s">
        <v>67</v>
      </c>
      <c r="C40" s="8" t="str">
        <f>VLOOKUP(A40,[1]Local!A:E,3,0)</f>
        <v>BRADESCO_SEGUROS</v>
      </c>
      <c r="D40" s="9" t="s">
        <v>67</v>
      </c>
      <c r="E40" s="10" t="s">
        <v>47</v>
      </c>
      <c r="F40" s="6" t="s">
        <v>16</v>
      </c>
      <c r="G40" s="6" t="s">
        <v>48</v>
      </c>
      <c r="H40" s="11" t="s">
        <v>14</v>
      </c>
      <c r="I40" s="12">
        <v>68431.55</v>
      </c>
      <c r="J40" t="s">
        <v>77</v>
      </c>
    </row>
    <row r="41" spans="1:10" x14ac:dyDescent="0.3">
      <c r="A41" s="6">
        <v>1484</v>
      </c>
      <c r="B41" s="7" t="s">
        <v>69</v>
      </c>
      <c r="C41" s="8" t="str">
        <f>VLOOKUP(A41,[1]Local!A:E,3,0)</f>
        <v>BRADESCO_SEGUROS</v>
      </c>
      <c r="D41" s="9" t="s">
        <v>74</v>
      </c>
      <c r="E41" s="10" t="s">
        <v>47</v>
      </c>
      <c r="F41" s="6" t="s">
        <v>63</v>
      </c>
      <c r="G41" s="6" t="s">
        <v>48</v>
      </c>
      <c r="H41" s="11" t="s">
        <v>14</v>
      </c>
      <c r="I41" s="13">
        <v>78308.44</v>
      </c>
      <c r="J41" t="str">
        <f>VLOOKUP(A41,[1]CC!A:I,8,0)</f>
        <v>OP1</v>
      </c>
    </row>
    <row r="42" spans="1:10" x14ac:dyDescent="0.3">
      <c r="A42" s="6">
        <v>1507</v>
      </c>
      <c r="B42" s="7"/>
      <c r="C42" s="8" t="str">
        <f>VLOOKUP(A42,[1]Local!A:E,3,0)</f>
        <v>BRADESCO_SEGUROS</v>
      </c>
      <c r="D42" s="9" t="s">
        <v>76</v>
      </c>
      <c r="E42" s="10" t="s">
        <v>47</v>
      </c>
      <c r="F42" s="6" t="s">
        <v>16</v>
      </c>
      <c r="G42" s="6" t="s">
        <v>48</v>
      </c>
      <c r="H42" s="11" t="s">
        <v>14</v>
      </c>
      <c r="I42" s="15">
        <v>333000</v>
      </c>
      <c r="J42" t="str">
        <f>VLOOKUP(A42,[1]CC!A:I,8,0)</f>
        <v>OP1</v>
      </c>
    </row>
    <row r="43" spans="1:10" x14ac:dyDescent="0.3">
      <c r="A43" s="6">
        <v>1512</v>
      </c>
      <c r="B43" s="7"/>
      <c r="C43" s="8" t="str">
        <f>VLOOKUP(A43,[1]Local!A:E,3,0)</f>
        <v>BRADESCO_SEGUROS</v>
      </c>
      <c r="D43" s="9" t="s">
        <v>78</v>
      </c>
      <c r="E43" s="10" t="s">
        <v>47</v>
      </c>
      <c r="F43" s="6" t="s">
        <v>12</v>
      </c>
      <c r="G43" s="6" t="s">
        <v>48</v>
      </c>
      <c r="H43" s="11" t="s">
        <v>14</v>
      </c>
      <c r="I43" s="15">
        <v>64044.85</v>
      </c>
      <c r="J43" t="s">
        <v>82</v>
      </c>
    </row>
    <row r="44" spans="1:10" x14ac:dyDescent="0.3">
      <c r="A44" s="6">
        <v>1472</v>
      </c>
      <c r="B44" s="6" t="s">
        <v>73</v>
      </c>
      <c r="C44" s="8" t="str">
        <f>VLOOKUP(A44,[1]Local!A:E,3,0)</f>
        <v>FICO</v>
      </c>
      <c r="D44" s="9" t="s">
        <v>80</v>
      </c>
      <c r="E44" s="10" t="s">
        <v>47</v>
      </c>
      <c r="F44" s="6" t="s">
        <v>63</v>
      </c>
      <c r="G44" s="6" t="s">
        <v>48</v>
      </c>
      <c r="H44" s="11" t="s">
        <v>14</v>
      </c>
      <c r="I44" s="15">
        <v>48000</v>
      </c>
      <c r="J44" t="s">
        <v>77</v>
      </c>
    </row>
    <row r="45" spans="1:10" x14ac:dyDescent="0.3">
      <c r="A45" s="6">
        <v>1482</v>
      </c>
      <c r="B45" s="7"/>
      <c r="C45" s="8" t="str">
        <f>VLOOKUP(A45,[1]Local!A:E,3,0)</f>
        <v>AXIA</v>
      </c>
      <c r="D45" s="9" t="s">
        <v>81</v>
      </c>
      <c r="E45" s="10" t="s">
        <v>22</v>
      </c>
      <c r="F45" s="6" t="s">
        <v>12</v>
      </c>
      <c r="G45" s="6" t="s">
        <v>23</v>
      </c>
      <c r="H45" s="11" t="s">
        <v>14</v>
      </c>
      <c r="I45" s="15">
        <v>34583</v>
      </c>
      <c r="J45" t="str">
        <f>VLOOKUP(A45,[1]CC!A:I,8,0)</f>
        <v>OP2</v>
      </c>
    </row>
    <row r="46" spans="1:10" x14ac:dyDescent="0.3">
      <c r="A46" s="6">
        <v>1533</v>
      </c>
      <c r="B46" s="7" t="s">
        <v>75</v>
      </c>
      <c r="C46" s="8" t="str">
        <f>VLOOKUP(A46,[1]Local!A:E,3,0)</f>
        <v>UNIPAR</v>
      </c>
      <c r="D46" s="9" t="s">
        <v>84</v>
      </c>
      <c r="E46" s="10" t="s">
        <v>51</v>
      </c>
      <c r="F46" s="6" t="s">
        <v>12</v>
      </c>
      <c r="G46" s="6" t="s">
        <v>57</v>
      </c>
      <c r="H46" s="11" t="s">
        <v>14</v>
      </c>
      <c r="I46" s="12">
        <v>170148</v>
      </c>
      <c r="J46" t="s">
        <v>77</v>
      </c>
    </row>
    <row r="47" spans="1:10" x14ac:dyDescent="0.3">
      <c r="A47" s="6">
        <v>1506</v>
      </c>
      <c r="B47" s="6" t="s">
        <v>104</v>
      </c>
      <c r="C47" s="8" t="str">
        <f>VLOOKUP(A47,[1]Local!A:E,3,0)</f>
        <v>PORTO_SEGURO</v>
      </c>
      <c r="D47" s="9" t="s">
        <v>104</v>
      </c>
      <c r="E47" s="10" t="s">
        <v>51</v>
      </c>
      <c r="F47" s="6" t="s">
        <v>63</v>
      </c>
      <c r="G47" s="6" t="s">
        <v>48</v>
      </c>
      <c r="H47" s="11" t="s">
        <v>14</v>
      </c>
      <c r="I47" s="12">
        <v>37383.360000000001</v>
      </c>
      <c r="J47" t="str">
        <f>VLOOKUP(A47,[1]CC!A:I,8,0)</f>
        <v>OP2</v>
      </c>
    </row>
    <row r="48" spans="1:10" x14ac:dyDescent="0.3">
      <c r="A48" s="6">
        <v>1489</v>
      </c>
      <c r="B48" s="7" t="s">
        <v>79</v>
      </c>
      <c r="C48" s="8" t="str">
        <f>VLOOKUP(A48,[1]Local!A:E,3,0)</f>
        <v>CARREFOUR</v>
      </c>
      <c r="D48" s="9" t="s">
        <v>79</v>
      </c>
      <c r="E48" s="10" t="s">
        <v>51</v>
      </c>
      <c r="F48" s="6" t="s">
        <v>63</v>
      </c>
      <c r="G48" s="6" t="s">
        <v>48</v>
      </c>
      <c r="H48" s="11" t="s">
        <v>14</v>
      </c>
      <c r="I48" s="15">
        <v>89050</v>
      </c>
      <c r="J48" t="str">
        <f>VLOOKUP(A48,[1]CC!A:I,8,0)</f>
        <v>OP2</v>
      </c>
    </row>
    <row r="49" spans="1:10" x14ac:dyDescent="0.3">
      <c r="A49" s="6">
        <v>1544</v>
      </c>
      <c r="B49" s="7">
        <v>1544</v>
      </c>
      <c r="C49" s="8" t="str">
        <f>VLOOKUP(A49,[1]Local!A:E,3,0)</f>
        <v>ADAB</v>
      </c>
      <c r="D49" s="9" t="s">
        <v>105</v>
      </c>
      <c r="E49" s="10" t="s">
        <v>18</v>
      </c>
      <c r="F49" s="6" t="s">
        <v>12</v>
      </c>
      <c r="G49" s="6" t="s">
        <v>13</v>
      </c>
      <c r="H49" s="11" t="s">
        <v>14</v>
      </c>
      <c r="I49" s="24">
        <v>73260</v>
      </c>
      <c r="J49" t="s">
        <v>98</v>
      </c>
    </row>
    <row r="50" spans="1:10" x14ac:dyDescent="0.3">
      <c r="A50" s="6">
        <v>1470</v>
      </c>
      <c r="B50" s="7" t="s">
        <v>83</v>
      </c>
      <c r="C50" s="8" t="str">
        <f>VLOOKUP(A50,[1]Local!A:E,3,0)</f>
        <v>GNC</v>
      </c>
      <c r="D50" s="9" t="s">
        <v>83</v>
      </c>
      <c r="E50" s="10" t="s">
        <v>51</v>
      </c>
      <c r="F50" s="6" t="s">
        <v>12</v>
      </c>
      <c r="G50" s="6" t="s">
        <v>57</v>
      </c>
      <c r="H50" s="11" t="s">
        <v>14</v>
      </c>
      <c r="I50" s="12">
        <v>38535</v>
      </c>
      <c r="J50" t="s">
        <v>82</v>
      </c>
    </row>
    <row r="51" spans="1:10" x14ac:dyDescent="0.3">
      <c r="A51" s="6">
        <v>1475</v>
      </c>
      <c r="B51" s="6" t="s">
        <v>85</v>
      </c>
      <c r="C51" s="8" t="str">
        <f>VLOOKUP(A51,[1]Local!A:E,3,0)</f>
        <v>FAPESB</v>
      </c>
      <c r="D51" s="9" t="s">
        <v>85</v>
      </c>
      <c r="E51" s="10" t="s">
        <v>11</v>
      </c>
      <c r="F51" s="6" t="s">
        <v>16</v>
      </c>
      <c r="G51" s="6" t="s">
        <v>13</v>
      </c>
      <c r="H51" s="11" t="s">
        <v>14</v>
      </c>
      <c r="I51" s="12">
        <v>90040</v>
      </c>
      <c r="J51" t="s">
        <v>77</v>
      </c>
    </row>
    <row r="52" spans="1:10" x14ac:dyDescent="0.3">
      <c r="A52" s="6">
        <v>1536</v>
      </c>
      <c r="B52" s="6" t="s">
        <v>85</v>
      </c>
      <c r="C52" s="8" t="str">
        <f>VLOOKUP(A52,[1]Local!A:E,3,0)</f>
        <v>FAPESB</v>
      </c>
      <c r="D52" s="9" t="s">
        <v>106</v>
      </c>
      <c r="E52" s="10" t="s">
        <v>11</v>
      </c>
      <c r="F52" s="6" t="s">
        <v>12</v>
      </c>
      <c r="G52" s="6" t="s">
        <v>13</v>
      </c>
      <c r="H52" s="11" t="s">
        <v>14</v>
      </c>
      <c r="I52" s="12">
        <v>82847.81</v>
      </c>
      <c r="J52" t="s">
        <v>97</v>
      </c>
    </row>
    <row r="53" spans="1:10" x14ac:dyDescent="0.3">
      <c r="A53" s="6">
        <v>1525</v>
      </c>
      <c r="B53" s="7"/>
      <c r="C53" s="8" t="str">
        <f>VLOOKUP(A53,[1]Local!A:E,3,0)</f>
        <v>IBAMETRO</v>
      </c>
      <c r="D53" s="9" t="s">
        <v>86</v>
      </c>
      <c r="E53" s="10" t="s">
        <v>18</v>
      </c>
      <c r="F53" s="6" t="s">
        <v>12</v>
      </c>
      <c r="G53" s="6" t="s">
        <v>13</v>
      </c>
      <c r="H53" s="11" t="s">
        <v>14</v>
      </c>
      <c r="I53" s="12">
        <v>60000</v>
      </c>
      <c r="J53" t="s">
        <v>98</v>
      </c>
    </row>
    <row r="54" spans="1:10" x14ac:dyDescent="0.3">
      <c r="A54" s="6"/>
      <c r="B54" s="7"/>
      <c r="C54" s="8"/>
      <c r="D54" s="9"/>
      <c r="E54" s="10"/>
      <c r="F54" s="6"/>
      <c r="G54" s="6"/>
      <c r="H54" s="26"/>
      <c r="I54" s="27">
        <f>SUM(I2:I53)</f>
        <v>20130014.867200002</v>
      </c>
    </row>
  </sheetData>
  <autoFilter ref="A1:J51" xr:uid="{C129CDFF-8A9A-411D-9E5E-EEF807818C58}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Forecast Outubro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Guimaraes Esteves</dc:creator>
  <cp:lastModifiedBy>Vitor Guimaraes Esteves</cp:lastModifiedBy>
  <dcterms:created xsi:type="dcterms:W3CDTF">2026-07-16T17:32:34Z</dcterms:created>
  <dcterms:modified xsi:type="dcterms:W3CDTF">2026-10-16T14:36:54Z</dcterms:modified>
</cp:coreProperties>
</file>